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erre-Émile\Dropbox\i-GES S.E.N.C\- Version 2.0\loGiciElS inc\"/>
    </mc:Choice>
  </mc:AlternateContent>
  <xr:revisionPtr revIDLastSave="0" documentId="13_ncr:2001_{3E90E489-8713-4303-99A4-43FCDB96DF92}" xr6:coauthVersionLast="47" xr6:coauthVersionMax="47" xr10:uidLastSave="{00000000-0000-0000-0000-000000000000}"/>
  <bookViews>
    <workbookView xWindow="-120" yWindow="-120" windowWidth="29040" windowHeight="15720" tabRatio="784" activeTab="5" xr2:uid="{AA928687-A10F-4A88-947C-F57439093E7D}"/>
  </bookViews>
  <sheets>
    <sheet name="Page d'accueil" sheetId="1" r:id="rId1"/>
    <sheet name="ISO 14064-4" sheetId="3" r:id="rId2"/>
    <sheet name="GHG Protocol" sheetId="4" state="hidden" r:id="rId3"/>
    <sheet name="MACF-CBAM" sheetId="22" state="hidden" r:id="rId4"/>
    <sheet name="Détails Entreprise" sheetId="10" r:id="rId5"/>
    <sheet name="Calculs" sheetId="20" r:id="rId6"/>
    <sheet name="Résultats" sheetId="21" r:id="rId7"/>
    <sheet name="Listes des méthodologies" sheetId="2" r:id="rId8"/>
    <sheet name="PRP" sheetId="12" r:id="rId9"/>
    <sheet name="FÉ" sheetId="11" r:id="rId10"/>
    <sheet name="Listes déroulantes FÉ" sheetId="16" r:id="rId11"/>
    <sheet name="Listes déroulantes, autres" sheetId="7" r:id="rId12"/>
    <sheet name="Liste Métho par client" sheetId="23" r:id="rId13"/>
  </sheets>
  <externalReferences>
    <externalReference r:id="rId14"/>
  </externalReferences>
  <definedNames>
    <definedName name="Année">'Listes déroulantes, autres'!$D$9:$D$4979</definedName>
    <definedName name="CO2_">#REF!,#REF!,#REF!,#REF!,#REF!</definedName>
    <definedName name="Debut_1A1">Calculs!$B$10</definedName>
    <definedName name="Équipements_fixes">FÉ!$B$9:$B$21</definedName>
    <definedName name="Équipements_mobiles">FÉ!$B$41:$B$59</definedName>
    <definedName name="Fin_1A1">Calculs!$B$31</definedName>
    <definedName name="Grid">FÉ!$B$385:$B$437</definedName>
    <definedName name="Intensité_type_bâtiments">FÉ!$B$26:$B$36</definedName>
    <definedName name="Liste_Véhicules_Compagnie">'Détails Entreprise'!$O$9:$O$20</definedName>
    <definedName name="Marque">'Listes déroulantes, autres'!$E$9:$E$4979</definedName>
    <definedName name="Modèle">'Listes déroulantes, autres'!$F$9:$F$4979</definedName>
    <definedName name="Moyennes_de_transport">FÉ!$B$64:$B$74</definedName>
    <definedName name="Oui_Non">'Listes déroulantes, autres'!$C$9:$C$10</definedName>
    <definedName name="Sites">#REF!,#REF!,#REF!,#REF!,#REF!</definedName>
    <definedName name="Transmission">'Listes déroulantes, autres'!$G$9:$G$10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" i="3" l="1"/>
  <c r="O90" i="2"/>
  <c r="N90" i="2"/>
  <c r="O62" i="2"/>
  <c r="N62" i="2"/>
  <c r="O61" i="2"/>
  <c r="N61" i="2"/>
  <c r="O59" i="2"/>
  <c r="N59" i="2"/>
  <c r="O58" i="2"/>
  <c r="N58" i="2"/>
  <c r="O57" i="2"/>
  <c r="N57" i="2"/>
  <c r="O55" i="2"/>
  <c r="N55" i="2"/>
  <c r="O50" i="2"/>
  <c r="N50" i="2"/>
  <c r="O48" i="2"/>
  <c r="N48" i="2"/>
  <c r="O45" i="2"/>
  <c r="N45" i="2"/>
  <c r="O44" i="2"/>
  <c r="N44" i="2"/>
  <c r="O41" i="2"/>
  <c r="N41" i="2"/>
  <c r="BV219" i="20"/>
  <c r="BY219" i="20" s="1"/>
  <c r="BV220" i="20"/>
  <c r="BY220" i="20" s="1"/>
  <c r="BV221" i="20"/>
  <c r="BV222" i="20"/>
  <c r="CH222" i="20" s="1"/>
  <c r="BV223" i="20"/>
  <c r="BV224" i="20"/>
  <c r="BV225" i="20"/>
  <c r="CH225" i="20" s="1"/>
  <c r="BV226" i="20"/>
  <c r="BV217" i="20"/>
  <c r="CH217" i="20" s="1"/>
  <c r="BV218" i="20"/>
  <c r="CA218" i="20" s="1"/>
  <c r="BU219" i="20"/>
  <c r="BU220" i="20"/>
  <c r="BU221" i="20"/>
  <c r="BU222" i="20"/>
  <c r="BU223" i="20"/>
  <c r="CH223" i="20"/>
  <c r="BU224" i="20"/>
  <c r="CH224" i="20"/>
  <c r="BU225" i="20"/>
  <c r="BU226" i="20"/>
  <c r="BU217" i="20"/>
  <c r="BU218" i="20"/>
  <c r="O32" i="2"/>
  <c r="N32" i="2"/>
  <c r="N29" i="2"/>
  <c r="N27" i="2"/>
  <c r="N25" i="2"/>
  <c r="O27" i="2"/>
  <c r="O29" i="2"/>
  <c r="O25" i="2"/>
  <c r="CH221" i="20"/>
  <c r="CH226" i="20"/>
  <c r="BY222" i="20"/>
  <c r="BZ222" i="20"/>
  <c r="CA222" i="20"/>
  <c r="BY223" i="20"/>
  <c r="BZ223" i="20"/>
  <c r="CA223" i="20"/>
  <c r="BY224" i="20"/>
  <c r="BZ224" i="20"/>
  <c r="CA224" i="20"/>
  <c r="BY225" i="20"/>
  <c r="BZ225" i="20"/>
  <c r="CA225" i="20"/>
  <c r="BY226" i="20"/>
  <c r="BZ226" i="20"/>
  <c r="CA226" i="20"/>
  <c r="J82" i="3"/>
  <c r="I77" i="3"/>
  <c r="CF227" i="20"/>
  <c r="CE227" i="20"/>
  <c r="H227" i="20"/>
  <c r="G227" i="20"/>
  <c r="F227" i="20"/>
  <c r="F226" i="20"/>
  <c r="F225" i="20"/>
  <c r="F224" i="20"/>
  <c r="F223" i="20"/>
  <c r="F222" i="20"/>
  <c r="F221" i="20"/>
  <c r="F220" i="20"/>
  <c r="F219" i="20"/>
  <c r="F218" i="20"/>
  <c r="B218" i="20"/>
  <c r="B219" i="20" s="1"/>
  <c r="B220" i="20" s="1"/>
  <c r="B221" i="20" s="1"/>
  <c r="B222" i="20" s="1"/>
  <c r="B223" i="20" s="1"/>
  <c r="B224" i="20" s="1"/>
  <c r="B225" i="20" s="1"/>
  <c r="B226" i="20" s="1"/>
  <c r="F217" i="20"/>
  <c r="I85" i="3"/>
  <c r="I82" i="3"/>
  <c r="CF263" i="20"/>
  <c r="CE263" i="20"/>
  <c r="H263" i="20"/>
  <c r="G263" i="20"/>
  <c r="F263" i="20"/>
  <c r="CH262" i="20" a="1"/>
  <c r="CH262" i="20" s="1"/>
  <c r="BU262" i="20"/>
  <c r="BY262" i="20" s="1" a="1"/>
  <c r="BY262" i="20" s="1"/>
  <c r="F262" i="20"/>
  <c r="CH261" i="20" a="1"/>
  <c r="CH261" i="20" s="1"/>
  <c r="BU261" i="20"/>
  <c r="CA261" i="20" s="1" a="1"/>
  <c r="CA261" i="20" s="1"/>
  <c r="F261" i="20"/>
  <c r="BU260" i="20"/>
  <c r="CA260" i="20" s="1" a="1"/>
  <c r="CA260" i="20" s="1"/>
  <c r="F260" i="20"/>
  <c r="BU259" i="20"/>
  <c r="CA259" i="20" s="1" a="1"/>
  <c r="CA259" i="20" s="1"/>
  <c r="F259" i="20"/>
  <c r="BU258" i="20"/>
  <c r="BZ258" i="20" s="1" a="1"/>
  <c r="BZ258" i="20" s="1"/>
  <c r="F258" i="20"/>
  <c r="BU257" i="20"/>
  <c r="CA257" i="20" s="1" a="1"/>
  <c r="CA257" i="20" s="1"/>
  <c r="F257" i="20"/>
  <c r="BU256" i="20"/>
  <c r="CA256" i="20" s="1" a="1"/>
  <c r="CA256" i="20" s="1"/>
  <c r="F256" i="20"/>
  <c r="BU255" i="20"/>
  <c r="BZ255" i="20" s="1" a="1"/>
  <c r="BZ255" i="20" s="1"/>
  <c r="F255" i="20"/>
  <c r="BU254" i="20"/>
  <c r="BY254" i="20" s="1" a="1"/>
  <c r="BY254" i="20" s="1"/>
  <c r="F254" i="20"/>
  <c r="B254" i="20"/>
  <c r="B255" i="20" s="1"/>
  <c r="B256" i="20" s="1"/>
  <c r="B257" i="20" s="1"/>
  <c r="B258" i="20" s="1"/>
  <c r="B259" i="20" s="1"/>
  <c r="B260" i="20" s="1"/>
  <c r="B261" i="20" s="1"/>
  <c r="B262" i="20" s="1"/>
  <c r="CH253" i="20" a="1"/>
  <c r="CH253" i="20" s="1"/>
  <c r="BU253" i="20"/>
  <c r="CA253" i="20" s="1" a="1"/>
  <c r="CA253" i="20" s="1"/>
  <c r="F253" i="20"/>
  <c r="CF245" i="20"/>
  <c r="CE245" i="20"/>
  <c r="H245" i="20"/>
  <c r="G245" i="20"/>
  <c r="F245" i="20"/>
  <c r="CA244" i="20"/>
  <c r="BZ244" i="20"/>
  <c r="BY244" i="20"/>
  <c r="BV244" i="20"/>
  <c r="CH244" i="20" s="1"/>
  <c r="BU244" i="20"/>
  <c r="F244" i="20"/>
  <c r="CA243" i="20"/>
  <c r="BZ243" i="20"/>
  <c r="BY243" i="20"/>
  <c r="BV243" i="20"/>
  <c r="CH243" i="20" s="1"/>
  <c r="BU243" i="20"/>
  <c r="F243" i="20"/>
  <c r="CA242" i="20"/>
  <c r="BZ242" i="20"/>
  <c r="BY242" i="20"/>
  <c r="BV242" i="20"/>
  <c r="CH242" i="20" s="1"/>
  <c r="BU242" i="20"/>
  <c r="F242" i="20"/>
  <c r="CA241" i="20"/>
  <c r="BZ241" i="20"/>
  <c r="BY241" i="20"/>
  <c r="BV241" i="20"/>
  <c r="CH241" i="20" s="1"/>
  <c r="BU241" i="20"/>
  <c r="F241" i="20"/>
  <c r="CA240" i="20"/>
  <c r="BZ240" i="20"/>
  <c r="BY240" i="20"/>
  <c r="BV240" i="20"/>
  <c r="CH240" i="20" s="1"/>
  <c r="BU240" i="20"/>
  <c r="F240" i="20"/>
  <c r="CA239" i="20"/>
  <c r="BZ239" i="20"/>
  <c r="BY239" i="20"/>
  <c r="BV239" i="20"/>
  <c r="CH239" i="20" s="1"/>
  <c r="BU239" i="20"/>
  <c r="F239" i="20"/>
  <c r="CA238" i="20"/>
  <c r="BZ238" i="20"/>
  <c r="BY238" i="20"/>
  <c r="BV238" i="20"/>
  <c r="CH238" i="20" s="1"/>
  <c r="BU238" i="20"/>
  <c r="F238" i="20"/>
  <c r="BV237" i="20"/>
  <c r="BY237" i="20" s="1"/>
  <c r="BU237" i="20"/>
  <c r="F237" i="20"/>
  <c r="BV236" i="20"/>
  <c r="CH236" i="20" s="1"/>
  <c r="BU236" i="20"/>
  <c r="F236" i="20"/>
  <c r="B236" i="20"/>
  <c r="B237" i="20" s="1"/>
  <c r="B238" i="20" s="1"/>
  <c r="B239" i="20" s="1"/>
  <c r="B240" i="20" s="1"/>
  <c r="B241" i="20" s="1"/>
  <c r="B242" i="20" s="1"/>
  <c r="B243" i="20" s="1"/>
  <c r="B244" i="20" s="1"/>
  <c r="CA235" i="20"/>
  <c r="BZ235" i="20"/>
  <c r="BY235" i="20"/>
  <c r="BU235" i="20"/>
  <c r="BV235" i="20" s="1"/>
  <c r="CH235" i="20" s="1"/>
  <c r="F235" i="20"/>
  <c r="BY307" i="20"/>
  <c r="BZ307" i="20"/>
  <c r="CA307" i="20"/>
  <c r="BY309" i="20"/>
  <c r="BZ309" i="20"/>
  <c r="CA309" i="20"/>
  <c r="BY310" i="20"/>
  <c r="BZ310" i="20"/>
  <c r="CA310" i="20"/>
  <c r="BY311" i="20"/>
  <c r="BZ311" i="20"/>
  <c r="CA311" i="20"/>
  <c r="BY312" i="20"/>
  <c r="BZ312" i="20"/>
  <c r="CA312" i="20"/>
  <c r="BY313" i="20"/>
  <c r="BZ313" i="20"/>
  <c r="CA313" i="20"/>
  <c r="BY314" i="20"/>
  <c r="BZ314" i="20"/>
  <c r="CA314" i="20"/>
  <c r="BY315" i="20"/>
  <c r="BZ315" i="20"/>
  <c r="CA315" i="20"/>
  <c r="BY316" i="20"/>
  <c r="BZ316" i="20"/>
  <c r="CA316" i="20"/>
  <c r="BU308" i="20"/>
  <c r="BZ308" i="20" s="1"/>
  <c r="BU309" i="20"/>
  <c r="BU310" i="20"/>
  <c r="BU311" i="20"/>
  <c r="BU312" i="20"/>
  <c r="BU313" i="20"/>
  <c r="BU314" i="20"/>
  <c r="BU315" i="20"/>
  <c r="BU316" i="20"/>
  <c r="BU307" i="20"/>
  <c r="CF317" i="20"/>
  <c r="CE317" i="20"/>
  <c r="H317" i="20"/>
  <c r="G317" i="20"/>
  <c r="F317" i="20"/>
  <c r="F316" i="20"/>
  <c r="F315" i="20"/>
  <c r="F314" i="20"/>
  <c r="F313" i="20"/>
  <c r="F312" i="20"/>
  <c r="F311" i="20"/>
  <c r="F310" i="20"/>
  <c r="F309" i="20"/>
  <c r="F308" i="20"/>
  <c r="B308" i="20"/>
  <c r="B309" i="20" s="1"/>
  <c r="B310" i="20" s="1"/>
  <c r="B311" i="20" s="1"/>
  <c r="B312" i="20" s="1"/>
  <c r="B313" i="20" s="1"/>
  <c r="B314" i="20" s="1"/>
  <c r="B315" i="20" s="1"/>
  <c r="B316" i="20" s="1"/>
  <c r="F307" i="20"/>
  <c r="CH297" i="20" a="1"/>
  <c r="CH297" i="20" s="1"/>
  <c r="CH298" i="20" a="1"/>
  <c r="CH298" i="20" s="1"/>
  <c r="CH289" i="20" a="1"/>
  <c r="CH289" i="20" s="1"/>
  <c r="E79" i="11"/>
  <c r="BU291" i="20"/>
  <c r="BY291" i="20" s="1" a="1"/>
  <c r="BY291" i="20" s="1"/>
  <c r="BU292" i="20"/>
  <c r="BY292" i="20" s="1" a="1"/>
  <c r="BY292" i="20" s="1"/>
  <c r="BU293" i="20"/>
  <c r="CA293" i="20" s="1" a="1"/>
  <c r="CA293" i="20" s="1"/>
  <c r="BU294" i="20"/>
  <c r="BY294" i="20" s="1" a="1"/>
  <c r="BY294" i="20" s="1"/>
  <c r="BU295" i="20"/>
  <c r="BZ295" i="20" s="1" a="1"/>
  <c r="BZ295" i="20" s="1"/>
  <c r="BU296" i="20"/>
  <c r="BY296" i="20" s="1" a="1"/>
  <c r="BY296" i="20" s="1"/>
  <c r="BU297" i="20"/>
  <c r="BZ297" i="20" s="1" a="1"/>
  <c r="BZ297" i="20" s="1"/>
  <c r="BU298" i="20"/>
  <c r="BZ298" i="20" s="1" a="1"/>
  <c r="BZ298" i="20" s="1"/>
  <c r="BU289" i="20"/>
  <c r="CA289" i="20" s="1" a="1"/>
  <c r="CA289" i="20" s="1"/>
  <c r="BU290" i="20"/>
  <c r="CA290" i="20" s="1" a="1"/>
  <c r="CA290" i="20" s="1"/>
  <c r="I89" i="3"/>
  <c r="I86" i="3"/>
  <c r="CF299" i="20"/>
  <c r="CE299" i="20"/>
  <c r="H299" i="20"/>
  <c r="G299" i="20"/>
  <c r="F299" i="20"/>
  <c r="F298" i="20"/>
  <c r="F297" i="20"/>
  <c r="F296" i="20"/>
  <c r="F295" i="20"/>
  <c r="F294" i="20"/>
  <c r="F293" i="20"/>
  <c r="F292" i="20"/>
  <c r="F291" i="20"/>
  <c r="F290" i="20"/>
  <c r="B290" i="20"/>
  <c r="B291" i="20" s="1"/>
  <c r="B292" i="20" s="1"/>
  <c r="B293" i="20" s="1"/>
  <c r="B294" i="20" s="1"/>
  <c r="B295" i="20" s="1"/>
  <c r="B296" i="20" s="1"/>
  <c r="B297" i="20" s="1"/>
  <c r="B298" i="20" s="1"/>
  <c r="F289" i="20"/>
  <c r="BZ217" i="20" l="1"/>
  <c r="CA217" i="20"/>
  <c r="BY217" i="20"/>
  <c r="CB217" i="20" s="1"/>
  <c r="CC217" i="20" s="1"/>
  <c r="BY218" i="20"/>
  <c r="CH218" i="20"/>
  <c r="BZ218" i="20"/>
  <c r="CA221" i="20"/>
  <c r="BZ221" i="20"/>
  <c r="BY221" i="20"/>
  <c r="J77" i="3"/>
  <c r="BZ219" i="20"/>
  <c r="K77" i="3" s="1"/>
  <c r="BZ220" i="20"/>
  <c r="CB220" i="20" s="1"/>
  <c r="CC220" i="20" s="1"/>
  <c r="CH220" i="20"/>
  <c r="CH219" i="20"/>
  <c r="CA220" i="20"/>
  <c r="CA219" i="20"/>
  <c r="CB225" i="20"/>
  <c r="CC225" i="20" s="1"/>
  <c r="CB224" i="20"/>
  <c r="CC224" i="20" s="1"/>
  <c r="CB242" i="20"/>
  <c r="CC242" i="20" s="1"/>
  <c r="BY261" i="20" a="1"/>
  <c r="BY261" i="20" s="1"/>
  <c r="CB226" i="20"/>
  <c r="CC226" i="20" s="1"/>
  <c r="BY308" i="20"/>
  <c r="CA308" i="20"/>
  <c r="CB241" i="20"/>
  <c r="CC241" i="20" s="1"/>
  <c r="CA262" i="20" a="1"/>
  <c r="CA262" i="20" s="1"/>
  <c r="CB223" i="20"/>
  <c r="CC223" i="20" s="1"/>
  <c r="L77" i="3"/>
  <c r="CB222" i="20"/>
  <c r="CC222" i="20" s="1"/>
  <c r="CB239" i="20"/>
  <c r="CC239" i="20" s="1"/>
  <c r="CB244" i="20"/>
  <c r="CC244" i="20" s="1"/>
  <c r="BZ254" i="20" a="1"/>
  <c r="BZ254" i="20" s="1"/>
  <c r="CB254" i="20" s="1"/>
  <c r="CB238" i="20"/>
  <c r="CC238" i="20" s="1"/>
  <c r="CA254" i="20" a="1"/>
  <c r="CA254" i="20" s="1"/>
  <c r="BZ261" i="20" a="1"/>
  <c r="BZ261" i="20" s="1"/>
  <c r="BZ262" i="20" a="1"/>
  <c r="BZ262" i="20" s="1"/>
  <c r="CB262" i="20" s="1"/>
  <c r="BZ237" i="20"/>
  <c r="CA255" i="20" a="1"/>
  <c r="CA255" i="20" s="1"/>
  <c r="CA237" i="20"/>
  <c r="CB243" i="20"/>
  <c r="CC243" i="20" s="1"/>
  <c r="BY253" i="20" a="1"/>
  <c r="BY253" i="20" s="1"/>
  <c r="CH237" i="20"/>
  <c r="BZ253" i="20" a="1"/>
  <c r="BZ253" i="20" s="1"/>
  <c r="CB253" i="20" s="1"/>
  <c r="CB240" i="20"/>
  <c r="CC240" i="20" s="1"/>
  <c r="BY259" i="20" a="1"/>
  <c r="BY259" i="20" s="1"/>
  <c r="BY260" i="20" a="1"/>
  <c r="BY260" i="20" s="1"/>
  <c r="BY258" i="20" a="1"/>
  <c r="BY258" i="20" s="1"/>
  <c r="BZ260" i="20" a="1"/>
  <c r="BZ260" i="20" s="1"/>
  <c r="CA258" i="20" a="1"/>
  <c r="CA258" i="20" s="1"/>
  <c r="CH245" i="20"/>
  <c r="BY290" i="20" a="1"/>
  <c r="BY290" i="20" s="1"/>
  <c r="CB235" i="20"/>
  <c r="BZ236" i="20"/>
  <c r="BY257" i="20" a="1"/>
  <c r="BY257" i="20" s="1"/>
  <c r="BZ259" i="20" a="1"/>
  <c r="BZ259" i="20" s="1"/>
  <c r="BY236" i="20"/>
  <c r="CA236" i="20"/>
  <c r="BY256" i="20" a="1"/>
  <c r="BY256" i="20" s="1"/>
  <c r="BY255" i="20" a="1"/>
  <c r="BY255" i="20" s="1"/>
  <c r="BZ257" i="20" a="1"/>
  <c r="BZ257" i="20" s="1"/>
  <c r="BZ256" i="20" a="1"/>
  <c r="BZ256" i="20" s="1"/>
  <c r="CB314" i="20"/>
  <c r="BV314" i="20" s="1"/>
  <c r="CH314" i="20" s="1"/>
  <c r="BZ290" i="20" a="1"/>
  <c r="BZ290" i="20" s="1"/>
  <c r="CA298" i="20" a="1"/>
  <c r="CA298" i="20" s="1"/>
  <c r="BY298" i="20" a="1"/>
  <c r="BY298" i="20" s="1"/>
  <c r="BY297" i="20" a="1"/>
  <c r="BY297" i="20" s="1"/>
  <c r="CB312" i="20"/>
  <c r="CB316" i="20"/>
  <c r="BV316" i="20" s="1"/>
  <c r="CH316" i="20" s="1"/>
  <c r="BY289" i="20" a="1"/>
  <c r="BY289" i="20" s="1"/>
  <c r="CA297" i="20" a="1"/>
  <c r="CA297" i="20" s="1"/>
  <c r="BZ289" i="20" a="1"/>
  <c r="BZ289" i="20" s="1"/>
  <c r="CA296" i="20" a="1"/>
  <c r="CA296" i="20" s="1"/>
  <c r="BY295" i="20" a="1"/>
  <c r="BY295" i="20" s="1"/>
  <c r="CA294" i="20" a="1"/>
  <c r="CA294" i="20" s="1"/>
  <c r="BZ294" i="20" a="1"/>
  <c r="BZ294" i="20" s="1"/>
  <c r="BZ296" i="20" a="1"/>
  <c r="BZ296" i="20" s="1"/>
  <c r="CA295" i="20" a="1"/>
  <c r="CA295" i="20" s="1"/>
  <c r="CA291" i="20" a="1"/>
  <c r="CA291" i="20" s="1"/>
  <c r="BZ293" i="20" a="1"/>
  <c r="BZ293" i="20" s="1"/>
  <c r="BY293" i="20" a="1"/>
  <c r="BY293" i="20" s="1"/>
  <c r="BZ291" i="20" a="1"/>
  <c r="BZ291" i="20" s="1"/>
  <c r="CA292" i="20" a="1"/>
  <c r="CA292" i="20" s="1"/>
  <c r="BZ292" i="20" a="1"/>
  <c r="BZ292" i="20" s="1"/>
  <c r="CB221" i="20" l="1"/>
  <c r="CC221" i="20" s="1"/>
  <c r="BY227" i="20"/>
  <c r="CH227" i="20"/>
  <c r="CB218" i="20"/>
  <c r="CB261" i="20"/>
  <c r="CA245" i="20"/>
  <c r="CB298" i="20"/>
  <c r="BV298" i="20" s="1" a="1"/>
  <c r="BV298" i="20" s="1"/>
  <c r="CA227" i="20"/>
  <c r="BZ227" i="20"/>
  <c r="CB219" i="20"/>
  <c r="CC219" i="20" s="1"/>
  <c r="CC261" i="20"/>
  <c r="BV261" i="20" a="1"/>
  <c r="BV261" i="20" s="1"/>
  <c r="CB259" i="20"/>
  <c r="CC259" i="20" s="1"/>
  <c r="BZ245" i="20"/>
  <c r="CB258" i="20"/>
  <c r="BV258" i="20" s="1" a="1"/>
  <c r="BV258" i="20" s="1"/>
  <c r="CH258" i="20" s="1" a="1"/>
  <c r="CH258" i="20" s="1"/>
  <c r="CB237" i="20"/>
  <c r="CC237" i="20" s="1"/>
  <c r="CB297" i="20"/>
  <c r="BV297" i="20" s="1" a="1"/>
  <c r="BV297" i="20" s="1"/>
  <c r="CB256" i="20"/>
  <c r="BV256" i="20" s="1" a="1"/>
  <c r="BV256" i="20" s="1"/>
  <c r="CH256" i="20" s="1" a="1"/>
  <c r="CH256" i="20" s="1"/>
  <c r="CB257" i="20"/>
  <c r="CC257" i="20" s="1"/>
  <c r="CA263" i="20"/>
  <c r="CB255" i="20"/>
  <c r="CB260" i="20"/>
  <c r="BV260" i="20" s="1" a="1"/>
  <c r="BV260" i="20" s="1"/>
  <c r="CH260" i="20" s="1" a="1"/>
  <c r="CH260" i="20" s="1"/>
  <c r="BZ263" i="20"/>
  <c r="CC235" i="20"/>
  <c r="CB236" i="20"/>
  <c r="CC236" i="20" s="1"/>
  <c r="BY263" i="20"/>
  <c r="BY245" i="20"/>
  <c r="CC262" i="20"/>
  <c r="BV262" i="20" a="1"/>
  <c r="BV262" i="20" s="1"/>
  <c r="CC260" i="20"/>
  <c r="CC254" i="20"/>
  <c r="BV254" i="20" a="1"/>
  <c r="BV254" i="20" s="1"/>
  <c r="CH254" i="20" s="1" a="1"/>
  <c r="CH254" i="20" s="1"/>
  <c r="CB296" i="20"/>
  <c r="BV296" i="20" s="1" a="1"/>
  <c r="BV296" i="20" s="1"/>
  <c r="CH296" i="20" s="1" a="1"/>
  <c r="CH296" i="20" s="1"/>
  <c r="CB292" i="20"/>
  <c r="BV292" i="20" s="1" a="1"/>
  <c r="BV292" i="20" s="1"/>
  <c r="CH292" i="20" s="1" a="1"/>
  <c r="CH292" i="20" s="1"/>
  <c r="CB294" i="20"/>
  <c r="CC294" i="20" s="1"/>
  <c r="CC253" i="20"/>
  <c r="BV253" i="20" a="1"/>
  <c r="BV253" i="20" s="1"/>
  <c r="CC312" i="20"/>
  <c r="BV312" i="20"/>
  <c r="CH312" i="20" s="1"/>
  <c r="CB310" i="20"/>
  <c r="BV310" i="20" s="1"/>
  <c r="CH310" i="20" s="1"/>
  <c r="CB308" i="20"/>
  <c r="CB289" i="20"/>
  <c r="BV289" i="20" s="1" a="1"/>
  <c r="BV289" i="20" s="1"/>
  <c r="CB295" i="20"/>
  <c r="BV295" i="20" s="1" a="1"/>
  <c r="BV295" i="20" s="1"/>
  <c r="CH295" i="20" s="1" a="1"/>
  <c r="CH295" i="20" s="1"/>
  <c r="CB313" i="20"/>
  <c r="CC313" i="20" s="1"/>
  <c r="CB311" i="20"/>
  <c r="BZ317" i="20"/>
  <c r="CB315" i="20"/>
  <c r="BV315" i="20" s="1"/>
  <c r="CH315" i="20" s="1"/>
  <c r="CB307" i="20"/>
  <c r="BV307" i="20" s="1"/>
  <c r="CH307" i="20" s="1"/>
  <c r="BY317" i="20"/>
  <c r="CA317" i="20"/>
  <c r="CC316" i="20"/>
  <c r="CB291" i="20"/>
  <c r="BV291" i="20" s="1" a="1"/>
  <c r="BV291" i="20" s="1"/>
  <c r="CH291" i="20" s="1" a="1"/>
  <c r="CH291" i="20" s="1"/>
  <c r="CC314" i="20"/>
  <c r="CB293" i="20"/>
  <c r="BV293" i="20" s="1" a="1"/>
  <c r="BV293" i="20" s="1"/>
  <c r="CH293" i="20" s="1" a="1"/>
  <c r="CH293" i="20" s="1"/>
  <c r="CB309" i="20"/>
  <c r="BV309" i="20" s="1"/>
  <c r="CH309" i="20" s="1"/>
  <c r="CA299" i="20"/>
  <c r="BZ299" i="20"/>
  <c r="CB290" i="20"/>
  <c r="BV290" i="20" s="1" a="1"/>
  <c r="BV290" i="20" s="1"/>
  <c r="CH290" i="20" s="1" a="1"/>
  <c r="CH290" i="20" s="1"/>
  <c r="BY299" i="20"/>
  <c r="CC218" i="20" l="1"/>
  <c r="CC227" i="20" s="1"/>
  <c r="M77" i="3"/>
  <c r="CC258" i="20"/>
  <c r="CC298" i="20"/>
  <c r="CB227" i="20"/>
  <c r="BV257" i="20" a="1"/>
  <c r="BV257" i="20" s="1"/>
  <c r="CH257" i="20" s="1" a="1"/>
  <c r="CH257" i="20" s="1"/>
  <c r="CC256" i="20"/>
  <c r="BV294" i="20" a="1"/>
  <c r="BV294" i="20" s="1"/>
  <c r="CH294" i="20" s="1" a="1"/>
  <c r="CH294" i="20" s="1"/>
  <c r="CH299" i="20" s="1"/>
  <c r="CC297" i="20"/>
  <c r="CB263" i="20"/>
  <c r="BV259" i="20" a="1"/>
  <c r="BV259" i="20" s="1"/>
  <c r="CH259" i="20" s="1" a="1"/>
  <c r="CH259" i="20" s="1"/>
  <c r="BV255" i="20" a="1"/>
  <c r="BV255" i="20" s="1"/>
  <c r="CH255" i="20" s="1" a="1"/>
  <c r="CH255" i="20" s="1"/>
  <c r="CC255" i="20"/>
  <c r="CC296" i="20"/>
  <c r="CC245" i="20"/>
  <c r="CB245" i="20"/>
  <c r="CC291" i="20"/>
  <c r="CC292" i="20"/>
  <c r="CC310" i="20"/>
  <c r="BV311" i="20"/>
  <c r="CH311" i="20" s="1"/>
  <c r="BV313" i="20"/>
  <c r="CH313" i="20" s="1"/>
  <c r="CC308" i="20"/>
  <c r="BV308" i="20"/>
  <c r="CH308" i="20" s="1"/>
  <c r="CC293" i="20"/>
  <c r="CC289" i="20"/>
  <c r="CC295" i="20"/>
  <c r="CC311" i="20"/>
  <c r="CC309" i="20"/>
  <c r="CC307" i="20"/>
  <c r="CB317" i="20"/>
  <c r="CC315" i="20"/>
  <c r="CC290" i="20"/>
  <c r="CB299" i="20"/>
  <c r="CC263" i="20" l="1"/>
  <c r="CH263" i="20"/>
  <c r="CC299" i="20"/>
  <c r="CH317" i="20"/>
  <c r="CC317" i="20"/>
  <c r="B6" i="21" l="1"/>
  <c r="C6" i="21"/>
  <c r="D6" i="21"/>
  <c r="E6" i="21"/>
  <c r="F6" i="21"/>
  <c r="G6" i="21"/>
  <c r="I6" i="21"/>
  <c r="J6" i="21"/>
  <c r="L6" i="21"/>
  <c r="B7" i="21"/>
  <c r="C7" i="21"/>
  <c r="D7" i="21"/>
  <c r="E7" i="21"/>
  <c r="F7" i="21"/>
  <c r="G7" i="21"/>
  <c r="I7" i="21"/>
  <c r="J7" i="21"/>
  <c r="L7" i="21"/>
  <c r="B8" i="21"/>
  <c r="C8" i="21"/>
  <c r="D8" i="21"/>
  <c r="E8" i="21"/>
  <c r="F8" i="21"/>
  <c r="G8" i="21"/>
  <c r="I8" i="21"/>
  <c r="J8" i="21"/>
  <c r="L8" i="21"/>
  <c r="B9" i="21"/>
  <c r="C9" i="21"/>
  <c r="D9" i="21"/>
  <c r="E9" i="21"/>
  <c r="F9" i="21"/>
  <c r="G9" i="21"/>
  <c r="I9" i="21"/>
  <c r="J9" i="21"/>
  <c r="L9" i="21"/>
  <c r="B10" i="21"/>
  <c r="C10" i="21"/>
  <c r="D10" i="21"/>
  <c r="E10" i="21"/>
  <c r="F10" i="21"/>
  <c r="G10" i="21"/>
  <c r="I10" i="21"/>
  <c r="J10" i="21"/>
  <c r="L10" i="21"/>
  <c r="B11" i="21"/>
  <c r="B31" i="21"/>
  <c r="B32" i="21"/>
  <c r="C32" i="21"/>
  <c r="D32" i="21"/>
  <c r="E32" i="21"/>
  <c r="F32" i="21"/>
  <c r="G32" i="21"/>
  <c r="I32" i="21"/>
  <c r="J32" i="21"/>
  <c r="L32" i="21"/>
  <c r="B33" i="21"/>
  <c r="C33" i="21"/>
  <c r="D33" i="21"/>
  <c r="E33" i="21"/>
  <c r="F33" i="21"/>
  <c r="G33" i="21"/>
  <c r="I33" i="21"/>
  <c r="J33" i="21"/>
  <c r="L33" i="21"/>
  <c r="B34" i="21"/>
  <c r="C34" i="21"/>
  <c r="D34" i="21"/>
  <c r="E34" i="21"/>
  <c r="F34" i="21"/>
  <c r="G34" i="21"/>
  <c r="I34" i="21"/>
  <c r="J34" i="21"/>
  <c r="L34" i="21"/>
  <c r="B35" i="21"/>
  <c r="C35" i="21"/>
  <c r="D35" i="21"/>
  <c r="E35" i="21"/>
  <c r="F35" i="21"/>
  <c r="G35" i="21"/>
  <c r="I35" i="21"/>
  <c r="J35" i="21"/>
  <c r="L35" i="21"/>
  <c r="B36" i="21"/>
  <c r="C36" i="21"/>
  <c r="D36" i="21"/>
  <c r="E36" i="21"/>
  <c r="F36" i="21"/>
  <c r="G36" i="21"/>
  <c r="I36" i="21"/>
  <c r="J36" i="21"/>
  <c r="L36" i="21"/>
  <c r="B37" i="21"/>
  <c r="C37" i="21"/>
  <c r="D37" i="21"/>
  <c r="E37" i="21"/>
  <c r="F37" i="21"/>
  <c r="G37" i="21"/>
  <c r="I37" i="21"/>
  <c r="J37" i="21"/>
  <c r="L37" i="21"/>
  <c r="B38" i="21"/>
  <c r="C38" i="21"/>
  <c r="D38" i="21"/>
  <c r="E38" i="21"/>
  <c r="F38" i="21"/>
  <c r="G38" i="21"/>
  <c r="I38" i="21"/>
  <c r="J38" i="21"/>
  <c r="L38" i="21"/>
  <c r="B39" i="21"/>
  <c r="I39" i="21"/>
  <c r="J39" i="21"/>
  <c r="I40" i="21"/>
  <c r="J40" i="21"/>
  <c r="I41" i="21"/>
  <c r="J41" i="21"/>
  <c r="I42" i="21"/>
  <c r="J42" i="21"/>
  <c r="I43" i="21"/>
  <c r="J43" i="21"/>
  <c r="I44" i="21"/>
  <c r="J44" i="21"/>
  <c r="I45" i="21"/>
  <c r="J45" i="21"/>
  <c r="I46" i="21"/>
  <c r="J46" i="21"/>
  <c r="I47" i="21"/>
  <c r="J47" i="21"/>
  <c r="I48" i="21"/>
  <c r="J48" i="21"/>
  <c r="I49" i="21"/>
  <c r="J49" i="21"/>
  <c r="I50" i="21"/>
  <c r="J50" i="21"/>
  <c r="I51" i="21"/>
  <c r="J51" i="21"/>
  <c r="I52" i="21"/>
  <c r="J52" i="21"/>
  <c r="I53" i="21"/>
  <c r="J53" i="21"/>
  <c r="I54" i="21"/>
  <c r="J54" i="21"/>
  <c r="I55" i="21"/>
  <c r="J55" i="21"/>
  <c r="B56" i="21"/>
  <c r="B57" i="21"/>
  <c r="C57" i="21"/>
  <c r="D57" i="21"/>
  <c r="E57" i="21"/>
  <c r="F57" i="21"/>
  <c r="G57" i="21"/>
  <c r="I57" i="21"/>
  <c r="J57" i="21"/>
  <c r="L57" i="21"/>
  <c r="B58" i="21"/>
  <c r="C58" i="21"/>
  <c r="D58" i="21"/>
  <c r="E58" i="21"/>
  <c r="F58" i="21"/>
  <c r="G58" i="21"/>
  <c r="I58" i="21"/>
  <c r="J58" i="21"/>
  <c r="L58" i="21"/>
  <c r="B59" i="21"/>
  <c r="C59" i="21"/>
  <c r="D59" i="21"/>
  <c r="E59" i="21"/>
  <c r="F59" i="21"/>
  <c r="G59" i="21"/>
  <c r="I59" i="21"/>
  <c r="J59" i="21"/>
  <c r="L59" i="21"/>
  <c r="B60" i="21"/>
  <c r="C60" i="21"/>
  <c r="D60" i="21"/>
  <c r="E60" i="21"/>
  <c r="F60" i="21"/>
  <c r="G60" i="21"/>
  <c r="I60" i="21"/>
  <c r="J60" i="21"/>
  <c r="L60" i="21"/>
  <c r="B61" i="21"/>
  <c r="C61" i="21"/>
  <c r="D61" i="21"/>
  <c r="E61" i="21"/>
  <c r="F61" i="21"/>
  <c r="G61" i="21"/>
  <c r="I61" i="21"/>
  <c r="J61" i="21"/>
  <c r="L61" i="21"/>
  <c r="B62" i="21"/>
  <c r="C62" i="21"/>
  <c r="D62" i="21"/>
  <c r="E62" i="21"/>
  <c r="F62" i="21"/>
  <c r="G62" i="21"/>
  <c r="I62" i="21"/>
  <c r="J62" i="21"/>
  <c r="L62" i="21"/>
  <c r="B63" i="21"/>
  <c r="C63" i="21"/>
  <c r="D63" i="21"/>
  <c r="E63" i="21"/>
  <c r="F63" i="21"/>
  <c r="G63" i="21"/>
  <c r="I63" i="21"/>
  <c r="J63" i="21"/>
  <c r="L63" i="21"/>
  <c r="B64" i="21"/>
  <c r="I64" i="21"/>
  <c r="J64" i="21"/>
  <c r="I65" i="21"/>
  <c r="J65" i="21"/>
  <c r="I66" i="21"/>
  <c r="J66" i="21"/>
  <c r="I67" i="21"/>
  <c r="J67" i="21"/>
  <c r="I68" i="21"/>
  <c r="J68" i="21"/>
  <c r="I69" i="21"/>
  <c r="J69" i="21"/>
  <c r="I70" i="21"/>
  <c r="J70" i="21"/>
  <c r="I71" i="21"/>
  <c r="J71" i="21"/>
  <c r="I72" i="21"/>
  <c r="J72" i="21"/>
  <c r="I73" i="21"/>
  <c r="J73" i="21"/>
  <c r="B74" i="21"/>
  <c r="B75" i="21"/>
  <c r="C75" i="21"/>
  <c r="D75" i="21"/>
  <c r="E75" i="21"/>
  <c r="F75" i="21"/>
  <c r="G75" i="21"/>
  <c r="I75" i="21"/>
  <c r="J75" i="21"/>
  <c r="L75" i="21"/>
  <c r="B76" i="21"/>
  <c r="C76" i="21"/>
  <c r="D76" i="21"/>
  <c r="E76" i="21"/>
  <c r="F76" i="21"/>
  <c r="G76" i="21"/>
  <c r="I76" i="21"/>
  <c r="J76" i="21"/>
  <c r="L76" i="21"/>
  <c r="B77" i="21"/>
  <c r="C77" i="21"/>
  <c r="D77" i="21"/>
  <c r="E77" i="21"/>
  <c r="F77" i="21"/>
  <c r="G77" i="21"/>
  <c r="I77" i="21"/>
  <c r="J77" i="21"/>
  <c r="L77" i="21"/>
  <c r="B78" i="21"/>
  <c r="C78" i="21"/>
  <c r="D78" i="21"/>
  <c r="E78" i="21"/>
  <c r="F78" i="21"/>
  <c r="G78" i="21"/>
  <c r="I78" i="21"/>
  <c r="J78" i="21"/>
  <c r="L78" i="21"/>
  <c r="B79" i="21"/>
  <c r="C79" i="21"/>
  <c r="D79" i="21"/>
  <c r="E79" i="21"/>
  <c r="F79" i="21"/>
  <c r="G79" i="21"/>
  <c r="I79" i="21"/>
  <c r="J79" i="21"/>
  <c r="L79" i="21"/>
  <c r="B80" i="21"/>
  <c r="C80" i="21"/>
  <c r="D80" i="21"/>
  <c r="E80" i="21"/>
  <c r="F80" i="21"/>
  <c r="G80" i="21"/>
  <c r="I80" i="21"/>
  <c r="J80" i="21"/>
  <c r="L80" i="21"/>
  <c r="B81" i="21"/>
  <c r="C81" i="21"/>
  <c r="D81" i="21"/>
  <c r="E81" i="21"/>
  <c r="F81" i="21"/>
  <c r="G81" i="21"/>
  <c r="I81" i="21"/>
  <c r="J81" i="21"/>
  <c r="L81" i="21"/>
  <c r="B82" i="21"/>
  <c r="I82" i="21"/>
  <c r="J82" i="21"/>
  <c r="I83" i="21"/>
  <c r="J83" i="21"/>
  <c r="I84" i="21"/>
  <c r="J84" i="21"/>
  <c r="I85" i="21"/>
  <c r="J85" i="21"/>
  <c r="I86" i="21"/>
  <c r="J86" i="21"/>
  <c r="I87" i="21"/>
  <c r="J87" i="21"/>
  <c r="I88" i="21"/>
  <c r="J88" i="21"/>
  <c r="I89" i="21"/>
  <c r="J89" i="21"/>
  <c r="I90" i="21"/>
  <c r="J90" i="21"/>
  <c r="I91" i="21"/>
  <c r="J91" i="21"/>
  <c r="B92" i="21"/>
  <c r="B93" i="21"/>
  <c r="C93" i="21"/>
  <c r="D93" i="21"/>
  <c r="E93" i="21"/>
  <c r="F93" i="21"/>
  <c r="G93" i="21"/>
  <c r="I93" i="21"/>
  <c r="J93" i="21"/>
  <c r="L93" i="21"/>
  <c r="B94" i="21"/>
  <c r="C94" i="21"/>
  <c r="D94" i="21"/>
  <c r="E94" i="21"/>
  <c r="F94" i="21"/>
  <c r="G94" i="21"/>
  <c r="I94" i="21"/>
  <c r="J94" i="21"/>
  <c r="L94" i="21"/>
  <c r="B95" i="21"/>
  <c r="C95" i="21"/>
  <c r="D95" i="21"/>
  <c r="E95" i="21"/>
  <c r="F95" i="21"/>
  <c r="G95" i="21"/>
  <c r="I95" i="21"/>
  <c r="J95" i="21"/>
  <c r="L95" i="21"/>
  <c r="B96" i="21"/>
  <c r="C96" i="21"/>
  <c r="D96" i="21"/>
  <c r="E96" i="21"/>
  <c r="F96" i="21"/>
  <c r="G96" i="21"/>
  <c r="I96" i="21"/>
  <c r="J96" i="21"/>
  <c r="L96" i="21"/>
  <c r="B97" i="21"/>
  <c r="C97" i="21"/>
  <c r="D97" i="21"/>
  <c r="E97" i="21"/>
  <c r="F97" i="21"/>
  <c r="G97" i="21"/>
  <c r="I97" i="21"/>
  <c r="J97" i="21"/>
  <c r="L97" i="21"/>
  <c r="B98" i="21"/>
  <c r="C98" i="21"/>
  <c r="D98" i="21"/>
  <c r="E98" i="21"/>
  <c r="F98" i="21"/>
  <c r="G98" i="21"/>
  <c r="I98" i="21"/>
  <c r="J98" i="21"/>
  <c r="L98" i="21"/>
  <c r="B99" i="21"/>
  <c r="C99" i="21"/>
  <c r="D99" i="21"/>
  <c r="E99" i="21"/>
  <c r="F99" i="21"/>
  <c r="G99" i="21"/>
  <c r="I99" i="21"/>
  <c r="J99" i="21"/>
  <c r="L99" i="21"/>
  <c r="B100" i="21"/>
  <c r="I100" i="21"/>
  <c r="J100" i="21"/>
  <c r="I101" i="21"/>
  <c r="J101" i="21"/>
  <c r="I102" i="21"/>
  <c r="J102" i="21"/>
  <c r="I103" i="21"/>
  <c r="J103" i="21"/>
  <c r="I104" i="21"/>
  <c r="J104" i="21"/>
  <c r="I105" i="21"/>
  <c r="J105" i="21"/>
  <c r="I106" i="21"/>
  <c r="J106" i="21"/>
  <c r="I107" i="21"/>
  <c r="J107" i="21"/>
  <c r="I108" i="21"/>
  <c r="J108" i="21"/>
  <c r="I109" i="21"/>
  <c r="J109" i="21"/>
  <c r="B110" i="21"/>
  <c r="B111" i="21"/>
  <c r="C111" i="21"/>
  <c r="D111" i="21"/>
  <c r="E111" i="21"/>
  <c r="F111" i="21"/>
  <c r="G111" i="21"/>
  <c r="I111" i="21"/>
  <c r="J111" i="21"/>
  <c r="L111" i="21"/>
  <c r="B112" i="21"/>
  <c r="C112" i="21"/>
  <c r="D112" i="21"/>
  <c r="E112" i="21"/>
  <c r="F112" i="21"/>
  <c r="G112" i="21"/>
  <c r="I112" i="21"/>
  <c r="J112" i="21"/>
  <c r="L112" i="21"/>
  <c r="B113" i="21"/>
  <c r="C113" i="21"/>
  <c r="D113" i="21"/>
  <c r="E113" i="21"/>
  <c r="F113" i="21"/>
  <c r="G113" i="21"/>
  <c r="I113" i="21"/>
  <c r="J113" i="21"/>
  <c r="L113" i="21"/>
  <c r="B114" i="21"/>
  <c r="C114" i="21"/>
  <c r="D114" i="21"/>
  <c r="E114" i="21"/>
  <c r="F114" i="21"/>
  <c r="G114" i="21"/>
  <c r="I114" i="21"/>
  <c r="J114" i="21"/>
  <c r="L114" i="21"/>
  <c r="B115" i="21"/>
  <c r="C115" i="21"/>
  <c r="D115" i="21"/>
  <c r="E115" i="21"/>
  <c r="F115" i="21"/>
  <c r="G115" i="21"/>
  <c r="I115" i="21"/>
  <c r="J115" i="21"/>
  <c r="L115" i="21"/>
  <c r="B116" i="21"/>
  <c r="C116" i="21"/>
  <c r="D116" i="21"/>
  <c r="E116" i="21"/>
  <c r="F116" i="21"/>
  <c r="G116" i="21"/>
  <c r="I116" i="21"/>
  <c r="J116" i="21"/>
  <c r="L116" i="21"/>
  <c r="B117" i="21"/>
  <c r="C117" i="21"/>
  <c r="D117" i="21"/>
  <c r="E117" i="21"/>
  <c r="F117" i="21"/>
  <c r="G117" i="21"/>
  <c r="I117" i="21"/>
  <c r="J117" i="21"/>
  <c r="L117" i="21"/>
  <c r="B118" i="21"/>
  <c r="C118" i="21"/>
  <c r="D118" i="21"/>
  <c r="E118" i="21"/>
  <c r="I118" i="21"/>
  <c r="J118" i="21"/>
  <c r="C119" i="21"/>
  <c r="D119" i="21"/>
  <c r="E119" i="21"/>
  <c r="I119" i="21"/>
  <c r="J119" i="21"/>
  <c r="C120" i="21"/>
  <c r="D120" i="21"/>
  <c r="E120" i="21"/>
  <c r="I120" i="21"/>
  <c r="J120" i="21"/>
  <c r="C121" i="21"/>
  <c r="D121" i="21"/>
  <c r="E121" i="21"/>
  <c r="I121" i="21"/>
  <c r="J121" i="21"/>
  <c r="C122" i="21"/>
  <c r="D122" i="21"/>
  <c r="E122" i="21"/>
  <c r="I122" i="21"/>
  <c r="J122" i="21"/>
  <c r="C123" i="21"/>
  <c r="D123" i="21"/>
  <c r="E123" i="21"/>
  <c r="I123" i="21"/>
  <c r="J123" i="21"/>
  <c r="C124" i="21"/>
  <c r="D124" i="21"/>
  <c r="E124" i="21"/>
  <c r="I124" i="21"/>
  <c r="J124" i="21"/>
  <c r="C125" i="21"/>
  <c r="D125" i="21"/>
  <c r="E125" i="21"/>
  <c r="I125" i="21"/>
  <c r="J125" i="21"/>
  <c r="C126" i="21"/>
  <c r="D126" i="21"/>
  <c r="E126" i="21"/>
  <c r="I126" i="21"/>
  <c r="J126" i="21"/>
  <c r="C127" i="21"/>
  <c r="D127" i="21"/>
  <c r="E127" i="21"/>
  <c r="I127" i="21"/>
  <c r="J127" i="21"/>
  <c r="B128" i="21"/>
  <c r="B129" i="21"/>
  <c r="C129" i="21"/>
  <c r="D129" i="21"/>
  <c r="E129" i="21"/>
  <c r="F129" i="21"/>
  <c r="G129" i="21"/>
  <c r="I129" i="21"/>
  <c r="J129" i="21"/>
  <c r="L129" i="21"/>
  <c r="B130" i="21"/>
  <c r="C130" i="21"/>
  <c r="D130" i="21"/>
  <c r="E130" i="21"/>
  <c r="F130" i="21"/>
  <c r="G130" i="21"/>
  <c r="I130" i="21"/>
  <c r="J130" i="21"/>
  <c r="L130" i="21"/>
  <c r="B131" i="21"/>
  <c r="C131" i="21"/>
  <c r="D131" i="21"/>
  <c r="E131" i="21"/>
  <c r="F131" i="21"/>
  <c r="G131" i="21"/>
  <c r="I131" i="21"/>
  <c r="J131" i="21"/>
  <c r="L131" i="21"/>
  <c r="B132" i="21"/>
  <c r="C132" i="21"/>
  <c r="D132" i="21"/>
  <c r="E132" i="21"/>
  <c r="F132" i="21"/>
  <c r="G132" i="21"/>
  <c r="I132" i="21"/>
  <c r="J132" i="21"/>
  <c r="L132" i="21"/>
  <c r="B133" i="21"/>
  <c r="C133" i="21"/>
  <c r="D133" i="21"/>
  <c r="E133" i="21"/>
  <c r="F133" i="21"/>
  <c r="G133" i="21"/>
  <c r="I133" i="21"/>
  <c r="J133" i="21"/>
  <c r="L133" i="21"/>
  <c r="B134" i="21"/>
  <c r="C134" i="21"/>
  <c r="D134" i="21"/>
  <c r="E134" i="21"/>
  <c r="F134" i="21"/>
  <c r="G134" i="21"/>
  <c r="I134" i="21"/>
  <c r="J134" i="21"/>
  <c r="L134" i="21"/>
  <c r="B135" i="21"/>
  <c r="C135" i="21"/>
  <c r="D135" i="21"/>
  <c r="E135" i="21"/>
  <c r="F135" i="21"/>
  <c r="G135" i="21"/>
  <c r="I135" i="21"/>
  <c r="J135" i="21"/>
  <c r="L135" i="21"/>
  <c r="B136" i="21"/>
  <c r="C136" i="21"/>
  <c r="D136" i="21"/>
  <c r="E136" i="21"/>
  <c r="I136" i="21"/>
  <c r="J136" i="21"/>
  <c r="B137" i="21"/>
  <c r="B138" i="21"/>
  <c r="C138" i="21"/>
  <c r="D138" i="21"/>
  <c r="E138" i="21"/>
  <c r="F138" i="21"/>
  <c r="G138" i="21"/>
  <c r="I138" i="21"/>
  <c r="J138" i="21"/>
  <c r="L138" i="21"/>
  <c r="B139" i="21"/>
  <c r="C139" i="21"/>
  <c r="D139" i="21"/>
  <c r="E139" i="21"/>
  <c r="F139" i="21"/>
  <c r="G139" i="21"/>
  <c r="I139" i="21"/>
  <c r="J139" i="21"/>
  <c r="L139" i="21"/>
  <c r="B140" i="21"/>
  <c r="C140" i="21"/>
  <c r="D140" i="21"/>
  <c r="E140" i="21"/>
  <c r="F140" i="21"/>
  <c r="G140" i="21"/>
  <c r="I140" i="21"/>
  <c r="J140" i="21"/>
  <c r="L140" i="21"/>
  <c r="B141" i="21"/>
  <c r="C141" i="21"/>
  <c r="D141" i="21"/>
  <c r="E141" i="21"/>
  <c r="F141" i="21"/>
  <c r="G141" i="21"/>
  <c r="I141" i="21"/>
  <c r="J141" i="21"/>
  <c r="L141" i="21"/>
  <c r="B142" i="21"/>
  <c r="C142" i="21"/>
  <c r="D142" i="21"/>
  <c r="E142" i="21"/>
  <c r="F142" i="21"/>
  <c r="G142" i="21"/>
  <c r="I142" i="21"/>
  <c r="J142" i="21"/>
  <c r="L142" i="21"/>
  <c r="B143" i="21"/>
  <c r="C143" i="21"/>
  <c r="D143" i="21"/>
  <c r="E143" i="21"/>
  <c r="F143" i="21"/>
  <c r="G143" i="21"/>
  <c r="I143" i="21"/>
  <c r="J143" i="21"/>
  <c r="L143" i="21"/>
  <c r="B144" i="21"/>
  <c r="C144" i="21"/>
  <c r="D144" i="21"/>
  <c r="E144" i="21"/>
  <c r="F144" i="21"/>
  <c r="G144" i="21"/>
  <c r="I144" i="21"/>
  <c r="J144" i="21"/>
  <c r="L144" i="21"/>
  <c r="B145" i="21"/>
  <c r="C145" i="21"/>
  <c r="D145" i="21"/>
  <c r="E145" i="21"/>
  <c r="I145" i="21"/>
  <c r="J145" i="21"/>
  <c r="C146" i="21"/>
  <c r="D146" i="21"/>
  <c r="E146" i="21"/>
  <c r="I146" i="21"/>
  <c r="J146" i="21"/>
  <c r="C147" i="21"/>
  <c r="D147" i="21"/>
  <c r="E147" i="21"/>
  <c r="I147" i="21"/>
  <c r="J147" i="21"/>
  <c r="C148" i="21"/>
  <c r="D148" i="21"/>
  <c r="E148" i="21"/>
  <c r="I148" i="21"/>
  <c r="J148" i="21"/>
  <c r="C149" i="21"/>
  <c r="D149" i="21"/>
  <c r="E149" i="21"/>
  <c r="I149" i="21"/>
  <c r="J149" i="21"/>
  <c r="C150" i="21"/>
  <c r="D150" i="21"/>
  <c r="E150" i="21"/>
  <c r="I150" i="21"/>
  <c r="J150" i="21"/>
  <c r="C151" i="21"/>
  <c r="D151" i="21"/>
  <c r="E151" i="21"/>
  <c r="I151" i="21"/>
  <c r="J151" i="21"/>
  <c r="C152" i="21"/>
  <c r="D152" i="21"/>
  <c r="E152" i="21"/>
  <c r="I152" i="21"/>
  <c r="J152" i="21"/>
  <c r="C153" i="21"/>
  <c r="D153" i="21"/>
  <c r="E153" i="21"/>
  <c r="I153" i="21"/>
  <c r="J153" i="21"/>
  <c r="C154" i="21"/>
  <c r="D154" i="21"/>
  <c r="E154" i="21"/>
  <c r="I154" i="21"/>
  <c r="J154" i="21"/>
  <c r="B155" i="21"/>
  <c r="B156" i="21"/>
  <c r="C156" i="21"/>
  <c r="D156" i="21"/>
  <c r="E156" i="21"/>
  <c r="F156" i="21"/>
  <c r="G156" i="21"/>
  <c r="I156" i="21"/>
  <c r="J156" i="21"/>
  <c r="L156" i="21"/>
  <c r="B157" i="21"/>
  <c r="C157" i="21"/>
  <c r="D157" i="21"/>
  <c r="E157" i="21"/>
  <c r="F157" i="21"/>
  <c r="G157" i="21"/>
  <c r="I157" i="21"/>
  <c r="J157" i="21"/>
  <c r="L157" i="21"/>
  <c r="B158" i="21"/>
  <c r="C158" i="21"/>
  <c r="D158" i="21"/>
  <c r="E158" i="21"/>
  <c r="F158" i="21"/>
  <c r="G158" i="21"/>
  <c r="I158" i="21"/>
  <c r="J158" i="21"/>
  <c r="L158" i="21"/>
  <c r="B159" i="21"/>
  <c r="C159" i="21"/>
  <c r="D159" i="21"/>
  <c r="E159" i="21"/>
  <c r="F159" i="21"/>
  <c r="G159" i="21"/>
  <c r="I159" i="21"/>
  <c r="J159" i="21"/>
  <c r="L159" i="21"/>
  <c r="B160" i="21"/>
  <c r="C160" i="21"/>
  <c r="D160" i="21"/>
  <c r="E160" i="21"/>
  <c r="F160" i="21"/>
  <c r="G160" i="21"/>
  <c r="I160" i="21"/>
  <c r="J160" i="21"/>
  <c r="L160" i="21"/>
  <c r="B161" i="21"/>
  <c r="C161" i="21"/>
  <c r="D161" i="21"/>
  <c r="E161" i="21"/>
  <c r="F161" i="21"/>
  <c r="G161" i="21"/>
  <c r="I161" i="21"/>
  <c r="J161" i="21"/>
  <c r="L161" i="21"/>
  <c r="B162" i="21"/>
  <c r="C162" i="21"/>
  <c r="D162" i="21"/>
  <c r="E162" i="21"/>
  <c r="F162" i="21"/>
  <c r="G162" i="21"/>
  <c r="I162" i="21"/>
  <c r="J162" i="21"/>
  <c r="L162" i="21"/>
  <c r="B163" i="21"/>
  <c r="I163" i="21"/>
  <c r="J163" i="21"/>
  <c r="I164" i="21"/>
  <c r="J164" i="21"/>
  <c r="I165" i="21"/>
  <c r="J165" i="21"/>
  <c r="I166" i="21"/>
  <c r="J166" i="21"/>
  <c r="I167" i="21"/>
  <c r="J167" i="21"/>
  <c r="I168" i="21"/>
  <c r="J168" i="21"/>
  <c r="I169" i="21"/>
  <c r="J169" i="21"/>
  <c r="I170" i="21"/>
  <c r="J170" i="21"/>
  <c r="I171" i="21"/>
  <c r="J171" i="21"/>
  <c r="I172" i="21"/>
  <c r="J172" i="21"/>
  <c r="B173" i="21"/>
  <c r="B174" i="21"/>
  <c r="C174" i="21"/>
  <c r="D174" i="21"/>
  <c r="E174" i="21"/>
  <c r="F174" i="21"/>
  <c r="G174" i="21"/>
  <c r="I174" i="21"/>
  <c r="J174" i="21"/>
  <c r="L174" i="21"/>
  <c r="B175" i="21"/>
  <c r="C175" i="21"/>
  <c r="D175" i="21"/>
  <c r="E175" i="21"/>
  <c r="F175" i="21"/>
  <c r="G175" i="21"/>
  <c r="I175" i="21"/>
  <c r="J175" i="21"/>
  <c r="L175" i="21"/>
  <c r="B176" i="21"/>
  <c r="C176" i="21"/>
  <c r="D176" i="21"/>
  <c r="E176" i="21"/>
  <c r="F176" i="21"/>
  <c r="G176" i="21"/>
  <c r="I176" i="21"/>
  <c r="J176" i="21"/>
  <c r="L176" i="21"/>
  <c r="B177" i="21"/>
  <c r="C177" i="21"/>
  <c r="D177" i="21"/>
  <c r="E177" i="21"/>
  <c r="F177" i="21"/>
  <c r="G177" i="21"/>
  <c r="I177" i="21"/>
  <c r="J177" i="21"/>
  <c r="L177" i="21"/>
  <c r="B178" i="21"/>
  <c r="C178" i="21"/>
  <c r="D178" i="21"/>
  <c r="E178" i="21"/>
  <c r="F178" i="21"/>
  <c r="G178" i="21"/>
  <c r="I178" i="21"/>
  <c r="J178" i="21"/>
  <c r="L178" i="21"/>
  <c r="B179" i="21"/>
  <c r="C179" i="21"/>
  <c r="D179" i="21"/>
  <c r="E179" i="21"/>
  <c r="F179" i="21"/>
  <c r="G179" i="21"/>
  <c r="I179" i="21"/>
  <c r="J179" i="21"/>
  <c r="L179" i="21"/>
  <c r="B180" i="21"/>
  <c r="C180" i="21"/>
  <c r="D180" i="21"/>
  <c r="E180" i="21"/>
  <c r="F180" i="21"/>
  <c r="G180" i="21"/>
  <c r="I180" i="21"/>
  <c r="J180" i="21"/>
  <c r="L180" i="21"/>
  <c r="B181" i="21"/>
  <c r="D181" i="21"/>
  <c r="E181" i="21"/>
  <c r="I181" i="21"/>
  <c r="J181" i="21"/>
  <c r="D182" i="21"/>
  <c r="E182" i="21"/>
  <c r="I182" i="21"/>
  <c r="J182" i="21"/>
  <c r="D183" i="21"/>
  <c r="E183" i="21"/>
  <c r="I183" i="21"/>
  <c r="J183" i="21"/>
  <c r="D184" i="21"/>
  <c r="E184" i="21"/>
  <c r="I184" i="21"/>
  <c r="J184" i="21"/>
  <c r="D185" i="21"/>
  <c r="E185" i="21"/>
  <c r="I185" i="21"/>
  <c r="J185" i="21"/>
  <c r="D186" i="21"/>
  <c r="E186" i="21"/>
  <c r="I186" i="21"/>
  <c r="J186" i="21"/>
  <c r="D187" i="21"/>
  <c r="E187" i="21"/>
  <c r="I187" i="21"/>
  <c r="J187" i="21"/>
  <c r="D188" i="21"/>
  <c r="E188" i="21"/>
  <c r="I188" i="21"/>
  <c r="J188" i="21"/>
  <c r="D189" i="21"/>
  <c r="E189" i="21"/>
  <c r="I189" i="21"/>
  <c r="J189" i="21"/>
  <c r="D190" i="21"/>
  <c r="E190" i="21"/>
  <c r="I190" i="21"/>
  <c r="J190" i="21"/>
  <c r="B191" i="21"/>
  <c r="B192" i="21"/>
  <c r="C192" i="21"/>
  <c r="D192" i="21"/>
  <c r="E192" i="21"/>
  <c r="F192" i="21"/>
  <c r="G192" i="21"/>
  <c r="I192" i="21"/>
  <c r="J192" i="21"/>
  <c r="L192" i="21"/>
  <c r="B193" i="21"/>
  <c r="C193" i="21"/>
  <c r="D193" i="21"/>
  <c r="E193" i="21"/>
  <c r="F193" i="21"/>
  <c r="G193" i="21"/>
  <c r="I193" i="21"/>
  <c r="J193" i="21"/>
  <c r="L193" i="21"/>
  <c r="B194" i="21"/>
  <c r="C194" i="21"/>
  <c r="D194" i="21"/>
  <c r="E194" i="21"/>
  <c r="F194" i="21"/>
  <c r="G194" i="21"/>
  <c r="I194" i="21"/>
  <c r="J194" i="21"/>
  <c r="L194" i="21"/>
  <c r="B195" i="21"/>
  <c r="C195" i="21"/>
  <c r="D195" i="21"/>
  <c r="E195" i="21"/>
  <c r="F195" i="21"/>
  <c r="G195" i="21"/>
  <c r="I195" i="21"/>
  <c r="J195" i="21"/>
  <c r="L195" i="21"/>
  <c r="B196" i="21"/>
  <c r="C196" i="21"/>
  <c r="D196" i="21"/>
  <c r="E196" i="21"/>
  <c r="F196" i="21"/>
  <c r="G196" i="21"/>
  <c r="I196" i="21"/>
  <c r="J196" i="21"/>
  <c r="L196" i="21"/>
  <c r="B197" i="21"/>
  <c r="C197" i="21"/>
  <c r="D197" i="21"/>
  <c r="E197" i="21"/>
  <c r="F197" i="21"/>
  <c r="G197" i="21"/>
  <c r="I197" i="21"/>
  <c r="J197" i="21"/>
  <c r="L197" i="21"/>
  <c r="B198" i="21"/>
  <c r="C198" i="21"/>
  <c r="D198" i="21"/>
  <c r="E198" i="21"/>
  <c r="F198" i="21"/>
  <c r="G198" i="21"/>
  <c r="I198" i="21"/>
  <c r="J198" i="21"/>
  <c r="L198" i="21"/>
  <c r="B199" i="21"/>
  <c r="B209" i="21"/>
  <c r="B210" i="21"/>
  <c r="C210" i="21"/>
  <c r="D210" i="21"/>
  <c r="E210" i="21"/>
  <c r="F210" i="21"/>
  <c r="G210" i="21"/>
  <c r="I210" i="21"/>
  <c r="J210" i="21"/>
  <c r="L210" i="21"/>
  <c r="B211" i="21"/>
  <c r="C211" i="21"/>
  <c r="D211" i="21"/>
  <c r="E211" i="21"/>
  <c r="F211" i="21"/>
  <c r="G211" i="21"/>
  <c r="I211" i="21"/>
  <c r="J211" i="21"/>
  <c r="L211" i="21"/>
  <c r="B212" i="21"/>
  <c r="C212" i="21"/>
  <c r="D212" i="21"/>
  <c r="E212" i="21"/>
  <c r="F212" i="21"/>
  <c r="G212" i="21"/>
  <c r="I212" i="21"/>
  <c r="J212" i="21"/>
  <c r="L212" i="21"/>
  <c r="B213" i="21"/>
  <c r="C213" i="21"/>
  <c r="D213" i="21"/>
  <c r="E213" i="21"/>
  <c r="F213" i="21"/>
  <c r="G213" i="21"/>
  <c r="I213" i="21"/>
  <c r="J213" i="21"/>
  <c r="L213" i="21"/>
  <c r="B214" i="21"/>
  <c r="C214" i="21"/>
  <c r="D214" i="21"/>
  <c r="E214" i="21"/>
  <c r="F214" i="21"/>
  <c r="G214" i="21"/>
  <c r="I214" i="21"/>
  <c r="J214" i="21"/>
  <c r="L214" i="21"/>
  <c r="B215" i="21"/>
  <c r="C215" i="21"/>
  <c r="D215" i="21"/>
  <c r="E215" i="21"/>
  <c r="F215" i="21"/>
  <c r="G215" i="21"/>
  <c r="I215" i="21"/>
  <c r="J215" i="21"/>
  <c r="L215" i="21"/>
  <c r="B216" i="21"/>
  <c r="C216" i="21"/>
  <c r="D216" i="21"/>
  <c r="E216" i="21"/>
  <c r="F216" i="21"/>
  <c r="G216" i="21"/>
  <c r="I216" i="21"/>
  <c r="J216" i="21"/>
  <c r="L216" i="21"/>
  <c r="B217" i="21"/>
  <c r="I217" i="21"/>
  <c r="J217" i="21"/>
  <c r="I218" i="21"/>
  <c r="J218" i="21"/>
  <c r="I219" i="21"/>
  <c r="J219" i="21"/>
  <c r="I220" i="21"/>
  <c r="J220" i="21"/>
  <c r="I221" i="21"/>
  <c r="J221" i="21"/>
  <c r="I222" i="21"/>
  <c r="J222" i="21"/>
  <c r="I223" i="21"/>
  <c r="J223" i="21"/>
  <c r="I224" i="21"/>
  <c r="J224" i="21"/>
  <c r="I225" i="21"/>
  <c r="J225" i="21"/>
  <c r="I226" i="21"/>
  <c r="J226" i="21"/>
  <c r="B227" i="21"/>
  <c r="B228" i="21"/>
  <c r="C228" i="21"/>
  <c r="D228" i="21"/>
  <c r="E228" i="21"/>
  <c r="F228" i="21"/>
  <c r="G228" i="21"/>
  <c r="I228" i="21"/>
  <c r="J228" i="21"/>
  <c r="L228" i="21"/>
  <c r="B229" i="21"/>
  <c r="C229" i="21"/>
  <c r="D229" i="21"/>
  <c r="E229" i="21"/>
  <c r="F229" i="21"/>
  <c r="G229" i="21"/>
  <c r="I229" i="21"/>
  <c r="J229" i="21"/>
  <c r="L229" i="21"/>
  <c r="B230" i="21"/>
  <c r="C230" i="21"/>
  <c r="D230" i="21"/>
  <c r="E230" i="21"/>
  <c r="F230" i="21"/>
  <c r="G230" i="21"/>
  <c r="I230" i="21"/>
  <c r="J230" i="21"/>
  <c r="L230" i="21"/>
  <c r="B231" i="21"/>
  <c r="C231" i="21"/>
  <c r="D231" i="21"/>
  <c r="E231" i="21"/>
  <c r="F231" i="21"/>
  <c r="G231" i="21"/>
  <c r="I231" i="21"/>
  <c r="J231" i="21"/>
  <c r="L231" i="21"/>
  <c r="B232" i="21"/>
  <c r="C232" i="21"/>
  <c r="D232" i="21"/>
  <c r="E232" i="21"/>
  <c r="F232" i="21"/>
  <c r="G232" i="21"/>
  <c r="I232" i="21"/>
  <c r="J232" i="21"/>
  <c r="L232" i="21"/>
  <c r="B233" i="21"/>
  <c r="C233" i="21"/>
  <c r="D233" i="21"/>
  <c r="E233" i="21"/>
  <c r="F233" i="21"/>
  <c r="G233" i="21"/>
  <c r="I233" i="21"/>
  <c r="J233" i="21"/>
  <c r="L233" i="21"/>
  <c r="B234" i="21"/>
  <c r="C234" i="21"/>
  <c r="D234" i="21"/>
  <c r="E234" i="21"/>
  <c r="F234" i="21"/>
  <c r="G234" i="21"/>
  <c r="I234" i="21"/>
  <c r="J234" i="21"/>
  <c r="L234" i="21"/>
  <c r="B235" i="21"/>
  <c r="I235" i="21"/>
  <c r="J235" i="21"/>
  <c r="I236" i="21"/>
  <c r="J236" i="21"/>
  <c r="I237" i="21"/>
  <c r="J237" i="21"/>
  <c r="I238" i="21"/>
  <c r="J238" i="21"/>
  <c r="I239" i="21"/>
  <c r="J239" i="21"/>
  <c r="I240" i="21"/>
  <c r="J240" i="21"/>
  <c r="I241" i="21"/>
  <c r="J241" i="21"/>
  <c r="I242" i="21"/>
  <c r="J242" i="21"/>
  <c r="I243" i="21"/>
  <c r="J243" i="21"/>
  <c r="I244" i="21"/>
  <c r="J244" i="21"/>
  <c r="B245" i="21"/>
  <c r="B246" i="21"/>
  <c r="C246" i="21"/>
  <c r="D246" i="21"/>
  <c r="E246" i="21"/>
  <c r="F246" i="21"/>
  <c r="G246" i="21"/>
  <c r="I246" i="21"/>
  <c r="J246" i="21"/>
  <c r="L246" i="21"/>
  <c r="B247" i="21"/>
  <c r="C247" i="21"/>
  <c r="D247" i="21"/>
  <c r="E247" i="21"/>
  <c r="F247" i="21"/>
  <c r="G247" i="21"/>
  <c r="I247" i="21"/>
  <c r="J247" i="21"/>
  <c r="L247" i="21"/>
  <c r="B248" i="21"/>
  <c r="C248" i="21"/>
  <c r="D248" i="21"/>
  <c r="E248" i="21"/>
  <c r="F248" i="21"/>
  <c r="G248" i="21"/>
  <c r="I248" i="21"/>
  <c r="J248" i="21"/>
  <c r="L248" i="21"/>
  <c r="B249" i="21"/>
  <c r="C249" i="21"/>
  <c r="D249" i="21"/>
  <c r="E249" i="21"/>
  <c r="F249" i="21"/>
  <c r="G249" i="21"/>
  <c r="I249" i="21"/>
  <c r="J249" i="21"/>
  <c r="L249" i="21"/>
  <c r="B250" i="21"/>
  <c r="C250" i="21"/>
  <c r="D250" i="21"/>
  <c r="E250" i="21"/>
  <c r="F250" i="21"/>
  <c r="G250" i="21"/>
  <c r="I250" i="21"/>
  <c r="J250" i="21"/>
  <c r="L250" i="21"/>
  <c r="B251" i="21"/>
  <c r="C251" i="21"/>
  <c r="D251" i="21"/>
  <c r="E251" i="21"/>
  <c r="F251" i="21"/>
  <c r="G251" i="21"/>
  <c r="I251" i="21"/>
  <c r="J251" i="21"/>
  <c r="L251" i="21"/>
  <c r="B252" i="21"/>
  <c r="C252" i="21"/>
  <c r="D252" i="21"/>
  <c r="E252" i="21"/>
  <c r="F252" i="21"/>
  <c r="G252" i="21"/>
  <c r="I252" i="21"/>
  <c r="J252" i="21"/>
  <c r="L252" i="21"/>
  <c r="B253" i="21"/>
  <c r="D253" i="21"/>
  <c r="E253" i="21"/>
  <c r="I253" i="21"/>
  <c r="J253" i="21"/>
  <c r="L253" i="21"/>
  <c r="D254" i="21"/>
  <c r="E254" i="21"/>
  <c r="I254" i="21"/>
  <c r="J254" i="21"/>
  <c r="L254" i="21"/>
  <c r="D255" i="21"/>
  <c r="E255" i="21"/>
  <c r="I255" i="21"/>
  <c r="J255" i="21"/>
  <c r="L255" i="21"/>
  <c r="D256" i="21"/>
  <c r="E256" i="21"/>
  <c r="I256" i="21"/>
  <c r="J256" i="21"/>
  <c r="L256" i="21"/>
  <c r="D257" i="21"/>
  <c r="E257" i="21"/>
  <c r="I257" i="21"/>
  <c r="J257" i="21"/>
  <c r="L257" i="21"/>
  <c r="D258" i="21"/>
  <c r="E258" i="21"/>
  <c r="I258" i="21"/>
  <c r="J258" i="21"/>
  <c r="L258" i="21"/>
  <c r="D259" i="21"/>
  <c r="E259" i="21"/>
  <c r="I259" i="21"/>
  <c r="J259" i="21"/>
  <c r="L259" i="21"/>
  <c r="D260" i="21"/>
  <c r="E260" i="21"/>
  <c r="I260" i="21"/>
  <c r="J260" i="21"/>
  <c r="L260" i="21"/>
  <c r="D261" i="21"/>
  <c r="E261" i="21"/>
  <c r="I261" i="21"/>
  <c r="J261" i="21"/>
  <c r="L261" i="21"/>
  <c r="D262" i="21"/>
  <c r="E262" i="21"/>
  <c r="I262" i="21"/>
  <c r="J262" i="21"/>
  <c r="L262" i="21"/>
  <c r="B263" i="21"/>
  <c r="B264" i="21"/>
  <c r="C264" i="21"/>
  <c r="D264" i="21"/>
  <c r="E264" i="21"/>
  <c r="F264" i="21"/>
  <c r="G264" i="21"/>
  <c r="I264" i="21"/>
  <c r="J264" i="21"/>
  <c r="L264" i="21"/>
  <c r="B265" i="21"/>
  <c r="C265" i="21"/>
  <c r="D265" i="21"/>
  <c r="E265" i="21"/>
  <c r="F265" i="21"/>
  <c r="G265" i="21"/>
  <c r="I265" i="21"/>
  <c r="J265" i="21"/>
  <c r="L265" i="21"/>
  <c r="B266" i="21"/>
  <c r="C266" i="21"/>
  <c r="D266" i="21"/>
  <c r="E266" i="21"/>
  <c r="F266" i="21"/>
  <c r="G266" i="21"/>
  <c r="I266" i="21"/>
  <c r="J266" i="21"/>
  <c r="L266" i="21"/>
  <c r="B267" i="21"/>
  <c r="C267" i="21"/>
  <c r="D267" i="21"/>
  <c r="E267" i="21"/>
  <c r="F267" i="21"/>
  <c r="G267" i="21"/>
  <c r="I267" i="21"/>
  <c r="J267" i="21"/>
  <c r="L267" i="21"/>
  <c r="B268" i="21"/>
  <c r="C268" i="21"/>
  <c r="D268" i="21"/>
  <c r="E268" i="21"/>
  <c r="F268" i="21"/>
  <c r="G268" i="21"/>
  <c r="I268" i="21"/>
  <c r="J268" i="21"/>
  <c r="L268" i="21"/>
  <c r="B269" i="21"/>
  <c r="C269" i="21"/>
  <c r="D269" i="21"/>
  <c r="E269" i="21"/>
  <c r="F269" i="21"/>
  <c r="G269" i="21"/>
  <c r="I269" i="21"/>
  <c r="J269" i="21"/>
  <c r="L269" i="21"/>
  <c r="B270" i="21"/>
  <c r="C270" i="21"/>
  <c r="D270" i="21"/>
  <c r="E270" i="21"/>
  <c r="F270" i="21"/>
  <c r="G270" i="21"/>
  <c r="I270" i="21"/>
  <c r="J270" i="21"/>
  <c r="L270" i="21"/>
  <c r="B271" i="21"/>
  <c r="D271" i="21"/>
  <c r="E271" i="21"/>
  <c r="I271" i="21"/>
  <c r="J271" i="21"/>
  <c r="L271" i="21"/>
  <c r="D272" i="21"/>
  <c r="E272" i="21"/>
  <c r="I272" i="21"/>
  <c r="J272" i="21"/>
  <c r="L272" i="21"/>
  <c r="D273" i="21"/>
  <c r="E273" i="21"/>
  <c r="I273" i="21"/>
  <c r="J273" i="21"/>
  <c r="L273" i="21"/>
  <c r="D274" i="21"/>
  <c r="E274" i="21"/>
  <c r="I274" i="21"/>
  <c r="J274" i="21"/>
  <c r="L274" i="21"/>
  <c r="D275" i="21"/>
  <c r="E275" i="21"/>
  <c r="I275" i="21"/>
  <c r="J275" i="21"/>
  <c r="L275" i="21"/>
  <c r="D276" i="21"/>
  <c r="E276" i="21"/>
  <c r="I276" i="21"/>
  <c r="J276" i="21"/>
  <c r="L276" i="21"/>
  <c r="D277" i="21"/>
  <c r="E277" i="21"/>
  <c r="I277" i="21"/>
  <c r="J277" i="21"/>
  <c r="L277" i="21"/>
  <c r="D278" i="21"/>
  <c r="E278" i="21"/>
  <c r="I278" i="21"/>
  <c r="J278" i="21"/>
  <c r="L278" i="21"/>
  <c r="D279" i="21"/>
  <c r="E279" i="21"/>
  <c r="I279" i="21"/>
  <c r="J279" i="21"/>
  <c r="L279" i="21"/>
  <c r="D280" i="21"/>
  <c r="E280" i="21"/>
  <c r="I280" i="21"/>
  <c r="J280" i="21"/>
  <c r="L280" i="21"/>
  <c r="B281" i="21"/>
  <c r="B282" i="21"/>
  <c r="C282" i="21"/>
  <c r="D282" i="21"/>
  <c r="E282" i="21"/>
  <c r="F282" i="21"/>
  <c r="G282" i="21"/>
  <c r="I282" i="21"/>
  <c r="J282" i="21"/>
  <c r="L282" i="21"/>
  <c r="B283" i="21"/>
  <c r="C283" i="21"/>
  <c r="D283" i="21"/>
  <c r="E283" i="21"/>
  <c r="F283" i="21"/>
  <c r="G283" i="21"/>
  <c r="I283" i="21"/>
  <c r="J283" i="21"/>
  <c r="L283" i="21"/>
  <c r="B284" i="21"/>
  <c r="C284" i="21"/>
  <c r="D284" i="21"/>
  <c r="E284" i="21"/>
  <c r="F284" i="21"/>
  <c r="G284" i="21"/>
  <c r="I284" i="21"/>
  <c r="J284" i="21"/>
  <c r="L284" i="21"/>
  <c r="B285" i="21"/>
  <c r="C285" i="21"/>
  <c r="D285" i="21"/>
  <c r="E285" i="21"/>
  <c r="F285" i="21"/>
  <c r="G285" i="21"/>
  <c r="I285" i="21"/>
  <c r="J285" i="21"/>
  <c r="L285" i="21"/>
  <c r="B286" i="21"/>
  <c r="C286" i="21"/>
  <c r="D286" i="21"/>
  <c r="E286" i="21"/>
  <c r="F286" i="21"/>
  <c r="G286" i="21"/>
  <c r="I286" i="21"/>
  <c r="J286" i="21"/>
  <c r="L286" i="21"/>
  <c r="B287" i="21"/>
  <c r="C287" i="21"/>
  <c r="D287" i="21"/>
  <c r="E287" i="21"/>
  <c r="F287" i="21"/>
  <c r="G287" i="21"/>
  <c r="I287" i="21"/>
  <c r="J287" i="21"/>
  <c r="L287" i="21"/>
  <c r="B288" i="21"/>
  <c r="C288" i="21"/>
  <c r="D288" i="21"/>
  <c r="E288" i="21"/>
  <c r="F288" i="21"/>
  <c r="G288" i="21"/>
  <c r="I288" i="21"/>
  <c r="J288" i="21"/>
  <c r="L288" i="21"/>
  <c r="B289" i="21"/>
  <c r="D289" i="21"/>
  <c r="E289" i="21"/>
  <c r="I289" i="21"/>
  <c r="J289" i="21"/>
  <c r="L289" i="21"/>
  <c r="D290" i="21"/>
  <c r="E290" i="21"/>
  <c r="I290" i="21"/>
  <c r="J290" i="21"/>
  <c r="L290" i="21"/>
  <c r="D291" i="21"/>
  <c r="E291" i="21"/>
  <c r="I291" i="21"/>
  <c r="J291" i="21"/>
  <c r="L291" i="21"/>
  <c r="D292" i="21"/>
  <c r="E292" i="21"/>
  <c r="I292" i="21"/>
  <c r="J292" i="21"/>
  <c r="L292" i="21"/>
  <c r="D293" i="21"/>
  <c r="E293" i="21"/>
  <c r="I293" i="21"/>
  <c r="J293" i="21"/>
  <c r="L293" i="21"/>
  <c r="D294" i="21"/>
  <c r="E294" i="21"/>
  <c r="I294" i="21"/>
  <c r="J294" i="21"/>
  <c r="L294" i="21"/>
  <c r="D295" i="21"/>
  <c r="E295" i="21"/>
  <c r="I295" i="21"/>
  <c r="J295" i="21"/>
  <c r="L295" i="21"/>
  <c r="D296" i="21"/>
  <c r="E296" i="21"/>
  <c r="I296" i="21"/>
  <c r="J296" i="21"/>
  <c r="L296" i="21"/>
  <c r="D297" i="21"/>
  <c r="E297" i="21"/>
  <c r="I297" i="21"/>
  <c r="J297" i="21"/>
  <c r="L297" i="21"/>
  <c r="D298" i="21"/>
  <c r="E298" i="21"/>
  <c r="I298" i="21"/>
  <c r="J298" i="21"/>
  <c r="L298" i="21"/>
  <c r="B299" i="21"/>
  <c r="B300" i="21"/>
  <c r="C300" i="21"/>
  <c r="D300" i="21"/>
  <c r="E300" i="21"/>
  <c r="F300" i="21"/>
  <c r="G300" i="21"/>
  <c r="I300" i="21"/>
  <c r="J300" i="21"/>
  <c r="L300" i="21"/>
  <c r="B301" i="21"/>
  <c r="C301" i="21"/>
  <c r="D301" i="21"/>
  <c r="E301" i="21"/>
  <c r="F301" i="21"/>
  <c r="G301" i="21"/>
  <c r="I301" i="21"/>
  <c r="J301" i="21"/>
  <c r="L301" i="21"/>
  <c r="B302" i="21"/>
  <c r="C302" i="21"/>
  <c r="D302" i="21"/>
  <c r="E302" i="21"/>
  <c r="F302" i="21"/>
  <c r="G302" i="21"/>
  <c r="I302" i="21"/>
  <c r="J302" i="21"/>
  <c r="L302" i="21"/>
  <c r="B303" i="21"/>
  <c r="C303" i="21"/>
  <c r="D303" i="21"/>
  <c r="E303" i="21"/>
  <c r="F303" i="21"/>
  <c r="G303" i="21"/>
  <c r="I303" i="21"/>
  <c r="J303" i="21"/>
  <c r="L303" i="21"/>
  <c r="B304" i="21"/>
  <c r="C304" i="21"/>
  <c r="D304" i="21"/>
  <c r="E304" i="21"/>
  <c r="F304" i="21"/>
  <c r="G304" i="21"/>
  <c r="I304" i="21"/>
  <c r="J304" i="21"/>
  <c r="L304" i="21"/>
  <c r="B305" i="21"/>
  <c r="C305" i="21"/>
  <c r="D305" i="21"/>
  <c r="E305" i="21"/>
  <c r="F305" i="21"/>
  <c r="G305" i="21"/>
  <c r="I305" i="21"/>
  <c r="J305" i="21"/>
  <c r="L305" i="21"/>
  <c r="B306" i="21"/>
  <c r="C306" i="21"/>
  <c r="D306" i="21"/>
  <c r="E306" i="21"/>
  <c r="F306" i="21"/>
  <c r="G306" i="21"/>
  <c r="I306" i="21"/>
  <c r="J306" i="21"/>
  <c r="L306" i="21"/>
  <c r="B307" i="21"/>
  <c r="D307" i="21"/>
  <c r="E307" i="21"/>
  <c r="I307" i="21"/>
  <c r="J307" i="21"/>
  <c r="L307" i="21"/>
  <c r="D308" i="21"/>
  <c r="E308" i="21"/>
  <c r="I308" i="21"/>
  <c r="J308" i="21"/>
  <c r="L308" i="21"/>
  <c r="D309" i="21"/>
  <c r="E309" i="21"/>
  <c r="I309" i="21"/>
  <c r="J309" i="21"/>
  <c r="L309" i="21"/>
  <c r="D310" i="21"/>
  <c r="E310" i="21"/>
  <c r="I310" i="21"/>
  <c r="J310" i="21"/>
  <c r="L310" i="21"/>
  <c r="D311" i="21"/>
  <c r="E311" i="21"/>
  <c r="I311" i="21"/>
  <c r="J311" i="21"/>
  <c r="L311" i="21"/>
  <c r="D312" i="21"/>
  <c r="E312" i="21"/>
  <c r="I312" i="21"/>
  <c r="J312" i="21"/>
  <c r="L312" i="21"/>
  <c r="D313" i="21"/>
  <c r="E313" i="21"/>
  <c r="I313" i="21"/>
  <c r="J313" i="21"/>
  <c r="L313" i="21"/>
  <c r="D314" i="21"/>
  <c r="E314" i="21"/>
  <c r="I314" i="21"/>
  <c r="J314" i="21"/>
  <c r="L314" i="21"/>
  <c r="D315" i="21"/>
  <c r="E315" i="21"/>
  <c r="I315" i="21"/>
  <c r="J315" i="21"/>
  <c r="L315" i="21"/>
  <c r="D316" i="21"/>
  <c r="E316" i="21"/>
  <c r="I316" i="21"/>
  <c r="J316" i="21"/>
  <c r="L316" i="21"/>
  <c r="B317" i="21"/>
  <c r="B318" i="21"/>
  <c r="C318" i="21"/>
  <c r="D318" i="21"/>
  <c r="E318" i="21"/>
  <c r="F318" i="21"/>
  <c r="G318" i="21"/>
  <c r="I318" i="21"/>
  <c r="J318" i="21"/>
  <c r="L318" i="21"/>
  <c r="B319" i="21"/>
  <c r="C319" i="21"/>
  <c r="D319" i="21"/>
  <c r="E319" i="21"/>
  <c r="F319" i="21"/>
  <c r="G319" i="21"/>
  <c r="I319" i="21"/>
  <c r="J319" i="21"/>
  <c r="L319" i="21"/>
  <c r="B320" i="21"/>
  <c r="C320" i="21"/>
  <c r="D320" i="21"/>
  <c r="E320" i="21"/>
  <c r="F320" i="21"/>
  <c r="G320" i="21"/>
  <c r="I320" i="21"/>
  <c r="J320" i="21"/>
  <c r="L320" i="21"/>
  <c r="B321" i="21"/>
  <c r="C321" i="21"/>
  <c r="D321" i="21"/>
  <c r="E321" i="21"/>
  <c r="F321" i="21"/>
  <c r="G321" i="21"/>
  <c r="I321" i="21"/>
  <c r="J321" i="21"/>
  <c r="L321" i="21"/>
  <c r="B322" i="21"/>
  <c r="C322" i="21"/>
  <c r="D322" i="21"/>
  <c r="E322" i="21"/>
  <c r="F322" i="21"/>
  <c r="G322" i="21"/>
  <c r="I322" i="21"/>
  <c r="J322" i="21"/>
  <c r="L322" i="21"/>
  <c r="B323" i="21"/>
  <c r="C323" i="21"/>
  <c r="D323" i="21"/>
  <c r="E323" i="21"/>
  <c r="F323" i="21"/>
  <c r="G323" i="21"/>
  <c r="I323" i="21"/>
  <c r="J323" i="21"/>
  <c r="L323" i="21"/>
  <c r="B324" i="21"/>
  <c r="C324" i="21"/>
  <c r="D324" i="21"/>
  <c r="E324" i="21"/>
  <c r="F324" i="21"/>
  <c r="G324" i="21"/>
  <c r="I324" i="21"/>
  <c r="J324" i="21"/>
  <c r="L324" i="21"/>
  <c r="B325" i="21"/>
  <c r="D325" i="21"/>
  <c r="E325" i="21"/>
  <c r="I325" i="21"/>
  <c r="J325" i="21"/>
  <c r="L325" i="21"/>
  <c r="D326" i="21"/>
  <c r="E326" i="21"/>
  <c r="I326" i="21"/>
  <c r="J326" i="21"/>
  <c r="L326" i="21"/>
  <c r="D327" i="21"/>
  <c r="E327" i="21"/>
  <c r="I327" i="21"/>
  <c r="J327" i="21"/>
  <c r="L327" i="21"/>
  <c r="D328" i="21"/>
  <c r="E328" i="21"/>
  <c r="I328" i="21"/>
  <c r="J328" i="21"/>
  <c r="L328" i="21"/>
  <c r="D329" i="21"/>
  <c r="E329" i="21"/>
  <c r="I329" i="21"/>
  <c r="J329" i="21"/>
  <c r="L329" i="21"/>
  <c r="D330" i="21"/>
  <c r="E330" i="21"/>
  <c r="I330" i="21"/>
  <c r="J330" i="21"/>
  <c r="L330" i="21"/>
  <c r="D331" i="21"/>
  <c r="E331" i="21"/>
  <c r="I331" i="21"/>
  <c r="J331" i="21"/>
  <c r="L331" i="21"/>
  <c r="D332" i="21"/>
  <c r="E332" i="21"/>
  <c r="I332" i="21"/>
  <c r="J332" i="21"/>
  <c r="L332" i="21"/>
  <c r="D333" i="21"/>
  <c r="E333" i="21"/>
  <c r="I333" i="21"/>
  <c r="J333" i="21"/>
  <c r="L333" i="21"/>
  <c r="D334" i="21"/>
  <c r="E334" i="21"/>
  <c r="I334" i="21"/>
  <c r="J334" i="21"/>
  <c r="L334" i="21"/>
  <c r="B335" i="21"/>
  <c r="B336" i="21"/>
  <c r="C336" i="21"/>
  <c r="D336" i="21"/>
  <c r="E336" i="21"/>
  <c r="F336" i="21"/>
  <c r="G336" i="21"/>
  <c r="I336" i="21"/>
  <c r="J336" i="21"/>
  <c r="L336" i="21"/>
  <c r="B337" i="21"/>
  <c r="C337" i="21"/>
  <c r="D337" i="21"/>
  <c r="E337" i="21"/>
  <c r="F337" i="21"/>
  <c r="G337" i="21"/>
  <c r="I337" i="21"/>
  <c r="J337" i="21"/>
  <c r="L337" i="21"/>
  <c r="B338" i="21"/>
  <c r="C338" i="21"/>
  <c r="D338" i="21"/>
  <c r="E338" i="21"/>
  <c r="F338" i="21"/>
  <c r="G338" i="21"/>
  <c r="I338" i="21"/>
  <c r="J338" i="21"/>
  <c r="L338" i="21"/>
  <c r="B339" i="21"/>
  <c r="C339" i="21"/>
  <c r="D339" i="21"/>
  <c r="E339" i="21"/>
  <c r="F339" i="21"/>
  <c r="G339" i="21"/>
  <c r="I339" i="21"/>
  <c r="J339" i="21"/>
  <c r="L339" i="21"/>
  <c r="B340" i="21"/>
  <c r="C340" i="21"/>
  <c r="D340" i="21"/>
  <c r="E340" i="21"/>
  <c r="F340" i="21"/>
  <c r="G340" i="21"/>
  <c r="I340" i="21"/>
  <c r="J340" i="21"/>
  <c r="L340" i="21"/>
  <c r="B341" i="21"/>
  <c r="C341" i="21"/>
  <c r="D341" i="21"/>
  <c r="E341" i="21"/>
  <c r="F341" i="21"/>
  <c r="G341" i="21"/>
  <c r="I341" i="21"/>
  <c r="J341" i="21"/>
  <c r="L341" i="21"/>
  <c r="B342" i="21"/>
  <c r="C342" i="21"/>
  <c r="D342" i="21"/>
  <c r="E342" i="21"/>
  <c r="F342" i="21"/>
  <c r="G342" i="21"/>
  <c r="I342" i="21"/>
  <c r="J342" i="21"/>
  <c r="L342" i="21"/>
  <c r="B343" i="21"/>
  <c r="D343" i="21"/>
  <c r="E343" i="21"/>
  <c r="I343" i="21"/>
  <c r="J343" i="21"/>
  <c r="L343" i="21"/>
  <c r="D344" i="21"/>
  <c r="E344" i="21"/>
  <c r="I344" i="21"/>
  <c r="J344" i="21"/>
  <c r="L344" i="21"/>
  <c r="D345" i="21"/>
  <c r="E345" i="21"/>
  <c r="I345" i="21"/>
  <c r="J345" i="21"/>
  <c r="L345" i="21"/>
  <c r="D346" i="21"/>
  <c r="E346" i="21"/>
  <c r="I346" i="21"/>
  <c r="J346" i="21"/>
  <c r="L346" i="21"/>
  <c r="D347" i="21"/>
  <c r="E347" i="21"/>
  <c r="I347" i="21"/>
  <c r="J347" i="21"/>
  <c r="L347" i="21"/>
  <c r="D348" i="21"/>
  <c r="E348" i="21"/>
  <c r="I348" i="21"/>
  <c r="J348" i="21"/>
  <c r="L348" i="21"/>
  <c r="D349" i="21"/>
  <c r="E349" i="21"/>
  <c r="I349" i="21"/>
  <c r="J349" i="21"/>
  <c r="L349" i="21"/>
  <c r="D350" i="21"/>
  <c r="E350" i="21"/>
  <c r="I350" i="21"/>
  <c r="J350" i="21"/>
  <c r="L350" i="21"/>
  <c r="D351" i="21"/>
  <c r="E351" i="21"/>
  <c r="I351" i="21"/>
  <c r="J351" i="21"/>
  <c r="L351" i="21"/>
  <c r="D352" i="21"/>
  <c r="E352" i="21"/>
  <c r="I352" i="21"/>
  <c r="J352" i="21"/>
  <c r="L352" i="21"/>
  <c r="B353" i="21"/>
  <c r="B354" i="21"/>
  <c r="C354" i="21"/>
  <c r="D354" i="21"/>
  <c r="E354" i="21"/>
  <c r="F354" i="21"/>
  <c r="G354" i="21"/>
  <c r="I354" i="21"/>
  <c r="J354" i="21"/>
  <c r="L354" i="21"/>
  <c r="B355" i="21"/>
  <c r="C355" i="21"/>
  <c r="D355" i="21"/>
  <c r="E355" i="21"/>
  <c r="F355" i="21"/>
  <c r="G355" i="21"/>
  <c r="I355" i="21"/>
  <c r="J355" i="21"/>
  <c r="L355" i="21"/>
  <c r="B356" i="21"/>
  <c r="C356" i="21"/>
  <c r="D356" i="21"/>
  <c r="E356" i="21"/>
  <c r="F356" i="21"/>
  <c r="G356" i="21"/>
  <c r="I356" i="21"/>
  <c r="J356" i="21"/>
  <c r="L356" i="21"/>
  <c r="B357" i="21"/>
  <c r="C357" i="21"/>
  <c r="D357" i="21"/>
  <c r="E357" i="21"/>
  <c r="F357" i="21"/>
  <c r="G357" i="21"/>
  <c r="I357" i="21"/>
  <c r="J357" i="21"/>
  <c r="L357" i="21"/>
  <c r="B358" i="21"/>
  <c r="C358" i="21"/>
  <c r="D358" i="21"/>
  <c r="E358" i="21"/>
  <c r="F358" i="21"/>
  <c r="G358" i="21"/>
  <c r="I358" i="21"/>
  <c r="J358" i="21"/>
  <c r="L358" i="21"/>
  <c r="B359" i="21"/>
  <c r="C359" i="21"/>
  <c r="D359" i="21"/>
  <c r="E359" i="21"/>
  <c r="F359" i="21"/>
  <c r="G359" i="21"/>
  <c r="I359" i="21"/>
  <c r="J359" i="21"/>
  <c r="L359" i="21"/>
  <c r="B360" i="21"/>
  <c r="C360" i="21"/>
  <c r="D360" i="21"/>
  <c r="E360" i="21"/>
  <c r="F360" i="21"/>
  <c r="G360" i="21"/>
  <c r="I360" i="21"/>
  <c r="J360" i="21"/>
  <c r="L360" i="21"/>
  <c r="B361" i="21"/>
  <c r="C361" i="21"/>
  <c r="E361" i="21"/>
  <c r="I361" i="21"/>
  <c r="J361" i="21"/>
  <c r="L361" i="21"/>
  <c r="C362" i="21"/>
  <c r="E362" i="21"/>
  <c r="I362" i="21"/>
  <c r="J362" i="21"/>
  <c r="L362" i="21"/>
  <c r="C363" i="21"/>
  <c r="E363" i="21"/>
  <c r="I363" i="21"/>
  <c r="J363" i="21"/>
  <c r="L363" i="21"/>
  <c r="C364" i="21"/>
  <c r="E364" i="21"/>
  <c r="I364" i="21"/>
  <c r="J364" i="21"/>
  <c r="L364" i="21"/>
  <c r="C365" i="21"/>
  <c r="E365" i="21"/>
  <c r="I365" i="21"/>
  <c r="J365" i="21"/>
  <c r="L365" i="21"/>
  <c r="C366" i="21"/>
  <c r="E366" i="21"/>
  <c r="I366" i="21"/>
  <c r="J366" i="21"/>
  <c r="L366" i="21"/>
  <c r="C367" i="21"/>
  <c r="E367" i="21"/>
  <c r="I367" i="21"/>
  <c r="J367" i="21"/>
  <c r="L367" i="21"/>
  <c r="C368" i="21"/>
  <c r="E368" i="21"/>
  <c r="I368" i="21"/>
  <c r="J368" i="21"/>
  <c r="L368" i="21"/>
  <c r="C369" i="21"/>
  <c r="E369" i="21"/>
  <c r="I369" i="21"/>
  <c r="J369" i="21"/>
  <c r="L369" i="21"/>
  <c r="C370" i="21"/>
  <c r="E370" i="21"/>
  <c r="I370" i="21"/>
  <c r="J370" i="21"/>
  <c r="L370" i="21"/>
  <c r="B371" i="21"/>
  <c r="B372" i="21"/>
  <c r="C372" i="21"/>
  <c r="D372" i="21"/>
  <c r="E372" i="21"/>
  <c r="F372" i="21"/>
  <c r="G372" i="21"/>
  <c r="I372" i="21"/>
  <c r="J372" i="21"/>
  <c r="L372" i="21"/>
  <c r="B373" i="21"/>
  <c r="C373" i="21"/>
  <c r="D373" i="21"/>
  <c r="E373" i="21"/>
  <c r="F373" i="21"/>
  <c r="G373" i="21"/>
  <c r="I373" i="21"/>
  <c r="J373" i="21"/>
  <c r="L373" i="21"/>
  <c r="B374" i="21"/>
  <c r="C374" i="21"/>
  <c r="D374" i="21"/>
  <c r="E374" i="21"/>
  <c r="F374" i="21"/>
  <c r="G374" i="21"/>
  <c r="I374" i="21"/>
  <c r="J374" i="21"/>
  <c r="L374" i="21"/>
  <c r="B375" i="21"/>
  <c r="C375" i="21"/>
  <c r="D375" i="21"/>
  <c r="E375" i="21"/>
  <c r="F375" i="21"/>
  <c r="G375" i="21"/>
  <c r="I375" i="21"/>
  <c r="J375" i="21"/>
  <c r="L375" i="21"/>
  <c r="B376" i="21"/>
  <c r="C376" i="21"/>
  <c r="D376" i="21"/>
  <c r="E376" i="21"/>
  <c r="F376" i="21"/>
  <c r="G376" i="21"/>
  <c r="I376" i="21"/>
  <c r="J376" i="21"/>
  <c r="L376" i="21"/>
  <c r="B377" i="21"/>
  <c r="C377" i="21"/>
  <c r="D377" i="21"/>
  <c r="E377" i="21"/>
  <c r="F377" i="21"/>
  <c r="G377" i="21"/>
  <c r="I377" i="21"/>
  <c r="J377" i="21"/>
  <c r="L377" i="21"/>
  <c r="B378" i="21"/>
  <c r="C378" i="21"/>
  <c r="D378" i="21"/>
  <c r="E378" i="21"/>
  <c r="F378" i="21"/>
  <c r="G378" i="21"/>
  <c r="I378" i="21"/>
  <c r="J378" i="21"/>
  <c r="L378" i="21"/>
  <c r="B379" i="21"/>
  <c r="C379" i="21"/>
  <c r="D379" i="21"/>
  <c r="E379" i="21"/>
  <c r="F379" i="21"/>
  <c r="G379" i="21"/>
  <c r="I379" i="21"/>
  <c r="J379" i="21"/>
  <c r="L379" i="21"/>
  <c r="B380" i="21"/>
  <c r="C380" i="21"/>
  <c r="D380" i="21"/>
  <c r="E380" i="21"/>
  <c r="F380" i="21"/>
  <c r="G380" i="21"/>
  <c r="I380" i="21"/>
  <c r="J380" i="21"/>
  <c r="L380" i="21"/>
  <c r="B381" i="21"/>
  <c r="C381" i="21"/>
  <c r="D381" i="21"/>
  <c r="E381" i="21"/>
  <c r="F381" i="21"/>
  <c r="G381" i="21"/>
  <c r="I381" i="21"/>
  <c r="J381" i="21"/>
  <c r="L381" i="21"/>
  <c r="B382" i="21"/>
  <c r="C382" i="21"/>
  <c r="D382" i="21"/>
  <c r="E382" i="21"/>
  <c r="F382" i="21"/>
  <c r="G382" i="21"/>
  <c r="I382" i="21"/>
  <c r="J382" i="21"/>
  <c r="L382" i="21"/>
  <c r="B383" i="21"/>
  <c r="C383" i="21"/>
  <c r="D383" i="21"/>
  <c r="E383" i="21"/>
  <c r="F383" i="21"/>
  <c r="G383" i="21"/>
  <c r="I383" i="21"/>
  <c r="J383" i="21"/>
  <c r="L383" i="21"/>
  <c r="B384" i="21"/>
  <c r="I384" i="21"/>
  <c r="J384" i="21"/>
  <c r="I385" i="21"/>
  <c r="J385" i="21"/>
  <c r="I386" i="21"/>
  <c r="J386" i="21"/>
  <c r="I387" i="21"/>
  <c r="J387" i="21"/>
  <c r="I388" i="21"/>
  <c r="J388" i="21"/>
  <c r="I389" i="21"/>
  <c r="J389" i="21"/>
  <c r="I390" i="21"/>
  <c r="J390" i="21"/>
  <c r="I391" i="21"/>
  <c r="J391" i="21"/>
  <c r="I392" i="21"/>
  <c r="J392" i="21"/>
  <c r="I393" i="21"/>
  <c r="J393" i="21"/>
  <c r="B394" i="21"/>
  <c r="B395" i="21"/>
  <c r="C395" i="21"/>
  <c r="D395" i="21"/>
  <c r="E395" i="21"/>
  <c r="F395" i="21"/>
  <c r="G395" i="21"/>
  <c r="I395" i="21"/>
  <c r="J395" i="21"/>
  <c r="L395" i="21"/>
  <c r="B396" i="21"/>
  <c r="C396" i="21"/>
  <c r="D396" i="21"/>
  <c r="E396" i="21"/>
  <c r="F396" i="21"/>
  <c r="G396" i="21"/>
  <c r="I396" i="21"/>
  <c r="J396" i="21"/>
  <c r="L396" i="21"/>
  <c r="B397" i="21"/>
  <c r="C397" i="21"/>
  <c r="D397" i="21"/>
  <c r="E397" i="21"/>
  <c r="F397" i="21"/>
  <c r="G397" i="21"/>
  <c r="I397" i="21"/>
  <c r="J397" i="21"/>
  <c r="L397" i="21"/>
  <c r="B398" i="21"/>
  <c r="C398" i="21"/>
  <c r="D398" i="21"/>
  <c r="E398" i="21"/>
  <c r="F398" i="21"/>
  <c r="G398" i="21"/>
  <c r="I398" i="21"/>
  <c r="J398" i="21"/>
  <c r="L398" i="21"/>
  <c r="B399" i="21"/>
  <c r="C399" i="21"/>
  <c r="D399" i="21"/>
  <c r="E399" i="21"/>
  <c r="F399" i="21"/>
  <c r="G399" i="21"/>
  <c r="I399" i="21"/>
  <c r="J399" i="21"/>
  <c r="L399" i="21"/>
  <c r="B400" i="21"/>
  <c r="C400" i="21"/>
  <c r="D400" i="21"/>
  <c r="E400" i="21"/>
  <c r="F400" i="21"/>
  <c r="G400" i="21"/>
  <c r="I400" i="21"/>
  <c r="J400" i="21"/>
  <c r="L400" i="21"/>
  <c r="B401" i="21"/>
  <c r="C401" i="21"/>
  <c r="D401" i="21"/>
  <c r="E401" i="21"/>
  <c r="F401" i="21"/>
  <c r="G401" i="21"/>
  <c r="I401" i="21"/>
  <c r="J401" i="21"/>
  <c r="L401" i="21"/>
  <c r="B402" i="21"/>
  <c r="C402" i="21"/>
  <c r="D402" i="21"/>
  <c r="E402" i="21"/>
  <c r="F402" i="21"/>
  <c r="G402" i="21"/>
  <c r="I402" i="21"/>
  <c r="J402" i="21"/>
  <c r="L402" i="21"/>
  <c r="B403" i="21"/>
  <c r="C403" i="21"/>
  <c r="D403" i="21"/>
  <c r="E403" i="21"/>
  <c r="F403" i="21"/>
  <c r="G403" i="21"/>
  <c r="I403" i="21"/>
  <c r="J403" i="21"/>
  <c r="L403" i="21"/>
  <c r="B404" i="21"/>
  <c r="C404" i="21"/>
  <c r="D404" i="21"/>
  <c r="E404" i="21"/>
  <c r="F404" i="21"/>
  <c r="G404" i="21"/>
  <c r="I404" i="21"/>
  <c r="J404" i="21"/>
  <c r="L404" i="21"/>
  <c r="B405" i="21"/>
  <c r="C405" i="21"/>
  <c r="D405" i="21"/>
  <c r="E405" i="21"/>
  <c r="F405" i="21"/>
  <c r="G405" i="21"/>
  <c r="I405" i="21"/>
  <c r="J405" i="21"/>
  <c r="L405" i="21"/>
  <c r="B406" i="21"/>
  <c r="C406" i="21"/>
  <c r="D406" i="21"/>
  <c r="E406" i="21"/>
  <c r="F406" i="21"/>
  <c r="G406" i="21"/>
  <c r="I406" i="21"/>
  <c r="J406" i="21"/>
  <c r="L406" i="21"/>
  <c r="B407" i="21"/>
  <c r="C407" i="21"/>
  <c r="D407" i="21"/>
  <c r="E407" i="21"/>
  <c r="F407" i="21"/>
  <c r="G407" i="21"/>
  <c r="I407" i="21"/>
  <c r="J407" i="21"/>
  <c r="L407" i="21"/>
  <c r="B408" i="21"/>
  <c r="C408" i="21"/>
  <c r="D408" i="21"/>
  <c r="E408" i="21"/>
  <c r="F408" i="21"/>
  <c r="G408" i="21"/>
  <c r="I408" i="21"/>
  <c r="J408" i="21"/>
  <c r="L408" i="21"/>
  <c r="B409" i="21"/>
  <c r="C409" i="21"/>
  <c r="D409" i="21"/>
  <c r="E409" i="21"/>
  <c r="F409" i="21"/>
  <c r="G409" i="21"/>
  <c r="I409" i="21"/>
  <c r="J409" i="21"/>
  <c r="L409" i="21"/>
  <c r="B410" i="21"/>
  <c r="C410" i="21"/>
  <c r="D410" i="21"/>
  <c r="E410" i="21"/>
  <c r="F410" i="21"/>
  <c r="G410" i="21"/>
  <c r="I410" i="21"/>
  <c r="J410" i="21"/>
  <c r="L410" i="21"/>
  <c r="B411" i="21"/>
  <c r="C411" i="21"/>
  <c r="D411" i="21"/>
  <c r="E411" i="21"/>
  <c r="F411" i="21"/>
  <c r="G411" i="21"/>
  <c r="I411" i="21"/>
  <c r="J411" i="21"/>
  <c r="L411" i="21"/>
  <c r="B412" i="21"/>
  <c r="C412" i="21"/>
  <c r="D412" i="21"/>
  <c r="E412" i="21"/>
  <c r="F412" i="21"/>
  <c r="G412" i="21"/>
  <c r="I412" i="21"/>
  <c r="J412" i="21"/>
  <c r="L412" i="21"/>
  <c r="B413" i="21"/>
  <c r="C413" i="21"/>
  <c r="D413" i="21"/>
  <c r="E413" i="21"/>
  <c r="F413" i="21"/>
  <c r="G413" i="21"/>
  <c r="I413" i="21"/>
  <c r="J413" i="21"/>
  <c r="L413" i="21"/>
  <c r="B414" i="21"/>
  <c r="C414" i="21"/>
  <c r="D414" i="21"/>
  <c r="E414" i="21"/>
  <c r="F414" i="21"/>
  <c r="G414" i="21"/>
  <c r="I414" i="21"/>
  <c r="J414" i="21"/>
  <c r="L414" i="21"/>
  <c r="B415" i="21"/>
  <c r="C415" i="21"/>
  <c r="D415" i="21"/>
  <c r="E415" i="21"/>
  <c r="F415" i="21"/>
  <c r="G415" i="21"/>
  <c r="I415" i="21"/>
  <c r="J415" i="21"/>
  <c r="L415" i="21"/>
  <c r="B416" i="21"/>
  <c r="C416" i="21"/>
  <c r="D416" i="21"/>
  <c r="E416" i="21"/>
  <c r="F416" i="21"/>
  <c r="G416" i="21"/>
  <c r="I416" i="21"/>
  <c r="J416" i="21"/>
  <c r="L416" i="21"/>
  <c r="B417" i="21"/>
  <c r="C417" i="21"/>
  <c r="D417" i="21"/>
  <c r="E417" i="21"/>
  <c r="F417" i="21"/>
  <c r="G417" i="21"/>
  <c r="I417" i="21"/>
  <c r="J417" i="21"/>
  <c r="L417" i="21"/>
  <c r="B418" i="21"/>
  <c r="C418" i="21"/>
  <c r="D418" i="21"/>
  <c r="E418" i="21"/>
  <c r="F418" i="21"/>
  <c r="G418" i="21"/>
  <c r="I418" i="21"/>
  <c r="J418" i="21"/>
  <c r="L418" i="21"/>
  <c r="B419" i="21"/>
  <c r="C419" i="21"/>
  <c r="D419" i="21"/>
  <c r="E419" i="21"/>
  <c r="F419" i="21"/>
  <c r="G419" i="21"/>
  <c r="I419" i="21"/>
  <c r="J419" i="21"/>
  <c r="L419" i="21"/>
  <c r="B420" i="21"/>
  <c r="C420" i="21"/>
  <c r="D420" i="21"/>
  <c r="E420" i="21"/>
  <c r="F420" i="21"/>
  <c r="G420" i="21"/>
  <c r="I420" i="21"/>
  <c r="J420" i="21"/>
  <c r="L420" i="21"/>
  <c r="B421" i="21"/>
  <c r="C421" i="21"/>
  <c r="D421" i="21"/>
  <c r="E421" i="21"/>
  <c r="F421" i="21"/>
  <c r="G421" i="21"/>
  <c r="I421" i="21"/>
  <c r="J421" i="21"/>
  <c r="L421" i="21"/>
  <c r="B422" i="21"/>
  <c r="C422" i="21"/>
  <c r="D422" i="21"/>
  <c r="E422" i="21"/>
  <c r="F422" i="21"/>
  <c r="G422" i="21"/>
  <c r="I422" i="21"/>
  <c r="J422" i="21"/>
  <c r="L422" i="21"/>
  <c r="B423" i="21"/>
  <c r="C423" i="21"/>
  <c r="D423" i="21"/>
  <c r="E423" i="21"/>
  <c r="F423" i="21"/>
  <c r="G423" i="21"/>
  <c r="I423" i="21"/>
  <c r="J423" i="21"/>
  <c r="L423" i="21"/>
  <c r="B424" i="21"/>
  <c r="C424" i="21"/>
  <c r="D424" i="21"/>
  <c r="E424" i="21"/>
  <c r="F424" i="21"/>
  <c r="G424" i="21"/>
  <c r="I424" i="21"/>
  <c r="J424" i="21"/>
  <c r="L424" i="21"/>
  <c r="B425" i="21"/>
  <c r="C425" i="21"/>
  <c r="D425" i="21"/>
  <c r="E425" i="21"/>
  <c r="F425" i="21"/>
  <c r="G425" i="21"/>
  <c r="I425" i="21"/>
  <c r="J425" i="21"/>
  <c r="L425" i="21"/>
  <c r="B426" i="21"/>
  <c r="C426" i="21"/>
  <c r="D426" i="21"/>
  <c r="E426" i="21"/>
  <c r="F426" i="21"/>
  <c r="G426" i="21"/>
  <c r="I426" i="21"/>
  <c r="J426" i="21"/>
  <c r="L426" i="21"/>
  <c r="B427" i="21"/>
  <c r="C427" i="21"/>
  <c r="D427" i="21"/>
  <c r="E427" i="21"/>
  <c r="F427" i="21"/>
  <c r="G427" i="21"/>
  <c r="I427" i="21"/>
  <c r="J427" i="21"/>
  <c r="L427" i="21"/>
  <c r="B428" i="21"/>
  <c r="C428" i="21"/>
  <c r="D428" i="21"/>
  <c r="E428" i="21"/>
  <c r="F428" i="21"/>
  <c r="G428" i="21"/>
  <c r="I428" i="21"/>
  <c r="J428" i="21"/>
  <c r="L428" i="21"/>
  <c r="B429" i="21"/>
  <c r="C429" i="21"/>
  <c r="D429" i="21"/>
  <c r="E429" i="21"/>
  <c r="F429" i="21"/>
  <c r="G429" i="21"/>
  <c r="I429" i="21"/>
  <c r="J429" i="21"/>
  <c r="L429" i="21"/>
  <c r="B430" i="21"/>
  <c r="C430" i="21"/>
  <c r="D430" i="21"/>
  <c r="E430" i="21"/>
  <c r="F430" i="21"/>
  <c r="G430" i="21"/>
  <c r="I430" i="21"/>
  <c r="J430" i="21"/>
  <c r="L430" i="21"/>
  <c r="B431" i="21"/>
  <c r="C431" i="21"/>
  <c r="D431" i="21"/>
  <c r="E431" i="21"/>
  <c r="F431" i="21"/>
  <c r="G431" i="21"/>
  <c r="I431" i="21"/>
  <c r="J431" i="21"/>
  <c r="L431" i="21"/>
  <c r="B432" i="21"/>
  <c r="C432" i="21"/>
  <c r="D432" i="21"/>
  <c r="E432" i="21"/>
  <c r="F432" i="21"/>
  <c r="G432" i="21"/>
  <c r="I432" i="21"/>
  <c r="J432" i="21"/>
  <c r="L432" i="21"/>
  <c r="B433" i="21"/>
  <c r="C433" i="21"/>
  <c r="D433" i="21"/>
  <c r="E433" i="21"/>
  <c r="F433" i="21"/>
  <c r="G433" i="21"/>
  <c r="I433" i="21"/>
  <c r="J433" i="21"/>
  <c r="L433" i="21"/>
  <c r="B434" i="21"/>
  <c r="C434" i="21"/>
  <c r="D434" i="21"/>
  <c r="E434" i="21"/>
  <c r="F434" i="21"/>
  <c r="G434" i="21"/>
  <c r="I434" i="21"/>
  <c r="J434" i="21"/>
  <c r="L434" i="21"/>
  <c r="B435" i="21"/>
  <c r="C435" i="21"/>
  <c r="D435" i="21"/>
  <c r="E435" i="21"/>
  <c r="F435" i="21"/>
  <c r="G435" i="21"/>
  <c r="I435" i="21"/>
  <c r="J435" i="21"/>
  <c r="L435" i="21"/>
  <c r="B436" i="21"/>
  <c r="C436" i="21"/>
  <c r="D436" i="21"/>
  <c r="E436" i="21"/>
  <c r="F436" i="21"/>
  <c r="G436" i="21"/>
  <c r="I436" i="21"/>
  <c r="J436" i="21"/>
  <c r="L436" i="21"/>
  <c r="B437" i="21"/>
  <c r="C437" i="21"/>
  <c r="D437" i="21"/>
  <c r="E437" i="21"/>
  <c r="F437" i="21"/>
  <c r="G437" i="21"/>
  <c r="I437" i="21"/>
  <c r="J437" i="21"/>
  <c r="L437" i="21"/>
  <c r="B438" i="21"/>
  <c r="C438" i="21"/>
  <c r="D438" i="21"/>
  <c r="E438" i="21"/>
  <c r="F438" i="21"/>
  <c r="G438" i="21"/>
  <c r="I438" i="21"/>
  <c r="J438" i="21"/>
  <c r="L438" i="21"/>
  <c r="B439" i="21"/>
  <c r="C439" i="21"/>
  <c r="D439" i="21"/>
  <c r="E439" i="21"/>
  <c r="F439" i="21"/>
  <c r="G439" i="21"/>
  <c r="I439" i="21"/>
  <c r="J439" i="21"/>
  <c r="L439" i="21"/>
  <c r="B440" i="21"/>
  <c r="C440" i="21"/>
  <c r="D440" i="21"/>
  <c r="E440" i="21"/>
  <c r="F440" i="21"/>
  <c r="G440" i="21"/>
  <c r="I440" i="21"/>
  <c r="J440" i="21"/>
  <c r="L440" i="21"/>
  <c r="B441" i="21"/>
  <c r="C441" i="21"/>
  <c r="D441" i="21"/>
  <c r="E441" i="21"/>
  <c r="F441" i="21"/>
  <c r="G441" i="21"/>
  <c r="I441" i="21"/>
  <c r="J441" i="21"/>
  <c r="L441" i="21"/>
  <c r="B442" i="21"/>
  <c r="C442" i="21"/>
  <c r="D442" i="21"/>
  <c r="E442" i="21"/>
  <c r="F442" i="21"/>
  <c r="G442" i="21"/>
  <c r="I442" i="21"/>
  <c r="J442" i="21"/>
  <c r="L442" i="21"/>
  <c r="B443" i="21"/>
  <c r="C443" i="21"/>
  <c r="D443" i="21"/>
  <c r="E443" i="21"/>
  <c r="F443" i="21"/>
  <c r="G443" i="21"/>
  <c r="I443" i="21"/>
  <c r="J443" i="21"/>
  <c r="L443" i="21"/>
  <c r="B444" i="21"/>
  <c r="C444" i="21"/>
  <c r="D444" i="21"/>
  <c r="E444" i="21"/>
  <c r="F444" i="21"/>
  <c r="G444" i="21"/>
  <c r="I444" i="21"/>
  <c r="J444" i="21"/>
  <c r="L444" i="21"/>
  <c r="B445" i="21"/>
  <c r="C445" i="21"/>
  <c r="D445" i="21"/>
  <c r="E445" i="21"/>
  <c r="F445" i="21"/>
  <c r="G445" i="21"/>
  <c r="I445" i="21"/>
  <c r="J445" i="21"/>
  <c r="L445" i="21"/>
  <c r="B446" i="21"/>
  <c r="C446" i="21"/>
  <c r="D446" i="21"/>
  <c r="E446" i="21"/>
  <c r="F446" i="21"/>
  <c r="G446" i="21"/>
  <c r="I446" i="21"/>
  <c r="J446" i="21"/>
  <c r="L446" i="21"/>
  <c r="B447" i="21"/>
  <c r="C447" i="21"/>
  <c r="D447" i="21"/>
  <c r="E447" i="21"/>
  <c r="F447" i="21"/>
  <c r="G447" i="21"/>
  <c r="I447" i="21"/>
  <c r="J447" i="21"/>
  <c r="L447" i="21"/>
  <c r="B448" i="21"/>
  <c r="C448" i="21"/>
  <c r="D448" i="21"/>
  <c r="E448" i="21"/>
  <c r="F448" i="21"/>
  <c r="G448" i="21"/>
  <c r="I448" i="21"/>
  <c r="J448" i="21"/>
  <c r="L448" i="21"/>
  <c r="B449" i="21"/>
  <c r="C449" i="21"/>
  <c r="D449" i="21"/>
  <c r="E449" i="21"/>
  <c r="F449" i="21"/>
  <c r="G449" i="21"/>
  <c r="I449" i="21"/>
  <c r="J449" i="21"/>
  <c r="L449" i="21"/>
  <c r="B450" i="21"/>
  <c r="C450" i="21"/>
  <c r="D450" i="21"/>
  <c r="E450" i="21"/>
  <c r="F450" i="21"/>
  <c r="G450" i="21"/>
  <c r="I450" i="21"/>
  <c r="J450" i="21"/>
  <c r="L450" i="21"/>
  <c r="B451" i="21"/>
  <c r="C451" i="21"/>
  <c r="D451" i="21"/>
  <c r="E451" i="21"/>
  <c r="F451" i="21"/>
  <c r="G451" i="21"/>
  <c r="I451" i="21"/>
  <c r="J451" i="21"/>
  <c r="L451" i="21"/>
  <c r="B452" i="21"/>
  <c r="C452" i="21"/>
  <c r="D452" i="21"/>
  <c r="E452" i="21"/>
  <c r="F452" i="21"/>
  <c r="G452" i="21"/>
  <c r="I452" i="21"/>
  <c r="J452" i="21"/>
  <c r="L452" i="21"/>
  <c r="B453" i="21"/>
  <c r="C453" i="21"/>
  <c r="D453" i="21"/>
  <c r="E453" i="21"/>
  <c r="F453" i="21"/>
  <c r="G453" i="21"/>
  <c r="I453" i="21"/>
  <c r="J453" i="21"/>
  <c r="L453" i="21"/>
  <c r="B454" i="21"/>
  <c r="C454" i="21"/>
  <c r="D454" i="21"/>
  <c r="E454" i="21"/>
  <c r="F454" i="21"/>
  <c r="G454" i="21"/>
  <c r="I454" i="21"/>
  <c r="J454" i="21"/>
  <c r="L454" i="21"/>
  <c r="B455" i="21"/>
  <c r="C455" i="21"/>
  <c r="D455" i="21"/>
  <c r="E455" i="21"/>
  <c r="F455" i="21"/>
  <c r="G455" i="21"/>
  <c r="I455" i="21"/>
  <c r="J455" i="21"/>
  <c r="L455" i="21"/>
  <c r="B456" i="21"/>
  <c r="C456" i="21"/>
  <c r="D456" i="21"/>
  <c r="E456" i="21"/>
  <c r="F456" i="21"/>
  <c r="G456" i="21"/>
  <c r="I456" i="21"/>
  <c r="J456" i="21"/>
  <c r="L456" i="21"/>
  <c r="B457" i="21"/>
  <c r="C457" i="21"/>
  <c r="D457" i="21"/>
  <c r="E457" i="21"/>
  <c r="F457" i="21"/>
  <c r="G457" i="21"/>
  <c r="I457" i="21"/>
  <c r="J457" i="21"/>
  <c r="L457" i="21"/>
  <c r="B458" i="21"/>
  <c r="C458" i="21"/>
  <c r="D458" i="21"/>
  <c r="E458" i="21"/>
  <c r="F458" i="21"/>
  <c r="G458" i="21"/>
  <c r="I458" i="21"/>
  <c r="J458" i="21"/>
  <c r="L458" i="21"/>
  <c r="B459" i="21"/>
  <c r="C459" i="21"/>
  <c r="D459" i="21"/>
  <c r="E459" i="21"/>
  <c r="F459" i="21"/>
  <c r="G459" i="21"/>
  <c r="I459" i="21"/>
  <c r="J459" i="21"/>
  <c r="L459" i="21"/>
  <c r="B460" i="21"/>
  <c r="C460" i="21"/>
  <c r="D460" i="21"/>
  <c r="E460" i="21"/>
  <c r="F460" i="21"/>
  <c r="G460" i="21"/>
  <c r="I460" i="21"/>
  <c r="J460" i="21"/>
  <c r="L460" i="21"/>
  <c r="B461" i="21"/>
  <c r="C461" i="21"/>
  <c r="D461" i="21"/>
  <c r="E461" i="21"/>
  <c r="F461" i="21"/>
  <c r="G461" i="21"/>
  <c r="I461" i="21"/>
  <c r="J461" i="21"/>
  <c r="L461" i="21"/>
  <c r="B462" i="21"/>
  <c r="C462" i="21"/>
  <c r="D462" i="21"/>
  <c r="E462" i="21"/>
  <c r="F462" i="21"/>
  <c r="G462" i="21"/>
  <c r="I462" i="21"/>
  <c r="J462" i="21"/>
  <c r="L462" i="21"/>
  <c r="B463" i="21"/>
  <c r="C463" i="21"/>
  <c r="D463" i="21"/>
  <c r="E463" i="21"/>
  <c r="F463" i="21"/>
  <c r="G463" i="21"/>
  <c r="I463" i="21"/>
  <c r="J463" i="21"/>
  <c r="L463" i="21"/>
  <c r="B464" i="21"/>
  <c r="C464" i="21"/>
  <c r="D464" i="21"/>
  <c r="E464" i="21"/>
  <c r="F464" i="21"/>
  <c r="G464" i="21"/>
  <c r="I464" i="21"/>
  <c r="J464" i="21"/>
  <c r="L464" i="21"/>
  <c r="B465" i="21"/>
  <c r="C465" i="21"/>
  <c r="D465" i="21"/>
  <c r="E465" i="21"/>
  <c r="F465" i="21"/>
  <c r="G465" i="21"/>
  <c r="I465" i="21"/>
  <c r="J465" i="21"/>
  <c r="L465" i="21"/>
  <c r="B466" i="21"/>
  <c r="C466" i="21"/>
  <c r="D466" i="21"/>
  <c r="E466" i="21"/>
  <c r="F466" i="21"/>
  <c r="G466" i="21"/>
  <c r="I466" i="21"/>
  <c r="J466" i="21"/>
  <c r="L466" i="21"/>
  <c r="B467" i="21"/>
  <c r="C467" i="21"/>
  <c r="D467" i="21"/>
  <c r="E467" i="21"/>
  <c r="F467" i="21"/>
  <c r="G467" i="21"/>
  <c r="I467" i="21"/>
  <c r="J467" i="21"/>
  <c r="L467" i="21"/>
  <c r="B468" i="21"/>
  <c r="C468" i="21"/>
  <c r="D468" i="21"/>
  <c r="E468" i="21"/>
  <c r="F468" i="21"/>
  <c r="G468" i="21"/>
  <c r="I468" i="21"/>
  <c r="J468" i="21"/>
  <c r="L468" i="21"/>
  <c r="B469" i="21"/>
  <c r="C469" i="21"/>
  <c r="D469" i="21"/>
  <c r="E469" i="21"/>
  <c r="F469" i="21"/>
  <c r="G469" i="21"/>
  <c r="I469" i="21"/>
  <c r="J469" i="21"/>
  <c r="L469" i="21"/>
  <c r="B470" i="21"/>
  <c r="C470" i="21"/>
  <c r="D470" i="21"/>
  <c r="E470" i="21"/>
  <c r="F470" i="21"/>
  <c r="G470" i="21"/>
  <c r="I470" i="21"/>
  <c r="J470" i="21"/>
  <c r="L470" i="21"/>
  <c r="B471" i="21"/>
  <c r="C471" i="21"/>
  <c r="D471" i="21"/>
  <c r="E471" i="21"/>
  <c r="F471" i="21"/>
  <c r="G471" i="21"/>
  <c r="I471" i="21"/>
  <c r="J471" i="21"/>
  <c r="L471" i="21"/>
  <c r="B472" i="21"/>
  <c r="C472" i="21"/>
  <c r="D472" i="21"/>
  <c r="E472" i="21"/>
  <c r="F472" i="21"/>
  <c r="G472" i="21"/>
  <c r="I472" i="21"/>
  <c r="J472" i="21"/>
  <c r="L472" i="21"/>
  <c r="B473" i="21"/>
  <c r="C473" i="21"/>
  <c r="D473" i="21"/>
  <c r="E473" i="21"/>
  <c r="F473" i="21"/>
  <c r="G473" i="21"/>
  <c r="I473" i="21"/>
  <c r="J473" i="21"/>
  <c r="L473" i="21"/>
  <c r="B474" i="21"/>
  <c r="C474" i="21"/>
  <c r="D474" i="21"/>
  <c r="E474" i="21"/>
  <c r="F474" i="21"/>
  <c r="G474" i="21"/>
  <c r="I474" i="21"/>
  <c r="J474" i="21"/>
  <c r="L474" i="21"/>
  <c r="B475" i="21"/>
  <c r="C475" i="21"/>
  <c r="D475" i="21"/>
  <c r="E475" i="21"/>
  <c r="F475" i="21"/>
  <c r="G475" i="21"/>
  <c r="I475" i="21"/>
  <c r="J475" i="21"/>
  <c r="L475" i="21"/>
  <c r="B476" i="21"/>
  <c r="C476" i="21"/>
  <c r="D476" i="21"/>
  <c r="E476" i="21"/>
  <c r="F476" i="21"/>
  <c r="G476" i="21"/>
  <c r="I476" i="21"/>
  <c r="J476" i="21"/>
  <c r="L476" i="21"/>
  <c r="B477" i="21"/>
  <c r="C477" i="21"/>
  <c r="D477" i="21"/>
  <c r="E477" i="21"/>
  <c r="F477" i="21"/>
  <c r="G477" i="21"/>
  <c r="I477" i="21"/>
  <c r="J477" i="21"/>
  <c r="L477" i="21"/>
  <c r="B478" i="21"/>
  <c r="C478" i="21"/>
  <c r="D478" i="21"/>
  <c r="E478" i="21"/>
  <c r="F478" i="21"/>
  <c r="G478" i="21"/>
  <c r="I478" i="21"/>
  <c r="J478" i="21"/>
  <c r="L478" i="21"/>
  <c r="B479" i="21"/>
  <c r="C479" i="21"/>
  <c r="D479" i="21"/>
  <c r="E479" i="21"/>
  <c r="F479" i="21"/>
  <c r="G479" i="21"/>
  <c r="I479" i="21"/>
  <c r="J479" i="21"/>
  <c r="L479" i="21"/>
  <c r="B480" i="21"/>
  <c r="C480" i="21"/>
  <c r="D480" i="21"/>
  <c r="E480" i="21"/>
  <c r="F480" i="21"/>
  <c r="G480" i="21"/>
  <c r="I480" i="21"/>
  <c r="J480" i="21"/>
  <c r="L480" i="21"/>
  <c r="B481" i="21"/>
  <c r="C481" i="21"/>
  <c r="D481" i="21"/>
  <c r="E481" i="21"/>
  <c r="F481" i="21"/>
  <c r="G481" i="21"/>
  <c r="I481" i="21"/>
  <c r="J481" i="21"/>
  <c r="L481" i="21"/>
  <c r="B482" i="21"/>
  <c r="C482" i="21"/>
  <c r="D482" i="21"/>
  <c r="E482" i="21"/>
  <c r="F482" i="21"/>
  <c r="G482" i="21"/>
  <c r="I482" i="21"/>
  <c r="J482" i="21"/>
  <c r="L482" i="21"/>
  <c r="B483" i="21"/>
  <c r="C483" i="21"/>
  <c r="D483" i="21"/>
  <c r="E483" i="21"/>
  <c r="F483" i="21"/>
  <c r="G483" i="21"/>
  <c r="I483" i="21"/>
  <c r="J483" i="21"/>
  <c r="L483" i="21"/>
  <c r="B484" i="21"/>
  <c r="C484" i="21"/>
  <c r="D484" i="21"/>
  <c r="E484" i="21"/>
  <c r="F484" i="21"/>
  <c r="G484" i="21"/>
  <c r="I484" i="21"/>
  <c r="J484" i="21"/>
  <c r="L484" i="21"/>
  <c r="B485" i="21"/>
  <c r="C485" i="21"/>
  <c r="D485" i="21"/>
  <c r="E485" i="21"/>
  <c r="F485" i="21"/>
  <c r="G485" i="21"/>
  <c r="I485" i="21"/>
  <c r="J485" i="21"/>
  <c r="L485" i="21"/>
  <c r="B486" i="21"/>
  <c r="C486" i="21"/>
  <c r="D486" i="21"/>
  <c r="E486" i="21"/>
  <c r="F486" i="21"/>
  <c r="G486" i="21"/>
  <c r="I486" i="21"/>
  <c r="J486" i="21"/>
  <c r="L486" i="21"/>
  <c r="B487" i="21"/>
  <c r="C487" i="21"/>
  <c r="D487" i="21"/>
  <c r="E487" i="21"/>
  <c r="F487" i="21"/>
  <c r="G487" i="21"/>
  <c r="I487" i="21"/>
  <c r="J487" i="21"/>
  <c r="L487" i="21"/>
  <c r="B488" i="21"/>
  <c r="C488" i="21"/>
  <c r="D488" i="21"/>
  <c r="E488" i="21"/>
  <c r="F488" i="21"/>
  <c r="G488" i="21"/>
  <c r="I488" i="21"/>
  <c r="J488" i="21"/>
  <c r="L488" i="21"/>
  <c r="B489" i="21"/>
  <c r="C489" i="21"/>
  <c r="D489" i="21"/>
  <c r="E489" i="21"/>
  <c r="F489" i="21"/>
  <c r="G489" i="21"/>
  <c r="I489" i="21"/>
  <c r="J489" i="21"/>
  <c r="L489" i="21"/>
  <c r="B490" i="21"/>
  <c r="C490" i="21"/>
  <c r="D490" i="21"/>
  <c r="E490" i="21"/>
  <c r="F490" i="21"/>
  <c r="G490" i="21"/>
  <c r="I490" i="21"/>
  <c r="J490" i="21"/>
  <c r="L490" i="21"/>
  <c r="B491" i="21"/>
  <c r="C491" i="21"/>
  <c r="D491" i="21"/>
  <c r="E491" i="21"/>
  <c r="F491" i="21"/>
  <c r="G491" i="21"/>
  <c r="I491" i="21"/>
  <c r="J491" i="21"/>
  <c r="L491" i="21"/>
  <c r="B492" i="21"/>
  <c r="C492" i="21"/>
  <c r="D492" i="21"/>
  <c r="E492" i="21"/>
  <c r="F492" i="21"/>
  <c r="G492" i="21"/>
  <c r="I492" i="21"/>
  <c r="J492" i="21"/>
  <c r="L492" i="21"/>
  <c r="B493" i="21"/>
  <c r="C493" i="21"/>
  <c r="D493" i="21"/>
  <c r="E493" i="21"/>
  <c r="F493" i="21"/>
  <c r="G493" i="21"/>
  <c r="I493" i="21"/>
  <c r="J493" i="21"/>
  <c r="L493" i="21"/>
  <c r="B494" i="21"/>
  <c r="C494" i="21"/>
  <c r="D494" i="21"/>
  <c r="E494" i="21"/>
  <c r="F494" i="21"/>
  <c r="G494" i="21"/>
  <c r="I494" i="21"/>
  <c r="J494" i="21"/>
  <c r="L494" i="21"/>
  <c r="B495" i="21"/>
  <c r="C495" i="21"/>
  <c r="D495" i="21"/>
  <c r="E495" i="21"/>
  <c r="F495" i="21"/>
  <c r="G495" i="21"/>
  <c r="I495" i="21"/>
  <c r="J495" i="21"/>
  <c r="L495" i="21"/>
  <c r="B496" i="21"/>
  <c r="C496" i="21"/>
  <c r="D496" i="21"/>
  <c r="E496" i="21"/>
  <c r="F496" i="21"/>
  <c r="G496" i="21"/>
  <c r="I496" i="21"/>
  <c r="J496" i="21"/>
  <c r="L496" i="21"/>
  <c r="B497" i="21"/>
  <c r="C497" i="21"/>
  <c r="D497" i="21"/>
  <c r="E497" i="21"/>
  <c r="F497" i="21"/>
  <c r="G497" i="21"/>
  <c r="I497" i="21"/>
  <c r="J497" i="21"/>
  <c r="L497" i="21"/>
  <c r="B498" i="21"/>
  <c r="C498" i="21"/>
  <c r="D498" i="21"/>
  <c r="E498" i="21"/>
  <c r="F498" i="21"/>
  <c r="G498" i="21"/>
  <c r="I498" i="21"/>
  <c r="J498" i="21"/>
  <c r="L498" i="21"/>
  <c r="B499" i="21"/>
  <c r="C499" i="21"/>
  <c r="D499" i="21"/>
  <c r="E499" i="21"/>
  <c r="F499" i="21"/>
  <c r="G499" i="21"/>
  <c r="I499" i="21"/>
  <c r="J499" i="21"/>
  <c r="L499" i="21"/>
  <c r="B500" i="21"/>
  <c r="C500" i="21"/>
  <c r="D500" i="21"/>
  <c r="E500" i="21"/>
  <c r="F500" i="21"/>
  <c r="G500" i="21"/>
  <c r="I500" i="21"/>
  <c r="J500" i="21"/>
  <c r="L500" i="21"/>
  <c r="B501" i="21"/>
  <c r="C501" i="21"/>
  <c r="D501" i="21"/>
  <c r="E501" i="21"/>
  <c r="F501" i="21"/>
  <c r="G501" i="21"/>
  <c r="I501" i="21"/>
  <c r="J501" i="21"/>
  <c r="L501" i="21"/>
  <c r="B502" i="21"/>
  <c r="C502" i="21"/>
  <c r="D502" i="21"/>
  <c r="E502" i="21"/>
  <c r="F502" i="21"/>
  <c r="G502" i="21"/>
  <c r="I502" i="21"/>
  <c r="J502" i="21"/>
  <c r="L502" i="21"/>
  <c r="B503" i="21"/>
  <c r="C503" i="21"/>
  <c r="D503" i="21"/>
  <c r="E503" i="21"/>
  <c r="F503" i="21"/>
  <c r="G503" i="21"/>
  <c r="I503" i="21"/>
  <c r="J503" i="21"/>
  <c r="L503" i="21"/>
  <c r="B504" i="21"/>
  <c r="C504" i="21"/>
  <c r="D504" i="21"/>
  <c r="E504" i="21"/>
  <c r="F504" i="21"/>
  <c r="G504" i="21"/>
  <c r="I504" i="21"/>
  <c r="J504" i="21"/>
  <c r="L504" i="21"/>
  <c r="B505" i="21"/>
  <c r="C505" i="21"/>
  <c r="D505" i="21"/>
  <c r="E505" i="21"/>
  <c r="F505" i="21"/>
  <c r="G505" i="21"/>
  <c r="I505" i="21"/>
  <c r="J505" i="21"/>
  <c r="L505" i="21"/>
  <c r="B506" i="21"/>
  <c r="C506" i="21"/>
  <c r="D506" i="21"/>
  <c r="E506" i="21"/>
  <c r="F506" i="21"/>
  <c r="G506" i="21"/>
  <c r="I506" i="21"/>
  <c r="J506" i="21"/>
  <c r="L506" i="21"/>
  <c r="B507" i="21"/>
  <c r="C507" i="21"/>
  <c r="D507" i="21"/>
  <c r="E507" i="21"/>
  <c r="F507" i="21"/>
  <c r="G507" i="21"/>
  <c r="I507" i="21"/>
  <c r="J507" i="21"/>
  <c r="L507" i="21"/>
  <c r="B508" i="21"/>
  <c r="C508" i="21"/>
  <c r="D508" i="21"/>
  <c r="E508" i="21"/>
  <c r="F508" i="21"/>
  <c r="G508" i="21"/>
  <c r="I508" i="21"/>
  <c r="J508" i="21"/>
  <c r="L508" i="21"/>
  <c r="B509" i="21"/>
  <c r="C509" i="21"/>
  <c r="D509" i="21"/>
  <c r="E509" i="21"/>
  <c r="F509" i="21"/>
  <c r="G509" i="21"/>
  <c r="I509" i="21"/>
  <c r="J509" i="21"/>
  <c r="L509" i="21"/>
  <c r="B510" i="21"/>
  <c r="C510" i="21"/>
  <c r="D510" i="21"/>
  <c r="E510" i="21"/>
  <c r="F510" i="21"/>
  <c r="G510" i="21"/>
  <c r="I510" i="21"/>
  <c r="J510" i="21"/>
  <c r="L510" i="21"/>
  <c r="B511" i="21"/>
  <c r="C511" i="21"/>
  <c r="D511" i="21"/>
  <c r="E511" i="21"/>
  <c r="F511" i="21"/>
  <c r="G511" i="21"/>
  <c r="I511" i="21"/>
  <c r="J511" i="21"/>
  <c r="L511" i="21"/>
  <c r="B512" i="21"/>
  <c r="C512" i="21"/>
  <c r="D512" i="21"/>
  <c r="E512" i="21"/>
  <c r="F512" i="21"/>
  <c r="G512" i="21"/>
  <c r="I512" i="21"/>
  <c r="J512" i="21"/>
  <c r="L512" i="21"/>
  <c r="B513" i="21"/>
  <c r="C513" i="21"/>
  <c r="D513" i="21"/>
  <c r="E513" i="21"/>
  <c r="F513" i="21"/>
  <c r="G513" i="21"/>
  <c r="I513" i="21"/>
  <c r="J513" i="21"/>
  <c r="L513" i="21"/>
  <c r="B514" i="21"/>
  <c r="C514" i="21"/>
  <c r="D514" i="21"/>
  <c r="E514" i="21"/>
  <c r="F514" i="21"/>
  <c r="G514" i="21"/>
  <c r="I514" i="21"/>
  <c r="J514" i="21"/>
  <c r="L514" i="21"/>
  <c r="B515" i="21"/>
  <c r="C515" i="21"/>
  <c r="D515" i="21"/>
  <c r="E515" i="21"/>
  <c r="F515" i="21"/>
  <c r="G515" i="21"/>
  <c r="I515" i="21"/>
  <c r="J515" i="21"/>
  <c r="L515" i="21"/>
  <c r="B516" i="21"/>
  <c r="C516" i="21"/>
  <c r="D516" i="21"/>
  <c r="E516" i="21"/>
  <c r="F516" i="21"/>
  <c r="G516" i="21"/>
  <c r="I516" i="21"/>
  <c r="J516" i="21"/>
  <c r="L516" i="21"/>
  <c r="B517" i="21"/>
  <c r="C517" i="21"/>
  <c r="D517" i="21"/>
  <c r="E517" i="21"/>
  <c r="F517" i="21"/>
  <c r="G517" i="21"/>
  <c r="I517" i="21"/>
  <c r="J517" i="21"/>
  <c r="L517" i="21"/>
  <c r="B518" i="21"/>
  <c r="C518" i="21"/>
  <c r="D518" i="21"/>
  <c r="E518" i="21"/>
  <c r="F518" i="21"/>
  <c r="G518" i="21"/>
  <c r="I518" i="21"/>
  <c r="J518" i="21"/>
  <c r="L518" i="21"/>
  <c r="B519" i="21"/>
  <c r="C519" i="21"/>
  <c r="D519" i="21"/>
  <c r="E519" i="21"/>
  <c r="F519" i="21"/>
  <c r="G519" i="21"/>
  <c r="I519" i="21"/>
  <c r="J519" i="21"/>
  <c r="L519" i="21"/>
  <c r="B520" i="21"/>
  <c r="C520" i="21"/>
  <c r="D520" i="21"/>
  <c r="E520" i="21"/>
  <c r="F520" i="21"/>
  <c r="G520" i="21"/>
  <c r="I520" i="21"/>
  <c r="J520" i="21"/>
  <c r="L520" i="21"/>
  <c r="B521" i="21"/>
  <c r="C521" i="21"/>
  <c r="D521" i="21"/>
  <c r="E521" i="21"/>
  <c r="F521" i="21"/>
  <c r="G521" i="21"/>
  <c r="I521" i="21"/>
  <c r="J521" i="21"/>
  <c r="L521" i="21"/>
  <c r="B522" i="21"/>
  <c r="C522" i="21"/>
  <c r="D522" i="21"/>
  <c r="E522" i="21"/>
  <c r="F522" i="21"/>
  <c r="G522" i="21"/>
  <c r="I522" i="21"/>
  <c r="J522" i="21"/>
  <c r="L522" i="21"/>
  <c r="B523" i="21"/>
  <c r="C523" i="21"/>
  <c r="D523" i="21"/>
  <c r="E523" i="21"/>
  <c r="F523" i="21"/>
  <c r="G523" i="21"/>
  <c r="I523" i="21"/>
  <c r="J523" i="21"/>
  <c r="L523" i="21"/>
  <c r="B524" i="21"/>
  <c r="C524" i="21"/>
  <c r="D524" i="21"/>
  <c r="E524" i="21"/>
  <c r="F524" i="21"/>
  <c r="G524" i="21"/>
  <c r="I524" i="21"/>
  <c r="J524" i="21"/>
  <c r="L524" i="21"/>
  <c r="B525" i="21"/>
  <c r="C525" i="21"/>
  <c r="D525" i="21"/>
  <c r="E525" i="21"/>
  <c r="F525" i="21"/>
  <c r="G525" i="21"/>
  <c r="I525" i="21"/>
  <c r="J525" i="21"/>
  <c r="L525" i="21"/>
  <c r="B526" i="21"/>
  <c r="C526" i="21"/>
  <c r="D526" i="21"/>
  <c r="E526" i="21"/>
  <c r="F526" i="21"/>
  <c r="G526" i="21"/>
  <c r="I526" i="21"/>
  <c r="J526" i="21"/>
  <c r="L526" i="21"/>
  <c r="B527" i="21"/>
  <c r="C527" i="21"/>
  <c r="D527" i="21"/>
  <c r="E527" i="21"/>
  <c r="F527" i="21"/>
  <c r="G527" i="21"/>
  <c r="I527" i="21"/>
  <c r="J527" i="21"/>
  <c r="L527" i="21"/>
  <c r="B528" i="21"/>
  <c r="C528" i="21"/>
  <c r="D528" i="21"/>
  <c r="E528" i="21"/>
  <c r="F528" i="21"/>
  <c r="G528" i="21"/>
  <c r="I528" i="21"/>
  <c r="J528" i="21"/>
  <c r="L528" i="21"/>
  <c r="B529" i="21"/>
  <c r="C529" i="21"/>
  <c r="D529" i="21"/>
  <c r="E529" i="21"/>
  <c r="F529" i="21"/>
  <c r="G529" i="21"/>
  <c r="I529" i="21"/>
  <c r="J529" i="21"/>
  <c r="L529" i="21"/>
  <c r="B530" i="21"/>
  <c r="C530" i="21"/>
  <c r="D530" i="21"/>
  <c r="E530" i="21"/>
  <c r="F530" i="21"/>
  <c r="G530" i="21"/>
  <c r="I530" i="21"/>
  <c r="J530" i="21"/>
  <c r="L530" i="21"/>
  <c r="B531" i="21"/>
  <c r="C531" i="21"/>
  <c r="D531" i="21"/>
  <c r="E531" i="21"/>
  <c r="F531" i="21"/>
  <c r="G531" i="21"/>
  <c r="I531" i="21"/>
  <c r="J531" i="21"/>
  <c r="L531" i="21"/>
  <c r="B532" i="21"/>
  <c r="C532" i="21"/>
  <c r="D532" i="21"/>
  <c r="E532" i="21"/>
  <c r="F532" i="21"/>
  <c r="G532" i="21"/>
  <c r="I532" i="21"/>
  <c r="J532" i="21"/>
  <c r="L532" i="21"/>
  <c r="B533" i="21"/>
  <c r="C533" i="21"/>
  <c r="D533" i="21"/>
  <c r="E533" i="21"/>
  <c r="F533" i="21"/>
  <c r="G533" i="21"/>
  <c r="I533" i="21"/>
  <c r="J533" i="21"/>
  <c r="L533" i="21"/>
  <c r="B534" i="21"/>
  <c r="C534" i="21"/>
  <c r="D534" i="21"/>
  <c r="E534" i="21"/>
  <c r="F534" i="21"/>
  <c r="G534" i="21"/>
  <c r="I534" i="21"/>
  <c r="J534" i="21"/>
  <c r="L534" i="21"/>
  <c r="B535" i="21"/>
  <c r="C535" i="21"/>
  <c r="D535" i="21"/>
  <c r="E535" i="21"/>
  <c r="F535" i="21"/>
  <c r="G535" i="21"/>
  <c r="I535" i="21"/>
  <c r="J535" i="21"/>
  <c r="L535" i="21"/>
  <c r="B536" i="21"/>
  <c r="C536" i="21"/>
  <c r="D536" i="21"/>
  <c r="E536" i="21"/>
  <c r="F536" i="21"/>
  <c r="G536" i="21"/>
  <c r="I536" i="21"/>
  <c r="J536" i="21"/>
  <c r="L536" i="21"/>
  <c r="B537" i="21"/>
  <c r="C537" i="21"/>
  <c r="D537" i="21"/>
  <c r="E537" i="21"/>
  <c r="F537" i="21"/>
  <c r="G537" i="21"/>
  <c r="I537" i="21"/>
  <c r="J537" i="21"/>
  <c r="L537" i="21"/>
  <c r="B538" i="21"/>
  <c r="C538" i="21"/>
  <c r="D538" i="21"/>
  <c r="E538" i="21"/>
  <c r="F538" i="21"/>
  <c r="G538" i="21"/>
  <c r="I538" i="21"/>
  <c r="J538" i="21"/>
  <c r="L538" i="21"/>
  <c r="B539" i="21"/>
  <c r="C539" i="21"/>
  <c r="D539" i="21"/>
  <c r="E539" i="21"/>
  <c r="F539" i="21"/>
  <c r="G539" i="21"/>
  <c r="I539" i="21"/>
  <c r="J539" i="21"/>
  <c r="L539" i="21"/>
  <c r="B540" i="21"/>
  <c r="C540" i="21"/>
  <c r="D540" i="21"/>
  <c r="E540" i="21"/>
  <c r="F540" i="21"/>
  <c r="G540" i="21"/>
  <c r="I540" i="21"/>
  <c r="J540" i="21"/>
  <c r="L540" i="21"/>
  <c r="B541" i="21"/>
  <c r="C541" i="21"/>
  <c r="D541" i="21"/>
  <c r="E541" i="21"/>
  <c r="F541" i="21"/>
  <c r="G541" i="21"/>
  <c r="I541" i="21"/>
  <c r="J541" i="21"/>
  <c r="L541" i="21"/>
  <c r="B542" i="21"/>
  <c r="C542" i="21"/>
  <c r="D542" i="21"/>
  <c r="E542" i="21"/>
  <c r="F542" i="21"/>
  <c r="G542" i="21"/>
  <c r="I542" i="21"/>
  <c r="J542" i="21"/>
  <c r="L542" i="21"/>
  <c r="B543" i="21"/>
  <c r="C543" i="21"/>
  <c r="D543" i="21"/>
  <c r="E543" i="21"/>
  <c r="F543" i="21"/>
  <c r="G543" i="21"/>
  <c r="I543" i="21"/>
  <c r="J543" i="21"/>
  <c r="L543" i="21"/>
  <c r="B544" i="21"/>
  <c r="C544" i="21"/>
  <c r="D544" i="21"/>
  <c r="E544" i="21"/>
  <c r="F544" i="21"/>
  <c r="G544" i="21"/>
  <c r="I544" i="21"/>
  <c r="J544" i="21"/>
  <c r="L544" i="21"/>
  <c r="B545" i="21"/>
  <c r="C545" i="21"/>
  <c r="D545" i="21"/>
  <c r="E545" i="21"/>
  <c r="F545" i="21"/>
  <c r="G545" i="21"/>
  <c r="I545" i="21"/>
  <c r="J545" i="21"/>
  <c r="L545" i="21"/>
  <c r="B546" i="21"/>
  <c r="C546" i="21"/>
  <c r="D546" i="21"/>
  <c r="E546" i="21"/>
  <c r="F546" i="21"/>
  <c r="G546" i="21"/>
  <c r="I546" i="21"/>
  <c r="J546" i="21"/>
  <c r="L546" i="21"/>
  <c r="B547" i="21"/>
  <c r="C547" i="21"/>
  <c r="D547" i="21"/>
  <c r="E547" i="21"/>
  <c r="F547" i="21"/>
  <c r="G547" i="21"/>
  <c r="I547" i="21"/>
  <c r="J547" i="21"/>
  <c r="L547" i="21"/>
  <c r="B548" i="21"/>
  <c r="C548" i="21"/>
  <c r="D548" i="21"/>
  <c r="E548" i="21"/>
  <c r="F548" i="21"/>
  <c r="G548" i="21"/>
  <c r="I548" i="21"/>
  <c r="J548" i="21"/>
  <c r="L548" i="21"/>
  <c r="B549" i="21"/>
  <c r="C549" i="21"/>
  <c r="D549" i="21"/>
  <c r="E549" i="21"/>
  <c r="F549" i="21"/>
  <c r="G549" i="21"/>
  <c r="I549" i="21"/>
  <c r="J549" i="21"/>
  <c r="L549" i="21"/>
  <c r="B550" i="21"/>
  <c r="C550" i="21"/>
  <c r="D550" i="21"/>
  <c r="E550" i="21"/>
  <c r="F550" i="21"/>
  <c r="G550" i="21"/>
  <c r="I550" i="21"/>
  <c r="J550" i="21"/>
  <c r="L550" i="21"/>
  <c r="B551" i="21"/>
  <c r="C551" i="21"/>
  <c r="D551" i="21"/>
  <c r="E551" i="21"/>
  <c r="F551" i="21"/>
  <c r="G551" i="21"/>
  <c r="I551" i="21"/>
  <c r="J551" i="21"/>
  <c r="L551" i="21"/>
  <c r="B552" i="21"/>
  <c r="C552" i="21"/>
  <c r="D552" i="21"/>
  <c r="E552" i="21"/>
  <c r="F552" i="21"/>
  <c r="G552" i="21"/>
  <c r="I552" i="21"/>
  <c r="J552" i="21"/>
  <c r="L552" i="21"/>
  <c r="B553" i="21"/>
  <c r="C553" i="21"/>
  <c r="D553" i="21"/>
  <c r="E553" i="21"/>
  <c r="F553" i="21"/>
  <c r="G553" i="21"/>
  <c r="I553" i="21"/>
  <c r="J553" i="21"/>
  <c r="L553" i="21"/>
  <c r="B554" i="21"/>
  <c r="C554" i="21"/>
  <c r="D554" i="21"/>
  <c r="E554" i="21"/>
  <c r="F554" i="21"/>
  <c r="G554" i="21"/>
  <c r="I554" i="21"/>
  <c r="J554" i="21"/>
  <c r="L554" i="21"/>
  <c r="B555" i="21"/>
  <c r="C555" i="21"/>
  <c r="D555" i="21"/>
  <c r="E555" i="21"/>
  <c r="F555" i="21"/>
  <c r="G555" i="21"/>
  <c r="I555" i="21"/>
  <c r="J555" i="21"/>
  <c r="L555" i="21"/>
  <c r="B556" i="21"/>
  <c r="C556" i="21"/>
  <c r="D556" i="21"/>
  <c r="E556" i="21"/>
  <c r="F556" i="21"/>
  <c r="G556" i="21"/>
  <c r="I556" i="21"/>
  <c r="J556" i="21"/>
  <c r="L556" i="21"/>
  <c r="B557" i="21"/>
  <c r="C557" i="21"/>
  <c r="D557" i="21"/>
  <c r="E557" i="21"/>
  <c r="F557" i="21"/>
  <c r="G557" i="21"/>
  <c r="I557" i="21"/>
  <c r="J557" i="21"/>
  <c r="L557" i="21"/>
  <c r="B558" i="21"/>
  <c r="C558" i="21"/>
  <c r="D558" i="21"/>
  <c r="E558" i="21"/>
  <c r="F558" i="21"/>
  <c r="G558" i="21"/>
  <c r="I558" i="21"/>
  <c r="J558" i="21"/>
  <c r="L558" i="21"/>
  <c r="B559" i="21"/>
  <c r="C559" i="21"/>
  <c r="D559" i="21"/>
  <c r="E559" i="21"/>
  <c r="F559" i="21"/>
  <c r="G559" i="21"/>
  <c r="I559" i="21"/>
  <c r="J559" i="21"/>
  <c r="L559" i="21"/>
  <c r="B560" i="21"/>
  <c r="C560" i="21"/>
  <c r="D560" i="21"/>
  <c r="E560" i="21"/>
  <c r="F560" i="21"/>
  <c r="G560" i="21"/>
  <c r="I560" i="21"/>
  <c r="J560" i="21"/>
  <c r="L560" i="21"/>
  <c r="B561" i="21"/>
  <c r="C561" i="21"/>
  <c r="D561" i="21"/>
  <c r="E561" i="21"/>
  <c r="F561" i="21"/>
  <c r="G561" i="21"/>
  <c r="I561" i="21"/>
  <c r="J561" i="21"/>
  <c r="L561" i="21"/>
  <c r="B562" i="21"/>
  <c r="C562" i="21"/>
  <c r="D562" i="21"/>
  <c r="E562" i="21"/>
  <c r="F562" i="21"/>
  <c r="G562" i="21"/>
  <c r="I562" i="21"/>
  <c r="J562" i="21"/>
  <c r="L562" i="21"/>
  <c r="B563" i="21"/>
  <c r="C563" i="21"/>
  <c r="D563" i="21"/>
  <c r="E563" i="21"/>
  <c r="F563" i="21"/>
  <c r="G563" i="21"/>
  <c r="I563" i="21"/>
  <c r="J563" i="21"/>
  <c r="L563" i="21"/>
  <c r="B564" i="21"/>
  <c r="C564" i="21"/>
  <c r="D564" i="21"/>
  <c r="E564" i="21"/>
  <c r="F564" i="21"/>
  <c r="G564" i="21"/>
  <c r="I564" i="21"/>
  <c r="J564" i="21"/>
  <c r="L564" i="21"/>
  <c r="B565" i="21"/>
  <c r="C565" i="21"/>
  <c r="D565" i="21"/>
  <c r="E565" i="21"/>
  <c r="F565" i="21"/>
  <c r="G565" i="21"/>
  <c r="I565" i="21"/>
  <c r="J565" i="21"/>
  <c r="L565" i="21"/>
  <c r="B566" i="21"/>
  <c r="C566" i="21"/>
  <c r="D566" i="21"/>
  <c r="E566" i="21"/>
  <c r="F566" i="21"/>
  <c r="G566" i="21"/>
  <c r="I566" i="21"/>
  <c r="J566" i="21"/>
  <c r="L566" i="21"/>
  <c r="B567" i="21"/>
  <c r="C567" i="21"/>
  <c r="D567" i="21"/>
  <c r="E567" i="21"/>
  <c r="F567" i="21"/>
  <c r="G567" i="21"/>
  <c r="I567" i="21"/>
  <c r="J567" i="21"/>
  <c r="L567" i="21"/>
  <c r="B568" i="21"/>
  <c r="C568" i="21"/>
  <c r="D568" i="21"/>
  <c r="E568" i="21"/>
  <c r="F568" i="21"/>
  <c r="G568" i="21"/>
  <c r="I568" i="21"/>
  <c r="J568" i="21"/>
  <c r="L568" i="21"/>
  <c r="B569" i="21"/>
  <c r="C569" i="21"/>
  <c r="D569" i="21"/>
  <c r="E569" i="21"/>
  <c r="F569" i="21"/>
  <c r="G569" i="21"/>
  <c r="I569" i="21"/>
  <c r="J569" i="21"/>
  <c r="L569" i="21"/>
  <c r="B570" i="21"/>
  <c r="C570" i="21"/>
  <c r="D570" i="21"/>
  <c r="E570" i="21"/>
  <c r="F570" i="21"/>
  <c r="G570" i="21"/>
  <c r="I570" i="21"/>
  <c r="J570" i="21"/>
  <c r="L570" i="21"/>
  <c r="B571" i="21"/>
  <c r="C571" i="21"/>
  <c r="D571" i="21"/>
  <c r="E571" i="21"/>
  <c r="F571" i="21"/>
  <c r="G571" i="21"/>
  <c r="I571" i="21"/>
  <c r="J571" i="21"/>
  <c r="L571" i="21"/>
  <c r="B572" i="21"/>
  <c r="C572" i="21"/>
  <c r="D572" i="21"/>
  <c r="E572" i="21"/>
  <c r="F572" i="21"/>
  <c r="G572" i="21"/>
  <c r="I572" i="21"/>
  <c r="J572" i="21"/>
  <c r="L572" i="21"/>
  <c r="B573" i="21"/>
  <c r="C573" i="21"/>
  <c r="D573" i="21"/>
  <c r="E573" i="21"/>
  <c r="F573" i="21"/>
  <c r="G573" i="21"/>
  <c r="I573" i="21"/>
  <c r="J573" i="21"/>
  <c r="L573" i="21"/>
  <c r="B574" i="21"/>
  <c r="C574" i="21"/>
  <c r="D574" i="21"/>
  <c r="E574" i="21"/>
  <c r="F574" i="21"/>
  <c r="G574" i="21"/>
  <c r="I574" i="21"/>
  <c r="J574" i="21"/>
  <c r="L574" i="21"/>
  <c r="B575" i="21"/>
  <c r="C575" i="21"/>
  <c r="D575" i="21"/>
  <c r="E575" i="21"/>
  <c r="F575" i="21"/>
  <c r="G575" i="21"/>
  <c r="I575" i="21"/>
  <c r="J575" i="21"/>
  <c r="L575" i="21"/>
  <c r="B576" i="21"/>
  <c r="C576" i="21"/>
  <c r="D576" i="21"/>
  <c r="E576" i="21"/>
  <c r="F576" i="21"/>
  <c r="G576" i="21"/>
  <c r="I576" i="21"/>
  <c r="J576" i="21"/>
  <c r="L576" i="21"/>
  <c r="B577" i="21"/>
  <c r="C577" i="21"/>
  <c r="D577" i="21"/>
  <c r="E577" i="21"/>
  <c r="F577" i="21"/>
  <c r="G577" i="21"/>
  <c r="I577" i="21"/>
  <c r="J577" i="21"/>
  <c r="L577" i="21"/>
  <c r="B578" i="21"/>
  <c r="C578" i="21"/>
  <c r="D578" i="21"/>
  <c r="E578" i="21"/>
  <c r="F578" i="21"/>
  <c r="G578" i="21"/>
  <c r="I578" i="21"/>
  <c r="J578" i="21"/>
  <c r="L578" i="21"/>
  <c r="B579" i="21"/>
  <c r="C579" i="21"/>
  <c r="D579" i="21"/>
  <c r="E579" i="21"/>
  <c r="F579" i="21"/>
  <c r="G579" i="21"/>
  <c r="I579" i="21"/>
  <c r="J579" i="21"/>
  <c r="L579" i="21"/>
  <c r="B580" i="21"/>
  <c r="C580" i="21"/>
  <c r="D580" i="21"/>
  <c r="E580" i="21"/>
  <c r="F580" i="21"/>
  <c r="G580" i="21"/>
  <c r="I580" i="21"/>
  <c r="J580" i="21"/>
  <c r="L580" i="21"/>
  <c r="B581" i="21"/>
  <c r="C581" i="21"/>
  <c r="D581" i="21"/>
  <c r="E581" i="21"/>
  <c r="F581" i="21"/>
  <c r="G581" i="21"/>
  <c r="I581" i="21"/>
  <c r="J581" i="21"/>
  <c r="L581" i="21"/>
  <c r="B582" i="21"/>
  <c r="C582" i="21"/>
  <c r="D582" i="21"/>
  <c r="E582" i="21"/>
  <c r="F582" i="21"/>
  <c r="G582" i="21"/>
  <c r="I582" i="21"/>
  <c r="J582" i="21"/>
  <c r="L582" i="21"/>
  <c r="B583" i="21"/>
  <c r="C583" i="21"/>
  <c r="D583" i="21"/>
  <c r="E583" i="21"/>
  <c r="F583" i="21"/>
  <c r="G583" i="21"/>
  <c r="I583" i="21"/>
  <c r="J583" i="21"/>
  <c r="L583" i="21"/>
  <c r="B584" i="21"/>
  <c r="C584" i="21"/>
  <c r="D584" i="21"/>
  <c r="E584" i="21"/>
  <c r="F584" i="21"/>
  <c r="G584" i="21"/>
  <c r="I584" i="21"/>
  <c r="J584" i="21"/>
  <c r="L584" i="21"/>
  <c r="B585" i="21"/>
  <c r="C585" i="21"/>
  <c r="D585" i="21"/>
  <c r="E585" i="21"/>
  <c r="F585" i="21"/>
  <c r="G585" i="21"/>
  <c r="I585" i="21"/>
  <c r="J585" i="21"/>
  <c r="L585" i="21"/>
  <c r="B586" i="21"/>
  <c r="C586" i="21"/>
  <c r="D586" i="21"/>
  <c r="E586" i="21"/>
  <c r="F586" i="21"/>
  <c r="G586" i="21"/>
  <c r="I586" i="21"/>
  <c r="J586" i="21"/>
  <c r="L586" i="21"/>
  <c r="B587" i="21"/>
  <c r="C587" i="21"/>
  <c r="D587" i="21"/>
  <c r="E587" i="21"/>
  <c r="F587" i="21"/>
  <c r="G587" i="21"/>
  <c r="I587" i="21"/>
  <c r="J587" i="21"/>
  <c r="L587" i="21"/>
  <c r="B588" i="21"/>
  <c r="C588" i="21"/>
  <c r="D588" i="21"/>
  <c r="E588" i="21"/>
  <c r="F588" i="21"/>
  <c r="G588" i="21"/>
  <c r="I588" i="21"/>
  <c r="J588" i="21"/>
  <c r="L588" i="21"/>
  <c r="B589" i="21"/>
  <c r="C589" i="21"/>
  <c r="D589" i="21"/>
  <c r="E589" i="21"/>
  <c r="F589" i="21"/>
  <c r="G589" i="21"/>
  <c r="I589" i="21"/>
  <c r="J589" i="21"/>
  <c r="L589" i="21"/>
  <c r="B590" i="21"/>
  <c r="C590" i="21"/>
  <c r="D590" i="21"/>
  <c r="E590" i="21"/>
  <c r="F590" i="21"/>
  <c r="G590" i="21"/>
  <c r="I590" i="21"/>
  <c r="J590" i="21"/>
  <c r="L590" i="21"/>
  <c r="B591" i="21"/>
  <c r="C591" i="21"/>
  <c r="D591" i="21"/>
  <c r="E591" i="21"/>
  <c r="F591" i="21"/>
  <c r="G591" i="21"/>
  <c r="I591" i="21"/>
  <c r="J591" i="21"/>
  <c r="L591" i="21"/>
  <c r="B592" i="21"/>
  <c r="C592" i="21"/>
  <c r="D592" i="21"/>
  <c r="E592" i="21"/>
  <c r="F592" i="21"/>
  <c r="G592" i="21"/>
  <c r="I592" i="21"/>
  <c r="J592" i="21"/>
  <c r="L592" i="21"/>
  <c r="B593" i="21"/>
  <c r="C593" i="21"/>
  <c r="D593" i="21"/>
  <c r="E593" i="21"/>
  <c r="F593" i="21"/>
  <c r="G593" i="21"/>
  <c r="I593" i="21"/>
  <c r="J593" i="21"/>
  <c r="L593" i="21"/>
  <c r="B594" i="21"/>
  <c r="C594" i="21"/>
  <c r="D594" i="21"/>
  <c r="E594" i="21"/>
  <c r="F594" i="21"/>
  <c r="G594" i="21"/>
  <c r="I594" i="21"/>
  <c r="J594" i="21"/>
  <c r="L594" i="21"/>
  <c r="B595" i="21"/>
  <c r="C595" i="21"/>
  <c r="D595" i="21"/>
  <c r="E595" i="21"/>
  <c r="F595" i="21"/>
  <c r="G595" i="21"/>
  <c r="I595" i="21"/>
  <c r="J595" i="21"/>
  <c r="L595" i="21"/>
  <c r="B596" i="21"/>
  <c r="C596" i="21"/>
  <c r="D596" i="21"/>
  <c r="E596" i="21"/>
  <c r="F596" i="21"/>
  <c r="G596" i="21"/>
  <c r="I596" i="21"/>
  <c r="J596" i="21"/>
  <c r="L596" i="21"/>
  <c r="B597" i="21"/>
  <c r="C597" i="21"/>
  <c r="D597" i="21"/>
  <c r="E597" i="21"/>
  <c r="F597" i="21"/>
  <c r="G597" i="21"/>
  <c r="I597" i="21"/>
  <c r="J597" i="21"/>
  <c r="L597" i="21"/>
  <c r="B598" i="21"/>
  <c r="C598" i="21"/>
  <c r="D598" i="21"/>
  <c r="E598" i="21"/>
  <c r="F598" i="21"/>
  <c r="G598" i="21"/>
  <c r="I598" i="21"/>
  <c r="J598" i="21"/>
  <c r="L598" i="21"/>
  <c r="B599" i="21"/>
  <c r="C599" i="21"/>
  <c r="D599" i="21"/>
  <c r="E599" i="21"/>
  <c r="F599" i="21"/>
  <c r="G599" i="21"/>
  <c r="I599" i="21"/>
  <c r="J599" i="21"/>
  <c r="L599" i="21"/>
  <c r="B600" i="21"/>
  <c r="C600" i="21"/>
  <c r="D600" i="21"/>
  <c r="E600" i="21"/>
  <c r="F600" i="21"/>
  <c r="G600" i="21"/>
  <c r="I600" i="21"/>
  <c r="J600" i="21"/>
  <c r="L600" i="21"/>
  <c r="B601" i="21"/>
  <c r="C601" i="21"/>
  <c r="D601" i="21"/>
  <c r="E601" i="21"/>
  <c r="F601" i="21"/>
  <c r="G601" i="21"/>
  <c r="I601" i="21"/>
  <c r="J601" i="21"/>
  <c r="L601" i="21"/>
  <c r="B602" i="21"/>
  <c r="C602" i="21"/>
  <c r="D602" i="21"/>
  <c r="E602" i="21"/>
  <c r="F602" i="21"/>
  <c r="G602" i="21"/>
  <c r="I602" i="21"/>
  <c r="J602" i="21"/>
  <c r="L602" i="21"/>
  <c r="B603" i="21"/>
  <c r="C603" i="21"/>
  <c r="D603" i="21"/>
  <c r="E603" i="21"/>
  <c r="F603" i="21"/>
  <c r="G603" i="21"/>
  <c r="I603" i="21"/>
  <c r="J603" i="21"/>
  <c r="L603" i="21"/>
  <c r="B604" i="21"/>
  <c r="C604" i="21"/>
  <c r="D604" i="21"/>
  <c r="E604" i="21"/>
  <c r="F604" i="21"/>
  <c r="G604" i="21"/>
  <c r="I604" i="21"/>
  <c r="J604" i="21"/>
  <c r="L604" i="21"/>
  <c r="B605" i="21"/>
  <c r="C605" i="21"/>
  <c r="D605" i="21"/>
  <c r="E605" i="21"/>
  <c r="F605" i="21"/>
  <c r="G605" i="21"/>
  <c r="I605" i="21"/>
  <c r="J605" i="21"/>
  <c r="L605" i="21"/>
  <c r="B606" i="21"/>
  <c r="C606" i="21"/>
  <c r="D606" i="21"/>
  <c r="E606" i="21"/>
  <c r="F606" i="21"/>
  <c r="G606" i="21"/>
  <c r="I606" i="21"/>
  <c r="J606" i="21"/>
  <c r="L606" i="21"/>
  <c r="B607" i="21"/>
  <c r="C607" i="21"/>
  <c r="D607" i="21"/>
  <c r="E607" i="21"/>
  <c r="F607" i="21"/>
  <c r="G607" i="21"/>
  <c r="I607" i="21"/>
  <c r="J607" i="21"/>
  <c r="L607" i="21"/>
  <c r="B608" i="21"/>
  <c r="C608" i="21"/>
  <c r="D608" i="21"/>
  <c r="E608" i="21"/>
  <c r="F608" i="21"/>
  <c r="G608" i="21"/>
  <c r="I608" i="21"/>
  <c r="J608" i="21"/>
  <c r="L608" i="21"/>
  <c r="B609" i="21"/>
  <c r="C609" i="21"/>
  <c r="D609" i="21"/>
  <c r="E609" i="21"/>
  <c r="F609" i="21"/>
  <c r="G609" i="21"/>
  <c r="I609" i="21"/>
  <c r="J609" i="21"/>
  <c r="L609" i="21"/>
  <c r="B610" i="21"/>
  <c r="C610" i="21"/>
  <c r="D610" i="21"/>
  <c r="E610" i="21"/>
  <c r="F610" i="21"/>
  <c r="G610" i="21"/>
  <c r="I610" i="21"/>
  <c r="J610" i="21"/>
  <c r="L610" i="21"/>
  <c r="B611" i="21"/>
  <c r="C611" i="21"/>
  <c r="D611" i="21"/>
  <c r="E611" i="21"/>
  <c r="F611" i="21"/>
  <c r="G611" i="21"/>
  <c r="I611" i="21"/>
  <c r="J611" i="21"/>
  <c r="L611" i="21"/>
  <c r="B612" i="21"/>
  <c r="C612" i="21"/>
  <c r="D612" i="21"/>
  <c r="E612" i="21"/>
  <c r="F612" i="21"/>
  <c r="G612" i="21"/>
  <c r="I612" i="21"/>
  <c r="J612" i="21"/>
  <c r="L612" i="21"/>
  <c r="B613" i="21"/>
  <c r="C613" i="21"/>
  <c r="D613" i="21"/>
  <c r="E613" i="21"/>
  <c r="F613" i="21"/>
  <c r="G613" i="21"/>
  <c r="I613" i="21"/>
  <c r="J613" i="21"/>
  <c r="L613" i="21"/>
  <c r="B614" i="21"/>
  <c r="C614" i="21"/>
  <c r="D614" i="21"/>
  <c r="E614" i="21"/>
  <c r="F614" i="21"/>
  <c r="G614" i="21"/>
  <c r="I614" i="21"/>
  <c r="J614" i="21"/>
  <c r="L614" i="21"/>
  <c r="B615" i="21"/>
  <c r="C615" i="21"/>
  <c r="D615" i="21"/>
  <c r="E615" i="21"/>
  <c r="F615" i="21"/>
  <c r="G615" i="21"/>
  <c r="I615" i="21"/>
  <c r="J615" i="21"/>
  <c r="L615" i="21"/>
  <c r="B616" i="21"/>
  <c r="C616" i="21"/>
  <c r="D616" i="21"/>
  <c r="E616" i="21"/>
  <c r="F616" i="21"/>
  <c r="G616" i="21"/>
  <c r="I616" i="21"/>
  <c r="J616" i="21"/>
  <c r="L616" i="21"/>
  <c r="B617" i="21"/>
  <c r="C617" i="21"/>
  <c r="D617" i="21"/>
  <c r="E617" i="21"/>
  <c r="F617" i="21"/>
  <c r="G617" i="21"/>
  <c r="I617" i="21"/>
  <c r="J617" i="21"/>
  <c r="L617" i="21"/>
  <c r="B618" i="21"/>
  <c r="C618" i="21"/>
  <c r="D618" i="21"/>
  <c r="E618" i="21"/>
  <c r="F618" i="21"/>
  <c r="G618" i="21"/>
  <c r="I618" i="21"/>
  <c r="J618" i="21"/>
  <c r="L618" i="21"/>
  <c r="B619" i="21"/>
  <c r="C619" i="21"/>
  <c r="D619" i="21"/>
  <c r="E619" i="21"/>
  <c r="F619" i="21"/>
  <c r="G619" i="21"/>
  <c r="I619" i="21"/>
  <c r="J619" i="21"/>
  <c r="L619" i="21"/>
  <c r="B620" i="21"/>
  <c r="C620" i="21"/>
  <c r="D620" i="21"/>
  <c r="E620" i="21"/>
  <c r="F620" i="21"/>
  <c r="G620" i="21"/>
  <c r="I620" i="21"/>
  <c r="J620" i="21"/>
  <c r="L620" i="21"/>
  <c r="B621" i="21"/>
  <c r="C621" i="21"/>
  <c r="D621" i="21"/>
  <c r="E621" i="21"/>
  <c r="F621" i="21"/>
  <c r="G621" i="21"/>
  <c r="I621" i="21"/>
  <c r="J621" i="21"/>
  <c r="L621" i="21"/>
  <c r="B622" i="21"/>
  <c r="C622" i="21"/>
  <c r="D622" i="21"/>
  <c r="E622" i="21"/>
  <c r="F622" i="21"/>
  <c r="G622" i="21"/>
  <c r="I622" i="21"/>
  <c r="J622" i="21"/>
  <c r="L622" i="21"/>
  <c r="B623" i="21"/>
  <c r="C623" i="21"/>
  <c r="D623" i="21"/>
  <c r="E623" i="21"/>
  <c r="F623" i="21"/>
  <c r="G623" i="21"/>
  <c r="I623" i="21"/>
  <c r="J623" i="21"/>
  <c r="L623" i="21"/>
  <c r="B624" i="21"/>
  <c r="C624" i="21"/>
  <c r="D624" i="21"/>
  <c r="E624" i="21"/>
  <c r="F624" i="21"/>
  <c r="G624" i="21"/>
  <c r="I624" i="21"/>
  <c r="J624" i="21"/>
  <c r="L624" i="21"/>
  <c r="B625" i="21"/>
  <c r="C625" i="21"/>
  <c r="D625" i="21"/>
  <c r="E625" i="21"/>
  <c r="F625" i="21"/>
  <c r="G625" i="21"/>
  <c r="I625" i="21"/>
  <c r="J625" i="21"/>
  <c r="L625" i="21"/>
  <c r="B626" i="21"/>
  <c r="C626" i="21"/>
  <c r="D626" i="21"/>
  <c r="E626" i="21"/>
  <c r="F626" i="21"/>
  <c r="G626" i="21"/>
  <c r="I626" i="21"/>
  <c r="J626" i="21"/>
  <c r="L626" i="21"/>
  <c r="B627" i="21"/>
  <c r="C627" i="21"/>
  <c r="D627" i="21"/>
  <c r="E627" i="21"/>
  <c r="F627" i="21"/>
  <c r="G627" i="21"/>
  <c r="I627" i="21"/>
  <c r="J627" i="21"/>
  <c r="L627" i="21"/>
  <c r="B628" i="21"/>
  <c r="C628" i="21"/>
  <c r="D628" i="21"/>
  <c r="E628" i="21"/>
  <c r="F628" i="21"/>
  <c r="G628" i="21"/>
  <c r="I628" i="21"/>
  <c r="J628" i="21"/>
  <c r="L628" i="21"/>
  <c r="B629" i="21"/>
  <c r="C629" i="21"/>
  <c r="D629" i="21"/>
  <c r="E629" i="21"/>
  <c r="F629" i="21"/>
  <c r="G629" i="21"/>
  <c r="I629" i="21"/>
  <c r="J629" i="21"/>
  <c r="L629" i="21"/>
  <c r="B630" i="21"/>
  <c r="C630" i="21"/>
  <c r="D630" i="21"/>
  <c r="E630" i="21"/>
  <c r="F630" i="21"/>
  <c r="G630" i="21"/>
  <c r="I630" i="21"/>
  <c r="J630" i="21"/>
  <c r="L630" i="21"/>
  <c r="B631" i="21"/>
  <c r="C631" i="21"/>
  <c r="D631" i="21"/>
  <c r="E631" i="21"/>
  <c r="F631" i="21"/>
  <c r="G631" i="21"/>
  <c r="I631" i="21"/>
  <c r="J631" i="21"/>
  <c r="L631" i="21"/>
  <c r="B632" i="21"/>
  <c r="C632" i="21"/>
  <c r="D632" i="21"/>
  <c r="E632" i="21"/>
  <c r="F632" i="21"/>
  <c r="G632" i="21"/>
  <c r="I632" i="21"/>
  <c r="J632" i="21"/>
  <c r="L632" i="21"/>
  <c r="B633" i="21"/>
  <c r="C633" i="21"/>
  <c r="D633" i="21"/>
  <c r="E633" i="21"/>
  <c r="F633" i="21"/>
  <c r="G633" i="21"/>
  <c r="I633" i="21"/>
  <c r="J633" i="21"/>
  <c r="L633" i="21"/>
  <c r="B634" i="21"/>
  <c r="C634" i="21"/>
  <c r="D634" i="21"/>
  <c r="E634" i="21"/>
  <c r="F634" i="21"/>
  <c r="G634" i="21"/>
  <c r="I634" i="21"/>
  <c r="J634" i="21"/>
  <c r="L634" i="21"/>
  <c r="B635" i="21"/>
  <c r="C635" i="21"/>
  <c r="D635" i="21"/>
  <c r="E635" i="21"/>
  <c r="F635" i="21"/>
  <c r="G635" i="21"/>
  <c r="I635" i="21"/>
  <c r="J635" i="21"/>
  <c r="L635" i="21"/>
  <c r="B636" i="21"/>
  <c r="C636" i="21"/>
  <c r="D636" i="21"/>
  <c r="E636" i="21"/>
  <c r="F636" i="21"/>
  <c r="G636" i="21"/>
  <c r="I636" i="21"/>
  <c r="J636" i="21"/>
  <c r="L636" i="21"/>
  <c r="B637" i="21"/>
  <c r="C637" i="21"/>
  <c r="D637" i="21"/>
  <c r="E637" i="21"/>
  <c r="F637" i="21"/>
  <c r="G637" i="21"/>
  <c r="I637" i="21"/>
  <c r="J637" i="21"/>
  <c r="L637" i="21"/>
  <c r="B638" i="21"/>
  <c r="C638" i="21"/>
  <c r="D638" i="21"/>
  <c r="E638" i="21"/>
  <c r="F638" i="21"/>
  <c r="G638" i="21"/>
  <c r="I638" i="21"/>
  <c r="J638" i="21"/>
  <c r="L638" i="21"/>
  <c r="B639" i="21"/>
  <c r="C639" i="21"/>
  <c r="D639" i="21"/>
  <c r="E639" i="21"/>
  <c r="F639" i="21"/>
  <c r="G639" i="21"/>
  <c r="I639" i="21"/>
  <c r="J639" i="21"/>
  <c r="L639" i="21"/>
  <c r="B640" i="21"/>
  <c r="C640" i="21"/>
  <c r="D640" i="21"/>
  <c r="E640" i="21"/>
  <c r="F640" i="21"/>
  <c r="G640" i="21"/>
  <c r="I640" i="21"/>
  <c r="J640" i="21"/>
  <c r="L640" i="21"/>
  <c r="B641" i="21"/>
  <c r="C641" i="21"/>
  <c r="D641" i="21"/>
  <c r="E641" i="21"/>
  <c r="F641" i="21"/>
  <c r="G641" i="21"/>
  <c r="I641" i="21"/>
  <c r="J641" i="21"/>
  <c r="L641" i="21"/>
  <c r="B642" i="21"/>
  <c r="C642" i="21"/>
  <c r="D642" i="21"/>
  <c r="E642" i="21"/>
  <c r="F642" i="21"/>
  <c r="G642" i="21"/>
  <c r="I642" i="21"/>
  <c r="J642" i="21"/>
  <c r="L642" i="21"/>
  <c r="B643" i="21"/>
  <c r="C643" i="21"/>
  <c r="D643" i="21"/>
  <c r="E643" i="21"/>
  <c r="F643" i="21"/>
  <c r="G643" i="21"/>
  <c r="I643" i="21"/>
  <c r="J643" i="21"/>
  <c r="L643" i="21"/>
  <c r="B644" i="21"/>
  <c r="C644" i="21"/>
  <c r="D644" i="21"/>
  <c r="E644" i="21"/>
  <c r="F644" i="21"/>
  <c r="G644" i="21"/>
  <c r="I644" i="21"/>
  <c r="J644" i="21"/>
  <c r="L644" i="21"/>
  <c r="B645" i="21"/>
  <c r="C645" i="21"/>
  <c r="D645" i="21"/>
  <c r="E645" i="21"/>
  <c r="F645" i="21"/>
  <c r="G645" i="21"/>
  <c r="I645" i="21"/>
  <c r="J645" i="21"/>
  <c r="L645" i="21"/>
  <c r="B646" i="21"/>
  <c r="C646" i="21"/>
  <c r="D646" i="21"/>
  <c r="E646" i="21"/>
  <c r="F646" i="21"/>
  <c r="G646" i="21"/>
  <c r="I646" i="21"/>
  <c r="J646" i="21"/>
  <c r="L646" i="21"/>
  <c r="B647" i="21"/>
  <c r="C647" i="21"/>
  <c r="D647" i="21"/>
  <c r="E647" i="21"/>
  <c r="F647" i="21"/>
  <c r="G647" i="21"/>
  <c r="I647" i="21"/>
  <c r="J647" i="21"/>
  <c r="L647" i="21"/>
  <c r="B648" i="21"/>
  <c r="C648" i="21"/>
  <c r="D648" i="21"/>
  <c r="E648" i="21"/>
  <c r="F648" i="21"/>
  <c r="G648" i="21"/>
  <c r="I648" i="21"/>
  <c r="J648" i="21"/>
  <c r="L648" i="21"/>
  <c r="B649" i="21"/>
  <c r="C649" i="21"/>
  <c r="D649" i="21"/>
  <c r="E649" i="21"/>
  <c r="F649" i="21"/>
  <c r="G649" i="21"/>
  <c r="I649" i="21"/>
  <c r="J649" i="21"/>
  <c r="L649" i="21"/>
  <c r="B650" i="21"/>
  <c r="C650" i="21"/>
  <c r="D650" i="21"/>
  <c r="E650" i="21"/>
  <c r="F650" i="21"/>
  <c r="G650" i="21"/>
  <c r="I650" i="21"/>
  <c r="J650" i="21"/>
  <c r="L650" i="21"/>
  <c r="B651" i="21"/>
  <c r="C651" i="21"/>
  <c r="D651" i="21"/>
  <c r="E651" i="21"/>
  <c r="F651" i="21"/>
  <c r="G651" i="21"/>
  <c r="I651" i="21"/>
  <c r="J651" i="21"/>
  <c r="L651" i="21"/>
  <c r="B652" i="21"/>
  <c r="C652" i="21"/>
  <c r="D652" i="21"/>
  <c r="E652" i="21"/>
  <c r="F652" i="21"/>
  <c r="G652" i="21"/>
  <c r="I652" i="21"/>
  <c r="J652" i="21"/>
  <c r="L652" i="21"/>
  <c r="B653" i="21"/>
  <c r="C653" i="21"/>
  <c r="D653" i="21"/>
  <c r="E653" i="21"/>
  <c r="F653" i="21"/>
  <c r="G653" i="21"/>
  <c r="I653" i="21"/>
  <c r="J653" i="21"/>
  <c r="L653" i="21"/>
  <c r="B654" i="21"/>
  <c r="C654" i="21"/>
  <c r="D654" i="21"/>
  <c r="E654" i="21"/>
  <c r="F654" i="21"/>
  <c r="G654" i="21"/>
  <c r="I654" i="21"/>
  <c r="J654" i="21"/>
  <c r="L654" i="21"/>
  <c r="B655" i="21"/>
  <c r="C655" i="21"/>
  <c r="D655" i="21"/>
  <c r="E655" i="21"/>
  <c r="F655" i="21"/>
  <c r="G655" i="21"/>
  <c r="I655" i="21"/>
  <c r="J655" i="21"/>
  <c r="L655" i="21"/>
  <c r="B656" i="21"/>
  <c r="C656" i="21"/>
  <c r="D656" i="21"/>
  <c r="E656" i="21"/>
  <c r="F656" i="21"/>
  <c r="G656" i="21"/>
  <c r="I656" i="21"/>
  <c r="J656" i="21"/>
  <c r="L656" i="21"/>
  <c r="B657" i="21"/>
  <c r="C657" i="21"/>
  <c r="D657" i="21"/>
  <c r="E657" i="21"/>
  <c r="F657" i="21"/>
  <c r="G657" i="21"/>
  <c r="I657" i="21"/>
  <c r="J657" i="21"/>
  <c r="L657" i="21"/>
  <c r="B658" i="21"/>
  <c r="C658" i="21"/>
  <c r="D658" i="21"/>
  <c r="E658" i="21"/>
  <c r="F658" i="21"/>
  <c r="G658" i="21"/>
  <c r="I658" i="21"/>
  <c r="J658" i="21"/>
  <c r="L658" i="21"/>
  <c r="B659" i="21"/>
  <c r="C659" i="21"/>
  <c r="D659" i="21"/>
  <c r="E659" i="21"/>
  <c r="F659" i="21"/>
  <c r="G659" i="21"/>
  <c r="I659" i="21"/>
  <c r="J659" i="21"/>
  <c r="L659" i="21"/>
  <c r="B660" i="21"/>
  <c r="C660" i="21"/>
  <c r="D660" i="21"/>
  <c r="E660" i="21"/>
  <c r="F660" i="21"/>
  <c r="G660" i="21"/>
  <c r="I660" i="21"/>
  <c r="J660" i="21"/>
  <c r="L660" i="21"/>
  <c r="B661" i="21"/>
  <c r="C661" i="21"/>
  <c r="D661" i="21"/>
  <c r="E661" i="21"/>
  <c r="F661" i="21"/>
  <c r="G661" i="21"/>
  <c r="I661" i="21"/>
  <c r="J661" i="21"/>
  <c r="L661" i="21"/>
  <c r="B662" i="21"/>
  <c r="C662" i="21"/>
  <c r="D662" i="21"/>
  <c r="E662" i="21"/>
  <c r="F662" i="21"/>
  <c r="G662" i="21"/>
  <c r="I662" i="21"/>
  <c r="J662" i="21"/>
  <c r="L662" i="21"/>
  <c r="B663" i="21"/>
  <c r="C663" i="21"/>
  <c r="D663" i="21"/>
  <c r="E663" i="21"/>
  <c r="F663" i="21"/>
  <c r="G663" i="21"/>
  <c r="I663" i="21"/>
  <c r="J663" i="21"/>
  <c r="L663" i="21"/>
  <c r="B664" i="21"/>
  <c r="C664" i="21"/>
  <c r="D664" i="21"/>
  <c r="E664" i="21"/>
  <c r="F664" i="21"/>
  <c r="G664" i="21"/>
  <c r="I664" i="21"/>
  <c r="J664" i="21"/>
  <c r="L664" i="21"/>
  <c r="B665" i="21"/>
  <c r="C665" i="21"/>
  <c r="D665" i="21"/>
  <c r="E665" i="21"/>
  <c r="F665" i="21"/>
  <c r="G665" i="21"/>
  <c r="I665" i="21"/>
  <c r="J665" i="21"/>
  <c r="L665" i="21"/>
  <c r="B666" i="21"/>
  <c r="C666" i="21"/>
  <c r="D666" i="21"/>
  <c r="E666" i="21"/>
  <c r="F666" i="21"/>
  <c r="G666" i="21"/>
  <c r="I666" i="21"/>
  <c r="J666" i="21"/>
  <c r="L666" i="21"/>
  <c r="B667" i="21"/>
  <c r="C667" i="21"/>
  <c r="D667" i="21"/>
  <c r="E667" i="21"/>
  <c r="F667" i="21"/>
  <c r="G667" i="21"/>
  <c r="I667" i="21"/>
  <c r="J667" i="21"/>
  <c r="L667" i="21"/>
  <c r="B668" i="21"/>
  <c r="C668" i="21"/>
  <c r="D668" i="21"/>
  <c r="E668" i="21"/>
  <c r="F668" i="21"/>
  <c r="G668" i="21"/>
  <c r="I668" i="21"/>
  <c r="J668" i="21"/>
  <c r="L668" i="21"/>
  <c r="B669" i="21"/>
  <c r="C669" i="21"/>
  <c r="D669" i="21"/>
  <c r="E669" i="21"/>
  <c r="F669" i="21"/>
  <c r="G669" i="21"/>
  <c r="I669" i="21"/>
  <c r="J669" i="21"/>
  <c r="L669" i="21"/>
  <c r="B670" i="21"/>
  <c r="C670" i="21"/>
  <c r="D670" i="21"/>
  <c r="E670" i="21"/>
  <c r="F670" i="21"/>
  <c r="G670" i="21"/>
  <c r="I670" i="21"/>
  <c r="J670" i="21"/>
  <c r="L670" i="21"/>
  <c r="B671" i="21"/>
  <c r="C671" i="21"/>
  <c r="D671" i="21"/>
  <c r="E671" i="21"/>
  <c r="F671" i="21"/>
  <c r="G671" i="21"/>
  <c r="I671" i="21"/>
  <c r="J671" i="21"/>
  <c r="L671" i="21"/>
  <c r="B672" i="21"/>
  <c r="C672" i="21"/>
  <c r="D672" i="21"/>
  <c r="E672" i="21"/>
  <c r="F672" i="21"/>
  <c r="G672" i="21"/>
  <c r="I672" i="21"/>
  <c r="J672" i="21"/>
  <c r="L672" i="21"/>
  <c r="B673" i="21"/>
  <c r="C673" i="21"/>
  <c r="D673" i="21"/>
  <c r="E673" i="21"/>
  <c r="F673" i="21"/>
  <c r="G673" i="21"/>
  <c r="I673" i="21"/>
  <c r="J673" i="21"/>
  <c r="L673" i="21"/>
  <c r="B674" i="21"/>
  <c r="C674" i="21"/>
  <c r="D674" i="21"/>
  <c r="E674" i="21"/>
  <c r="F674" i="21"/>
  <c r="G674" i="21"/>
  <c r="I674" i="21"/>
  <c r="J674" i="21"/>
  <c r="L674" i="21"/>
  <c r="B675" i="21"/>
  <c r="C675" i="21"/>
  <c r="D675" i="21"/>
  <c r="E675" i="21"/>
  <c r="F675" i="21"/>
  <c r="G675" i="21"/>
  <c r="I675" i="21"/>
  <c r="J675" i="21"/>
  <c r="L675" i="21"/>
  <c r="B676" i="21"/>
  <c r="C676" i="21"/>
  <c r="D676" i="21"/>
  <c r="E676" i="21"/>
  <c r="F676" i="21"/>
  <c r="G676" i="21"/>
  <c r="I676" i="21"/>
  <c r="J676" i="21"/>
  <c r="L676" i="21"/>
  <c r="B677" i="21"/>
  <c r="C677" i="21"/>
  <c r="D677" i="21"/>
  <c r="E677" i="21"/>
  <c r="F677" i="21"/>
  <c r="G677" i="21"/>
  <c r="I677" i="21"/>
  <c r="J677" i="21"/>
  <c r="L677" i="21"/>
  <c r="B678" i="21"/>
  <c r="C678" i="21"/>
  <c r="D678" i="21"/>
  <c r="E678" i="21"/>
  <c r="F678" i="21"/>
  <c r="G678" i="21"/>
  <c r="I678" i="21"/>
  <c r="J678" i="21"/>
  <c r="L678" i="21"/>
  <c r="B679" i="21"/>
  <c r="C679" i="21"/>
  <c r="D679" i="21"/>
  <c r="E679" i="21"/>
  <c r="F679" i="21"/>
  <c r="G679" i="21"/>
  <c r="I679" i="21"/>
  <c r="J679" i="21"/>
  <c r="L679" i="21"/>
  <c r="B680" i="21"/>
  <c r="C680" i="21"/>
  <c r="D680" i="21"/>
  <c r="E680" i="21"/>
  <c r="F680" i="21"/>
  <c r="G680" i="21"/>
  <c r="I680" i="21"/>
  <c r="J680" i="21"/>
  <c r="L680" i="21"/>
  <c r="B681" i="21"/>
  <c r="C681" i="21"/>
  <c r="D681" i="21"/>
  <c r="E681" i="21"/>
  <c r="F681" i="21"/>
  <c r="G681" i="21"/>
  <c r="I681" i="21"/>
  <c r="J681" i="21"/>
  <c r="L681" i="21"/>
  <c r="B682" i="21"/>
  <c r="C682" i="21"/>
  <c r="D682" i="21"/>
  <c r="E682" i="21"/>
  <c r="F682" i="21"/>
  <c r="G682" i="21"/>
  <c r="I682" i="21"/>
  <c r="J682" i="21"/>
  <c r="L682" i="21"/>
  <c r="B683" i="21"/>
  <c r="C683" i="21"/>
  <c r="D683" i="21"/>
  <c r="E683" i="21"/>
  <c r="F683" i="21"/>
  <c r="G683" i="21"/>
  <c r="I683" i="21"/>
  <c r="J683" i="21"/>
  <c r="L683" i="21"/>
  <c r="B684" i="21"/>
  <c r="C684" i="21"/>
  <c r="D684" i="21"/>
  <c r="E684" i="21"/>
  <c r="F684" i="21"/>
  <c r="G684" i="21"/>
  <c r="I684" i="21"/>
  <c r="J684" i="21"/>
  <c r="L684" i="21"/>
  <c r="B685" i="21"/>
  <c r="C685" i="21"/>
  <c r="D685" i="21"/>
  <c r="E685" i="21"/>
  <c r="F685" i="21"/>
  <c r="G685" i="21"/>
  <c r="I685" i="21"/>
  <c r="J685" i="21"/>
  <c r="L685" i="21"/>
  <c r="B686" i="21"/>
  <c r="C686" i="21"/>
  <c r="D686" i="21"/>
  <c r="E686" i="21"/>
  <c r="F686" i="21"/>
  <c r="G686" i="21"/>
  <c r="I686" i="21"/>
  <c r="J686" i="21"/>
  <c r="L686" i="21"/>
  <c r="B687" i="21"/>
  <c r="C687" i="21"/>
  <c r="D687" i="21"/>
  <c r="E687" i="21"/>
  <c r="F687" i="21"/>
  <c r="G687" i="21"/>
  <c r="I687" i="21"/>
  <c r="J687" i="21"/>
  <c r="L687" i="21"/>
  <c r="B688" i="21"/>
  <c r="C688" i="21"/>
  <c r="D688" i="21"/>
  <c r="E688" i="21"/>
  <c r="F688" i="21"/>
  <c r="G688" i="21"/>
  <c r="I688" i="21"/>
  <c r="J688" i="21"/>
  <c r="L688" i="21"/>
  <c r="B689" i="21"/>
  <c r="C689" i="21"/>
  <c r="D689" i="21"/>
  <c r="E689" i="21"/>
  <c r="F689" i="21"/>
  <c r="G689" i="21"/>
  <c r="I689" i="21"/>
  <c r="J689" i="21"/>
  <c r="L689" i="21"/>
  <c r="B690" i="21"/>
  <c r="C690" i="21"/>
  <c r="D690" i="21"/>
  <c r="E690" i="21"/>
  <c r="F690" i="21"/>
  <c r="G690" i="21"/>
  <c r="I690" i="21"/>
  <c r="J690" i="21"/>
  <c r="L690" i="21"/>
  <c r="B691" i="21"/>
  <c r="C691" i="21"/>
  <c r="D691" i="21"/>
  <c r="E691" i="21"/>
  <c r="F691" i="21"/>
  <c r="G691" i="21"/>
  <c r="I691" i="21"/>
  <c r="J691" i="21"/>
  <c r="L691" i="21"/>
  <c r="B692" i="21"/>
  <c r="C692" i="21"/>
  <c r="D692" i="21"/>
  <c r="E692" i="21"/>
  <c r="F692" i="21"/>
  <c r="G692" i="21"/>
  <c r="I692" i="21"/>
  <c r="J692" i="21"/>
  <c r="L692" i="21"/>
  <c r="B693" i="21"/>
  <c r="C693" i="21"/>
  <c r="D693" i="21"/>
  <c r="E693" i="21"/>
  <c r="F693" i="21"/>
  <c r="G693" i="21"/>
  <c r="I693" i="21"/>
  <c r="J693" i="21"/>
  <c r="L693" i="21"/>
  <c r="B694" i="21"/>
  <c r="C694" i="21"/>
  <c r="D694" i="21"/>
  <c r="E694" i="21"/>
  <c r="F694" i="21"/>
  <c r="G694" i="21"/>
  <c r="I694" i="21"/>
  <c r="J694" i="21"/>
  <c r="L694" i="21"/>
  <c r="B695" i="21"/>
  <c r="C695" i="21"/>
  <c r="D695" i="21"/>
  <c r="E695" i="21"/>
  <c r="F695" i="21"/>
  <c r="G695" i="21"/>
  <c r="I695" i="21"/>
  <c r="J695" i="21"/>
  <c r="L695" i="21"/>
  <c r="B696" i="21"/>
  <c r="C696" i="21"/>
  <c r="D696" i="21"/>
  <c r="E696" i="21"/>
  <c r="F696" i="21"/>
  <c r="G696" i="21"/>
  <c r="I696" i="21"/>
  <c r="J696" i="21"/>
  <c r="L696" i="21"/>
  <c r="B697" i="21"/>
  <c r="C697" i="21"/>
  <c r="D697" i="21"/>
  <c r="E697" i="21"/>
  <c r="F697" i="21"/>
  <c r="G697" i="21"/>
  <c r="I697" i="21"/>
  <c r="J697" i="21"/>
  <c r="L697" i="21"/>
  <c r="B698" i="21"/>
  <c r="C698" i="21"/>
  <c r="D698" i="21"/>
  <c r="E698" i="21"/>
  <c r="F698" i="21"/>
  <c r="G698" i="21"/>
  <c r="I698" i="21"/>
  <c r="J698" i="21"/>
  <c r="L698" i="21"/>
  <c r="B699" i="21"/>
  <c r="C699" i="21"/>
  <c r="D699" i="21"/>
  <c r="E699" i="21"/>
  <c r="F699" i="21"/>
  <c r="G699" i="21"/>
  <c r="I699" i="21"/>
  <c r="J699" i="21"/>
  <c r="L699" i="21"/>
  <c r="B700" i="21"/>
  <c r="C700" i="21"/>
  <c r="D700" i="21"/>
  <c r="E700" i="21"/>
  <c r="F700" i="21"/>
  <c r="G700" i="21"/>
  <c r="I700" i="21"/>
  <c r="J700" i="21"/>
  <c r="L700" i="21"/>
  <c r="B701" i="21"/>
  <c r="C701" i="21"/>
  <c r="D701" i="21"/>
  <c r="E701" i="21"/>
  <c r="F701" i="21"/>
  <c r="G701" i="21"/>
  <c r="I701" i="21"/>
  <c r="J701" i="21"/>
  <c r="L701" i="21"/>
  <c r="B702" i="21"/>
  <c r="C702" i="21"/>
  <c r="D702" i="21"/>
  <c r="E702" i="21"/>
  <c r="F702" i="21"/>
  <c r="G702" i="21"/>
  <c r="I702" i="21"/>
  <c r="J702" i="21"/>
  <c r="L702" i="21"/>
  <c r="B703" i="21"/>
  <c r="C703" i="21"/>
  <c r="D703" i="21"/>
  <c r="E703" i="21"/>
  <c r="F703" i="21"/>
  <c r="G703" i="21"/>
  <c r="I703" i="21"/>
  <c r="J703" i="21"/>
  <c r="L703" i="21"/>
  <c r="B704" i="21"/>
  <c r="C704" i="21"/>
  <c r="D704" i="21"/>
  <c r="E704" i="21"/>
  <c r="F704" i="21"/>
  <c r="G704" i="21"/>
  <c r="I704" i="21"/>
  <c r="J704" i="21"/>
  <c r="L704" i="21"/>
  <c r="B705" i="21"/>
  <c r="C705" i="21"/>
  <c r="D705" i="21"/>
  <c r="E705" i="21"/>
  <c r="F705" i="21"/>
  <c r="G705" i="21"/>
  <c r="I705" i="21"/>
  <c r="J705" i="21"/>
  <c r="L705" i="21"/>
  <c r="B706" i="21"/>
  <c r="C706" i="21"/>
  <c r="D706" i="21"/>
  <c r="E706" i="21"/>
  <c r="F706" i="21"/>
  <c r="G706" i="21"/>
  <c r="I706" i="21"/>
  <c r="J706" i="21"/>
  <c r="L706" i="21"/>
  <c r="B707" i="21"/>
  <c r="C707" i="21"/>
  <c r="D707" i="21"/>
  <c r="E707" i="21"/>
  <c r="F707" i="21"/>
  <c r="G707" i="21"/>
  <c r="I707" i="21"/>
  <c r="J707" i="21"/>
  <c r="L707" i="21"/>
  <c r="B708" i="21"/>
  <c r="C708" i="21"/>
  <c r="D708" i="21"/>
  <c r="E708" i="21"/>
  <c r="F708" i="21"/>
  <c r="G708" i="21"/>
  <c r="I708" i="21"/>
  <c r="J708" i="21"/>
  <c r="L708" i="21"/>
  <c r="B709" i="21"/>
  <c r="C709" i="21"/>
  <c r="D709" i="21"/>
  <c r="E709" i="21"/>
  <c r="F709" i="21"/>
  <c r="G709" i="21"/>
  <c r="I709" i="21"/>
  <c r="J709" i="21"/>
  <c r="L709" i="21"/>
  <c r="B710" i="21"/>
  <c r="C710" i="21"/>
  <c r="D710" i="21"/>
  <c r="E710" i="21"/>
  <c r="F710" i="21"/>
  <c r="G710" i="21"/>
  <c r="I710" i="21"/>
  <c r="J710" i="21"/>
  <c r="L710" i="21"/>
  <c r="B711" i="21"/>
  <c r="C711" i="21"/>
  <c r="D711" i="21"/>
  <c r="E711" i="21"/>
  <c r="F711" i="21"/>
  <c r="G711" i="21"/>
  <c r="I711" i="21"/>
  <c r="J711" i="21"/>
  <c r="L711" i="21"/>
  <c r="B712" i="21"/>
  <c r="C712" i="21"/>
  <c r="D712" i="21"/>
  <c r="E712" i="21"/>
  <c r="F712" i="21"/>
  <c r="G712" i="21"/>
  <c r="I712" i="21"/>
  <c r="J712" i="21"/>
  <c r="L712" i="21"/>
  <c r="B713" i="21"/>
  <c r="C713" i="21"/>
  <c r="D713" i="21"/>
  <c r="E713" i="21"/>
  <c r="F713" i="21"/>
  <c r="G713" i="21"/>
  <c r="I713" i="21"/>
  <c r="J713" i="21"/>
  <c r="L713" i="21"/>
  <c r="B714" i="21"/>
  <c r="C714" i="21"/>
  <c r="D714" i="21"/>
  <c r="E714" i="21"/>
  <c r="F714" i="21"/>
  <c r="G714" i="21"/>
  <c r="I714" i="21"/>
  <c r="J714" i="21"/>
  <c r="L714" i="21"/>
  <c r="B715" i="21"/>
  <c r="C715" i="21"/>
  <c r="D715" i="21"/>
  <c r="E715" i="21"/>
  <c r="F715" i="21"/>
  <c r="G715" i="21"/>
  <c r="I715" i="21"/>
  <c r="J715" i="21"/>
  <c r="L715" i="21"/>
  <c r="B716" i="21"/>
  <c r="C716" i="21"/>
  <c r="D716" i="21"/>
  <c r="E716" i="21"/>
  <c r="F716" i="21"/>
  <c r="G716" i="21"/>
  <c r="I716" i="21"/>
  <c r="J716" i="21"/>
  <c r="L716" i="21"/>
  <c r="B717" i="21"/>
  <c r="C717" i="21"/>
  <c r="D717" i="21"/>
  <c r="E717" i="21"/>
  <c r="F717" i="21"/>
  <c r="G717" i="21"/>
  <c r="I717" i="21"/>
  <c r="J717" i="21"/>
  <c r="L717" i="21"/>
  <c r="B718" i="21"/>
  <c r="C718" i="21"/>
  <c r="D718" i="21"/>
  <c r="E718" i="21"/>
  <c r="F718" i="21"/>
  <c r="G718" i="21"/>
  <c r="I718" i="21"/>
  <c r="J718" i="21"/>
  <c r="L718" i="21"/>
  <c r="B719" i="21"/>
  <c r="C719" i="21"/>
  <c r="D719" i="21"/>
  <c r="E719" i="21"/>
  <c r="F719" i="21"/>
  <c r="G719" i="21"/>
  <c r="I719" i="21"/>
  <c r="J719" i="21"/>
  <c r="L719" i="21"/>
  <c r="B720" i="21"/>
  <c r="C720" i="21"/>
  <c r="D720" i="21"/>
  <c r="E720" i="21"/>
  <c r="F720" i="21"/>
  <c r="G720" i="21"/>
  <c r="I720" i="21"/>
  <c r="J720" i="21"/>
  <c r="L720" i="21"/>
  <c r="B721" i="21"/>
  <c r="C721" i="21"/>
  <c r="D721" i="21"/>
  <c r="E721" i="21"/>
  <c r="F721" i="21"/>
  <c r="G721" i="21"/>
  <c r="I721" i="21"/>
  <c r="J721" i="21"/>
  <c r="L721" i="21"/>
  <c r="B722" i="21"/>
  <c r="C722" i="21"/>
  <c r="D722" i="21"/>
  <c r="E722" i="21"/>
  <c r="F722" i="21"/>
  <c r="G722" i="21"/>
  <c r="I722" i="21"/>
  <c r="J722" i="21"/>
  <c r="L722" i="21"/>
  <c r="B723" i="21"/>
  <c r="C723" i="21"/>
  <c r="D723" i="21"/>
  <c r="E723" i="21"/>
  <c r="F723" i="21"/>
  <c r="G723" i="21"/>
  <c r="I723" i="21"/>
  <c r="J723" i="21"/>
  <c r="L723" i="21"/>
  <c r="B724" i="21"/>
  <c r="C724" i="21"/>
  <c r="D724" i="21"/>
  <c r="E724" i="21"/>
  <c r="F724" i="21"/>
  <c r="G724" i="21"/>
  <c r="I724" i="21"/>
  <c r="J724" i="21"/>
  <c r="L724" i="21"/>
  <c r="B725" i="21"/>
  <c r="C725" i="21"/>
  <c r="D725" i="21"/>
  <c r="E725" i="21"/>
  <c r="F725" i="21"/>
  <c r="G725" i="21"/>
  <c r="I725" i="21"/>
  <c r="J725" i="21"/>
  <c r="L725" i="21"/>
  <c r="B726" i="21"/>
  <c r="C726" i="21"/>
  <c r="D726" i="21"/>
  <c r="E726" i="21"/>
  <c r="F726" i="21"/>
  <c r="G726" i="21"/>
  <c r="I726" i="21"/>
  <c r="J726" i="21"/>
  <c r="L726" i="21"/>
  <c r="B727" i="21"/>
  <c r="C727" i="21"/>
  <c r="D727" i="21"/>
  <c r="E727" i="21"/>
  <c r="F727" i="21"/>
  <c r="G727" i="21"/>
  <c r="I727" i="21"/>
  <c r="J727" i="21"/>
  <c r="L727" i="21"/>
  <c r="B728" i="21"/>
  <c r="C728" i="21"/>
  <c r="D728" i="21"/>
  <c r="E728" i="21"/>
  <c r="F728" i="21"/>
  <c r="G728" i="21"/>
  <c r="I728" i="21"/>
  <c r="J728" i="21"/>
  <c r="L728" i="21"/>
  <c r="B729" i="21"/>
  <c r="C729" i="21"/>
  <c r="D729" i="21"/>
  <c r="E729" i="21"/>
  <c r="F729" i="21"/>
  <c r="G729" i="21"/>
  <c r="I729" i="21"/>
  <c r="J729" i="21"/>
  <c r="L729" i="21"/>
  <c r="B730" i="21"/>
  <c r="C730" i="21"/>
  <c r="D730" i="21"/>
  <c r="E730" i="21"/>
  <c r="F730" i="21"/>
  <c r="G730" i="21"/>
  <c r="I730" i="21"/>
  <c r="J730" i="21"/>
  <c r="L730" i="21"/>
  <c r="B731" i="21"/>
  <c r="C731" i="21"/>
  <c r="D731" i="21"/>
  <c r="E731" i="21"/>
  <c r="F731" i="21"/>
  <c r="G731" i="21"/>
  <c r="I731" i="21"/>
  <c r="J731" i="21"/>
  <c r="L731" i="21"/>
  <c r="B732" i="21"/>
  <c r="C732" i="21"/>
  <c r="D732" i="21"/>
  <c r="E732" i="21"/>
  <c r="F732" i="21"/>
  <c r="G732" i="21"/>
  <c r="I732" i="21"/>
  <c r="J732" i="21"/>
  <c r="L732" i="21"/>
  <c r="B733" i="21"/>
  <c r="C733" i="21"/>
  <c r="D733" i="21"/>
  <c r="E733" i="21"/>
  <c r="F733" i="21"/>
  <c r="G733" i="21"/>
  <c r="I733" i="21"/>
  <c r="J733" i="21"/>
  <c r="L733" i="21"/>
  <c r="B734" i="21"/>
  <c r="C734" i="21"/>
  <c r="D734" i="21"/>
  <c r="E734" i="21"/>
  <c r="F734" i="21"/>
  <c r="G734" i="21"/>
  <c r="I734" i="21"/>
  <c r="J734" i="21"/>
  <c r="L734" i="21"/>
  <c r="B735" i="21"/>
  <c r="C735" i="21"/>
  <c r="D735" i="21"/>
  <c r="E735" i="21"/>
  <c r="F735" i="21"/>
  <c r="G735" i="21"/>
  <c r="I735" i="21"/>
  <c r="J735" i="21"/>
  <c r="L735" i="21"/>
  <c r="B736" i="21"/>
  <c r="C736" i="21"/>
  <c r="D736" i="21"/>
  <c r="E736" i="21"/>
  <c r="F736" i="21"/>
  <c r="G736" i="21"/>
  <c r="I736" i="21"/>
  <c r="J736" i="21"/>
  <c r="L736" i="21"/>
  <c r="B737" i="21"/>
  <c r="C737" i="21"/>
  <c r="D737" i="21"/>
  <c r="E737" i="21"/>
  <c r="F737" i="21"/>
  <c r="G737" i="21"/>
  <c r="I737" i="21"/>
  <c r="J737" i="21"/>
  <c r="L737" i="21"/>
  <c r="B738" i="21"/>
  <c r="C738" i="21"/>
  <c r="D738" i="21"/>
  <c r="E738" i="21"/>
  <c r="F738" i="21"/>
  <c r="G738" i="21"/>
  <c r="I738" i="21"/>
  <c r="J738" i="21"/>
  <c r="L738" i="21"/>
  <c r="B739" i="21"/>
  <c r="C739" i="21"/>
  <c r="D739" i="21"/>
  <c r="E739" i="21"/>
  <c r="F739" i="21"/>
  <c r="G739" i="21"/>
  <c r="I739" i="21"/>
  <c r="J739" i="21"/>
  <c r="L739" i="21"/>
  <c r="B740" i="21"/>
  <c r="C740" i="21"/>
  <c r="D740" i="21"/>
  <c r="E740" i="21"/>
  <c r="F740" i="21"/>
  <c r="G740" i="21"/>
  <c r="I740" i="21"/>
  <c r="J740" i="21"/>
  <c r="L740" i="21"/>
  <c r="B741" i="21"/>
  <c r="C741" i="21"/>
  <c r="D741" i="21"/>
  <c r="E741" i="21"/>
  <c r="F741" i="21"/>
  <c r="G741" i="21"/>
  <c r="I741" i="21"/>
  <c r="J741" i="21"/>
  <c r="L741" i="21"/>
  <c r="B742" i="21"/>
  <c r="C742" i="21"/>
  <c r="D742" i="21"/>
  <c r="E742" i="21"/>
  <c r="F742" i="21"/>
  <c r="G742" i="21"/>
  <c r="I742" i="21"/>
  <c r="J742" i="21"/>
  <c r="L742" i="21"/>
  <c r="B743" i="21"/>
  <c r="C743" i="21"/>
  <c r="D743" i="21"/>
  <c r="E743" i="21"/>
  <c r="F743" i="21"/>
  <c r="G743" i="21"/>
  <c r="I743" i="21"/>
  <c r="J743" i="21"/>
  <c r="L743" i="21"/>
  <c r="B744" i="21"/>
  <c r="C744" i="21"/>
  <c r="D744" i="21"/>
  <c r="E744" i="21"/>
  <c r="F744" i="21"/>
  <c r="G744" i="21"/>
  <c r="I744" i="21"/>
  <c r="J744" i="21"/>
  <c r="L744" i="21"/>
  <c r="B745" i="21"/>
  <c r="C745" i="21"/>
  <c r="D745" i="21"/>
  <c r="E745" i="21"/>
  <c r="F745" i="21"/>
  <c r="G745" i="21"/>
  <c r="I745" i="21"/>
  <c r="J745" i="21"/>
  <c r="L745" i="21"/>
  <c r="B746" i="21"/>
  <c r="C746" i="21"/>
  <c r="D746" i="21"/>
  <c r="E746" i="21"/>
  <c r="F746" i="21"/>
  <c r="G746" i="21"/>
  <c r="I746" i="21"/>
  <c r="J746" i="21"/>
  <c r="L746" i="21"/>
  <c r="B747" i="21"/>
  <c r="C747" i="21"/>
  <c r="D747" i="21"/>
  <c r="E747" i="21"/>
  <c r="F747" i="21"/>
  <c r="G747" i="21"/>
  <c r="I747" i="21"/>
  <c r="J747" i="21"/>
  <c r="L747" i="21"/>
  <c r="B748" i="21"/>
  <c r="C748" i="21"/>
  <c r="D748" i="21"/>
  <c r="E748" i="21"/>
  <c r="F748" i="21"/>
  <c r="G748" i="21"/>
  <c r="I748" i="21"/>
  <c r="J748" i="21"/>
  <c r="L748" i="21"/>
  <c r="B749" i="21"/>
  <c r="C749" i="21"/>
  <c r="D749" i="21"/>
  <c r="E749" i="21"/>
  <c r="F749" i="21"/>
  <c r="G749" i="21"/>
  <c r="I749" i="21"/>
  <c r="J749" i="21"/>
  <c r="L749" i="21"/>
  <c r="B750" i="21"/>
  <c r="C750" i="21"/>
  <c r="D750" i="21"/>
  <c r="E750" i="21"/>
  <c r="F750" i="21"/>
  <c r="G750" i="21"/>
  <c r="I750" i="21"/>
  <c r="J750" i="21"/>
  <c r="L750" i="21"/>
  <c r="B751" i="21"/>
  <c r="C751" i="21"/>
  <c r="D751" i="21"/>
  <c r="E751" i="21"/>
  <c r="F751" i="21"/>
  <c r="G751" i="21"/>
  <c r="I751" i="21"/>
  <c r="J751" i="21"/>
  <c r="L751" i="21"/>
  <c r="B752" i="21"/>
  <c r="C752" i="21"/>
  <c r="D752" i="21"/>
  <c r="E752" i="21"/>
  <c r="F752" i="21"/>
  <c r="G752" i="21"/>
  <c r="I752" i="21"/>
  <c r="J752" i="21"/>
  <c r="L752" i="21"/>
  <c r="B753" i="21"/>
  <c r="C753" i="21"/>
  <c r="D753" i="21"/>
  <c r="E753" i="21"/>
  <c r="F753" i="21"/>
  <c r="G753" i="21"/>
  <c r="I753" i="21"/>
  <c r="J753" i="21"/>
  <c r="L753" i="21"/>
  <c r="B754" i="21"/>
  <c r="C754" i="21"/>
  <c r="D754" i="21"/>
  <c r="E754" i="21"/>
  <c r="F754" i="21"/>
  <c r="G754" i="21"/>
  <c r="I754" i="21"/>
  <c r="J754" i="21"/>
  <c r="L754" i="21"/>
  <c r="B755" i="21"/>
  <c r="C755" i="21"/>
  <c r="D755" i="21"/>
  <c r="E755" i="21"/>
  <c r="F755" i="21"/>
  <c r="G755" i="21"/>
  <c r="I755" i="21"/>
  <c r="J755" i="21"/>
  <c r="L755" i="21"/>
  <c r="B756" i="21"/>
  <c r="C756" i="21"/>
  <c r="D756" i="21"/>
  <c r="E756" i="21"/>
  <c r="F756" i="21"/>
  <c r="G756" i="21"/>
  <c r="I756" i="21"/>
  <c r="J756" i="21"/>
  <c r="L756" i="21"/>
  <c r="B757" i="21"/>
  <c r="C757" i="21"/>
  <c r="D757" i="21"/>
  <c r="E757" i="21"/>
  <c r="F757" i="21"/>
  <c r="G757" i="21"/>
  <c r="I757" i="21"/>
  <c r="J757" i="21"/>
  <c r="L757" i="21"/>
  <c r="B758" i="21"/>
  <c r="C758" i="21"/>
  <c r="D758" i="21"/>
  <c r="E758" i="21"/>
  <c r="F758" i="21"/>
  <c r="G758" i="21"/>
  <c r="I758" i="21"/>
  <c r="J758" i="21"/>
  <c r="L758" i="21"/>
  <c r="B759" i="21"/>
  <c r="C759" i="21"/>
  <c r="D759" i="21"/>
  <c r="E759" i="21"/>
  <c r="F759" i="21"/>
  <c r="G759" i="21"/>
  <c r="I759" i="21"/>
  <c r="J759" i="21"/>
  <c r="L759" i="21"/>
  <c r="B760" i="21"/>
  <c r="C760" i="21"/>
  <c r="D760" i="21"/>
  <c r="E760" i="21"/>
  <c r="F760" i="21"/>
  <c r="G760" i="21"/>
  <c r="I760" i="21"/>
  <c r="J760" i="21"/>
  <c r="L760" i="21"/>
  <c r="B761" i="21"/>
  <c r="C761" i="21"/>
  <c r="D761" i="21"/>
  <c r="E761" i="21"/>
  <c r="F761" i="21"/>
  <c r="G761" i="21"/>
  <c r="I761" i="21"/>
  <c r="J761" i="21"/>
  <c r="L761" i="21"/>
  <c r="B762" i="21"/>
  <c r="C762" i="21"/>
  <c r="D762" i="21"/>
  <c r="E762" i="21"/>
  <c r="F762" i="21"/>
  <c r="G762" i="21"/>
  <c r="I762" i="21"/>
  <c r="J762" i="21"/>
  <c r="L762" i="21"/>
  <c r="B763" i="21"/>
  <c r="C763" i="21"/>
  <c r="D763" i="21"/>
  <c r="E763" i="21"/>
  <c r="F763" i="21"/>
  <c r="G763" i="21"/>
  <c r="I763" i="21"/>
  <c r="J763" i="21"/>
  <c r="L763" i="21"/>
  <c r="B764" i="21"/>
  <c r="C764" i="21"/>
  <c r="D764" i="21"/>
  <c r="E764" i="21"/>
  <c r="F764" i="21"/>
  <c r="G764" i="21"/>
  <c r="I764" i="21"/>
  <c r="J764" i="21"/>
  <c r="L764" i="21"/>
  <c r="B765" i="21"/>
  <c r="C765" i="21"/>
  <c r="D765" i="21"/>
  <c r="E765" i="21"/>
  <c r="F765" i="21"/>
  <c r="G765" i="21"/>
  <c r="I765" i="21"/>
  <c r="J765" i="21"/>
  <c r="L765" i="21"/>
  <c r="B766" i="21"/>
  <c r="C766" i="21"/>
  <c r="D766" i="21"/>
  <c r="E766" i="21"/>
  <c r="F766" i="21"/>
  <c r="G766" i="21"/>
  <c r="I766" i="21"/>
  <c r="J766" i="21"/>
  <c r="L766" i="21"/>
  <c r="B767" i="21"/>
  <c r="C767" i="21"/>
  <c r="D767" i="21"/>
  <c r="E767" i="21"/>
  <c r="F767" i="21"/>
  <c r="G767" i="21"/>
  <c r="I767" i="21"/>
  <c r="J767" i="21"/>
  <c r="L767" i="21"/>
  <c r="B768" i="21"/>
  <c r="C768" i="21"/>
  <c r="D768" i="21"/>
  <c r="E768" i="21"/>
  <c r="F768" i="21"/>
  <c r="G768" i="21"/>
  <c r="I768" i="21"/>
  <c r="J768" i="21"/>
  <c r="L768" i="21"/>
  <c r="B769" i="21"/>
  <c r="C769" i="21"/>
  <c r="D769" i="21"/>
  <c r="E769" i="21"/>
  <c r="F769" i="21"/>
  <c r="G769" i="21"/>
  <c r="I769" i="21"/>
  <c r="J769" i="21"/>
  <c r="L769" i="21"/>
  <c r="B770" i="21"/>
  <c r="C770" i="21"/>
  <c r="D770" i="21"/>
  <c r="E770" i="21"/>
  <c r="F770" i="21"/>
  <c r="G770" i="21"/>
  <c r="I770" i="21"/>
  <c r="J770" i="21"/>
  <c r="L770" i="21"/>
  <c r="B771" i="21"/>
  <c r="C771" i="21"/>
  <c r="D771" i="21"/>
  <c r="E771" i="21"/>
  <c r="F771" i="21"/>
  <c r="G771" i="21"/>
  <c r="I771" i="21"/>
  <c r="J771" i="21"/>
  <c r="L771" i="21"/>
  <c r="B772" i="21"/>
  <c r="C772" i="21"/>
  <c r="D772" i="21"/>
  <c r="E772" i="21"/>
  <c r="F772" i="21"/>
  <c r="G772" i="21"/>
  <c r="I772" i="21"/>
  <c r="J772" i="21"/>
  <c r="L772" i="21"/>
  <c r="B773" i="21"/>
  <c r="C773" i="21"/>
  <c r="D773" i="21"/>
  <c r="E773" i="21"/>
  <c r="F773" i="21"/>
  <c r="G773" i="21"/>
  <c r="I773" i="21"/>
  <c r="J773" i="21"/>
  <c r="L773" i="21"/>
  <c r="B774" i="21"/>
  <c r="C774" i="21"/>
  <c r="D774" i="21"/>
  <c r="E774" i="21"/>
  <c r="F774" i="21"/>
  <c r="G774" i="21"/>
  <c r="I774" i="21"/>
  <c r="J774" i="21"/>
  <c r="L774" i="21"/>
  <c r="B775" i="21"/>
  <c r="C775" i="21"/>
  <c r="D775" i="21"/>
  <c r="E775" i="21"/>
  <c r="F775" i="21"/>
  <c r="G775" i="21"/>
  <c r="I775" i="21"/>
  <c r="J775" i="21"/>
  <c r="L775" i="21"/>
  <c r="B776" i="21"/>
  <c r="C776" i="21"/>
  <c r="D776" i="21"/>
  <c r="E776" i="21"/>
  <c r="F776" i="21"/>
  <c r="G776" i="21"/>
  <c r="I776" i="21"/>
  <c r="J776" i="21"/>
  <c r="L776" i="21"/>
  <c r="B777" i="21"/>
  <c r="C777" i="21"/>
  <c r="D777" i="21"/>
  <c r="E777" i="21"/>
  <c r="F777" i="21"/>
  <c r="G777" i="21"/>
  <c r="I777" i="21"/>
  <c r="J777" i="21"/>
  <c r="L777" i="21"/>
  <c r="B778" i="21"/>
  <c r="C778" i="21"/>
  <c r="D778" i="21"/>
  <c r="E778" i="21"/>
  <c r="F778" i="21"/>
  <c r="G778" i="21"/>
  <c r="I778" i="21"/>
  <c r="J778" i="21"/>
  <c r="L778" i="21"/>
  <c r="B779" i="21"/>
  <c r="C779" i="21"/>
  <c r="D779" i="21"/>
  <c r="E779" i="21"/>
  <c r="F779" i="21"/>
  <c r="G779" i="21"/>
  <c r="I779" i="21"/>
  <c r="J779" i="21"/>
  <c r="L779" i="21"/>
  <c r="B780" i="21"/>
  <c r="C780" i="21"/>
  <c r="D780" i="21"/>
  <c r="E780" i="21"/>
  <c r="F780" i="21"/>
  <c r="G780" i="21"/>
  <c r="I780" i="21"/>
  <c r="J780" i="21"/>
  <c r="L780" i="21"/>
  <c r="B781" i="21"/>
  <c r="C781" i="21"/>
  <c r="D781" i="21"/>
  <c r="E781" i="21"/>
  <c r="F781" i="21"/>
  <c r="G781" i="21"/>
  <c r="I781" i="21"/>
  <c r="J781" i="21"/>
  <c r="L781" i="21"/>
  <c r="B782" i="21"/>
  <c r="C782" i="21"/>
  <c r="D782" i="21"/>
  <c r="E782" i="21"/>
  <c r="F782" i="21"/>
  <c r="G782" i="21"/>
  <c r="I782" i="21"/>
  <c r="J782" i="21"/>
  <c r="L782" i="21"/>
  <c r="B783" i="21"/>
  <c r="C783" i="21"/>
  <c r="D783" i="21"/>
  <c r="E783" i="21"/>
  <c r="F783" i="21"/>
  <c r="G783" i="21"/>
  <c r="I783" i="21"/>
  <c r="J783" i="21"/>
  <c r="L783" i="21"/>
  <c r="B784" i="21"/>
  <c r="C784" i="21"/>
  <c r="D784" i="21"/>
  <c r="E784" i="21"/>
  <c r="F784" i="21"/>
  <c r="G784" i="21"/>
  <c r="I784" i="21"/>
  <c r="J784" i="21"/>
  <c r="L784" i="21"/>
  <c r="B785" i="21"/>
  <c r="C785" i="21"/>
  <c r="D785" i="21"/>
  <c r="E785" i="21"/>
  <c r="F785" i="21"/>
  <c r="G785" i="21"/>
  <c r="I785" i="21"/>
  <c r="J785" i="21"/>
  <c r="L785" i="21"/>
  <c r="B786" i="21"/>
  <c r="C786" i="21"/>
  <c r="D786" i="21"/>
  <c r="E786" i="21"/>
  <c r="F786" i="21"/>
  <c r="G786" i="21"/>
  <c r="I786" i="21"/>
  <c r="J786" i="21"/>
  <c r="L786" i="21"/>
  <c r="B787" i="21"/>
  <c r="C787" i="21"/>
  <c r="D787" i="21"/>
  <c r="E787" i="21"/>
  <c r="F787" i="21"/>
  <c r="G787" i="21"/>
  <c r="I787" i="21"/>
  <c r="J787" i="21"/>
  <c r="L787" i="21"/>
  <c r="B788" i="21"/>
  <c r="C788" i="21"/>
  <c r="D788" i="21"/>
  <c r="E788" i="21"/>
  <c r="F788" i="21"/>
  <c r="G788" i="21"/>
  <c r="I788" i="21"/>
  <c r="J788" i="21"/>
  <c r="L788" i="21"/>
  <c r="B789" i="21"/>
  <c r="C789" i="21"/>
  <c r="D789" i="21"/>
  <c r="E789" i="21"/>
  <c r="F789" i="21"/>
  <c r="G789" i="21"/>
  <c r="I789" i="21"/>
  <c r="J789" i="21"/>
  <c r="L789" i="21"/>
  <c r="B790" i="21"/>
  <c r="C790" i="21"/>
  <c r="D790" i="21"/>
  <c r="E790" i="21"/>
  <c r="F790" i="21"/>
  <c r="G790" i="21"/>
  <c r="I790" i="21"/>
  <c r="J790" i="21"/>
  <c r="L790" i="21"/>
  <c r="B791" i="21"/>
  <c r="C791" i="21"/>
  <c r="D791" i="21"/>
  <c r="E791" i="21"/>
  <c r="F791" i="21"/>
  <c r="G791" i="21"/>
  <c r="I791" i="21"/>
  <c r="J791" i="21"/>
  <c r="L791" i="21"/>
  <c r="B792" i="21"/>
  <c r="C792" i="21"/>
  <c r="D792" i="21"/>
  <c r="E792" i="21"/>
  <c r="F792" i="21"/>
  <c r="G792" i="21"/>
  <c r="I792" i="21"/>
  <c r="J792" i="21"/>
  <c r="L792" i="21"/>
  <c r="B793" i="21"/>
  <c r="C793" i="21"/>
  <c r="D793" i="21"/>
  <c r="E793" i="21"/>
  <c r="F793" i="21"/>
  <c r="G793" i="21"/>
  <c r="I793" i="21"/>
  <c r="J793" i="21"/>
  <c r="L793" i="21"/>
  <c r="B794" i="21"/>
  <c r="C794" i="21"/>
  <c r="D794" i="21"/>
  <c r="E794" i="21"/>
  <c r="F794" i="21"/>
  <c r="G794" i="21"/>
  <c r="I794" i="21"/>
  <c r="J794" i="21"/>
  <c r="L794" i="21"/>
  <c r="B795" i="21"/>
  <c r="C795" i="21"/>
  <c r="D795" i="21"/>
  <c r="E795" i="21"/>
  <c r="F795" i="21"/>
  <c r="G795" i="21"/>
  <c r="I795" i="21"/>
  <c r="J795" i="21"/>
  <c r="L795" i="21"/>
  <c r="B796" i="21"/>
  <c r="C796" i="21"/>
  <c r="D796" i="21"/>
  <c r="E796" i="21"/>
  <c r="F796" i="21"/>
  <c r="G796" i="21"/>
  <c r="I796" i="21"/>
  <c r="J796" i="21"/>
  <c r="L796" i="21"/>
  <c r="B797" i="21"/>
  <c r="C797" i="21"/>
  <c r="D797" i="21"/>
  <c r="E797" i="21"/>
  <c r="F797" i="21"/>
  <c r="G797" i="21"/>
  <c r="I797" i="21"/>
  <c r="J797" i="21"/>
  <c r="L797" i="21"/>
  <c r="B798" i="21"/>
  <c r="C798" i="21"/>
  <c r="D798" i="21"/>
  <c r="E798" i="21"/>
  <c r="F798" i="21"/>
  <c r="G798" i="21"/>
  <c r="I798" i="21"/>
  <c r="J798" i="21"/>
  <c r="L798" i="21"/>
  <c r="B799" i="21"/>
  <c r="C799" i="21"/>
  <c r="D799" i="21"/>
  <c r="E799" i="21"/>
  <c r="F799" i="21"/>
  <c r="G799" i="21"/>
  <c r="I799" i="21"/>
  <c r="J799" i="21"/>
  <c r="L799" i="21"/>
  <c r="B800" i="21"/>
  <c r="C800" i="21"/>
  <c r="D800" i="21"/>
  <c r="E800" i="21"/>
  <c r="F800" i="21"/>
  <c r="G800" i="21"/>
  <c r="I800" i="21"/>
  <c r="J800" i="21"/>
  <c r="L800" i="21"/>
  <c r="B801" i="21"/>
  <c r="C801" i="21"/>
  <c r="D801" i="21"/>
  <c r="E801" i="21"/>
  <c r="F801" i="21"/>
  <c r="G801" i="21"/>
  <c r="I801" i="21"/>
  <c r="J801" i="21"/>
  <c r="L801" i="21"/>
  <c r="B802" i="21"/>
  <c r="C802" i="21"/>
  <c r="D802" i="21"/>
  <c r="E802" i="21"/>
  <c r="F802" i="21"/>
  <c r="G802" i="21"/>
  <c r="I802" i="21"/>
  <c r="J802" i="21"/>
  <c r="L802" i="21"/>
  <c r="B803" i="21"/>
  <c r="C803" i="21"/>
  <c r="D803" i="21"/>
  <c r="E803" i="21"/>
  <c r="F803" i="21"/>
  <c r="G803" i="21"/>
  <c r="I803" i="21"/>
  <c r="J803" i="21"/>
  <c r="L803" i="21"/>
  <c r="B804" i="21"/>
  <c r="C804" i="21"/>
  <c r="D804" i="21"/>
  <c r="E804" i="21"/>
  <c r="F804" i="21"/>
  <c r="G804" i="21"/>
  <c r="I804" i="21"/>
  <c r="J804" i="21"/>
  <c r="L804" i="21"/>
  <c r="B805" i="21"/>
  <c r="C805" i="21"/>
  <c r="D805" i="21"/>
  <c r="E805" i="21"/>
  <c r="F805" i="21"/>
  <c r="G805" i="21"/>
  <c r="I805" i="21"/>
  <c r="J805" i="21"/>
  <c r="L805" i="21"/>
  <c r="B806" i="21"/>
  <c r="C806" i="21"/>
  <c r="D806" i="21"/>
  <c r="E806" i="21"/>
  <c r="F806" i="21"/>
  <c r="G806" i="21"/>
  <c r="I806" i="21"/>
  <c r="J806" i="21"/>
  <c r="L806" i="21"/>
  <c r="B807" i="21"/>
  <c r="C807" i="21"/>
  <c r="D807" i="21"/>
  <c r="E807" i="21"/>
  <c r="F807" i="21"/>
  <c r="G807" i="21"/>
  <c r="I807" i="21"/>
  <c r="J807" i="21"/>
  <c r="L807" i="21"/>
  <c r="B808" i="21"/>
  <c r="C808" i="21"/>
  <c r="D808" i="21"/>
  <c r="E808" i="21"/>
  <c r="F808" i="21"/>
  <c r="G808" i="21"/>
  <c r="I808" i="21"/>
  <c r="J808" i="21"/>
  <c r="L808" i="21"/>
  <c r="B809" i="21"/>
  <c r="C809" i="21"/>
  <c r="D809" i="21"/>
  <c r="E809" i="21"/>
  <c r="F809" i="21"/>
  <c r="G809" i="21"/>
  <c r="I809" i="21"/>
  <c r="J809" i="21"/>
  <c r="L809" i="21"/>
  <c r="B810" i="21"/>
  <c r="C810" i="21"/>
  <c r="D810" i="21"/>
  <c r="E810" i="21"/>
  <c r="F810" i="21"/>
  <c r="G810" i="21"/>
  <c r="I810" i="21"/>
  <c r="J810" i="21"/>
  <c r="L810" i="21"/>
  <c r="B811" i="21"/>
  <c r="C811" i="21"/>
  <c r="D811" i="21"/>
  <c r="E811" i="21"/>
  <c r="F811" i="21"/>
  <c r="G811" i="21"/>
  <c r="I811" i="21"/>
  <c r="J811" i="21"/>
  <c r="L811" i="21"/>
  <c r="B812" i="21"/>
  <c r="C812" i="21"/>
  <c r="D812" i="21"/>
  <c r="E812" i="21"/>
  <c r="F812" i="21"/>
  <c r="G812" i="21"/>
  <c r="I812" i="21"/>
  <c r="J812" i="21"/>
  <c r="L812" i="21"/>
  <c r="B813" i="21"/>
  <c r="C813" i="21"/>
  <c r="D813" i="21"/>
  <c r="E813" i="21"/>
  <c r="F813" i="21"/>
  <c r="G813" i="21"/>
  <c r="I813" i="21"/>
  <c r="J813" i="21"/>
  <c r="L813" i="21"/>
  <c r="B814" i="21"/>
  <c r="C814" i="21"/>
  <c r="D814" i="21"/>
  <c r="E814" i="21"/>
  <c r="F814" i="21"/>
  <c r="G814" i="21"/>
  <c r="I814" i="21"/>
  <c r="J814" i="21"/>
  <c r="L814" i="21"/>
  <c r="B815" i="21"/>
  <c r="C815" i="21"/>
  <c r="D815" i="21"/>
  <c r="E815" i="21"/>
  <c r="F815" i="21"/>
  <c r="G815" i="21"/>
  <c r="I815" i="21"/>
  <c r="J815" i="21"/>
  <c r="L815" i="21"/>
  <c r="B816" i="21"/>
  <c r="C816" i="21"/>
  <c r="D816" i="21"/>
  <c r="E816" i="21"/>
  <c r="F816" i="21"/>
  <c r="G816" i="21"/>
  <c r="I816" i="21"/>
  <c r="J816" i="21"/>
  <c r="L816" i="21"/>
  <c r="B817" i="21"/>
  <c r="C817" i="21"/>
  <c r="D817" i="21"/>
  <c r="E817" i="21"/>
  <c r="F817" i="21"/>
  <c r="G817" i="21"/>
  <c r="I817" i="21"/>
  <c r="J817" i="21"/>
  <c r="L817" i="21"/>
  <c r="B818" i="21"/>
  <c r="C818" i="21"/>
  <c r="D818" i="21"/>
  <c r="E818" i="21"/>
  <c r="F818" i="21"/>
  <c r="G818" i="21"/>
  <c r="I818" i="21"/>
  <c r="J818" i="21"/>
  <c r="L818" i="21"/>
  <c r="B819" i="21"/>
  <c r="C819" i="21"/>
  <c r="D819" i="21"/>
  <c r="E819" i="21"/>
  <c r="F819" i="21"/>
  <c r="G819" i="21"/>
  <c r="I819" i="21"/>
  <c r="J819" i="21"/>
  <c r="L819" i="21"/>
  <c r="B820" i="21"/>
  <c r="C820" i="21"/>
  <c r="D820" i="21"/>
  <c r="E820" i="21"/>
  <c r="F820" i="21"/>
  <c r="G820" i="21"/>
  <c r="I820" i="21"/>
  <c r="J820" i="21"/>
  <c r="L820" i="21"/>
  <c r="B821" i="21"/>
  <c r="C821" i="21"/>
  <c r="D821" i="21"/>
  <c r="E821" i="21"/>
  <c r="F821" i="21"/>
  <c r="G821" i="21"/>
  <c r="I821" i="21"/>
  <c r="J821" i="21"/>
  <c r="L821" i="21"/>
  <c r="B822" i="21"/>
  <c r="C822" i="21"/>
  <c r="D822" i="21"/>
  <c r="E822" i="21"/>
  <c r="F822" i="21"/>
  <c r="G822" i="21"/>
  <c r="I822" i="21"/>
  <c r="J822" i="21"/>
  <c r="L822" i="21"/>
  <c r="B823" i="21"/>
  <c r="C823" i="21"/>
  <c r="D823" i="21"/>
  <c r="E823" i="21"/>
  <c r="F823" i="21"/>
  <c r="G823" i="21"/>
  <c r="I823" i="21"/>
  <c r="J823" i="21"/>
  <c r="L823" i="21"/>
  <c r="B824" i="21"/>
  <c r="C824" i="21"/>
  <c r="D824" i="21"/>
  <c r="E824" i="21"/>
  <c r="F824" i="21"/>
  <c r="G824" i="21"/>
  <c r="I824" i="21"/>
  <c r="J824" i="21"/>
  <c r="L824" i="21"/>
  <c r="B825" i="21"/>
  <c r="C825" i="21"/>
  <c r="D825" i="21"/>
  <c r="E825" i="21"/>
  <c r="F825" i="21"/>
  <c r="G825" i="21"/>
  <c r="I825" i="21"/>
  <c r="J825" i="21"/>
  <c r="L825" i="21"/>
  <c r="B826" i="21"/>
  <c r="C826" i="21"/>
  <c r="D826" i="21"/>
  <c r="E826" i="21"/>
  <c r="F826" i="21"/>
  <c r="G826" i="21"/>
  <c r="I826" i="21"/>
  <c r="J826" i="21"/>
  <c r="L826" i="21"/>
  <c r="B827" i="21"/>
  <c r="C827" i="21"/>
  <c r="D827" i="21"/>
  <c r="E827" i="21"/>
  <c r="F827" i="21"/>
  <c r="G827" i="21"/>
  <c r="I827" i="21"/>
  <c r="J827" i="21"/>
  <c r="L827" i="21"/>
  <c r="B828" i="21"/>
  <c r="C828" i="21"/>
  <c r="D828" i="21"/>
  <c r="E828" i="21"/>
  <c r="F828" i="21"/>
  <c r="G828" i="21"/>
  <c r="I828" i="21"/>
  <c r="J828" i="21"/>
  <c r="L828" i="21"/>
  <c r="B829" i="21"/>
  <c r="C829" i="21"/>
  <c r="D829" i="21"/>
  <c r="E829" i="21"/>
  <c r="F829" i="21"/>
  <c r="G829" i="21"/>
  <c r="I829" i="21"/>
  <c r="J829" i="21"/>
  <c r="L829" i="21"/>
  <c r="B830" i="21"/>
  <c r="C830" i="21"/>
  <c r="D830" i="21"/>
  <c r="E830" i="21"/>
  <c r="F830" i="21"/>
  <c r="G830" i="21"/>
  <c r="I830" i="21"/>
  <c r="J830" i="21"/>
  <c r="L830" i="21"/>
  <c r="B831" i="21"/>
  <c r="C831" i="21"/>
  <c r="D831" i="21"/>
  <c r="E831" i="21"/>
  <c r="F831" i="21"/>
  <c r="G831" i="21"/>
  <c r="I831" i="21"/>
  <c r="J831" i="21"/>
  <c r="L831" i="21"/>
  <c r="B832" i="21"/>
  <c r="C832" i="21"/>
  <c r="D832" i="21"/>
  <c r="E832" i="21"/>
  <c r="F832" i="21"/>
  <c r="G832" i="21"/>
  <c r="I832" i="21"/>
  <c r="J832" i="21"/>
  <c r="L832" i="21"/>
  <c r="B833" i="21"/>
  <c r="C833" i="21"/>
  <c r="D833" i="21"/>
  <c r="E833" i="21"/>
  <c r="F833" i="21"/>
  <c r="G833" i="21"/>
  <c r="I833" i="21"/>
  <c r="J833" i="21"/>
  <c r="L833" i="21"/>
  <c r="B834" i="21"/>
  <c r="C834" i="21"/>
  <c r="D834" i="21"/>
  <c r="E834" i="21"/>
  <c r="F834" i="21"/>
  <c r="G834" i="21"/>
  <c r="I834" i="21"/>
  <c r="J834" i="21"/>
  <c r="L834" i="21"/>
  <c r="B835" i="21"/>
  <c r="C835" i="21"/>
  <c r="D835" i="21"/>
  <c r="E835" i="21"/>
  <c r="F835" i="21"/>
  <c r="G835" i="21"/>
  <c r="I835" i="21"/>
  <c r="J835" i="21"/>
  <c r="L835" i="21"/>
  <c r="B836" i="21"/>
  <c r="C836" i="21"/>
  <c r="D836" i="21"/>
  <c r="E836" i="21"/>
  <c r="F836" i="21"/>
  <c r="G836" i="21"/>
  <c r="I836" i="21"/>
  <c r="J836" i="21"/>
  <c r="L836" i="21"/>
  <c r="B837" i="21"/>
  <c r="C837" i="21"/>
  <c r="D837" i="21"/>
  <c r="E837" i="21"/>
  <c r="F837" i="21"/>
  <c r="G837" i="21"/>
  <c r="I837" i="21"/>
  <c r="J837" i="21"/>
  <c r="L837" i="21"/>
  <c r="B838" i="21"/>
  <c r="C838" i="21"/>
  <c r="D838" i="21"/>
  <c r="E838" i="21"/>
  <c r="F838" i="21"/>
  <c r="G838" i="21"/>
  <c r="I838" i="21"/>
  <c r="J838" i="21"/>
  <c r="L838" i="21"/>
  <c r="B839" i="21"/>
  <c r="C839" i="21"/>
  <c r="D839" i="21"/>
  <c r="E839" i="21"/>
  <c r="F839" i="21"/>
  <c r="G839" i="21"/>
  <c r="I839" i="21"/>
  <c r="J839" i="21"/>
  <c r="L839" i="21"/>
  <c r="B840" i="21"/>
  <c r="C840" i="21"/>
  <c r="D840" i="21"/>
  <c r="E840" i="21"/>
  <c r="F840" i="21"/>
  <c r="G840" i="21"/>
  <c r="I840" i="21"/>
  <c r="J840" i="21"/>
  <c r="L840" i="21"/>
  <c r="B841" i="21"/>
  <c r="C841" i="21"/>
  <c r="D841" i="21"/>
  <c r="E841" i="21"/>
  <c r="F841" i="21"/>
  <c r="G841" i="21"/>
  <c r="I841" i="21"/>
  <c r="J841" i="21"/>
  <c r="L841" i="21"/>
  <c r="B842" i="21"/>
  <c r="C842" i="21"/>
  <c r="D842" i="21"/>
  <c r="E842" i="21"/>
  <c r="F842" i="21"/>
  <c r="G842" i="21"/>
  <c r="I842" i="21"/>
  <c r="J842" i="21"/>
  <c r="L842" i="21"/>
  <c r="B843" i="21"/>
  <c r="C843" i="21"/>
  <c r="D843" i="21"/>
  <c r="E843" i="21"/>
  <c r="F843" i="21"/>
  <c r="G843" i="21"/>
  <c r="I843" i="21"/>
  <c r="J843" i="21"/>
  <c r="L843" i="21"/>
  <c r="B844" i="21"/>
  <c r="C844" i="21"/>
  <c r="D844" i="21"/>
  <c r="E844" i="21"/>
  <c r="F844" i="21"/>
  <c r="G844" i="21"/>
  <c r="I844" i="21"/>
  <c r="J844" i="21"/>
  <c r="L844" i="21"/>
  <c r="B845" i="21"/>
  <c r="C845" i="21"/>
  <c r="D845" i="21"/>
  <c r="E845" i="21"/>
  <c r="F845" i="21"/>
  <c r="G845" i="21"/>
  <c r="I845" i="21"/>
  <c r="J845" i="21"/>
  <c r="L845" i="21"/>
  <c r="B846" i="21"/>
  <c r="C846" i="21"/>
  <c r="D846" i="21"/>
  <c r="E846" i="21"/>
  <c r="F846" i="21"/>
  <c r="G846" i="21"/>
  <c r="I846" i="21"/>
  <c r="J846" i="21"/>
  <c r="L846" i="21"/>
  <c r="B847" i="21"/>
  <c r="C847" i="21"/>
  <c r="D847" i="21"/>
  <c r="E847" i="21"/>
  <c r="F847" i="21"/>
  <c r="G847" i="21"/>
  <c r="I847" i="21"/>
  <c r="J847" i="21"/>
  <c r="L847" i="21"/>
  <c r="B848" i="21"/>
  <c r="C848" i="21"/>
  <c r="D848" i="21"/>
  <c r="E848" i="21"/>
  <c r="F848" i="21"/>
  <c r="G848" i="21"/>
  <c r="I848" i="21"/>
  <c r="J848" i="21"/>
  <c r="L848" i="21"/>
  <c r="B849" i="21"/>
  <c r="C849" i="21"/>
  <c r="D849" i="21"/>
  <c r="E849" i="21"/>
  <c r="F849" i="21"/>
  <c r="G849" i="21"/>
  <c r="I849" i="21"/>
  <c r="J849" i="21"/>
  <c r="L849" i="21"/>
  <c r="B850" i="21"/>
  <c r="C850" i="21"/>
  <c r="D850" i="21"/>
  <c r="E850" i="21"/>
  <c r="F850" i="21"/>
  <c r="G850" i="21"/>
  <c r="I850" i="21"/>
  <c r="J850" i="21"/>
  <c r="L850" i="21"/>
  <c r="B851" i="21"/>
  <c r="C851" i="21"/>
  <c r="D851" i="21"/>
  <c r="E851" i="21"/>
  <c r="F851" i="21"/>
  <c r="G851" i="21"/>
  <c r="I851" i="21"/>
  <c r="J851" i="21"/>
  <c r="L851" i="21"/>
  <c r="B852" i="21"/>
  <c r="C852" i="21"/>
  <c r="D852" i="21"/>
  <c r="E852" i="21"/>
  <c r="F852" i="21"/>
  <c r="G852" i="21"/>
  <c r="I852" i="21"/>
  <c r="J852" i="21"/>
  <c r="L852" i="21"/>
  <c r="B853" i="21"/>
  <c r="C853" i="21"/>
  <c r="D853" i="21"/>
  <c r="E853" i="21"/>
  <c r="F853" i="21"/>
  <c r="G853" i="21"/>
  <c r="I853" i="21"/>
  <c r="J853" i="21"/>
  <c r="L853" i="21"/>
  <c r="B854" i="21"/>
  <c r="C854" i="21"/>
  <c r="D854" i="21"/>
  <c r="E854" i="21"/>
  <c r="F854" i="21"/>
  <c r="G854" i="21"/>
  <c r="I854" i="21"/>
  <c r="J854" i="21"/>
  <c r="L854" i="21"/>
  <c r="B855" i="21"/>
  <c r="C855" i="21"/>
  <c r="D855" i="21"/>
  <c r="E855" i="21"/>
  <c r="F855" i="21"/>
  <c r="G855" i="21"/>
  <c r="I855" i="21"/>
  <c r="J855" i="21"/>
  <c r="L855" i="21"/>
  <c r="B856" i="21"/>
  <c r="C856" i="21"/>
  <c r="D856" i="21"/>
  <c r="E856" i="21"/>
  <c r="F856" i="21"/>
  <c r="G856" i="21"/>
  <c r="I856" i="21"/>
  <c r="J856" i="21"/>
  <c r="L856" i="21"/>
  <c r="B857" i="21"/>
  <c r="C857" i="21"/>
  <c r="D857" i="21"/>
  <c r="E857" i="21"/>
  <c r="F857" i="21"/>
  <c r="G857" i="21"/>
  <c r="I857" i="21"/>
  <c r="J857" i="21"/>
  <c r="L857" i="21"/>
  <c r="B858" i="21"/>
  <c r="C858" i="21"/>
  <c r="D858" i="21"/>
  <c r="E858" i="21"/>
  <c r="F858" i="21"/>
  <c r="G858" i="21"/>
  <c r="I858" i="21"/>
  <c r="J858" i="21"/>
  <c r="L858" i="21"/>
  <c r="B859" i="21"/>
  <c r="C859" i="21"/>
  <c r="D859" i="21"/>
  <c r="E859" i="21"/>
  <c r="F859" i="21"/>
  <c r="G859" i="21"/>
  <c r="I859" i="21"/>
  <c r="J859" i="21"/>
  <c r="L859" i="21"/>
  <c r="B860" i="21"/>
  <c r="C860" i="21"/>
  <c r="D860" i="21"/>
  <c r="E860" i="21"/>
  <c r="F860" i="21"/>
  <c r="G860" i="21"/>
  <c r="I860" i="21"/>
  <c r="J860" i="21"/>
  <c r="L860" i="21"/>
  <c r="B861" i="21"/>
  <c r="C861" i="21"/>
  <c r="D861" i="21"/>
  <c r="E861" i="21"/>
  <c r="F861" i="21"/>
  <c r="G861" i="21"/>
  <c r="I861" i="21"/>
  <c r="J861" i="21"/>
  <c r="L861" i="21"/>
  <c r="B862" i="21"/>
  <c r="C862" i="21"/>
  <c r="D862" i="21"/>
  <c r="E862" i="21"/>
  <c r="F862" i="21"/>
  <c r="G862" i="21"/>
  <c r="I862" i="21"/>
  <c r="J862" i="21"/>
  <c r="L862" i="21"/>
  <c r="B863" i="21"/>
  <c r="C863" i="21"/>
  <c r="D863" i="21"/>
  <c r="E863" i="21"/>
  <c r="F863" i="21"/>
  <c r="G863" i="21"/>
  <c r="I863" i="21"/>
  <c r="J863" i="21"/>
  <c r="L863" i="21"/>
  <c r="B864" i="21"/>
  <c r="C864" i="21"/>
  <c r="D864" i="21"/>
  <c r="E864" i="21"/>
  <c r="F864" i="21"/>
  <c r="G864" i="21"/>
  <c r="I864" i="21"/>
  <c r="J864" i="21"/>
  <c r="L864" i="21"/>
  <c r="B865" i="21"/>
  <c r="C865" i="21"/>
  <c r="D865" i="21"/>
  <c r="E865" i="21"/>
  <c r="F865" i="21"/>
  <c r="G865" i="21"/>
  <c r="I865" i="21"/>
  <c r="J865" i="21"/>
  <c r="L865" i="21"/>
  <c r="B866" i="21"/>
  <c r="C866" i="21"/>
  <c r="D866" i="21"/>
  <c r="E866" i="21"/>
  <c r="F866" i="21"/>
  <c r="G866" i="21"/>
  <c r="I866" i="21"/>
  <c r="J866" i="21"/>
  <c r="L866" i="21"/>
  <c r="B867" i="21"/>
  <c r="C867" i="21"/>
  <c r="D867" i="21"/>
  <c r="E867" i="21"/>
  <c r="F867" i="21"/>
  <c r="G867" i="21"/>
  <c r="I867" i="21"/>
  <c r="J867" i="21"/>
  <c r="L867" i="21"/>
  <c r="B868" i="21"/>
  <c r="C868" i="21"/>
  <c r="D868" i="21"/>
  <c r="E868" i="21"/>
  <c r="F868" i="21"/>
  <c r="G868" i="21"/>
  <c r="I868" i="21"/>
  <c r="J868" i="21"/>
  <c r="L868" i="21"/>
  <c r="B869" i="21"/>
  <c r="C869" i="21"/>
  <c r="D869" i="21"/>
  <c r="E869" i="21"/>
  <c r="F869" i="21"/>
  <c r="G869" i="21"/>
  <c r="I869" i="21"/>
  <c r="J869" i="21"/>
  <c r="L869" i="21"/>
  <c r="B870" i="21"/>
  <c r="C870" i="21"/>
  <c r="D870" i="21"/>
  <c r="E870" i="21"/>
  <c r="F870" i="21"/>
  <c r="G870" i="21"/>
  <c r="I870" i="21"/>
  <c r="J870" i="21"/>
  <c r="L870" i="21"/>
  <c r="B871" i="21"/>
  <c r="C871" i="21"/>
  <c r="D871" i="21"/>
  <c r="E871" i="21"/>
  <c r="F871" i="21"/>
  <c r="G871" i="21"/>
  <c r="I871" i="21"/>
  <c r="J871" i="21"/>
  <c r="L871" i="21"/>
  <c r="B872" i="21"/>
  <c r="C872" i="21"/>
  <c r="D872" i="21"/>
  <c r="E872" i="21"/>
  <c r="F872" i="21"/>
  <c r="G872" i="21"/>
  <c r="I872" i="21"/>
  <c r="J872" i="21"/>
  <c r="L872" i="21"/>
  <c r="B873" i="21"/>
  <c r="C873" i="21"/>
  <c r="D873" i="21"/>
  <c r="E873" i="21"/>
  <c r="F873" i="21"/>
  <c r="G873" i="21"/>
  <c r="I873" i="21"/>
  <c r="J873" i="21"/>
  <c r="L873" i="21"/>
  <c r="B874" i="21"/>
  <c r="C874" i="21"/>
  <c r="D874" i="21"/>
  <c r="E874" i="21"/>
  <c r="F874" i="21"/>
  <c r="G874" i="21"/>
  <c r="I874" i="21"/>
  <c r="J874" i="21"/>
  <c r="L874" i="21"/>
  <c r="B875" i="21"/>
  <c r="C875" i="21"/>
  <c r="D875" i="21"/>
  <c r="E875" i="21"/>
  <c r="F875" i="21"/>
  <c r="G875" i="21"/>
  <c r="I875" i="21"/>
  <c r="J875" i="21"/>
  <c r="L875" i="21"/>
  <c r="B876" i="21"/>
  <c r="C876" i="21"/>
  <c r="D876" i="21"/>
  <c r="E876" i="21"/>
  <c r="F876" i="21"/>
  <c r="G876" i="21"/>
  <c r="I876" i="21"/>
  <c r="J876" i="21"/>
  <c r="L876" i="21"/>
  <c r="B877" i="21"/>
  <c r="C877" i="21"/>
  <c r="D877" i="21"/>
  <c r="E877" i="21"/>
  <c r="F877" i="21"/>
  <c r="G877" i="21"/>
  <c r="I877" i="21"/>
  <c r="J877" i="21"/>
  <c r="L877" i="21"/>
  <c r="B878" i="21"/>
  <c r="C878" i="21"/>
  <c r="D878" i="21"/>
  <c r="E878" i="21"/>
  <c r="F878" i="21"/>
  <c r="G878" i="21"/>
  <c r="I878" i="21"/>
  <c r="J878" i="21"/>
  <c r="L878" i="21"/>
  <c r="B879" i="21"/>
  <c r="C879" i="21"/>
  <c r="D879" i="21"/>
  <c r="E879" i="21"/>
  <c r="F879" i="21"/>
  <c r="G879" i="21"/>
  <c r="I879" i="21"/>
  <c r="J879" i="21"/>
  <c r="L879" i="21"/>
  <c r="B880" i="21"/>
  <c r="C880" i="21"/>
  <c r="D880" i="21"/>
  <c r="E880" i="21"/>
  <c r="F880" i="21"/>
  <c r="G880" i="21"/>
  <c r="I880" i="21"/>
  <c r="J880" i="21"/>
  <c r="L880" i="21"/>
  <c r="B881" i="21"/>
  <c r="C881" i="21"/>
  <c r="D881" i="21"/>
  <c r="E881" i="21"/>
  <c r="F881" i="21"/>
  <c r="G881" i="21"/>
  <c r="I881" i="21"/>
  <c r="J881" i="21"/>
  <c r="L881" i="21"/>
  <c r="B882" i="21"/>
  <c r="C882" i="21"/>
  <c r="D882" i="21"/>
  <c r="E882" i="21"/>
  <c r="F882" i="21"/>
  <c r="G882" i="21"/>
  <c r="I882" i="21"/>
  <c r="J882" i="21"/>
  <c r="L882" i="21"/>
  <c r="B883" i="21"/>
  <c r="C883" i="21"/>
  <c r="D883" i="21"/>
  <c r="E883" i="21"/>
  <c r="F883" i="21"/>
  <c r="G883" i="21"/>
  <c r="I883" i="21"/>
  <c r="J883" i="21"/>
  <c r="L883" i="21"/>
  <c r="B884" i="21"/>
  <c r="C884" i="21"/>
  <c r="D884" i="21"/>
  <c r="E884" i="21"/>
  <c r="F884" i="21"/>
  <c r="G884" i="21"/>
  <c r="I884" i="21"/>
  <c r="J884" i="21"/>
  <c r="L884" i="21"/>
  <c r="B885" i="21"/>
  <c r="C885" i="21"/>
  <c r="D885" i="21"/>
  <c r="E885" i="21"/>
  <c r="F885" i="21"/>
  <c r="G885" i="21"/>
  <c r="I885" i="21"/>
  <c r="J885" i="21"/>
  <c r="L885" i="21"/>
  <c r="B886" i="21"/>
  <c r="C886" i="21"/>
  <c r="D886" i="21"/>
  <c r="E886" i="21"/>
  <c r="F886" i="21"/>
  <c r="G886" i="21"/>
  <c r="I886" i="21"/>
  <c r="J886" i="21"/>
  <c r="L886" i="21"/>
  <c r="B887" i="21"/>
  <c r="C887" i="21"/>
  <c r="D887" i="21"/>
  <c r="E887" i="21"/>
  <c r="F887" i="21"/>
  <c r="G887" i="21"/>
  <c r="I887" i="21"/>
  <c r="J887" i="21"/>
  <c r="L887" i="21"/>
  <c r="B888" i="21"/>
  <c r="C888" i="21"/>
  <c r="D888" i="21"/>
  <c r="E888" i="21"/>
  <c r="F888" i="21"/>
  <c r="G888" i="21"/>
  <c r="I888" i="21"/>
  <c r="J888" i="21"/>
  <c r="L888" i="21"/>
  <c r="B889" i="21"/>
  <c r="C889" i="21"/>
  <c r="D889" i="21"/>
  <c r="E889" i="21"/>
  <c r="F889" i="21"/>
  <c r="G889" i="21"/>
  <c r="I889" i="21"/>
  <c r="J889" i="21"/>
  <c r="L889" i="21"/>
  <c r="B890" i="21"/>
  <c r="C890" i="21"/>
  <c r="D890" i="21"/>
  <c r="E890" i="21"/>
  <c r="F890" i="21"/>
  <c r="G890" i="21"/>
  <c r="I890" i="21"/>
  <c r="J890" i="21"/>
  <c r="L890" i="21"/>
  <c r="B891" i="21"/>
  <c r="C891" i="21"/>
  <c r="D891" i="21"/>
  <c r="E891" i="21"/>
  <c r="F891" i="21"/>
  <c r="G891" i="21"/>
  <c r="I891" i="21"/>
  <c r="J891" i="21"/>
  <c r="L891" i="21"/>
  <c r="B892" i="21"/>
  <c r="C892" i="21"/>
  <c r="D892" i="21"/>
  <c r="E892" i="21"/>
  <c r="F892" i="21"/>
  <c r="G892" i="21"/>
  <c r="I892" i="21"/>
  <c r="J892" i="21"/>
  <c r="L892" i="21"/>
  <c r="B893" i="21"/>
  <c r="C893" i="21"/>
  <c r="D893" i="21"/>
  <c r="E893" i="21"/>
  <c r="F893" i="21"/>
  <c r="G893" i="21"/>
  <c r="I893" i="21"/>
  <c r="J893" i="21"/>
  <c r="L893" i="21"/>
  <c r="B894" i="21"/>
  <c r="C894" i="21"/>
  <c r="D894" i="21"/>
  <c r="E894" i="21"/>
  <c r="F894" i="21"/>
  <c r="G894" i="21"/>
  <c r="I894" i="21"/>
  <c r="J894" i="21"/>
  <c r="L894" i="21"/>
  <c r="B895" i="21"/>
  <c r="C895" i="21"/>
  <c r="D895" i="21"/>
  <c r="E895" i="21"/>
  <c r="F895" i="21"/>
  <c r="G895" i="21"/>
  <c r="I895" i="21"/>
  <c r="J895" i="21"/>
  <c r="L895" i="21"/>
  <c r="B896" i="21"/>
  <c r="C896" i="21"/>
  <c r="D896" i="21"/>
  <c r="E896" i="21"/>
  <c r="F896" i="21"/>
  <c r="G896" i="21"/>
  <c r="I896" i="21"/>
  <c r="J896" i="21"/>
  <c r="L896" i="21"/>
  <c r="B897" i="21"/>
  <c r="C897" i="21"/>
  <c r="D897" i="21"/>
  <c r="E897" i="21"/>
  <c r="F897" i="21"/>
  <c r="G897" i="21"/>
  <c r="I897" i="21"/>
  <c r="J897" i="21"/>
  <c r="L897" i="21"/>
  <c r="B898" i="21"/>
  <c r="C898" i="21"/>
  <c r="D898" i="21"/>
  <c r="E898" i="21"/>
  <c r="F898" i="21"/>
  <c r="G898" i="21"/>
  <c r="I898" i="21"/>
  <c r="J898" i="21"/>
  <c r="L898" i="21"/>
  <c r="B899" i="21"/>
  <c r="C899" i="21"/>
  <c r="D899" i="21"/>
  <c r="E899" i="21"/>
  <c r="F899" i="21"/>
  <c r="G899" i="21"/>
  <c r="I899" i="21"/>
  <c r="J899" i="21"/>
  <c r="L899" i="21"/>
  <c r="B900" i="21"/>
  <c r="C900" i="21"/>
  <c r="D900" i="21"/>
  <c r="E900" i="21"/>
  <c r="F900" i="21"/>
  <c r="G900" i="21"/>
  <c r="I900" i="21"/>
  <c r="J900" i="21"/>
  <c r="L900" i="21"/>
  <c r="B901" i="21"/>
  <c r="C901" i="21"/>
  <c r="D901" i="21"/>
  <c r="E901" i="21"/>
  <c r="F901" i="21"/>
  <c r="G901" i="21"/>
  <c r="I901" i="21"/>
  <c r="J901" i="21"/>
  <c r="L901" i="21"/>
  <c r="B902" i="21"/>
  <c r="C902" i="21"/>
  <c r="D902" i="21"/>
  <c r="E902" i="21"/>
  <c r="F902" i="21"/>
  <c r="G902" i="21"/>
  <c r="I902" i="21"/>
  <c r="J902" i="21"/>
  <c r="L902" i="21"/>
  <c r="B903" i="21"/>
  <c r="C903" i="21"/>
  <c r="D903" i="21"/>
  <c r="E903" i="21"/>
  <c r="F903" i="21"/>
  <c r="G903" i="21"/>
  <c r="I903" i="21"/>
  <c r="J903" i="21"/>
  <c r="L903" i="21"/>
  <c r="B904" i="21"/>
  <c r="C904" i="21"/>
  <c r="D904" i="21"/>
  <c r="E904" i="21"/>
  <c r="F904" i="21"/>
  <c r="G904" i="21"/>
  <c r="I904" i="21"/>
  <c r="J904" i="21"/>
  <c r="L904" i="21"/>
  <c r="B905" i="21"/>
  <c r="C905" i="21"/>
  <c r="D905" i="21"/>
  <c r="E905" i="21"/>
  <c r="F905" i="21"/>
  <c r="G905" i="21"/>
  <c r="I905" i="21"/>
  <c r="J905" i="21"/>
  <c r="L905" i="21"/>
  <c r="B906" i="21"/>
  <c r="C906" i="21"/>
  <c r="D906" i="21"/>
  <c r="E906" i="21"/>
  <c r="F906" i="21"/>
  <c r="G906" i="21"/>
  <c r="I906" i="21"/>
  <c r="J906" i="21"/>
  <c r="L906" i="21"/>
  <c r="B907" i="21"/>
  <c r="C907" i="21"/>
  <c r="D907" i="21"/>
  <c r="E907" i="21"/>
  <c r="F907" i="21"/>
  <c r="G907" i="21"/>
  <c r="I907" i="21"/>
  <c r="J907" i="21"/>
  <c r="L907" i="21"/>
  <c r="B908" i="21"/>
  <c r="C908" i="21"/>
  <c r="D908" i="21"/>
  <c r="E908" i="21"/>
  <c r="F908" i="21"/>
  <c r="G908" i="21"/>
  <c r="I908" i="21"/>
  <c r="J908" i="21"/>
  <c r="L908" i="21"/>
  <c r="B909" i="21"/>
  <c r="C909" i="21"/>
  <c r="D909" i="21"/>
  <c r="E909" i="21"/>
  <c r="F909" i="21"/>
  <c r="G909" i="21"/>
  <c r="I909" i="21"/>
  <c r="J909" i="21"/>
  <c r="L909" i="21"/>
  <c r="B910" i="21"/>
  <c r="C910" i="21"/>
  <c r="D910" i="21"/>
  <c r="E910" i="21"/>
  <c r="F910" i="21"/>
  <c r="G910" i="21"/>
  <c r="I910" i="21"/>
  <c r="J910" i="21"/>
  <c r="L910" i="21"/>
  <c r="B911" i="21"/>
  <c r="C911" i="21"/>
  <c r="D911" i="21"/>
  <c r="E911" i="21"/>
  <c r="F911" i="21"/>
  <c r="G911" i="21"/>
  <c r="I911" i="21"/>
  <c r="J911" i="21"/>
  <c r="L911" i="21"/>
  <c r="B912" i="21"/>
  <c r="C912" i="21"/>
  <c r="D912" i="21"/>
  <c r="E912" i="21"/>
  <c r="F912" i="21"/>
  <c r="G912" i="21"/>
  <c r="I912" i="21"/>
  <c r="J912" i="21"/>
  <c r="L912" i="21"/>
  <c r="B913" i="21"/>
  <c r="C913" i="21"/>
  <c r="D913" i="21"/>
  <c r="E913" i="21"/>
  <c r="F913" i="21"/>
  <c r="G913" i="21"/>
  <c r="I913" i="21"/>
  <c r="J913" i="21"/>
  <c r="L913" i="21"/>
  <c r="B914" i="21"/>
  <c r="C914" i="21"/>
  <c r="D914" i="21"/>
  <c r="E914" i="21"/>
  <c r="F914" i="21"/>
  <c r="G914" i="21"/>
  <c r="I914" i="21"/>
  <c r="J914" i="21"/>
  <c r="L914" i="21"/>
  <c r="B915" i="21"/>
  <c r="C915" i="21"/>
  <c r="D915" i="21"/>
  <c r="E915" i="21"/>
  <c r="F915" i="21"/>
  <c r="G915" i="21"/>
  <c r="I915" i="21"/>
  <c r="J915" i="21"/>
  <c r="L915" i="21"/>
  <c r="B916" i="21"/>
  <c r="C916" i="21"/>
  <c r="D916" i="21"/>
  <c r="E916" i="21"/>
  <c r="F916" i="21"/>
  <c r="G916" i="21"/>
  <c r="I916" i="21"/>
  <c r="J916" i="21"/>
  <c r="L916" i="21"/>
  <c r="B917" i="21"/>
  <c r="C917" i="21"/>
  <c r="D917" i="21"/>
  <c r="E917" i="21"/>
  <c r="F917" i="21"/>
  <c r="G917" i="21"/>
  <c r="I917" i="21"/>
  <c r="J917" i="21"/>
  <c r="L917" i="21"/>
  <c r="B918" i="21"/>
  <c r="C918" i="21"/>
  <c r="D918" i="21"/>
  <c r="E918" i="21"/>
  <c r="F918" i="21"/>
  <c r="G918" i="21"/>
  <c r="I918" i="21"/>
  <c r="J918" i="21"/>
  <c r="L918" i="21"/>
  <c r="B919" i="21"/>
  <c r="C919" i="21"/>
  <c r="D919" i="21"/>
  <c r="E919" i="21"/>
  <c r="F919" i="21"/>
  <c r="G919" i="21"/>
  <c r="I919" i="21"/>
  <c r="J919" i="21"/>
  <c r="L919" i="21"/>
  <c r="B920" i="21"/>
  <c r="C920" i="21"/>
  <c r="D920" i="21"/>
  <c r="E920" i="21"/>
  <c r="F920" i="21"/>
  <c r="G920" i="21"/>
  <c r="I920" i="21"/>
  <c r="J920" i="21"/>
  <c r="L920" i="21"/>
  <c r="B921" i="21"/>
  <c r="C921" i="21"/>
  <c r="D921" i="21"/>
  <c r="E921" i="21"/>
  <c r="F921" i="21"/>
  <c r="G921" i="21"/>
  <c r="I921" i="21"/>
  <c r="J921" i="21"/>
  <c r="L921" i="21"/>
  <c r="B922" i="21"/>
  <c r="C922" i="21"/>
  <c r="D922" i="21"/>
  <c r="E922" i="21"/>
  <c r="F922" i="21"/>
  <c r="G922" i="21"/>
  <c r="I922" i="21"/>
  <c r="J922" i="21"/>
  <c r="L922" i="21"/>
  <c r="B923" i="21"/>
  <c r="C923" i="21"/>
  <c r="D923" i="21"/>
  <c r="E923" i="21"/>
  <c r="F923" i="21"/>
  <c r="G923" i="21"/>
  <c r="I923" i="21"/>
  <c r="J923" i="21"/>
  <c r="L923" i="21"/>
  <c r="B924" i="21"/>
  <c r="C924" i="21"/>
  <c r="D924" i="21"/>
  <c r="E924" i="21"/>
  <c r="F924" i="21"/>
  <c r="G924" i="21"/>
  <c r="I924" i="21"/>
  <c r="J924" i="21"/>
  <c r="L924" i="21"/>
  <c r="B925" i="21"/>
  <c r="C925" i="21"/>
  <c r="D925" i="21"/>
  <c r="E925" i="21"/>
  <c r="F925" i="21"/>
  <c r="G925" i="21"/>
  <c r="I925" i="21"/>
  <c r="J925" i="21"/>
  <c r="L925" i="21"/>
  <c r="B926" i="21"/>
  <c r="C926" i="21"/>
  <c r="D926" i="21"/>
  <c r="E926" i="21"/>
  <c r="F926" i="21"/>
  <c r="G926" i="21"/>
  <c r="I926" i="21"/>
  <c r="J926" i="21"/>
  <c r="L926" i="21"/>
  <c r="B927" i="21"/>
  <c r="C927" i="21"/>
  <c r="D927" i="21"/>
  <c r="E927" i="21"/>
  <c r="F927" i="21"/>
  <c r="G927" i="21"/>
  <c r="I927" i="21"/>
  <c r="J927" i="21"/>
  <c r="L927" i="21"/>
  <c r="B928" i="21"/>
  <c r="C928" i="21"/>
  <c r="D928" i="21"/>
  <c r="E928" i="21"/>
  <c r="F928" i="21"/>
  <c r="G928" i="21"/>
  <c r="I928" i="21"/>
  <c r="J928" i="21"/>
  <c r="L928" i="21"/>
  <c r="B929" i="21"/>
  <c r="C929" i="21"/>
  <c r="D929" i="21"/>
  <c r="E929" i="21"/>
  <c r="F929" i="21"/>
  <c r="G929" i="21"/>
  <c r="I929" i="21"/>
  <c r="J929" i="21"/>
  <c r="L929" i="21"/>
  <c r="B930" i="21"/>
  <c r="C930" i="21"/>
  <c r="D930" i="21"/>
  <c r="E930" i="21"/>
  <c r="F930" i="21"/>
  <c r="G930" i="21"/>
  <c r="I930" i="21"/>
  <c r="J930" i="21"/>
  <c r="L930" i="21"/>
  <c r="B931" i="21"/>
  <c r="C931" i="21"/>
  <c r="D931" i="21"/>
  <c r="E931" i="21"/>
  <c r="F931" i="21"/>
  <c r="G931" i="21"/>
  <c r="I931" i="21"/>
  <c r="J931" i="21"/>
  <c r="L931" i="21"/>
  <c r="B932" i="21"/>
  <c r="C932" i="21"/>
  <c r="D932" i="21"/>
  <c r="E932" i="21"/>
  <c r="F932" i="21"/>
  <c r="G932" i="21"/>
  <c r="I932" i="21"/>
  <c r="J932" i="21"/>
  <c r="L932" i="21"/>
  <c r="B933" i="21"/>
  <c r="C933" i="21"/>
  <c r="D933" i="21"/>
  <c r="E933" i="21"/>
  <c r="F933" i="21"/>
  <c r="G933" i="21"/>
  <c r="I933" i="21"/>
  <c r="J933" i="21"/>
  <c r="L933" i="21"/>
  <c r="B934" i="21"/>
  <c r="C934" i="21"/>
  <c r="D934" i="21"/>
  <c r="E934" i="21"/>
  <c r="F934" i="21"/>
  <c r="G934" i="21"/>
  <c r="I934" i="21"/>
  <c r="J934" i="21"/>
  <c r="L934" i="21"/>
  <c r="B935" i="21"/>
  <c r="C935" i="21"/>
  <c r="D935" i="21"/>
  <c r="E935" i="21"/>
  <c r="F935" i="21"/>
  <c r="G935" i="21"/>
  <c r="I935" i="21"/>
  <c r="J935" i="21"/>
  <c r="L935" i="21"/>
  <c r="B936" i="21"/>
  <c r="C936" i="21"/>
  <c r="D936" i="21"/>
  <c r="E936" i="21"/>
  <c r="F936" i="21"/>
  <c r="G936" i="21"/>
  <c r="I936" i="21"/>
  <c r="J936" i="21"/>
  <c r="L936" i="21"/>
  <c r="B937" i="21"/>
  <c r="C937" i="21"/>
  <c r="D937" i="21"/>
  <c r="E937" i="21"/>
  <c r="F937" i="21"/>
  <c r="G937" i="21"/>
  <c r="I937" i="21"/>
  <c r="J937" i="21"/>
  <c r="L937" i="21"/>
  <c r="B938" i="21"/>
  <c r="C938" i="21"/>
  <c r="D938" i="21"/>
  <c r="E938" i="21"/>
  <c r="F938" i="21"/>
  <c r="G938" i="21"/>
  <c r="I938" i="21"/>
  <c r="J938" i="21"/>
  <c r="L938" i="21"/>
  <c r="B939" i="21"/>
  <c r="C939" i="21"/>
  <c r="D939" i="21"/>
  <c r="E939" i="21"/>
  <c r="F939" i="21"/>
  <c r="G939" i="21"/>
  <c r="I939" i="21"/>
  <c r="J939" i="21"/>
  <c r="L939" i="21"/>
  <c r="B940" i="21"/>
  <c r="C940" i="21"/>
  <c r="D940" i="21"/>
  <c r="E940" i="21"/>
  <c r="F940" i="21"/>
  <c r="G940" i="21"/>
  <c r="I940" i="21"/>
  <c r="J940" i="21"/>
  <c r="L940" i="21"/>
  <c r="B941" i="21"/>
  <c r="C941" i="21"/>
  <c r="D941" i="21"/>
  <c r="E941" i="21"/>
  <c r="F941" i="21"/>
  <c r="G941" i="21"/>
  <c r="I941" i="21"/>
  <c r="J941" i="21"/>
  <c r="L941" i="21"/>
  <c r="B942" i="21"/>
  <c r="C942" i="21"/>
  <c r="D942" i="21"/>
  <c r="E942" i="21"/>
  <c r="F942" i="21"/>
  <c r="G942" i="21"/>
  <c r="I942" i="21"/>
  <c r="J942" i="21"/>
  <c r="L942" i="21"/>
  <c r="B943" i="21"/>
  <c r="C943" i="21"/>
  <c r="D943" i="21"/>
  <c r="E943" i="21"/>
  <c r="F943" i="21"/>
  <c r="G943" i="21"/>
  <c r="I943" i="21"/>
  <c r="J943" i="21"/>
  <c r="L943" i="21"/>
  <c r="B944" i="21"/>
  <c r="C944" i="21"/>
  <c r="D944" i="21"/>
  <c r="E944" i="21"/>
  <c r="F944" i="21"/>
  <c r="G944" i="21"/>
  <c r="I944" i="21"/>
  <c r="J944" i="21"/>
  <c r="L944" i="21"/>
  <c r="B945" i="21"/>
  <c r="C945" i="21"/>
  <c r="D945" i="21"/>
  <c r="E945" i="21"/>
  <c r="F945" i="21"/>
  <c r="G945" i="21"/>
  <c r="I945" i="21"/>
  <c r="J945" i="21"/>
  <c r="L945" i="21"/>
  <c r="B946" i="21"/>
  <c r="C946" i="21"/>
  <c r="D946" i="21"/>
  <c r="E946" i="21"/>
  <c r="F946" i="21"/>
  <c r="G946" i="21"/>
  <c r="I946" i="21"/>
  <c r="J946" i="21"/>
  <c r="L946" i="21"/>
  <c r="B947" i="21"/>
  <c r="C947" i="21"/>
  <c r="D947" i="21"/>
  <c r="E947" i="21"/>
  <c r="F947" i="21"/>
  <c r="G947" i="21"/>
  <c r="I947" i="21"/>
  <c r="J947" i="21"/>
  <c r="L947" i="21"/>
  <c r="B948" i="21"/>
  <c r="C948" i="21"/>
  <c r="D948" i="21"/>
  <c r="E948" i="21"/>
  <c r="F948" i="21"/>
  <c r="G948" i="21"/>
  <c r="I948" i="21"/>
  <c r="J948" i="21"/>
  <c r="L948" i="21"/>
  <c r="B949" i="21"/>
  <c r="C949" i="21"/>
  <c r="D949" i="21"/>
  <c r="E949" i="21"/>
  <c r="F949" i="21"/>
  <c r="G949" i="21"/>
  <c r="I949" i="21"/>
  <c r="J949" i="21"/>
  <c r="L949" i="21"/>
  <c r="B950" i="21"/>
  <c r="C950" i="21"/>
  <c r="D950" i="21"/>
  <c r="E950" i="21"/>
  <c r="F950" i="21"/>
  <c r="G950" i="21"/>
  <c r="I950" i="21"/>
  <c r="J950" i="21"/>
  <c r="L950" i="21"/>
  <c r="B951" i="21"/>
  <c r="C951" i="21"/>
  <c r="D951" i="21"/>
  <c r="E951" i="21"/>
  <c r="F951" i="21"/>
  <c r="G951" i="21"/>
  <c r="I951" i="21"/>
  <c r="J951" i="21"/>
  <c r="L951" i="21"/>
  <c r="B952" i="21"/>
  <c r="C952" i="21"/>
  <c r="D952" i="21"/>
  <c r="E952" i="21"/>
  <c r="F952" i="21"/>
  <c r="G952" i="21"/>
  <c r="I952" i="21"/>
  <c r="J952" i="21"/>
  <c r="L952" i="21"/>
  <c r="B953" i="21"/>
  <c r="C953" i="21"/>
  <c r="D953" i="21"/>
  <c r="E953" i="21"/>
  <c r="F953" i="21"/>
  <c r="G953" i="21"/>
  <c r="I953" i="21"/>
  <c r="J953" i="21"/>
  <c r="L953" i="21"/>
  <c r="B954" i="21"/>
  <c r="C954" i="21"/>
  <c r="D954" i="21"/>
  <c r="E954" i="21"/>
  <c r="F954" i="21"/>
  <c r="G954" i="21"/>
  <c r="I954" i="21"/>
  <c r="J954" i="21"/>
  <c r="L954" i="21"/>
  <c r="B955" i="21"/>
  <c r="C955" i="21"/>
  <c r="D955" i="21"/>
  <c r="E955" i="21"/>
  <c r="F955" i="21"/>
  <c r="G955" i="21"/>
  <c r="I955" i="21"/>
  <c r="J955" i="21"/>
  <c r="L955" i="21"/>
  <c r="B956" i="21"/>
  <c r="C956" i="21"/>
  <c r="D956" i="21"/>
  <c r="E956" i="21"/>
  <c r="F956" i="21"/>
  <c r="G956" i="21"/>
  <c r="I956" i="21"/>
  <c r="J956" i="21"/>
  <c r="L956" i="21"/>
  <c r="B957" i="21"/>
  <c r="C957" i="21"/>
  <c r="D957" i="21"/>
  <c r="E957" i="21"/>
  <c r="F957" i="21"/>
  <c r="G957" i="21"/>
  <c r="I957" i="21"/>
  <c r="J957" i="21"/>
  <c r="L957" i="21"/>
  <c r="B958" i="21"/>
  <c r="C958" i="21"/>
  <c r="D958" i="21"/>
  <c r="E958" i="21"/>
  <c r="F958" i="21"/>
  <c r="G958" i="21"/>
  <c r="I958" i="21"/>
  <c r="J958" i="21"/>
  <c r="L958" i="21"/>
  <c r="B959" i="21"/>
  <c r="C959" i="21"/>
  <c r="D959" i="21"/>
  <c r="E959" i="21"/>
  <c r="F959" i="21"/>
  <c r="G959" i="21"/>
  <c r="I959" i="21"/>
  <c r="J959" i="21"/>
  <c r="L959" i="21"/>
  <c r="B960" i="21"/>
  <c r="C960" i="21"/>
  <c r="D960" i="21"/>
  <c r="E960" i="21"/>
  <c r="F960" i="21"/>
  <c r="G960" i="21"/>
  <c r="I960" i="21"/>
  <c r="J960" i="21"/>
  <c r="L960" i="21"/>
  <c r="B961" i="21"/>
  <c r="C961" i="21"/>
  <c r="D961" i="21"/>
  <c r="E961" i="21"/>
  <c r="F961" i="21"/>
  <c r="G961" i="21"/>
  <c r="I961" i="21"/>
  <c r="J961" i="21"/>
  <c r="L961" i="21"/>
  <c r="B962" i="21"/>
  <c r="C962" i="21"/>
  <c r="D962" i="21"/>
  <c r="E962" i="21"/>
  <c r="F962" i="21"/>
  <c r="G962" i="21"/>
  <c r="I962" i="21"/>
  <c r="J962" i="21"/>
  <c r="L962" i="21"/>
  <c r="B963" i="21"/>
  <c r="C963" i="21"/>
  <c r="D963" i="21"/>
  <c r="E963" i="21"/>
  <c r="F963" i="21"/>
  <c r="G963" i="21"/>
  <c r="I963" i="21"/>
  <c r="J963" i="21"/>
  <c r="L963" i="21"/>
  <c r="B964" i="21"/>
  <c r="C964" i="21"/>
  <c r="D964" i="21"/>
  <c r="E964" i="21"/>
  <c r="F964" i="21"/>
  <c r="G964" i="21"/>
  <c r="I964" i="21"/>
  <c r="J964" i="21"/>
  <c r="L964" i="21"/>
  <c r="B965" i="21"/>
  <c r="C965" i="21"/>
  <c r="D965" i="21"/>
  <c r="E965" i="21"/>
  <c r="F965" i="21"/>
  <c r="G965" i="21"/>
  <c r="I965" i="21"/>
  <c r="J965" i="21"/>
  <c r="L965" i="21"/>
  <c r="B966" i="21"/>
  <c r="C966" i="21"/>
  <c r="D966" i="21"/>
  <c r="E966" i="21"/>
  <c r="F966" i="21"/>
  <c r="G966" i="21"/>
  <c r="I966" i="21"/>
  <c r="J966" i="21"/>
  <c r="L966" i="21"/>
  <c r="B967" i="21"/>
  <c r="C967" i="21"/>
  <c r="D967" i="21"/>
  <c r="E967" i="21"/>
  <c r="F967" i="21"/>
  <c r="G967" i="21"/>
  <c r="I967" i="21"/>
  <c r="J967" i="21"/>
  <c r="L967" i="21"/>
  <c r="B968" i="21"/>
  <c r="C968" i="21"/>
  <c r="D968" i="21"/>
  <c r="E968" i="21"/>
  <c r="F968" i="21"/>
  <c r="G968" i="21"/>
  <c r="I968" i="21"/>
  <c r="J968" i="21"/>
  <c r="L968" i="21"/>
  <c r="B969" i="21"/>
  <c r="C969" i="21"/>
  <c r="D969" i="21"/>
  <c r="E969" i="21"/>
  <c r="F969" i="21"/>
  <c r="G969" i="21"/>
  <c r="I969" i="21"/>
  <c r="J969" i="21"/>
  <c r="L969" i="21"/>
  <c r="B970" i="21"/>
  <c r="C970" i="21"/>
  <c r="D970" i="21"/>
  <c r="E970" i="21"/>
  <c r="F970" i="21"/>
  <c r="G970" i="21"/>
  <c r="I970" i="21"/>
  <c r="J970" i="21"/>
  <c r="L970" i="21"/>
  <c r="B971" i="21"/>
  <c r="C971" i="21"/>
  <c r="D971" i="21"/>
  <c r="E971" i="21"/>
  <c r="F971" i="21"/>
  <c r="G971" i="21"/>
  <c r="I971" i="21"/>
  <c r="J971" i="21"/>
  <c r="L971" i="21"/>
  <c r="B972" i="21"/>
  <c r="C972" i="21"/>
  <c r="D972" i="21"/>
  <c r="E972" i="21"/>
  <c r="F972" i="21"/>
  <c r="G972" i="21"/>
  <c r="I972" i="21"/>
  <c r="J972" i="21"/>
  <c r="L972" i="21"/>
  <c r="B973" i="21"/>
  <c r="C973" i="21"/>
  <c r="D973" i="21"/>
  <c r="E973" i="21"/>
  <c r="F973" i="21"/>
  <c r="G973" i="21"/>
  <c r="I973" i="21"/>
  <c r="J973" i="21"/>
  <c r="L973" i="21"/>
  <c r="B974" i="21"/>
  <c r="C974" i="21"/>
  <c r="D974" i="21"/>
  <c r="E974" i="21"/>
  <c r="F974" i="21"/>
  <c r="G974" i="21"/>
  <c r="I974" i="21"/>
  <c r="J974" i="21"/>
  <c r="L974" i="21"/>
  <c r="B975" i="21"/>
  <c r="C975" i="21"/>
  <c r="D975" i="21"/>
  <c r="E975" i="21"/>
  <c r="F975" i="21"/>
  <c r="G975" i="21"/>
  <c r="I975" i="21"/>
  <c r="J975" i="21"/>
  <c r="L975" i="21"/>
  <c r="B976" i="21"/>
  <c r="C976" i="21"/>
  <c r="D976" i="21"/>
  <c r="E976" i="21"/>
  <c r="F976" i="21"/>
  <c r="G976" i="21"/>
  <c r="I976" i="21"/>
  <c r="J976" i="21"/>
  <c r="L976" i="21"/>
  <c r="B977" i="21"/>
  <c r="C977" i="21"/>
  <c r="D977" i="21"/>
  <c r="E977" i="21"/>
  <c r="F977" i="21"/>
  <c r="G977" i="21"/>
  <c r="I977" i="21"/>
  <c r="J977" i="21"/>
  <c r="L977" i="21"/>
  <c r="B978" i="21"/>
  <c r="C978" i="21"/>
  <c r="D978" i="21"/>
  <c r="E978" i="21"/>
  <c r="F978" i="21"/>
  <c r="G978" i="21"/>
  <c r="I978" i="21"/>
  <c r="J978" i="21"/>
  <c r="L978" i="21"/>
  <c r="B979" i="21"/>
  <c r="C979" i="21"/>
  <c r="D979" i="21"/>
  <c r="E979" i="21"/>
  <c r="F979" i="21"/>
  <c r="G979" i="21"/>
  <c r="I979" i="21"/>
  <c r="J979" i="21"/>
  <c r="L979" i="21"/>
  <c r="B980" i="21"/>
  <c r="C980" i="21"/>
  <c r="D980" i="21"/>
  <c r="E980" i="21"/>
  <c r="F980" i="21"/>
  <c r="G980" i="21"/>
  <c r="I980" i="21"/>
  <c r="J980" i="21"/>
  <c r="L980" i="21"/>
  <c r="B981" i="21"/>
  <c r="C981" i="21"/>
  <c r="D981" i="21"/>
  <c r="E981" i="21"/>
  <c r="F981" i="21"/>
  <c r="G981" i="21"/>
  <c r="I981" i="21"/>
  <c r="J981" i="21"/>
  <c r="L981" i="21"/>
  <c r="B982" i="21"/>
  <c r="C982" i="21"/>
  <c r="D982" i="21"/>
  <c r="E982" i="21"/>
  <c r="F982" i="21"/>
  <c r="G982" i="21"/>
  <c r="I982" i="21"/>
  <c r="J982" i="21"/>
  <c r="L982" i="21"/>
  <c r="B983" i="21"/>
  <c r="C983" i="21"/>
  <c r="D983" i="21"/>
  <c r="E983" i="21"/>
  <c r="F983" i="21"/>
  <c r="G983" i="21"/>
  <c r="I983" i="21"/>
  <c r="J983" i="21"/>
  <c r="L983" i="21"/>
  <c r="B984" i="21"/>
  <c r="C984" i="21"/>
  <c r="D984" i="21"/>
  <c r="E984" i="21"/>
  <c r="F984" i="21"/>
  <c r="G984" i="21"/>
  <c r="I984" i="21"/>
  <c r="J984" i="21"/>
  <c r="L984" i="21"/>
  <c r="B985" i="21"/>
  <c r="C985" i="21"/>
  <c r="D985" i="21"/>
  <c r="E985" i="21"/>
  <c r="F985" i="21"/>
  <c r="G985" i="21"/>
  <c r="I985" i="21"/>
  <c r="J985" i="21"/>
  <c r="L985" i="21"/>
  <c r="B986" i="21"/>
  <c r="C986" i="21"/>
  <c r="D986" i="21"/>
  <c r="E986" i="21"/>
  <c r="F986" i="21"/>
  <c r="G986" i="21"/>
  <c r="I986" i="21"/>
  <c r="J986" i="21"/>
  <c r="L986" i="21"/>
  <c r="B987" i="21"/>
  <c r="C987" i="21"/>
  <c r="D987" i="21"/>
  <c r="E987" i="21"/>
  <c r="F987" i="21"/>
  <c r="G987" i="21"/>
  <c r="I987" i="21"/>
  <c r="J987" i="21"/>
  <c r="L987" i="21"/>
  <c r="B988" i="21"/>
  <c r="C988" i="21"/>
  <c r="D988" i="21"/>
  <c r="E988" i="21"/>
  <c r="F988" i="21"/>
  <c r="G988" i="21"/>
  <c r="I988" i="21"/>
  <c r="J988" i="21"/>
  <c r="L988" i="21"/>
  <c r="B989" i="21"/>
  <c r="C989" i="21"/>
  <c r="D989" i="21"/>
  <c r="E989" i="21"/>
  <c r="F989" i="21"/>
  <c r="G989" i="21"/>
  <c r="I989" i="21"/>
  <c r="J989" i="21"/>
  <c r="L989" i="21"/>
  <c r="B990" i="21"/>
  <c r="C990" i="21"/>
  <c r="D990" i="21"/>
  <c r="E990" i="21"/>
  <c r="F990" i="21"/>
  <c r="G990" i="21"/>
  <c r="I990" i="21"/>
  <c r="J990" i="21"/>
  <c r="L990" i="21"/>
  <c r="B991" i="21"/>
  <c r="C991" i="21"/>
  <c r="D991" i="21"/>
  <c r="E991" i="21"/>
  <c r="F991" i="21"/>
  <c r="G991" i="21"/>
  <c r="I991" i="21"/>
  <c r="J991" i="21"/>
  <c r="L991" i="21"/>
  <c r="B992" i="21"/>
  <c r="C992" i="21"/>
  <c r="D992" i="21"/>
  <c r="E992" i="21"/>
  <c r="F992" i="21"/>
  <c r="G992" i="21"/>
  <c r="I992" i="21"/>
  <c r="J992" i="21"/>
  <c r="L992" i="21"/>
  <c r="B993" i="21"/>
  <c r="C993" i="21"/>
  <c r="D993" i="21"/>
  <c r="E993" i="21"/>
  <c r="F993" i="21"/>
  <c r="G993" i="21"/>
  <c r="I993" i="21"/>
  <c r="J993" i="21"/>
  <c r="L993" i="21"/>
  <c r="B994" i="21"/>
  <c r="C994" i="21"/>
  <c r="D994" i="21"/>
  <c r="E994" i="21"/>
  <c r="F994" i="21"/>
  <c r="G994" i="21"/>
  <c r="I994" i="21"/>
  <c r="J994" i="21"/>
  <c r="L994" i="21"/>
  <c r="B995" i="21"/>
  <c r="C995" i="21"/>
  <c r="D995" i="21"/>
  <c r="E995" i="21"/>
  <c r="F995" i="21"/>
  <c r="G995" i="21"/>
  <c r="I995" i="21"/>
  <c r="J995" i="21"/>
  <c r="L995" i="21"/>
  <c r="B996" i="21"/>
  <c r="C996" i="21"/>
  <c r="D996" i="21"/>
  <c r="E996" i="21"/>
  <c r="F996" i="21"/>
  <c r="G996" i="21"/>
  <c r="I996" i="21"/>
  <c r="J996" i="21"/>
  <c r="L996" i="21"/>
  <c r="B997" i="21"/>
  <c r="C997" i="21"/>
  <c r="D997" i="21"/>
  <c r="E997" i="21"/>
  <c r="F997" i="21"/>
  <c r="G997" i="21"/>
  <c r="I997" i="21"/>
  <c r="J997" i="21"/>
  <c r="L997" i="21"/>
  <c r="B998" i="21"/>
  <c r="C998" i="21"/>
  <c r="D998" i="21"/>
  <c r="E998" i="21"/>
  <c r="F998" i="21"/>
  <c r="G998" i="21"/>
  <c r="I998" i="21"/>
  <c r="J998" i="21"/>
  <c r="L998" i="21"/>
  <c r="B999" i="21"/>
  <c r="C999" i="21"/>
  <c r="D999" i="21"/>
  <c r="E999" i="21"/>
  <c r="F999" i="21"/>
  <c r="G999" i="21"/>
  <c r="I999" i="21"/>
  <c r="J999" i="21"/>
  <c r="L999" i="21"/>
  <c r="B1000" i="21"/>
  <c r="C1000" i="21"/>
  <c r="D1000" i="21"/>
  <c r="E1000" i="21"/>
  <c r="F1000" i="21"/>
  <c r="G1000" i="21"/>
  <c r="I1000" i="21"/>
  <c r="J1000" i="21"/>
  <c r="L1000" i="21"/>
  <c r="B1001" i="21"/>
  <c r="C1001" i="21"/>
  <c r="D1001" i="21"/>
  <c r="E1001" i="21"/>
  <c r="F1001" i="21"/>
  <c r="G1001" i="21"/>
  <c r="I1001" i="21"/>
  <c r="J1001" i="21"/>
  <c r="L1001" i="21"/>
  <c r="B1002" i="21"/>
  <c r="C1002" i="21"/>
  <c r="D1002" i="21"/>
  <c r="E1002" i="21"/>
  <c r="F1002" i="21"/>
  <c r="G1002" i="21"/>
  <c r="I1002" i="21"/>
  <c r="J1002" i="21"/>
  <c r="L1002" i="21"/>
  <c r="B1003" i="21"/>
  <c r="C1003" i="21"/>
  <c r="D1003" i="21"/>
  <c r="E1003" i="21"/>
  <c r="F1003" i="21"/>
  <c r="G1003" i="21"/>
  <c r="I1003" i="21"/>
  <c r="J1003" i="21"/>
  <c r="L1003" i="21"/>
  <c r="B1004" i="21"/>
  <c r="C1004" i="21"/>
  <c r="D1004" i="21"/>
  <c r="E1004" i="21"/>
  <c r="F1004" i="21"/>
  <c r="G1004" i="21"/>
  <c r="I1004" i="21"/>
  <c r="J1004" i="21"/>
  <c r="L1004" i="21"/>
  <c r="B1005" i="21"/>
  <c r="C1005" i="21"/>
  <c r="D1005" i="21"/>
  <c r="E1005" i="21"/>
  <c r="F1005" i="21"/>
  <c r="G1005" i="21"/>
  <c r="I1005" i="21"/>
  <c r="J1005" i="21"/>
  <c r="L1005" i="21"/>
  <c r="B1006" i="21"/>
  <c r="C1006" i="21"/>
  <c r="D1006" i="21"/>
  <c r="E1006" i="21"/>
  <c r="F1006" i="21"/>
  <c r="G1006" i="21"/>
  <c r="I1006" i="21"/>
  <c r="J1006" i="21"/>
  <c r="L1006" i="21"/>
  <c r="B1007" i="21"/>
  <c r="C1007" i="21"/>
  <c r="D1007" i="21"/>
  <c r="E1007" i="21"/>
  <c r="F1007" i="21"/>
  <c r="G1007" i="21"/>
  <c r="I1007" i="21"/>
  <c r="J1007" i="21"/>
  <c r="L1007" i="21"/>
  <c r="B1008" i="21"/>
  <c r="C1008" i="21"/>
  <c r="D1008" i="21"/>
  <c r="E1008" i="21"/>
  <c r="F1008" i="21"/>
  <c r="G1008" i="21"/>
  <c r="I1008" i="21"/>
  <c r="J1008" i="21"/>
  <c r="L1008" i="21"/>
  <c r="B1009" i="21"/>
  <c r="C1009" i="21"/>
  <c r="D1009" i="21"/>
  <c r="E1009" i="21"/>
  <c r="F1009" i="21"/>
  <c r="G1009" i="21"/>
  <c r="I1009" i="21"/>
  <c r="J1009" i="21"/>
  <c r="L1009" i="21"/>
  <c r="B1010" i="21"/>
  <c r="C1010" i="21"/>
  <c r="D1010" i="21"/>
  <c r="E1010" i="21"/>
  <c r="F1010" i="21"/>
  <c r="G1010" i="21"/>
  <c r="I1010" i="21"/>
  <c r="J1010" i="21"/>
  <c r="L1010" i="21"/>
  <c r="B1011" i="21"/>
  <c r="C1011" i="21"/>
  <c r="D1011" i="21"/>
  <c r="E1011" i="21"/>
  <c r="F1011" i="21"/>
  <c r="G1011" i="21"/>
  <c r="I1011" i="21"/>
  <c r="J1011" i="21"/>
  <c r="L1011" i="21"/>
  <c r="B1012" i="21"/>
  <c r="C1012" i="21"/>
  <c r="D1012" i="21"/>
  <c r="E1012" i="21"/>
  <c r="F1012" i="21"/>
  <c r="G1012" i="21"/>
  <c r="I1012" i="21"/>
  <c r="J1012" i="21"/>
  <c r="L1012" i="21"/>
  <c r="B1013" i="21"/>
  <c r="C1013" i="21"/>
  <c r="D1013" i="21"/>
  <c r="E1013" i="21"/>
  <c r="F1013" i="21"/>
  <c r="G1013" i="21"/>
  <c r="I1013" i="21"/>
  <c r="J1013" i="21"/>
  <c r="L1013" i="21"/>
  <c r="B1014" i="21"/>
  <c r="C1014" i="21"/>
  <c r="D1014" i="21"/>
  <c r="E1014" i="21"/>
  <c r="F1014" i="21"/>
  <c r="G1014" i="21"/>
  <c r="I1014" i="21"/>
  <c r="J1014" i="21"/>
  <c r="L1014" i="21"/>
  <c r="B1015" i="21"/>
  <c r="C1015" i="21"/>
  <c r="D1015" i="21"/>
  <c r="E1015" i="21"/>
  <c r="F1015" i="21"/>
  <c r="G1015" i="21"/>
  <c r="I1015" i="21"/>
  <c r="J1015" i="21"/>
  <c r="L1015" i="21"/>
  <c r="B1016" i="21"/>
  <c r="C1016" i="21"/>
  <c r="D1016" i="21"/>
  <c r="E1016" i="21"/>
  <c r="F1016" i="21"/>
  <c r="G1016" i="21"/>
  <c r="I1016" i="21"/>
  <c r="J1016" i="21"/>
  <c r="L1016" i="21"/>
  <c r="B1017" i="21"/>
  <c r="C1017" i="21"/>
  <c r="D1017" i="21"/>
  <c r="E1017" i="21"/>
  <c r="F1017" i="21"/>
  <c r="G1017" i="21"/>
  <c r="I1017" i="21"/>
  <c r="J1017" i="21"/>
  <c r="L1017" i="21"/>
  <c r="B1018" i="21"/>
  <c r="C1018" i="21"/>
  <c r="D1018" i="21"/>
  <c r="E1018" i="21"/>
  <c r="F1018" i="21"/>
  <c r="G1018" i="21"/>
  <c r="I1018" i="21"/>
  <c r="J1018" i="21"/>
  <c r="L1018" i="21"/>
  <c r="B1019" i="21"/>
  <c r="C1019" i="21"/>
  <c r="D1019" i="21"/>
  <c r="E1019" i="21"/>
  <c r="F1019" i="21"/>
  <c r="G1019" i="21"/>
  <c r="I1019" i="21"/>
  <c r="J1019" i="21"/>
  <c r="L1019" i="21"/>
  <c r="B1020" i="21"/>
  <c r="C1020" i="21"/>
  <c r="D1020" i="21"/>
  <c r="E1020" i="21"/>
  <c r="F1020" i="21"/>
  <c r="G1020" i="21"/>
  <c r="I1020" i="21"/>
  <c r="J1020" i="21"/>
  <c r="L1020" i="21"/>
  <c r="B1021" i="21"/>
  <c r="C1021" i="21"/>
  <c r="D1021" i="21"/>
  <c r="E1021" i="21"/>
  <c r="F1021" i="21"/>
  <c r="G1021" i="21"/>
  <c r="I1021" i="21"/>
  <c r="J1021" i="21"/>
  <c r="L1021" i="21"/>
  <c r="B1022" i="21"/>
  <c r="C1022" i="21"/>
  <c r="D1022" i="21"/>
  <c r="E1022" i="21"/>
  <c r="F1022" i="21"/>
  <c r="G1022" i="21"/>
  <c r="I1022" i="21"/>
  <c r="J1022" i="21"/>
  <c r="L1022" i="21"/>
  <c r="B1023" i="21"/>
  <c r="C1023" i="21"/>
  <c r="D1023" i="21"/>
  <c r="E1023" i="21"/>
  <c r="F1023" i="21"/>
  <c r="G1023" i="21"/>
  <c r="I1023" i="21"/>
  <c r="J1023" i="21"/>
  <c r="L1023" i="21"/>
  <c r="B1024" i="21"/>
  <c r="C1024" i="21"/>
  <c r="D1024" i="21"/>
  <c r="E1024" i="21"/>
  <c r="F1024" i="21"/>
  <c r="G1024" i="21"/>
  <c r="I1024" i="21"/>
  <c r="J1024" i="21"/>
  <c r="L1024" i="21"/>
  <c r="B1025" i="21"/>
  <c r="C1025" i="21"/>
  <c r="D1025" i="21"/>
  <c r="E1025" i="21"/>
  <c r="F1025" i="21"/>
  <c r="G1025" i="21"/>
  <c r="I1025" i="21"/>
  <c r="J1025" i="21"/>
  <c r="L1025" i="21"/>
  <c r="B1026" i="21"/>
  <c r="C1026" i="21"/>
  <c r="D1026" i="21"/>
  <c r="E1026" i="21"/>
  <c r="F1026" i="21"/>
  <c r="G1026" i="21"/>
  <c r="I1026" i="21"/>
  <c r="J1026" i="21"/>
  <c r="L1026" i="21"/>
  <c r="B1027" i="21"/>
  <c r="C1027" i="21"/>
  <c r="D1027" i="21"/>
  <c r="E1027" i="21"/>
  <c r="F1027" i="21"/>
  <c r="G1027" i="21"/>
  <c r="I1027" i="21"/>
  <c r="J1027" i="21"/>
  <c r="L1027" i="21"/>
  <c r="B1028" i="21"/>
  <c r="C1028" i="21"/>
  <c r="D1028" i="21"/>
  <c r="E1028" i="21"/>
  <c r="F1028" i="21"/>
  <c r="G1028" i="21"/>
  <c r="I1028" i="21"/>
  <c r="J1028" i="21"/>
  <c r="L1028" i="21"/>
  <c r="B1029" i="21"/>
  <c r="C1029" i="21"/>
  <c r="D1029" i="21"/>
  <c r="E1029" i="21"/>
  <c r="F1029" i="21"/>
  <c r="G1029" i="21"/>
  <c r="I1029" i="21"/>
  <c r="J1029" i="21"/>
  <c r="L1029" i="21"/>
  <c r="B1030" i="21"/>
  <c r="C1030" i="21"/>
  <c r="D1030" i="21"/>
  <c r="E1030" i="21"/>
  <c r="F1030" i="21"/>
  <c r="G1030" i="21"/>
  <c r="I1030" i="21"/>
  <c r="J1030" i="21"/>
  <c r="L1030" i="21"/>
  <c r="B1031" i="21"/>
  <c r="C1031" i="21"/>
  <c r="D1031" i="21"/>
  <c r="E1031" i="21"/>
  <c r="F1031" i="21"/>
  <c r="G1031" i="21"/>
  <c r="I1031" i="21"/>
  <c r="J1031" i="21"/>
  <c r="L1031" i="21"/>
  <c r="B1032" i="21"/>
  <c r="C1032" i="21"/>
  <c r="D1032" i="21"/>
  <c r="E1032" i="21"/>
  <c r="F1032" i="21"/>
  <c r="G1032" i="21"/>
  <c r="I1032" i="21"/>
  <c r="J1032" i="21"/>
  <c r="L1032" i="21"/>
  <c r="B1033" i="21"/>
  <c r="C1033" i="21"/>
  <c r="D1033" i="21"/>
  <c r="E1033" i="21"/>
  <c r="F1033" i="21"/>
  <c r="G1033" i="21"/>
  <c r="I1033" i="21"/>
  <c r="J1033" i="21"/>
  <c r="L1033" i="21"/>
  <c r="B1034" i="21"/>
  <c r="C1034" i="21"/>
  <c r="D1034" i="21"/>
  <c r="E1034" i="21"/>
  <c r="F1034" i="21"/>
  <c r="G1034" i="21"/>
  <c r="I1034" i="21"/>
  <c r="J1034" i="21"/>
  <c r="L1034" i="21"/>
  <c r="B1035" i="21"/>
  <c r="C1035" i="21"/>
  <c r="D1035" i="21"/>
  <c r="E1035" i="21"/>
  <c r="F1035" i="21"/>
  <c r="G1035" i="21"/>
  <c r="I1035" i="21"/>
  <c r="J1035" i="21"/>
  <c r="L1035" i="21"/>
  <c r="B1036" i="21"/>
  <c r="C1036" i="21"/>
  <c r="D1036" i="21"/>
  <c r="E1036" i="21"/>
  <c r="F1036" i="21"/>
  <c r="G1036" i="21"/>
  <c r="I1036" i="21"/>
  <c r="J1036" i="21"/>
  <c r="L1036" i="21"/>
  <c r="B1037" i="21"/>
  <c r="C1037" i="21"/>
  <c r="D1037" i="21"/>
  <c r="E1037" i="21"/>
  <c r="F1037" i="21"/>
  <c r="G1037" i="21"/>
  <c r="I1037" i="21"/>
  <c r="J1037" i="21"/>
  <c r="L1037" i="21"/>
  <c r="B1038" i="21"/>
  <c r="C1038" i="21"/>
  <c r="D1038" i="21"/>
  <c r="E1038" i="21"/>
  <c r="F1038" i="21"/>
  <c r="G1038" i="21"/>
  <c r="I1038" i="21"/>
  <c r="J1038" i="21"/>
  <c r="L1038" i="21"/>
  <c r="B1039" i="21"/>
  <c r="C1039" i="21"/>
  <c r="D1039" i="21"/>
  <c r="E1039" i="21"/>
  <c r="F1039" i="21"/>
  <c r="G1039" i="21"/>
  <c r="I1039" i="21"/>
  <c r="J1039" i="21"/>
  <c r="L1039" i="21"/>
  <c r="B1040" i="21"/>
  <c r="C1040" i="21"/>
  <c r="D1040" i="21"/>
  <c r="E1040" i="21"/>
  <c r="F1040" i="21"/>
  <c r="G1040" i="21"/>
  <c r="I1040" i="21"/>
  <c r="J1040" i="21"/>
  <c r="L1040" i="21"/>
  <c r="B1041" i="21"/>
  <c r="C1041" i="21"/>
  <c r="D1041" i="21"/>
  <c r="E1041" i="21"/>
  <c r="F1041" i="21"/>
  <c r="G1041" i="21"/>
  <c r="I1041" i="21"/>
  <c r="J1041" i="21"/>
  <c r="L1041" i="21"/>
  <c r="B1042" i="21"/>
  <c r="C1042" i="21"/>
  <c r="D1042" i="21"/>
  <c r="E1042" i="21"/>
  <c r="F1042" i="21"/>
  <c r="G1042" i="21"/>
  <c r="I1042" i="21"/>
  <c r="J1042" i="21"/>
  <c r="L1042" i="21"/>
  <c r="B1043" i="21"/>
  <c r="C1043" i="21"/>
  <c r="D1043" i="21"/>
  <c r="E1043" i="21"/>
  <c r="F1043" i="21"/>
  <c r="G1043" i="21"/>
  <c r="I1043" i="21"/>
  <c r="J1043" i="21"/>
  <c r="L1043" i="21"/>
  <c r="B1044" i="21"/>
  <c r="C1044" i="21"/>
  <c r="D1044" i="21"/>
  <c r="E1044" i="21"/>
  <c r="F1044" i="21"/>
  <c r="G1044" i="21"/>
  <c r="I1044" i="21"/>
  <c r="J1044" i="21"/>
  <c r="L1044" i="21"/>
  <c r="B1045" i="21"/>
  <c r="C1045" i="21"/>
  <c r="D1045" i="21"/>
  <c r="E1045" i="21"/>
  <c r="F1045" i="21"/>
  <c r="G1045" i="21"/>
  <c r="I1045" i="21"/>
  <c r="J1045" i="21"/>
  <c r="L1045" i="21"/>
  <c r="B1046" i="21"/>
  <c r="C1046" i="21"/>
  <c r="D1046" i="21"/>
  <c r="E1046" i="21"/>
  <c r="F1046" i="21"/>
  <c r="G1046" i="21"/>
  <c r="I1046" i="21"/>
  <c r="J1046" i="21"/>
  <c r="L1046" i="21"/>
  <c r="B1047" i="21"/>
  <c r="C1047" i="21"/>
  <c r="D1047" i="21"/>
  <c r="E1047" i="21"/>
  <c r="F1047" i="21"/>
  <c r="G1047" i="21"/>
  <c r="I1047" i="21"/>
  <c r="J1047" i="21"/>
  <c r="L1047" i="21"/>
  <c r="B1048" i="21"/>
  <c r="C1048" i="21"/>
  <c r="D1048" i="21"/>
  <c r="E1048" i="21"/>
  <c r="F1048" i="21"/>
  <c r="G1048" i="21"/>
  <c r="I1048" i="21"/>
  <c r="J1048" i="21"/>
  <c r="L1048" i="21"/>
  <c r="B1049" i="21"/>
  <c r="C1049" i="21"/>
  <c r="D1049" i="21"/>
  <c r="E1049" i="21"/>
  <c r="F1049" i="21"/>
  <c r="G1049" i="21"/>
  <c r="I1049" i="21"/>
  <c r="J1049" i="21"/>
  <c r="L1049" i="21"/>
  <c r="B1050" i="21"/>
  <c r="C1050" i="21"/>
  <c r="D1050" i="21"/>
  <c r="E1050" i="21"/>
  <c r="F1050" i="21"/>
  <c r="G1050" i="21"/>
  <c r="I1050" i="21"/>
  <c r="J1050" i="21"/>
  <c r="L1050" i="21"/>
  <c r="B1051" i="21"/>
  <c r="C1051" i="21"/>
  <c r="D1051" i="21"/>
  <c r="E1051" i="21"/>
  <c r="F1051" i="21"/>
  <c r="G1051" i="21"/>
  <c r="I1051" i="21"/>
  <c r="J1051" i="21"/>
  <c r="L1051" i="21"/>
  <c r="B1052" i="21"/>
  <c r="C1052" i="21"/>
  <c r="D1052" i="21"/>
  <c r="E1052" i="21"/>
  <c r="F1052" i="21"/>
  <c r="G1052" i="21"/>
  <c r="I1052" i="21"/>
  <c r="J1052" i="21"/>
  <c r="L1052" i="21"/>
  <c r="B1053" i="21"/>
  <c r="C1053" i="21"/>
  <c r="D1053" i="21"/>
  <c r="E1053" i="21"/>
  <c r="F1053" i="21"/>
  <c r="G1053" i="21"/>
  <c r="I1053" i="21"/>
  <c r="J1053" i="21"/>
  <c r="L1053" i="21"/>
  <c r="B1054" i="21"/>
  <c r="C1054" i="21"/>
  <c r="D1054" i="21"/>
  <c r="E1054" i="21"/>
  <c r="F1054" i="21"/>
  <c r="G1054" i="21"/>
  <c r="I1054" i="21"/>
  <c r="J1054" i="21"/>
  <c r="L1054" i="21"/>
  <c r="B1055" i="21"/>
  <c r="C1055" i="21"/>
  <c r="D1055" i="21"/>
  <c r="E1055" i="21"/>
  <c r="F1055" i="21"/>
  <c r="G1055" i="21"/>
  <c r="I1055" i="21"/>
  <c r="J1055" i="21"/>
  <c r="L1055" i="21"/>
  <c r="B1056" i="21"/>
  <c r="C1056" i="21"/>
  <c r="D1056" i="21"/>
  <c r="E1056" i="21"/>
  <c r="F1056" i="21"/>
  <c r="G1056" i="21"/>
  <c r="I1056" i="21"/>
  <c r="J1056" i="21"/>
  <c r="L1056" i="21"/>
  <c r="B1057" i="21"/>
  <c r="C1057" i="21"/>
  <c r="D1057" i="21"/>
  <c r="E1057" i="21"/>
  <c r="F1057" i="21"/>
  <c r="G1057" i="21"/>
  <c r="I1057" i="21"/>
  <c r="J1057" i="21"/>
  <c r="L1057" i="21"/>
  <c r="B1058" i="21"/>
  <c r="C1058" i="21"/>
  <c r="D1058" i="21"/>
  <c r="E1058" i="21"/>
  <c r="F1058" i="21"/>
  <c r="G1058" i="21"/>
  <c r="I1058" i="21"/>
  <c r="J1058" i="21"/>
  <c r="L1058" i="21"/>
  <c r="B1059" i="21"/>
  <c r="C1059" i="21"/>
  <c r="D1059" i="21"/>
  <c r="E1059" i="21"/>
  <c r="F1059" i="21"/>
  <c r="G1059" i="21"/>
  <c r="I1059" i="21"/>
  <c r="J1059" i="21"/>
  <c r="L1059" i="21"/>
  <c r="B1060" i="21"/>
  <c r="C1060" i="21"/>
  <c r="D1060" i="21"/>
  <c r="E1060" i="21"/>
  <c r="F1060" i="21"/>
  <c r="G1060" i="21"/>
  <c r="I1060" i="21"/>
  <c r="J1060" i="21"/>
  <c r="L1060" i="21"/>
  <c r="B1061" i="21"/>
  <c r="C1061" i="21"/>
  <c r="D1061" i="21"/>
  <c r="E1061" i="21"/>
  <c r="F1061" i="21"/>
  <c r="G1061" i="21"/>
  <c r="I1061" i="21"/>
  <c r="J1061" i="21"/>
  <c r="L1061" i="21"/>
  <c r="B1062" i="21"/>
  <c r="C1062" i="21"/>
  <c r="D1062" i="21"/>
  <c r="E1062" i="21"/>
  <c r="F1062" i="21"/>
  <c r="G1062" i="21"/>
  <c r="I1062" i="21"/>
  <c r="J1062" i="21"/>
  <c r="L1062" i="21"/>
  <c r="B1063" i="21"/>
  <c r="C1063" i="21"/>
  <c r="D1063" i="21"/>
  <c r="E1063" i="21"/>
  <c r="F1063" i="21"/>
  <c r="G1063" i="21"/>
  <c r="I1063" i="21"/>
  <c r="J1063" i="21"/>
  <c r="L1063" i="21"/>
  <c r="B1064" i="21"/>
  <c r="C1064" i="21"/>
  <c r="D1064" i="21"/>
  <c r="E1064" i="21"/>
  <c r="F1064" i="21"/>
  <c r="G1064" i="21"/>
  <c r="I1064" i="21"/>
  <c r="J1064" i="21"/>
  <c r="L1064" i="21"/>
  <c r="B1065" i="21"/>
  <c r="C1065" i="21"/>
  <c r="D1065" i="21"/>
  <c r="E1065" i="21"/>
  <c r="F1065" i="21"/>
  <c r="G1065" i="21"/>
  <c r="I1065" i="21"/>
  <c r="J1065" i="21"/>
  <c r="L1065" i="21"/>
  <c r="B1066" i="21"/>
  <c r="C1066" i="21"/>
  <c r="D1066" i="21"/>
  <c r="E1066" i="21"/>
  <c r="F1066" i="21"/>
  <c r="G1066" i="21"/>
  <c r="I1066" i="21"/>
  <c r="J1066" i="21"/>
  <c r="L1066" i="21"/>
  <c r="B1067" i="21"/>
  <c r="C1067" i="21"/>
  <c r="D1067" i="21"/>
  <c r="E1067" i="21"/>
  <c r="F1067" i="21"/>
  <c r="G1067" i="21"/>
  <c r="I1067" i="21"/>
  <c r="J1067" i="21"/>
  <c r="L1067" i="21"/>
  <c r="B1068" i="21"/>
  <c r="C1068" i="21"/>
  <c r="D1068" i="21"/>
  <c r="E1068" i="21"/>
  <c r="F1068" i="21"/>
  <c r="G1068" i="21"/>
  <c r="I1068" i="21"/>
  <c r="J1068" i="21"/>
  <c r="L1068" i="21"/>
  <c r="B1069" i="21"/>
  <c r="C1069" i="21"/>
  <c r="D1069" i="21"/>
  <c r="E1069" i="21"/>
  <c r="F1069" i="21"/>
  <c r="G1069" i="21"/>
  <c r="I1069" i="21"/>
  <c r="J1069" i="21"/>
  <c r="L1069" i="21"/>
  <c r="B1070" i="21"/>
  <c r="C1070" i="21"/>
  <c r="D1070" i="21"/>
  <c r="E1070" i="21"/>
  <c r="F1070" i="21"/>
  <c r="G1070" i="21"/>
  <c r="I1070" i="21"/>
  <c r="J1070" i="21"/>
  <c r="L1070" i="21"/>
  <c r="B1071" i="21"/>
  <c r="C1071" i="21"/>
  <c r="D1071" i="21"/>
  <c r="E1071" i="21"/>
  <c r="F1071" i="21"/>
  <c r="G1071" i="21"/>
  <c r="I1071" i="21"/>
  <c r="J1071" i="21"/>
  <c r="L1071" i="21"/>
  <c r="B1072" i="21"/>
  <c r="C1072" i="21"/>
  <c r="D1072" i="21"/>
  <c r="E1072" i="21"/>
  <c r="F1072" i="21"/>
  <c r="G1072" i="21"/>
  <c r="I1072" i="21"/>
  <c r="J1072" i="21"/>
  <c r="L1072" i="21"/>
  <c r="B1073" i="21"/>
  <c r="C1073" i="21"/>
  <c r="D1073" i="21"/>
  <c r="E1073" i="21"/>
  <c r="F1073" i="21"/>
  <c r="G1073" i="21"/>
  <c r="I1073" i="21"/>
  <c r="J1073" i="21"/>
  <c r="L1073" i="21"/>
  <c r="B1074" i="21"/>
  <c r="C1074" i="21"/>
  <c r="D1074" i="21"/>
  <c r="E1074" i="21"/>
  <c r="F1074" i="21"/>
  <c r="G1074" i="21"/>
  <c r="I1074" i="21"/>
  <c r="J1074" i="21"/>
  <c r="L1074" i="21"/>
  <c r="B1075" i="21"/>
  <c r="C1075" i="21"/>
  <c r="D1075" i="21"/>
  <c r="E1075" i="21"/>
  <c r="F1075" i="21"/>
  <c r="G1075" i="21"/>
  <c r="I1075" i="21"/>
  <c r="J1075" i="21"/>
  <c r="L1075" i="21"/>
  <c r="B1076" i="21"/>
  <c r="C1076" i="21"/>
  <c r="D1076" i="21"/>
  <c r="E1076" i="21"/>
  <c r="F1076" i="21"/>
  <c r="G1076" i="21"/>
  <c r="I1076" i="21"/>
  <c r="J1076" i="21"/>
  <c r="L1076" i="21"/>
  <c r="B1077" i="21"/>
  <c r="C1077" i="21"/>
  <c r="D1077" i="21"/>
  <c r="E1077" i="21"/>
  <c r="F1077" i="21"/>
  <c r="G1077" i="21"/>
  <c r="I1077" i="21"/>
  <c r="J1077" i="21"/>
  <c r="L1077" i="21"/>
  <c r="B1078" i="21"/>
  <c r="C1078" i="21"/>
  <c r="D1078" i="21"/>
  <c r="E1078" i="21"/>
  <c r="F1078" i="21"/>
  <c r="G1078" i="21"/>
  <c r="I1078" i="21"/>
  <c r="J1078" i="21"/>
  <c r="L1078" i="21"/>
  <c r="B1079" i="21"/>
  <c r="C1079" i="21"/>
  <c r="D1079" i="21"/>
  <c r="E1079" i="21"/>
  <c r="F1079" i="21"/>
  <c r="G1079" i="21"/>
  <c r="I1079" i="21"/>
  <c r="J1079" i="21"/>
  <c r="L1079" i="21"/>
  <c r="B1080" i="21"/>
  <c r="C1080" i="21"/>
  <c r="D1080" i="21"/>
  <c r="E1080" i="21"/>
  <c r="F1080" i="21"/>
  <c r="G1080" i="21"/>
  <c r="I1080" i="21"/>
  <c r="J1080" i="21"/>
  <c r="L1080" i="21"/>
  <c r="B1081" i="21"/>
  <c r="C1081" i="21"/>
  <c r="D1081" i="21"/>
  <c r="E1081" i="21"/>
  <c r="F1081" i="21"/>
  <c r="G1081" i="21"/>
  <c r="I1081" i="21"/>
  <c r="J1081" i="21"/>
  <c r="L1081" i="21"/>
  <c r="B1082" i="21"/>
  <c r="C1082" i="21"/>
  <c r="D1082" i="21"/>
  <c r="E1082" i="21"/>
  <c r="F1082" i="21"/>
  <c r="G1082" i="21"/>
  <c r="I1082" i="21"/>
  <c r="J1082" i="21"/>
  <c r="L1082" i="21"/>
  <c r="B1083" i="21"/>
  <c r="C1083" i="21"/>
  <c r="D1083" i="21"/>
  <c r="E1083" i="21"/>
  <c r="F1083" i="21"/>
  <c r="G1083" i="21"/>
  <c r="I1083" i="21"/>
  <c r="J1083" i="21"/>
  <c r="L1083" i="21"/>
  <c r="B1084" i="21"/>
  <c r="C1084" i="21"/>
  <c r="D1084" i="21"/>
  <c r="E1084" i="21"/>
  <c r="F1084" i="21"/>
  <c r="G1084" i="21"/>
  <c r="I1084" i="21"/>
  <c r="J1084" i="21"/>
  <c r="L1084" i="21"/>
  <c r="B1085" i="21"/>
  <c r="C1085" i="21"/>
  <c r="D1085" i="21"/>
  <c r="E1085" i="21"/>
  <c r="F1085" i="21"/>
  <c r="G1085" i="21"/>
  <c r="I1085" i="21"/>
  <c r="J1085" i="21"/>
  <c r="L1085" i="21"/>
  <c r="B1086" i="21"/>
  <c r="C1086" i="21"/>
  <c r="D1086" i="21"/>
  <c r="E1086" i="21"/>
  <c r="F1086" i="21"/>
  <c r="G1086" i="21"/>
  <c r="I1086" i="21"/>
  <c r="J1086" i="21"/>
  <c r="L1086" i="21"/>
  <c r="B1087" i="21"/>
  <c r="C1087" i="21"/>
  <c r="D1087" i="21"/>
  <c r="E1087" i="21"/>
  <c r="F1087" i="21"/>
  <c r="G1087" i="21"/>
  <c r="I1087" i="21"/>
  <c r="J1087" i="21"/>
  <c r="L1087" i="21"/>
  <c r="B1088" i="21"/>
  <c r="C1088" i="21"/>
  <c r="D1088" i="21"/>
  <c r="E1088" i="21"/>
  <c r="F1088" i="21"/>
  <c r="G1088" i="21"/>
  <c r="I1088" i="21"/>
  <c r="J1088" i="21"/>
  <c r="L1088" i="21"/>
  <c r="B1089" i="21"/>
  <c r="C1089" i="21"/>
  <c r="D1089" i="21"/>
  <c r="E1089" i="21"/>
  <c r="F1089" i="21"/>
  <c r="G1089" i="21"/>
  <c r="I1089" i="21"/>
  <c r="J1089" i="21"/>
  <c r="L1089" i="21"/>
  <c r="B1090" i="21"/>
  <c r="C1090" i="21"/>
  <c r="D1090" i="21"/>
  <c r="E1090" i="21"/>
  <c r="F1090" i="21"/>
  <c r="G1090" i="21"/>
  <c r="I1090" i="21"/>
  <c r="J1090" i="21"/>
  <c r="L1090" i="21"/>
  <c r="B1091" i="21"/>
  <c r="C1091" i="21"/>
  <c r="D1091" i="21"/>
  <c r="E1091" i="21"/>
  <c r="F1091" i="21"/>
  <c r="G1091" i="21"/>
  <c r="I1091" i="21"/>
  <c r="J1091" i="21"/>
  <c r="L1091" i="21"/>
  <c r="B1092" i="21"/>
  <c r="C1092" i="21"/>
  <c r="D1092" i="21"/>
  <c r="E1092" i="21"/>
  <c r="F1092" i="21"/>
  <c r="G1092" i="21"/>
  <c r="I1092" i="21"/>
  <c r="J1092" i="21"/>
  <c r="L1092" i="21"/>
  <c r="B1093" i="21"/>
  <c r="C1093" i="21"/>
  <c r="D1093" i="21"/>
  <c r="E1093" i="21"/>
  <c r="F1093" i="21"/>
  <c r="G1093" i="21"/>
  <c r="I1093" i="21"/>
  <c r="J1093" i="21"/>
  <c r="L1093" i="21"/>
  <c r="B1094" i="21"/>
  <c r="C1094" i="21"/>
  <c r="D1094" i="21"/>
  <c r="E1094" i="21"/>
  <c r="F1094" i="21"/>
  <c r="G1094" i="21"/>
  <c r="I1094" i="21"/>
  <c r="J1094" i="21"/>
  <c r="L1094" i="21"/>
  <c r="B1095" i="21"/>
  <c r="C1095" i="21"/>
  <c r="D1095" i="21"/>
  <c r="E1095" i="21"/>
  <c r="F1095" i="21"/>
  <c r="G1095" i="21"/>
  <c r="I1095" i="21"/>
  <c r="J1095" i="21"/>
  <c r="L1095" i="21"/>
  <c r="B1096" i="21"/>
  <c r="C1096" i="21"/>
  <c r="D1096" i="21"/>
  <c r="E1096" i="21"/>
  <c r="F1096" i="21"/>
  <c r="G1096" i="21"/>
  <c r="I1096" i="21"/>
  <c r="J1096" i="21"/>
  <c r="L1096" i="21"/>
  <c r="B1097" i="21"/>
  <c r="C1097" i="21"/>
  <c r="D1097" i="21"/>
  <c r="E1097" i="21"/>
  <c r="F1097" i="21"/>
  <c r="G1097" i="21"/>
  <c r="I1097" i="21"/>
  <c r="J1097" i="21"/>
  <c r="L1097" i="21"/>
  <c r="B1098" i="21"/>
  <c r="C1098" i="21"/>
  <c r="D1098" i="21"/>
  <c r="E1098" i="21"/>
  <c r="F1098" i="21"/>
  <c r="G1098" i="21"/>
  <c r="I1098" i="21"/>
  <c r="J1098" i="21"/>
  <c r="L1098" i="21"/>
  <c r="B1099" i="21"/>
  <c r="C1099" i="21"/>
  <c r="D1099" i="21"/>
  <c r="E1099" i="21"/>
  <c r="F1099" i="21"/>
  <c r="G1099" i="21"/>
  <c r="I1099" i="21"/>
  <c r="J1099" i="21"/>
  <c r="L1099" i="21"/>
  <c r="B1100" i="21"/>
  <c r="C1100" i="21"/>
  <c r="D1100" i="21"/>
  <c r="E1100" i="21"/>
  <c r="F1100" i="21"/>
  <c r="G1100" i="21"/>
  <c r="I1100" i="21"/>
  <c r="J1100" i="21"/>
  <c r="L1100" i="21"/>
  <c r="B1101" i="21"/>
  <c r="C1101" i="21"/>
  <c r="D1101" i="21"/>
  <c r="E1101" i="21"/>
  <c r="F1101" i="21"/>
  <c r="G1101" i="21"/>
  <c r="I1101" i="21"/>
  <c r="J1101" i="21"/>
  <c r="L1101" i="21"/>
  <c r="B1102" i="21"/>
  <c r="C1102" i="21"/>
  <c r="D1102" i="21"/>
  <c r="E1102" i="21"/>
  <c r="F1102" i="21"/>
  <c r="G1102" i="21"/>
  <c r="I1102" i="21"/>
  <c r="J1102" i="21"/>
  <c r="L1102" i="21"/>
  <c r="B1103" i="21"/>
  <c r="C1103" i="21"/>
  <c r="D1103" i="21"/>
  <c r="E1103" i="21"/>
  <c r="F1103" i="21"/>
  <c r="G1103" i="21"/>
  <c r="I1103" i="21"/>
  <c r="J1103" i="21"/>
  <c r="L1103" i="21"/>
  <c r="B1104" i="21"/>
  <c r="C1104" i="21"/>
  <c r="D1104" i="21"/>
  <c r="E1104" i="21"/>
  <c r="F1104" i="21"/>
  <c r="G1104" i="21"/>
  <c r="I1104" i="21"/>
  <c r="J1104" i="21"/>
  <c r="L1104" i="21"/>
  <c r="B1105" i="21"/>
  <c r="C1105" i="21"/>
  <c r="D1105" i="21"/>
  <c r="E1105" i="21"/>
  <c r="F1105" i="21"/>
  <c r="G1105" i="21"/>
  <c r="I1105" i="21"/>
  <c r="J1105" i="21"/>
  <c r="L1105" i="21"/>
  <c r="B1106" i="21"/>
  <c r="C1106" i="21"/>
  <c r="D1106" i="21"/>
  <c r="E1106" i="21"/>
  <c r="F1106" i="21"/>
  <c r="G1106" i="21"/>
  <c r="I1106" i="21"/>
  <c r="J1106" i="21"/>
  <c r="L1106" i="21"/>
  <c r="B1107" i="21"/>
  <c r="C1107" i="21"/>
  <c r="D1107" i="21"/>
  <c r="E1107" i="21"/>
  <c r="F1107" i="21"/>
  <c r="G1107" i="21"/>
  <c r="I1107" i="21"/>
  <c r="J1107" i="21"/>
  <c r="L1107" i="21"/>
  <c r="B1108" i="21"/>
  <c r="C1108" i="21"/>
  <c r="D1108" i="21"/>
  <c r="E1108" i="21"/>
  <c r="F1108" i="21"/>
  <c r="G1108" i="21"/>
  <c r="I1108" i="21"/>
  <c r="J1108" i="21"/>
  <c r="L1108" i="21"/>
  <c r="B1109" i="21"/>
  <c r="C1109" i="21"/>
  <c r="D1109" i="21"/>
  <c r="E1109" i="21"/>
  <c r="F1109" i="21"/>
  <c r="G1109" i="21"/>
  <c r="I1109" i="21"/>
  <c r="J1109" i="21"/>
  <c r="L1109" i="21"/>
  <c r="B1110" i="21"/>
  <c r="C1110" i="21"/>
  <c r="D1110" i="21"/>
  <c r="E1110" i="21"/>
  <c r="F1110" i="21"/>
  <c r="G1110" i="21"/>
  <c r="I1110" i="21"/>
  <c r="J1110" i="21"/>
  <c r="L1110" i="21"/>
  <c r="B1111" i="21"/>
  <c r="C1111" i="21"/>
  <c r="D1111" i="21"/>
  <c r="E1111" i="21"/>
  <c r="F1111" i="21"/>
  <c r="G1111" i="21"/>
  <c r="I1111" i="21"/>
  <c r="J1111" i="21"/>
  <c r="L1111" i="21"/>
  <c r="B1112" i="21"/>
  <c r="C1112" i="21"/>
  <c r="D1112" i="21"/>
  <c r="E1112" i="21"/>
  <c r="F1112" i="21"/>
  <c r="G1112" i="21"/>
  <c r="I1112" i="21"/>
  <c r="J1112" i="21"/>
  <c r="L1112" i="21"/>
  <c r="B1113" i="21"/>
  <c r="C1113" i="21"/>
  <c r="D1113" i="21"/>
  <c r="E1113" i="21"/>
  <c r="F1113" i="21"/>
  <c r="G1113" i="21"/>
  <c r="I1113" i="21"/>
  <c r="J1113" i="21"/>
  <c r="L1113" i="21"/>
  <c r="B1114" i="21"/>
  <c r="C1114" i="21"/>
  <c r="D1114" i="21"/>
  <c r="E1114" i="21"/>
  <c r="F1114" i="21"/>
  <c r="G1114" i="21"/>
  <c r="I1114" i="21"/>
  <c r="J1114" i="21"/>
  <c r="L1114" i="21"/>
  <c r="B1115" i="21"/>
  <c r="C1115" i="21"/>
  <c r="D1115" i="21"/>
  <c r="E1115" i="21"/>
  <c r="F1115" i="21"/>
  <c r="G1115" i="21"/>
  <c r="I1115" i="21"/>
  <c r="J1115" i="21"/>
  <c r="L1115" i="21"/>
  <c r="B1116" i="21"/>
  <c r="C1116" i="21"/>
  <c r="D1116" i="21"/>
  <c r="E1116" i="21"/>
  <c r="F1116" i="21"/>
  <c r="G1116" i="21"/>
  <c r="I1116" i="21"/>
  <c r="J1116" i="21"/>
  <c r="L1116" i="21"/>
  <c r="B1117" i="21"/>
  <c r="C1117" i="21"/>
  <c r="D1117" i="21"/>
  <c r="E1117" i="21"/>
  <c r="F1117" i="21"/>
  <c r="G1117" i="21"/>
  <c r="I1117" i="21"/>
  <c r="J1117" i="21"/>
  <c r="L1117" i="21"/>
  <c r="B1118" i="21"/>
  <c r="C1118" i="21"/>
  <c r="D1118" i="21"/>
  <c r="E1118" i="21"/>
  <c r="F1118" i="21"/>
  <c r="G1118" i="21"/>
  <c r="I1118" i="21"/>
  <c r="J1118" i="21"/>
  <c r="L1118" i="21"/>
  <c r="B1119" i="21"/>
  <c r="C1119" i="21"/>
  <c r="D1119" i="21"/>
  <c r="E1119" i="21"/>
  <c r="F1119" i="21"/>
  <c r="G1119" i="21"/>
  <c r="I1119" i="21"/>
  <c r="J1119" i="21"/>
  <c r="L1119" i="21"/>
  <c r="B1120" i="21"/>
  <c r="C1120" i="21"/>
  <c r="D1120" i="21"/>
  <c r="E1120" i="21"/>
  <c r="F1120" i="21"/>
  <c r="G1120" i="21"/>
  <c r="I1120" i="21"/>
  <c r="J1120" i="21"/>
  <c r="L1120" i="21"/>
  <c r="B1121" i="21"/>
  <c r="C1121" i="21"/>
  <c r="D1121" i="21"/>
  <c r="E1121" i="21"/>
  <c r="F1121" i="21"/>
  <c r="G1121" i="21"/>
  <c r="I1121" i="21"/>
  <c r="J1121" i="21"/>
  <c r="L1121" i="21"/>
  <c r="B1122" i="21"/>
  <c r="C1122" i="21"/>
  <c r="D1122" i="21"/>
  <c r="E1122" i="21"/>
  <c r="F1122" i="21"/>
  <c r="G1122" i="21"/>
  <c r="I1122" i="21"/>
  <c r="J1122" i="21"/>
  <c r="L1122" i="21"/>
  <c r="B1123" i="21"/>
  <c r="C1123" i="21"/>
  <c r="D1123" i="21"/>
  <c r="E1123" i="21"/>
  <c r="F1123" i="21"/>
  <c r="G1123" i="21"/>
  <c r="I1123" i="21"/>
  <c r="J1123" i="21"/>
  <c r="L1123" i="21"/>
  <c r="B1124" i="21"/>
  <c r="C1124" i="21"/>
  <c r="D1124" i="21"/>
  <c r="E1124" i="21"/>
  <c r="F1124" i="21"/>
  <c r="G1124" i="21"/>
  <c r="I1124" i="21"/>
  <c r="J1124" i="21"/>
  <c r="L1124" i="21"/>
  <c r="B1125" i="21"/>
  <c r="C1125" i="21"/>
  <c r="D1125" i="21"/>
  <c r="E1125" i="21"/>
  <c r="F1125" i="21"/>
  <c r="G1125" i="21"/>
  <c r="I1125" i="21"/>
  <c r="J1125" i="21"/>
  <c r="L1125" i="21"/>
  <c r="B1126" i="21"/>
  <c r="C1126" i="21"/>
  <c r="D1126" i="21"/>
  <c r="E1126" i="21"/>
  <c r="F1126" i="21"/>
  <c r="G1126" i="21"/>
  <c r="I1126" i="21"/>
  <c r="J1126" i="21"/>
  <c r="L1126" i="21"/>
  <c r="B1127" i="21"/>
  <c r="C1127" i="21"/>
  <c r="D1127" i="21"/>
  <c r="E1127" i="21"/>
  <c r="F1127" i="21"/>
  <c r="G1127" i="21"/>
  <c r="I1127" i="21"/>
  <c r="J1127" i="21"/>
  <c r="L1127" i="21"/>
  <c r="B1128" i="21"/>
  <c r="C1128" i="21"/>
  <c r="D1128" i="21"/>
  <c r="E1128" i="21"/>
  <c r="F1128" i="21"/>
  <c r="G1128" i="21"/>
  <c r="I1128" i="21"/>
  <c r="J1128" i="21"/>
  <c r="L1128" i="21"/>
  <c r="B1129" i="21"/>
  <c r="C1129" i="21"/>
  <c r="D1129" i="21"/>
  <c r="E1129" i="21"/>
  <c r="F1129" i="21"/>
  <c r="G1129" i="21"/>
  <c r="I1129" i="21"/>
  <c r="J1129" i="21"/>
  <c r="L1129" i="21"/>
  <c r="B1130" i="21"/>
  <c r="C1130" i="21"/>
  <c r="D1130" i="21"/>
  <c r="E1130" i="21"/>
  <c r="F1130" i="21"/>
  <c r="G1130" i="21"/>
  <c r="I1130" i="21"/>
  <c r="J1130" i="21"/>
  <c r="L1130" i="21"/>
  <c r="B1131" i="21"/>
  <c r="C1131" i="21"/>
  <c r="D1131" i="21"/>
  <c r="E1131" i="21"/>
  <c r="F1131" i="21"/>
  <c r="G1131" i="21"/>
  <c r="I1131" i="21"/>
  <c r="J1131" i="21"/>
  <c r="L1131" i="21"/>
  <c r="B1132" i="21"/>
  <c r="C1132" i="21"/>
  <c r="D1132" i="21"/>
  <c r="E1132" i="21"/>
  <c r="F1132" i="21"/>
  <c r="G1132" i="21"/>
  <c r="I1132" i="21"/>
  <c r="J1132" i="21"/>
  <c r="L1132" i="21"/>
  <c r="B1133" i="21"/>
  <c r="C1133" i="21"/>
  <c r="D1133" i="21"/>
  <c r="E1133" i="21"/>
  <c r="F1133" i="21"/>
  <c r="G1133" i="21"/>
  <c r="I1133" i="21"/>
  <c r="J1133" i="21"/>
  <c r="L1133" i="21"/>
  <c r="B1134" i="21"/>
  <c r="C1134" i="21"/>
  <c r="D1134" i="21"/>
  <c r="E1134" i="21"/>
  <c r="F1134" i="21"/>
  <c r="G1134" i="21"/>
  <c r="I1134" i="21"/>
  <c r="J1134" i="21"/>
  <c r="L1134" i="21"/>
  <c r="B1135" i="21"/>
  <c r="C1135" i="21"/>
  <c r="D1135" i="21"/>
  <c r="E1135" i="21"/>
  <c r="F1135" i="21"/>
  <c r="G1135" i="21"/>
  <c r="I1135" i="21"/>
  <c r="J1135" i="21"/>
  <c r="L1135" i="21"/>
  <c r="B1136" i="21"/>
  <c r="C1136" i="21"/>
  <c r="D1136" i="21"/>
  <c r="E1136" i="21"/>
  <c r="F1136" i="21"/>
  <c r="G1136" i="21"/>
  <c r="I1136" i="21"/>
  <c r="J1136" i="21"/>
  <c r="L1136" i="21"/>
  <c r="B1137" i="21"/>
  <c r="C1137" i="21"/>
  <c r="D1137" i="21"/>
  <c r="E1137" i="21"/>
  <c r="F1137" i="21"/>
  <c r="G1137" i="21"/>
  <c r="I1137" i="21"/>
  <c r="J1137" i="21"/>
  <c r="L1137" i="21"/>
  <c r="B1138" i="21"/>
  <c r="C1138" i="21"/>
  <c r="D1138" i="21"/>
  <c r="E1138" i="21"/>
  <c r="F1138" i="21"/>
  <c r="G1138" i="21"/>
  <c r="I1138" i="21"/>
  <c r="J1138" i="21"/>
  <c r="L1138" i="21"/>
  <c r="B1139" i="21"/>
  <c r="C1139" i="21"/>
  <c r="D1139" i="21"/>
  <c r="E1139" i="21"/>
  <c r="F1139" i="21"/>
  <c r="G1139" i="21"/>
  <c r="I1139" i="21"/>
  <c r="J1139" i="21"/>
  <c r="L1139" i="21"/>
  <c r="B1140" i="21"/>
  <c r="C1140" i="21"/>
  <c r="D1140" i="21"/>
  <c r="E1140" i="21"/>
  <c r="F1140" i="21"/>
  <c r="G1140" i="21"/>
  <c r="I1140" i="21"/>
  <c r="J1140" i="21"/>
  <c r="L1140" i="21"/>
  <c r="B1141" i="21"/>
  <c r="C1141" i="21"/>
  <c r="D1141" i="21"/>
  <c r="E1141" i="21"/>
  <c r="F1141" i="21"/>
  <c r="G1141" i="21"/>
  <c r="I1141" i="21"/>
  <c r="J1141" i="21"/>
  <c r="L1141" i="21"/>
  <c r="B1142" i="21"/>
  <c r="C1142" i="21"/>
  <c r="D1142" i="21"/>
  <c r="E1142" i="21"/>
  <c r="F1142" i="21"/>
  <c r="G1142" i="21"/>
  <c r="I1142" i="21"/>
  <c r="J1142" i="21"/>
  <c r="L1142" i="21"/>
  <c r="B1143" i="21"/>
  <c r="C1143" i="21"/>
  <c r="D1143" i="21"/>
  <c r="E1143" i="21"/>
  <c r="F1143" i="21"/>
  <c r="G1143" i="21"/>
  <c r="I1143" i="21"/>
  <c r="J1143" i="21"/>
  <c r="L1143" i="21"/>
  <c r="B1144" i="21"/>
  <c r="C1144" i="21"/>
  <c r="D1144" i="21"/>
  <c r="E1144" i="21"/>
  <c r="F1144" i="21"/>
  <c r="G1144" i="21"/>
  <c r="I1144" i="21"/>
  <c r="J1144" i="21"/>
  <c r="L1144" i="21"/>
  <c r="B1145" i="21"/>
  <c r="C1145" i="21"/>
  <c r="D1145" i="21"/>
  <c r="E1145" i="21"/>
  <c r="F1145" i="21"/>
  <c r="G1145" i="21"/>
  <c r="I1145" i="21"/>
  <c r="J1145" i="21"/>
  <c r="L1145" i="21"/>
  <c r="B1146" i="21"/>
  <c r="C1146" i="21"/>
  <c r="D1146" i="21"/>
  <c r="E1146" i="21"/>
  <c r="F1146" i="21"/>
  <c r="G1146" i="21"/>
  <c r="I1146" i="21"/>
  <c r="J1146" i="21"/>
  <c r="L1146" i="21"/>
  <c r="B1147" i="21"/>
  <c r="C1147" i="21"/>
  <c r="D1147" i="21"/>
  <c r="E1147" i="21"/>
  <c r="F1147" i="21"/>
  <c r="G1147" i="21"/>
  <c r="I1147" i="21"/>
  <c r="J1147" i="21"/>
  <c r="L1147" i="21"/>
  <c r="B1148" i="21"/>
  <c r="C1148" i="21"/>
  <c r="D1148" i="21"/>
  <c r="E1148" i="21"/>
  <c r="F1148" i="21"/>
  <c r="G1148" i="21"/>
  <c r="I1148" i="21"/>
  <c r="J1148" i="21"/>
  <c r="L1148" i="21"/>
  <c r="B1149" i="21"/>
  <c r="C1149" i="21"/>
  <c r="D1149" i="21"/>
  <c r="E1149" i="21"/>
  <c r="F1149" i="21"/>
  <c r="G1149" i="21"/>
  <c r="I1149" i="21"/>
  <c r="J1149" i="21"/>
  <c r="L1149" i="21"/>
  <c r="B1150" i="21"/>
  <c r="C1150" i="21"/>
  <c r="D1150" i="21"/>
  <c r="E1150" i="21"/>
  <c r="F1150" i="21"/>
  <c r="G1150" i="21"/>
  <c r="I1150" i="21"/>
  <c r="J1150" i="21"/>
  <c r="L1150" i="21"/>
  <c r="B1151" i="21"/>
  <c r="C1151" i="21"/>
  <c r="D1151" i="21"/>
  <c r="E1151" i="21"/>
  <c r="F1151" i="21"/>
  <c r="G1151" i="21"/>
  <c r="I1151" i="21"/>
  <c r="J1151" i="21"/>
  <c r="L1151" i="21"/>
  <c r="B1152" i="21"/>
  <c r="C1152" i="21"/>
  <c r="D1152" i="21"/>
  <c r="E1152" i="21"/>
  <c r="F1152" i="21"/>
  <c r="G1152" i="21"/>
  <c r="I1152" i="21"/>
  <c r="J1152" i="21"/>
  <c r="L1152" i="21"/>
  <c r="B1153" i="21"/>
  <c r="C1153" i="21"/>
  <c r="D1153" i="21"/>
  <c r="E1153" i="21"/>
  <c r="F1153" i="21"/>
  <c r="G1153" i="21"/>
  <c r="I1153" i="21"/>
  <c r="J1153" i="21"/>
  <c r="L1153" i="21"/>
  <c r="B1154" i="21"/>
  <c r="C1154" i="21"/>
  <c r="D1154" i="21"/>
  <c r="E1154" i="21"/>
  <c r="F1154" i="21"/>
  <c r="G1154" i="21"/>
  <c r="I1154" i="21"/>
  <c r="J1154" i="21"/>
  <c r="L1154" i="21"/>
  <c r="B1155" i="21"/>
  <c r="C1155" i="21"/>
  <c r="D1155" i="21"/>
  <c r="E1155" i="21"/>
  <c r="F1155" i="21"/>
  <c r="G1155" i="21"/>
  <c r="I1155" i="21"/>
  <c r="J1155" i="21"/>
  <c r="L1155" i="21"/>
  <c r="B1156" i="21"/>
  <c r="C1156" i="21"/>
  <c r="D1156" i="21"/>
  <c r="E1156" i="21"/>
  <c r="F1156" i="21"/>
  <c r="G1156" i="21"/>
  <c r="I1156" i="21"/>
  <c r="J1156" i="21"/>
  <c r="L1156" i="21"/>
  <c r="B1157" i="21"/>
  <c r="C1157" i="21"/>
  <c r="D1157" i="21"/>
  <c r="E1157" i="21"/>
  <c r="F1157" i="21"/>
  <c r="G1157" i="21"/>
  <c r="I1157" i="21"/>
  <c r="J1157" i="21"/>
  <c r="L1157" i="21"/>
  <c r="B1158" i="21"/>
  <c r="C1158" i="21"/>
  <c r="D1158" i="21"/>
  <c r="E1158" i="21"/>
  <c r="F1158" i="21"/>
  <c r="G1158" i="21"/>
  <c r="I1158" i="21"/>
  <c r="J1158" i="21"/>
  <c r="L1158" i="21"/>
  <c r="B1159" i="21"/>
  <c r="C1159" i="21"/>
  <c r="D1159" i="21"/>
  <c r="E1159" i="21"/>
  <c r="F1159" i="21"/>
  <c r="G1159" i="21"/>
  <c r="I1159" i="21"/>
  <c r="J1159" i="21"/>
  <c r="L1159" i="21"/>
  <c r="B1160" i="21"/>
  <c r="C1160" i="21"/>
  <c r="D1160" i="21"/>
  <c r="E1160" i="21"/>
  <c r="F1160" i="21"/>
  <c r="G1160" i="21"/>
  <c r="I1160" i="21"/>
  <c r="J1160" i="21"/>
  <c r="L1160" i="21"/>
  <c r="B1161" i="21"/>
  <c r="C1161" i="21"/>
  <c r="D1161" i="21"/>
  <c r="E1161" i="21"/>
  <c r="F1161" i="21"/>
  <c r="G1161" i="21"/>
  <c r="I1161" i="21"/>
  <c r="J1161" i="21"/>
  <c r="L1161" i="21"/>
  <c r="B1162" i="21"/>
  <c r="C1162" i="21"/>
  <c r="D1162" i="21"/>
  <c r="E1162" i="21"/>
  <c r="F1162" i="21"/>
  <c r="G1162" i="21"/>
  <c r="I1162" i="21"/>
  <c r="J1162" i="21"/>
  <c r="L1162" i="21"/>
  <c r="B1163" i="21"/>
  <c r="C1163" i="21"/>
  <c r="D1163" i="21"/>
  <c r="E1163" i="21"/>
  <c r="F1163" i="21"/>
  <c r="G1163" i="21"/>
  <c r="I1163" i="21"/>
  <c r="J1163" i="21"/>
  <c r="L1163" i="21"/>
  <c r="B1164" i="21"/>
  <c r="C1164" i="21"/>
  <c r="D1164" i="21"/>
  <c r="E1164" i="21"/>
  <c r="F1164" i="21"/>
  <c r="G1164" i="21"/>
  <c r="I1164" i="21"/>
  <c r="J1164" i="21"/>
  <c r="L1164" i="21"/>
  <c r="B1165" i="21"/>
  <c r="C1165" i="21"/>
  <c r="D1165" i="21"/>
  <c r="E1165" i="21"/>
  <c r="F1165" i="21"/>
  <c r="G1165" i="21"/>
  <c r="I1165" i="21"/>
  <c r="J1165" i="21"/>
  <c r="L1165" i="21"/>
  <c r="B1166" i="21"/>
  <c r="C1166" i="21"/>
  <c r="D1166" i="21"/>
  <c r="E1166" i="21"/>
  <c r="F1166" i="21"/>
  <c r="G1166" i="21"/>
  <c r="I1166" i="21"/>
  <c r="J1166" i="21"/>
  <c r="L1166" i="21"/>
  <c r="B1167" i="21"/>
  <c r="C1167" i="21"/>
  <c r="D1167" i="21"/>
  <c r="E1167" i="21"/>
  <c r="F1167" i="21"/>
  <c r="G1167" i="21"/>
  <c r="I1167" i="21"/>
  <c r="J1167" i="21"/>
  <c r="L1167" i="21"/>
  <c r="B1168" i="21"/>
  <c r="C1168" i="21"/>
  <c r="D1168" i="21"/>
  <c r="E1168" i="21"/>
  <c r="F1168" i="21"/>
  <c r="G1168" i="21"/>
  <c r="I1168" i="21"/>
  <c r="J1168" i="21"/>
  <c r="L1168" i="21"/>
  <c r="B1169" i="21"/>
  <c r="C1169" i="21"/>
  <c r="D1169" i="21"/>
  <c r="E1169" i="21"/>
  <c r="F1169" i="21"/>
  <c r="G1169" i="21"/>
  <c r="I1169" i="21"/>
  <c r="J1169" i="21"/>
  <c r="L1169" i="21"/>
  <c r="B1170" i="21"/>
  <c r="C1170" i="21"/>
  <c r="D1170" i="21"/>
  <c r="E1170" i="21"/>
  <c r="F1170" i="21"/>
  <c r="G1170" i="21"/>
  <c r="I1170" i="21"/>
  <c r="J1170" i="21"/>
  <c r="L1170" i="21"/>
  <c r="B1171" i="21"/>
  <c r="C1171" i="21"/>
  <c r="D1171" i="21"/>
  <c r="E1171" i="21"/>
  <c r="F1171" i="21"/>
  <c r="G1171" i="21"/>
  <c r="I1171" i="21"/>
  <c r="J1171" i="21"/>
  <c r="L1171" i="21"/>
  <c r="B1172" i="21"/>
  <c r="C1172" i="21"/>
  <c r="D1172" i="21"/>
  <c r="E1172" i="21"/>
  <c r="F1172" i="21"/>
  <c r="G1172" i="21"/>
  <c r="I1172" i="21"/>
  <c r="J1172" i="21"/>
  <c r="L1172" i="21"/>
  <c r="B1173" i="21"/>
  <c r="C1173" i="21"/>
  <c r="D1173" i="21"/>
  <c r="E1173" i="21"/>
  <c r="F1173" i="21"/>
  <c r="G1173" i="21"/>
  <c r="I1173" i="21"/>
  <c r="J1173" i="21"/>
  <c r="L1173" i="21"/>
  <c r="B1174" i="21"/>
  <c r="C1174" i="21"/>
  <c r="D1174" i="21"/>
  <c r="E1174" i="21"/>
  <c r="F1174" i="21"/>
  <c r="G1174" i="21"/>
  <c r="I1174" i="21"/>
  <c r="J1174" i="21"/>
  <c r="L1174" i="21"/>
  <c r="B1175" i="21"/>
  <c r="C1175" i="21"/>
  <c r="D1175" i="21"/>
  <c r="E1175" i="21"/>
  <c r="F1175" i="21"/>
  <c r="G1175" i="21"/>
  <c r="I1175" i="21"/>
  <c r="J1175" i="21"/>
  <c r="L1175" i="21"/>
  <c r="B1176" i="21"/>
  <c r="C1176" i="21"/>
  <c r="D1176" i="21"/>
  <c r="E1176" i="21"/>
  <c r="F1176" i="21"/>
  <c r="G1176" i="21"/>
  <c r="I1176" i="21"/>
  <c r="J1176" i="21"/>
  <c r="L1176" i="21"/>
  <c r="B1177" i="21"/>
  <c r="C1177" i="21"/>
  <c r="D1177" i="21"/>
  <c r="E1177" i="21"/>
  <c r="F1177" i="21"/>
  <c r="G1177" i="21"/>
  <c r="I1177" i="21"/>
  <c r="J1177" i="21"/>
  <c r="L1177" i="21"/>
  <c r="B1178" i="21"/>
  <c r="C1178" i="21"/>
  <c r="D1178" i="21"/>
  <c r="E1178" i="21"/>
  <c r="F1178" i="21"/>
  <c r="G1178" i="21"/>
  <c r="I1178" i="21"/>
  <c r="J1178" i="21"/>
  <c r="L1178" i="21"/>
  <c r="B1179" i="21"/>
  <c r="C1179" i="21"/>
  <c r="D1179" i="21"/>
  <c r="E1179" i="21"/>
  <c r="F1179" i="21"/>
  <c r="G1179" i="21"/>
  <c r="I1179" i="21"/>
  <c r="J1179" i="21"/>
  <c r="L1179" i="21"/>
  <c r="B1180" i="21"/>
  <c r="C1180" i="21"/>
  <c r="D1180" i="21"/>
  <c r="E1180" i="21"/>
  <c r="F1180" i="21"/>
  <c r="G1180" i="21"/>
  <c r="I1180" i="21"/>
  <c r="J1180" i="21"/>
  <c r="L1180" i="21"/>
  <c r="B1181" i="21"/>
  <c r="C1181" i="21"/>
  <c r="D1181" i="21"/>
  <c r="E1181" i="21"/>
  <c r="F1181" i="21"/>
  <c r="G1181" i="21"/>
  <c r="I1181" i="21"/>
  <c r="J1181" i="21"/>
  <c r="L1181" i="21"/>
  <c r="B1182" i="21"/>
  <c r="C1182" i="21"/>
  <c r="D1182" i="21"/>
  <c r="E1182" i="21"/>
  <c r="F1182" i="21"/>
  <c r="G1182" i="21"/>
  <c r="I1182" i="21"/>
  <c r="J1182" i="21"/>
  <c r="L1182" i="21"/>
  <c r="B1183" i="21"/>
  <c r="C1183" i="21"/>
  <c r="D1183" i="21"/>
  <c r="E1183" i="21"/>
  <c r="F1183" i="21"/>
  <c r="G1183" i="21"/>
  <c r="I1183" i="21"/>
  <c r="J1183" i="21"/>
  <c r="L1183" i="21"/>
  <c r="B1184" i="21"/>
  <c r="C1184" i="21"/>
  <c r="D1184" i="21"/>
  <c r="E1184" i="21"/>
  <c r="F1184" i="21"/>
  <c r="G1184" i="21"/>
  <c r="I1184" i="21"/>
  <c r="J1184" i="21"/>
  <c r="L1184" i="21"/>
  <c r="B1185" i="21"/>
  <c r="C1185" i="21"/>
  <c r="D1185" i="21"/>
  <c r="E1185" i="21"/>
  <c r="F1185" i="21"/>
  <c r="G1185" i="21"/>
  <c r="I1185" i="21"/>
  <c r="J1185" i="21"/>
  <c r="L1185" i="21"/>
  <c r="B1186" i="21"/>
  <c r="C1186" i="21"/>
  <c r="D1186" i="21"/>
  <c r="E1186" i="21"/>
  <c r="F1186" i="21"/>
  <c r="G1186" i="21"/>
  <c r="I1186" i="21"/>
  <c r="J1186" i="21"/>
  <c r="L1186" i="21"/>
  <c r="B1187" i="21"/>
  <c r="C1187" i="21"/>
  <c r="D1187" i="21"/>
  <c r="E1187" i="21"/>
  <c r="F1187" i="21"/>
  <c r="G1187" i="21"/>
  <c r="I1187" i="21"/>
  <c r="J1187" i="21"/>
  <c r="L1187" i="21"/>
  <c r="B1188" i="21"/>
  <c r="C1188" i="21"/>
  <c r="D1188" i="21"/>
  <c r="E1188" i="21"/>
  <c r="F1188" i="21"/>
  <c r="G1188" i="21"/>
  <c r="I1188" i="21"/>
  <c r="J1188" i="21"/>
  <c r="L1188" i="21"/>
  <c r="B1189" i="21"/>
  <c r="C1189" i="21"/>
  <c r="D1189" i="21"/>
  <c r="E1189" i="21"/>
  <c r="F1189" i="21"/>
  <c r="G1189" i="21"/>
  <c r="I1189" i="21"/>
  <c r="J1189" i="21"/>
  <c r="L1189" i="21"/>
  <c r="B1190" i="21"/>
  <c r="C1190" i="21"/>
  <c r="D1190" i="21"/>
  <c r="E1190" i="21"/>
  <c r="F1190" i="21"/>
  <c r="G1190" i="21"/>
  <c r="I1190" i="21"/>
  <c r="J1190" i="21"/>
  <c r="L1190" i="21"/>
  <c r="B1191" i="21"/>
  <c r="C1191" i="21"/>
  <c r="D1191" i="21"/>
  <c r="E1191" i="21"/>
  <c r="F1191" i="21"/>
  <c r="G1191" i="21"/>
  <c r="I1191" i="21"/>
  <c r="J1191" i="21"/>
  <c r="L1191" i="21"/>
  <c r="B1192" i="21"/>
  <c r="C1192" i="21"/>
  <c r="D1192" i="21"/>
  <c r="E1192" i="21"/>
  <c r="F1192" i="21"/>
  <c r="G1192" i="21"/>
  <c r="I1192" i="21"/>
  <c r="J1192" i="21"/>
  <c r="L1192" i="21"/>
  <c r="B1193" i="21"/>
  <c r="C1193" i="21"/>
  <c r="D1193" i="21"/>
  <c r="E1193" i="21"/>
  <c r="F1193" i="21"/>
  <c r="G1193" i="21"/>
  <c r="I1193" i="21"/>
  <c r="J1193" i="21"/>
  <c r="L1193" i="21"/>
  <c r="B1194" i="21"/>
  <c r="C1194" i="21"/>
  <c r="D1194" i="21"/>
  <c r="E1194" i="21"/>
  <c r="F1194" i="21"/>
  <c r="G1194" i="21"/>
  <c r="I1194" i="21"/>
  <c r="J1194" i="21"/>
  <c r="L1194" i="21"/>
  <c r="B1195" i="21"/>
  <c r="C1195" i="21"/>
  <c r="D1195" i="21"/>
  <c r="E1195" i="21"/>
  <c r="F1195" i="21"/>
  <c r="G1195" i="21"/>
  <c r="I1195" i="21"/>
  <c r="J1195" i="21"/>
  <c r="L1195" i="21"/>
  <c r="B1196" i="21"/>
  <c r="C1196" i="21"/>
  <c r="D1196" i="21"/>
  <c r="E1196" i="21"/>
  <c r="F1196" i="21"/>
  <c r="G1196" i="21"/>
  <c r="I1196" i="21"/>
  <c r="J1196" i="21"/>
  <c r="L1196" i="21"/>
  <c r="B1197" i="21"/>
  <c r="C1197" i="21"/>
  <c r="D1197" i="21"/>
  <c r="E1197" i="21"/>
  <c r="F1197" i="21"/>
  <c r="G1197" i="21"/>
  <c r="I1197" i="21"/>
  <c r="J1197" i="21"/>
  <c r="L1197" i="21"/>
  <c r="B1198" i="21"/>
  <c r="C1198" i="21"/>
  <c r="D1198" i="21"/>
  <c r="E1198" i="21"/>
  <c r="F1198" i="21"/>
  <c r="G1198" i="21"/>
  <c r="I1198" i="21"/>
  <c r="J1198" i="21"/>
  <c r="L1198" i="21"/>
  <c r="B1199" i="21"/>
  <c r="C1199" i="21"/>
  <c r="D1199" i="21"/>
  <c r="E1199" i="21"/>
  <c r="F1199" i="21"/>
  <c r="G1199" i="21"/>
  <c r="I1199" i="21"/>
  <c r="J1199" i="21"/>
  <c r="L1199" i="21"/>
  <c r="B1200" i="21"/>
  <c r="C1200" i="21"/>
  <c r="D1200" i="21"/>
  <c r="E1200" i="21"/>
  <c r="F1200" i="21"/>
  <c r="G1200" i="21"/>
  <c r="I1200" i="21"/>
  <c r="J1200" i="21"/>
  <c r="L1200" i="21"/>
  <c r="B1201" i="21"/>
  <c r="C1201" i="21"/>
  <c r="D1201" i="21"/>
  <c r="E1201" i="21"/>
  <c r="F1201" i="21"/>
  <c r="G1201" i="21"/>
  <c r="I1201" i="21"/>
  <c r="J1201" i="21"/>
  <c r="L1201" i="21"/>
  <c r="B1202" i="21"/>
  <c r="C1202" i="21"/>
  <c r="D1202" i="21"/>
  <c r="E1202" i="21"/>
  <c r="F1202" i="21"/>
  <c r="G1202" i="21"/>
  <c r="I1202" i="21"/>
  <c r="J1202" i="21"/>
  <c r="L1202" i="21"/>
  <c r="B1203" i="21"/>
  <c r="C1203" i="21"/>
  <c r="D1203" i="21"/>
  <c r="E1203" i="21"/>
  <c r="F1203" i="21"/>
  <c r="G1203" i="21"/>
  <c r="I1203" i="21"/>
  <c r="J1203" i="21"/>
  <c r="L1203" i="21"/>
  <c r="B1204" i="21"/>
  <c r="C1204" i="21"/>
  <c r="D1204" i="21"/>
  <c r="E1204" i="21"/>
  <c r="F1204" i="21"/>
  <c r="G1204" i="21"/>
  <c r="I1204" i="21"/>
  <c r="J1204" i="21"/>
  <c r="L1204" i="21"/>
  <c r="B1205" i="21"/>
  <c r="C1205" i="21"/>
  <c r="D1205" i="21"/>
  <c r="E1205" i="21"/>
  <c r="F1205" i="21"/>
  <c r="G1205" i="21"/>
  <c r="I1205" i="21"/>
  <c r="J1205" i="21"/>
  <c r="L1205" i="21"/>
  <c r="B1206" i="21"/>
  <c r="C1206" i="21"/>
  <c r="D1206" i="21"/>
  <c r="E1206" i="21"/>
  <c r="F1206" i="21"/>
  <c r="G1206" i="21"/>
  <c r="I1206" i="21"/>
  <c r="J1206" i="21"/>
  <c r="L1206" i="21"/>
  <c r="B1207" i="21"/>
  <c r="C1207" i="21"/>
  <c r="D1207" i="21"/>
  <c r="E1207" i="21"/>
  <c r="F1207" i="21"/>
  <c r="G1207" i="21"/>
  <c r="I1207" i="21"/>
  <c r="J1207" i="21"/>
  <c r="L1207" i="21"/>
  <c r="B1208" i="21"/>
  <c r="C1208" i="21"/>
  <c r="D1208" i="21"/>
  <c r="E1208" i="21"/>
  <c r="F1208" i="21"/>
  <c r="G1208" i="21"/>
  <c r="I1208" i="21"/>
  <c r="J1208" i="21"/>
  <c r="L1208" i="21"/>
  <c r="B1209" i="21"/>
  <c r="C1209" i="21"/>
  <c r="D1209" i="21"/>
  <c r="E1209" i="21"/>
  <c r="F1209" i="21"/>
  <c r="G1209" i="21"/>
  <c r="I1209" i="21"/>
  <c r="J1209" i="21"/>
  <c r="L1209" i="21"/>
  <c r="B1210" i="21"/>
  <c r="C1210" i="21"/>
  <c r="D1210" i="21"/>
  <c r="E1210" i="21"/>
  <c r="F1210" i="21"/>
  <c r="G1210" i="21"/>
  <c r="I1210" i="21"/>
  <c r="J1210" i="21"/>
  <c r="L1210" i="21"/>
  <c r="B1211" i="21"/>
  <c r="C1211" i="21"/>
  <c r="D1211" i="21"/>
  <c r="E1211" i="21"/>
  <c r="F1211" i="21"/>
  <c r="G1211" i="21"/>
  <c r="I1211" i="21"/>
  <c r="J1211" i="21"/>
  <c r="L1211" i="21"/>
  <c r="B1212" i="21"/>
  <c r="C1212" i="21"/>
  <c r="D1212" i="21"/>
  <c r="E1212" i="21"/>
  <c r="F1212" i="21"/>
  <c r="G1212" i="21"/>
  <c r="I1212" i="21"/>
  <c r="J1212" i="21"/>
  <c r="L1212" i="21"/>
  <c r="B1213" i="21"/>
  <c r="C1213" i="21"/>
  <c r="D1213" i="21"/>
  <c r="E1213" i="21"/>
  <c r="F1213" i="21"/>
  <c r="G1213" i="21"/>
  <c r="I1213" i="21"/>
  <c r="J1213" i="21"/>
  <c r="L1213" i="21"/>
  <c r="B1214" i="21"/>
  <c r="C1214" i="21"/>
  <c r="D1214" i="21"/>
  <c r="E1214" i="21"/>
  <c r="F1214" i="21"/>
  <c r="G1214" i="21"/>
  <c r="I1214" i="21"/>
  <c r="J1214" i="21"/>
  <c r="L1214" i="21"/>
  <c r="B1215" i="21"/>
  <c r="C1215" i="21"/>
  <c r="D1215" i="21"/>
  <c r="E1215" i="21"/>
  <c r="F1215" i="21"/>
  <c r="G1215" i="21"/>
  <c r="I1215" i="21"/>
  <c r="J1215" i="21"/>
  <c r="L1215" i="21"/>
  <c r="B1216" i="21"/>
  <c r="C1216" i="21"/>
  <c r="D1216" i="21"/>
  <c r="E1216" i="21"/>
  <c r="F1216" i="21"/>
  <c r="G1216" i="21"/>
  <c r="I1216" i="21"/>
  <c r="J1216" i="21"/>
  <c r="L1216" i="21"/>
  <c r="B1217" i="21"/>
  <c r="C1217" i="21"/>
  <c r="D1217" i="21"/>
  <c r="E1217" i="21"/>
  <c r="F1217" i="21"/>
  <c r="G1217" i="21"/>
  <c r="I1217" i="21"/>
  <c r="J1217" i="21"/>
  <c r="L1217" i="21"/>
  <c r="B1218" i="21"/>
  <c r="C1218" i="21"/>
  <c r="D1218" i="21"/>
  <c r="E1218" i="21"/>
  <c r="F1218" i="21"/>
  <c r="G1218" i="21"/>
  <c r="I1218" i="21"/>
  <c r="J1218" i="21"/>
  <c r="L1218" i="21"/>
  <c r="B1219" i="21"/>
  <c r="C1219" i="21"/>
  <c r="D1219" i="21"/>
  <c r="E1219" i="21"/>
  <c r="F1219" i="21"/>
  <c r="G1219" i="21"/>
  <c r="I1219" i="21"/>
  <c r="J1219" i="21"/>
  <c r="L1219" i="21"/>
  <c r="B1220" i="21"/>
  <c r="C1220" i="21"/>
  <c r="D1220" i="21"/>
  <c r="E1220" i="21"/>
  <c r="F1220" i="21"/>
  <c r="G1220" i="21"/>
  <c r="I1220" i="21"/>
  <c r="J1220" i="21"/>
  <c r="L1220" i="21"/>
  <c r="B1221" i="21"/>
  <c r="C1221" i="21"/>
  <c r="D1221" i="21"/>
  <c r="E1221" i="21"/>
  <c r="F1221" i="21"/>
  <c r="G1221" i="21"/>
  <c r="I1221" i="21"/>
  <c r="J1221" i="21"/>
  <c r="L1221" i="21"/>
  <c r="B1222" i="21"/>
  <c r="C1222" i="21"/>
  <c r="D1222" i="21"/>
  <c r="E1222" i="21"/>
  <c r="F1222" i="21"/>
  <c r="G1222" i="21"/>
  <c r="I1222" i="21"/>
  <c r="J1222" i="21"/>
  <c r="L1222" i="21"/>
  <c r="B1223" i="21"/>
  <c r="C1223" i="21"/>
  <c r="D1223" i="21"/>
  <c r="E1223" i="21"/>
  <c r="F1223" i="21"/>
  <c r="G1223" i="21"/>
  <c r="I1223" i="21"/>
  <c r="J1223" i="21"/>
  <c r="L1223" i="21"/>
  <c r="B1224" i="21"/>
  <c r="C1224" i="21"/>
  <c r="D1224" i="21"/>
  <c r="E1224" i="21"/>
  <c r="F1224" i="21"/>
  <c r="G1224" i="21"/>
  <c r="I1224" i="21"/>
  <c r="J1224" i="21"/>
  <c r="L1224" i="21"/>
  <c r="B1225" i="21"/>
  <c r="C1225" i="21"/>
  <c r="D1225" i="21"/>
  <c r="E1225" i="21"/>
  <c r="F1225" i="21"/>
  <c r="G1225" i="21"/>
  <c r="I1225" i="21"/>
  <c r="J1225" i="21"/>
  <c r="L1225" i="21"/>
  <c r="B1226" i="21"/>
  <c r="C1226" i="21"/>
  <c r="D1226" i="21"/>
  <c r="E1226" i="21"/>
  <c r="F1226" i="21"/>
  <c r="G1226" i="21"/>
  <c r="I1226" i="21"/>
  <c r="J1226" i="21"/>
  <c r="L1226" i="21"/>
  <c r="B1227" i="21"/>
  <c r="C1227" i="21"/>
  <c r="D1227" i="21"/>
  <c r="E1227" i="21"/>
  <c r="F1227" i="21"/>
  <c r="G1227" i="21"/>
  <c r="I1227" i="21"/>
  <c r="J1227" i="21"/>
  <c r="L1227" i="21"/>
  <c r="B1228" i="21"/>
  <c r="C1228" i="21"/>
  <c r="D1228" i="21"/>
  <c r="E1228" i="21"/>
  <c r="F1228" i="21"/>
  <c r="G1228" i="21"/>
  <c r="I1228" i="21"/>
  <c r="J1228" i="21"/>
  <c r="L1228" i="21"/>
  <c r="B1229" i="21"/>
  <c r="C1229" i="21"/>
  <c r="D1229" i="21"/>
  <c r="E1229" i="21"/>
  <c r="F1229" i="21"/>
  <c r="G1229" i="21"/>
  <c r="I1229" i="21"/>
  <c r="J1229" i="21"/>
  <c r="L1229" i="21"/>
  <c r="B1230" i="21"/>
  <c r="C1230" i="21"/>
  <c r="D1230" i="21"/>
  <c r="E1230" i="21"/>
  <c r="F1230" i="21"/>
  <c r="G1230" i="21"/>
  <c r="I1230" i="21"/>
  <c r="J1230" i="21"/>
  <c r="L1230" i="21"/>
  <c r="B1231" i="21"/>
  <c r="C1231" i="21"/>
  <c r="D1231" i="21"/>
  <c r="E1231" i="21"/>
  <c r="F1231" i="21"/>
  <c r="G1231" i="21"/>
  <c r="I1231" i="21"/>
  <c r="J1231" i="21"/>
  <c r="L1231" i="21"/>
  <c r="B1232" i="21"/>
  <c r="C1232" i="21"/>
  <c r="D1232" i="21"/>
  <c r="E1232" i="21"/>
  <c r="F1232" i="21"/>
  <c r="G1232" i="21"/>
  <c r="I1232" i="21"/>
  <c r="J1232" i="21"/>
  <c r="L1232" i="21"/>
  <c r="B1233" i="21"/>
  <c r="C1233" i="21"/>
  <c r="D1233" i="21"/>
  <c r="E1233" i="21"/>
  <c r="F1233" i="21"/>
  <c r="G1233" i="21"/>
  <c r="I1233" i="21"/>
  <c r="J1233" i="21"/>
  <c r="L1233" i="21"/>
  <c r="B1234" i="21"/>
  <c r="C1234" i="21"/>
  <c r="D1234" i="21"/>
  <c r="E1234" i="21"/>
  <c r="F1234" i="21"/>
  <c r="G1234" i="21"/>
  <c r="I1234" i="21"/>
  <c r="J1234" i="21"/>
  <c r="L1234" i="21"/>
  <c r="B1235" i="21"/>
  <c r="C1235" i="21"/>
  <c r="D1235" i="21"/>
  <c r="E1235" i="21"/>
  <c r="F1235" i="21"/>
  <c r="G1235" i="21"/>
  <c r="I1235" i="21"/>
  <c r="J1235" i="21"/>
  <c r="L1235" i="21"/>
  <c r="B1236" i="21"/>
  <c r="C1236" i="21"/>
  <c r="D1236" i="21"/>
  <c r="E1236" i="21"/>
  <c r="F1236" i="21"/>
  <c r="G1236" i="21"/>
  <c r="I1236" i="21"/>
  <c r="J1236" i="21"/>
  <c r="L1236" i="21"/>
  <c r="B1237" i="21"/>
  <c r="C1237" i="21"/>
  <c r="D1237" i="21"/>
  <c r="E1237" i="21"/>
  <c r="F1237" i="21"/>
  <c r="G1237" i="21"/>
  <c r="I1237" i="21"/>
  <c r="J1237" i="21"/>
  <c r="L1237" i="21"/>
  <c r="B1238" i="21"/>
  <c r="C1238" i="21"/>
  <c r="D1238" i="21"/>
  <c r="E1238" i="21"/>
  <c r="F1238" i="21"/>
  <c r="G1238" i="21"/>
  <c r="I1238" i="21"/>
  <c r="J1238" i="21"/>
  <c r="L1238" i="21"/>
  <c r="B1239" i="21"/>
  <c r="C1239" i="21"/>
  <c r="D1239" i="21"/>
  <c r="E1239" i="21"/>
  <c r="F1239" i="21"/>
  <c r="G1239" i="21"/>
  <c r="I1239" i="21"/>
  <c r="J1239" i="21"/>
  <c r="L1239" i="21"/>
  <c r="B1240" i="21"/>
  <c r="C1240" i="21"/>
  <c r="D1240" i="21"/>
  <c r="E1240" i="21"/>
  <c r="F1240" i="21"/>
  <c r="G1240" i="21"/>
  <c r="I1240" i="21"/>
  <c r="J1240" i="21"/>
  <c r="L1240" i="21"/>
  <c r="B1241" i="21"/>
  <c r="C1241" i="21"/>
  <c r="D1241" i="21"/>
  <c r="E1241" i="21"/>
  <c r="F1241" i="21"/>
  <c r="G1241" i="21"/>
  <c r="I1241" i="21"/>
  <c r="J1241" i="21"/>
  <c r="L1241" i="21"/>
  <c r="B1242" i="21"/>
  <c r="C1242" i="21"/>
  <c r="D1242" i="21"/>
  <c r="E1242" i="21"/>
  <c r="F1242" i="21"/>
  <c r="G1242" i="21"/>
  <c r="I1242" i="21"/>
  <c r="J1242" i="21"/>
  <c r="L1242" i="21"/>
  <c r="B1243" i="21"/>
  <c r="C1243" i="21"/>
  <c r="D1243" i="21"/>
  <c r="E1243" i="21"/>
  <c r="F1243" i="21"/>
  <c r="G1243" i="21"/>
  <c r="I1243" i="21"/>
  <c r="J1243" i="21"/>
  <c r="L1243" i="21"/>
  <c r="B1244" i="21"/>
  <c r="C1244" i="21"/>
  <c r="D1244" i="21"/>
  <c r="E1244" i="21"/>
  <c r="F1244" i="21"/>
  <c r="G1244" i="21"/>
  <c r="I1244" i="21"/>
  <c r="J1244" i="21"/>
  <c r="L1244" i="21"/>
  <c r="B1245" i="21"/>
  <c r="C1245" i="21"/>
  <c r="D1245" i="21"/>
  <c r="E1245" i="21"/>
  <c r="F1245" i="21"/>
  <c r="G1245" i="21"/>
  <c r="I1245" i="21"/>
  <c r="J1245" i="21"/>
  <c r="L1245" i="21"/>
  <c r="B1246" i="21"/>
  <c r="C1246" i="21"/>
  <c r="D1246" i="21"/>
  <c r="E1246" i="21"/>
  <c r="F1246" i="21"/>
  <c r="G1246" i="21"/>
  <c r="I1246" i="21"/>
  <c r="J1246" i="21"/>
  <c r="L1246" i="21"/>
  <c r="B1247" i="21"/>
  <c r="C1247" i="21"/>
  <c r="D1247" i="21"/>
  <c r="E1247" i="21"/>
  <c r="F1247" i="21"/>
  <c r="G1247" i="21"/>
  <c r="I1247" i="21"/>
  <c r="J1247" i="21"/>
  <c r="L1247" i="21"/>
  <c r="B1248" i="21"/>
  <c r="C1248" i="21"/>
  <c r="D1248" i="21"/>
  <c r="E1248" i="21"/>
  <c r="F1248" i="21"/>
  <c r="G1248" i="21"/>
  <c r="I1248" i="21"/>
  <c r="J1248" i="21"/>
  <c r="L1248" i="21"/>
  <c r="B1249" i="21"/>
  <c r="C1249" i="21"/>
  <c r="D1249" i="21"/>
  <c r="E1249" i="21"/>
  <c r="F1249" i="21"/>
  <c r="G1249" i="21"/>
  <c r="I1249" i="21"/>
  <c r="J1249" i="21"/>
  <c r="L1249" i="21"/>
  <c r="B1250" i="21"/>
  <c r="C1250" i="21"/>
  <c r="D1250" i="21"/>
  <c r="E1250" i="21"/>
  <c r="F1250" i="21"/>
  <c r="G1250" i="21"/>
  <c r="I1250" i="21"/>
  <c r="J1250" i="21"/>
  <c r="L1250" i="21"/>
  <c r="B1251" i="21"/>
  <c r="C1251" i="21"/>
  <c r="D1251" i="21"/>
  <c r="E1251" i="21"/>
  <c r="F1251" i="21"/>
  <c r="G1251" i="21"/>
  <c r="I1251" i="21"/>
  <c r="J1251" i="21"/>
  <c r="L1251" i="21"/>
  <c r="B1252" i="21"/>
  <c r="C1252" i="21"/>
  <c r="D1252" i="21"/>
  <c r="E1252" i="21"/>
  <c r="F1252" i="21"/>
  <c r="G1252" i="21"/>
  <c r="I1252" i="21"/>
  <c r="J1252" i="21"/>
  <c r="L1252" i="21"/>
  <c r="B1253" i="21"/>
  <c r="C1253" i="21"/>
  <c r="D1253" i="21"/>
  <c r="E1253" i="21"/>
  <c r="F1253" i="21"/>
  <c r="G1253" i="21"/>
  <c r="I1253" i="21"/>
  <c r="J1253" i="21"/>
  <c r="L1253" i="21"/>
  <c r="B1254" i="21"/>
  <c r="C1254" i="21"/>
  <c r="D1254" i="21"/>
  <c r="E1254" i="21"/>
  <c r="F1254" i="21"/>
  <c r="G1254" i="21"/>
  <c r="I1254" i="21"/>
  <c r="J1254" i="21"/>
  <c r="L1254" i="21"/>
  <c r="B1255" i="21"/>
  <c r="C1255" i="21"/>
  <c r="D1255" i="21"/>
  <c r="E1255" i="21"/>
  <c r="F1255" i="21"/>
  <c r="G1255" i="21"/>
  <c r="I1255" i="21"/>
  <c r="J1255" i="21"/>
  <c r="L1255" i="21"/>
  <c r="B1256" i="21"/>
  <c r="C1256" i="21"/>
  <c r="D1256" i="21"/>
  <c r="E1256" i="21"/>
  <c r="F1256" i="21"/>
  <c r="G1256" i="21"/>
  <c r="I1256" i="21"/>
  <c r="J1256" i="21"/>
  <c r="L1256" i="21"/>
  <c r="B1257" i="21"/>
  <c r="C1257" i="21"/>
  <c r="D1257" i="21"/>
  <c r="E1257" i="21"/>
  <c r="F1257" i="21"/>
  <c r="G1257" i="21"/>
  <c r="I1257" i="21"/>
  <c r="J1257" i="21"/>
  <c r="L1257" i="21"/>
  <c r="B1258" i="21"/>
  <c r="C1258" i="21"/>
  <c r="D1258" i="21"/>
  <c r="E1258" i="21"/>
  <c r="F1258" i="21"/>
  <c r="G1258" i="21"/>
  <c r="I1258" i="21"/>
  <c r="J1258" i="21"/>
  <c r="L1258" i="21"/>
  <c r="B1259" i="21"/>
  <c r="C1259" i="21"/>
  <c r="D1259" i="21"/>
  <c r="E1259" i="21"/>
  <c r="F1259" i="21"/>
  <c r="G1259" i="21"/>
  <c r="I1259" i="21"/>
  <c r="J1259" i="21"/>
  <c r="L1259" i="21"/>
  <c r="B1260" i="21"/>
  <c r="C1260" i="21"/>
  <c r="D1260" i="21"/>
  <c r="E1260" i="21"/>
  <c r="F1260" i="21"/>
  <c r="G1260" i="21"/>
  <c r="I1260" i="21"/>
  <c r="J1260" i="21"/>
  <c r="L1260" i="21"/>
  <c r="B1261" i="21"/>
  <c r="C1261" i="21"/>
  <c r="D1261" i="21"/>
  <c r="E1261" i="21"/>
  <c r="F1261" i="21"/>
  <c r="G1261" i="21"/>
  <c r="I1261" i="21"/>
  <c r="J1261" i="21"/>
  <c r="L1261" i="21"/>
  <c r="B1262" i="21"/>
  <c r="C1262" i="21"/>
  <c r="D1262" i="21"/>
  <c r="E1262" i="21"/>
  <c r="F1262" i="21"/>
  <c r="G1262" i="21"/>
  <c r="I1262" i="21"/>
  <c r="J1262" i="21"/>
  <c r="L1262" i="21"/>
  <c r="B1263" i="21"/>
  <c r="C1263" i="21"/>
  <c r="D1263" i="21"/>
  <c r="E1263" i="21"/>
  <c r="F1263" i="21"/>
  <c r="G1263" i="21"/>
  <c r="I1263" i="21"/>
  <c r="J1263" i="21"/>
  <c r="L1263" i="21"/>
  <c r="B1264" i="21"/>
  <c r="C1264" i="21"/>
  <c r="D1264" i="21"/>
  <c r="E1264" i="21"/>
  <c r="F1264" i="21"/>
  <c r="G1264" i="21"/>
  <c r="I1264" i="21"/>
  <c r="J1264" i="21"/>
  <c r="L1264" i="21"/>
  <c r="B1265" i="21"/>
  <c r="C1265" i="21"/>
  <c r="D1265" i="21"/>
  <c r="E1265" i="21"/>
  <c r="F1265" i="21"/>
  <c r="G1265" i="21"/>
  <c r="I1265" i="21"/>
  <c r="J1265" i="21"/>
  <c r="L1265" i="21"/>
  <c r="B1266" i="21"/>
  <c r="C1266" i="21"/>
  <c r="D1266" i="21"/>
  <c r="E1266" i="21"/>
  <c r="F1266" i="21"/>
  <c r="G1266" i="21"/>
  <c r="I1266" i="21"/>
  <c r="J1266" i="21"/>
  <c r="L1266" i="21"/>
  <c r="B1267" i="21"/>
  <c r="C1267" i="21"/>
  <c r="D1267" i="21"/>
  <c r="E1267" i="21"/>
  <c r="F1267" i="21"/>
  <c r="G1267" i="21"/>
  <c r="I1267" i="21"/>
  <c r="J1267" i="21"/>
  <c r="L1267" i="21"/>
  <c r="B1268" i="21"/>
  <c r="C1268" i="21"/>
  <c r="D1268" i="21"/>
  <c r="E1268" i="21"/>
  <c r="F1268" i="21"/>
  <c r="G1268" i="21"/>
  <c r="I1268" i="21"/>
  <c r="J1268" i="21"/>
  <c r="L1268" i="21"/>
  <c r="B1269" i="21"/>
  <c r="C1269" i="21"/>
  <c r="D1269" i="21"/>
  <c r="E1269" i="21"/>
  <c r="F1269" i="21"/>
  <c r="G1269" i="21"/>
  <c r="I1269" i="21"/>
  <c r="J1269" i="21"/>
  <c r="L1269" i="21"/>
  <c r="B1270" i="21"/>
  <c r="C1270" i="21"/>
  <c r="D1270" i="21"/>
  <c r="E1270" i="21"/>
  <c r="F1270" i="21"/>
  <c r="G1270" i="21"/>
  <c r="I1270" i="21"/>
  <c r="J1270" i="21"/>
  <c r="L1270" i="21"/>
  <c r="B1271" i="21"/>
  <c r="C1271" i="21"/>
  <c r="D1271" i="21"/>
  <c r="E1271" i="21"/>
  <c r="F1271" i="21"/>
  <c r="G1271" i="21"/>
  <c r="I1271" i="21"/>
  <c r="J1271" i="21"/>
  <c r="L1271" i="21"/>
  <c r="B1272" i="21"/>
  <c r="C1272" i="21"/>
  <c r="D1272" i="21"/>
  <c r="E1272" i="21"/>
  <c r="F1272" i="21"/>
  <c r="G1272" i="21"/>
  <c r="I1272" i="21"/>
  <c r="J1272" i="21"/>
  <c r="L1272" i="21"/>
  <c r="B1273" i="21"/>
  <c r="C1273" i="21"/>
  <c r="D1273" i="21"/>
  <c r="E1273" i="21"/>
  <c r="F1273" i="21"/>
  <c r="G1273" i="21"/>
  <c r="I1273" i="21"/>
  <c r="J1273" i="21"/>
  <c r="L1273" i="21"/>
  <c r="B1274" i="21"/>
  <c r="C1274" i="21"/>
  <c r="D1274" i="21"/>
  <c r="E1274" i="21"/>
  <c r="F1274" i="21"/>
  <c r="G1274" i="21"/>
  <c r="I1274" i="21"/>
  <c r="J1274" i="21"/>
  <c r="L1274" i="21"/>
  <c r="B1275" i="21"/>
  <c r="C1275" i="21"/>
  <c r="D1275" i="21"/>
  <c r="E1275" i="21"/>
  <c r="F1275" i="21"/>
  <c r="G1275" i="21"/>
  <c r="I1275" i="21"/>
  <c r="J1275" i="21"/>
  <c r="L1275" i="21"/>
  <c r="B1276" i="21"/>
  <c r="C1276" i="21"/>
  <c r="D1276" i="21"/>
  <c r="E1276" i="21"/>
  <c r="F1276" i="21"/>
  <c r="G1276" i="21"/>
  <c r="I1276" i="21"/>
  <c r="J1276" i="21"/>
  <c r="L1276" i="21"/>
  <c r="B1277" i="21"/>
  <c r="C1277" i="21"/>
  <c r="D1277" i="21"/>
  <c r="E1277" i="21"/>
  <c r="F1277" i="21"/>
  <c r="G1277" i="21"/>
  <c r="I1277" i="21"/>
  <c r="J1277" i="21"/>
  <c r="L1277" i="21"/>
  <c r="B1278" i="21"/>
  <c r="C1278" i="21"/>
  <c r="D1278" i="21"/>
  <c r="E1278" i="21"/>
  <c r="F1278" i="21"/>
  <c r="G1278" i="21"/>
  <c r="I1278" i="21"/>
  <c r="J1278" i="21"/>
  <c r="L1278" i="21"/>
  <c r="B1279" i="21"/>
  <c r="C1279" i="21"/>
  <c r="D1279" i="21"/>
  <c r="E1279" i="21"/>
  <c r="F1279" i="21"/>
  <c r="G1279" i="21"/>
  <c r="I1279" i="21"/>
  <c r="J1279" i="21"/>
  <c r="L1279" i="21"/>
  <c r="B1280" i="21"/>
  <c r="C1280" i="21"/>
  <c r="D1280" i="21"/>
  <c r="E1280" i="21"/>
  <c r="F1280" i="21"/>
  <c r="G1280" i="21"/>
  <c r="I1280" i="21"/>
  <c r="J1280" i="21"/>
  <c r="L1280" i="21"/>
  <c r="B1281" i="21"/>
  <c r="C1281" i="21"/>
  <c r="D1281" i="21"/>
  <c r="E1281" i="21"/>
  <c r="F1281" i="21"/>
  <c r="G1281" i="21"/>
  <c r="I1281" i="21"/>
  <c r="J1281" i="21"/>
  <c r="L1281" i="21"/>
  <c r="B1282" i="21"/>
  <c r="C1282" i="21"/>
  <c r="D1282" i="21"/>
  <c r="E1282" i="21"/>
  <c r="F1282" i="21"/>
  <c r="G1282" i="21"/>
  <c r="I1282" i="21"/>
  <c r="J1282" i="21"/>
  <c r="L1282" i="21"/>
  <c r="B1283" i="21"/>
  <c r="C1283" i="21"/>
  <c r="D1283" i="21"/>
  <c r="E1283" i="21"/>
  <c r="F1283" i="21"/>
  <c r="G1283" i="21"/>
  <c r="I1283" i="21"/>
  <c r="J1283" i="21"/>
  <c r="L1283" i="21"/>
  <c r="B1284" i="21"/>
  <c r="C1284" i="21"/>
  <c r="D1284" i="21"/>
  <c r="E1284" i="21"/>
  <c r="F1284" i="21"/>
  <c r="G1284" i="21"/>
  <c r="I1284" i="21"/>
  <c r="J1284" i="21"/>
  <c r="L1284" i="21"/>
  <c r="B1285" i="21"/>
  <c r="C1285" i="21"/>
  <c r="D1285" i="21"/>
  <c r="E1285" i="21"/>
  <c r="F1285" i="21"/>
  <c r="G1285" i="21"/>
  <c r="I1285" i="21"/>
  <c r="J1285" i="21"/>
  <c r="L1285" i="21"/>
  <c r="B1286" i="21"/>
  <c r="C1286" i="21"/>
  <c r="D1286" i="21"/>
  <c r="E1286" i="21"/>
  <c r="F1286" i="21"/>
  <c r="G1286" i="21"/>
  <c r="I1286" i="21"/>
  <c r="J1286" i="21"/>
  <c r="L1286" i="21"/>
  <c r="B1287" i="21"/>
  <c r="C1287" i="21"/>
  <c r="D1287" i="21"/>
  <c r="E1287" i="21"/>
  <c r="F1287" i="21"/>
  <c r="G1287" i="21"/>
  <c r="I1287" i="21"/>
  <c r="J1287" i="21"/>
  <c r="L1287" i="21"/>
  <c r="B1288" i="21"/>
  <c r="C1288" i="21"/>
  <c r="D1288" i="21"/>
  <c r="E1288" i="21"/>
  <c r="F1288" i="21"/>
  <c r="G1288" i="21"/>
  <c r="I1288" i="21"/>
  <c r="J1288" i="21"/>
  <c r="L1288" i="21"/>
  <c r="B1289" i="21"/>
  <c r="C1289" i="21"/>
  <c r="D1289" i="21"/>
  <c r="E1289" i="21"/>
  <c r="F1289" i="21"/>
  <c r="G1289" i="21"/>
  <c r="I1289" i="21"/>
  <c r="J1289" i="21"/>
  <c r="L1289" i="21"/>
  <c r="B1290" i="21"/>
  <c r="C1290" i="21"/>
  <c r="D1290" i="21"/>
  <c r="E1290" i="21"/>
  <c r="F1290" i="21"/>
  <c r="G1290" i="21"/>
  <c r="I1290" i="21"/>
  <c r="J1290" i="21"/>
  <c r="L1290" i="21"/>
  <c r="B1291" i="21"/>
  <c r="C1291" i="21"/>
  <c r="D1291" i="21"/>
  <c r="E1291" i="21"/>
  <c r="F1291" i="21"/>
  <c r="G1291" i="21"/>
  <c r="I1291" i="21"/>
  <c r="J1291" i="21"/>
  <c r="L1291" i="21"/>
  <c r="B1292" i="21"/>
  <c r="C1292" i="21"/>
  <c r="D1292" i="21"/>
  <c r="E1292" i="21"/>
  <c r="F1292" i="21"/>
  <c r="G1292" i="21"/>
  <c r="I1292" i="21"/>
  <c r="J1292" i="21"/>
  <c r="L1292" i="21"/>
  <c r="B1293" i="21"/>
  <c r="C1293" i="21"/>
  <c r="D1293" i="21"/>
  <c r="E1293" i="21"/>
  <c r="F1293" i="21"/>
  <c r="G1293" i="21"/>
  <c r="I1293" i="21"/>
  <c r="J1293" i="21"/>
  <c r="L1293" i="21"/>
  <c r="B1294" i="21"/>
  <c r="C1294" i="21"/>
  <c r="D1294" i="21"/>
  <c r="E1294" i="21"/>
  <c r="F1294" i="21"/>
  <c r="G1294" i="21"/>
  <c r="I1294" i="21"/>
  <c r="J1294" i="21"/>
  <c r="L1294" i="21"/>
  <c r="B1295" i="21"/>
  <c r="C1295" i="21"/>
  <c r="D1295" i="21"/>
  <c r="E1295" i="21"/>
  <c r="F1295" i="21"/>
  <c r="G1295" i="21"/>
  <c r="I1295" i="21"/>
  <c r="J1295" i="21"/>
  <c r="L1295" i="21"/>
  <c r="B1296" i="21"/>
  <c r="C1296" i="21"/>
  <c r="D1296" i="21"/>
  <c r="E1296" i="21"/>
  <c r="F1296" i="21"/>
  <c r="G1296" i="21"/>
  <c r="I1296" i="21"/>
  <c r="J1296" i="21"/>
  <c r="L1296" i="21"/>
  <c r="B1297" i="21"/>
  <c r="C1297" i="21"/>
  <c r="D1297" i="21"/>
  <c r="E1297" i="21"/>
  <c r="F1297" i="21"/>
  <c r="G1297" i="21"/>
  <c r="I1297" i="21"/>
  <c r="J1297" i="21"/>
  <c r="L1297" i="21"/>
  <c r="B1298" i="21"/>
  <c r="C1298" i="21"/>
  <c r="D1298" i="21"/>
  <c r="E1298" i="21"/>
  <c r="F1298" i="21"/>
  <c r="G1298" i="21"/>
  <c r="I1298" i="21"/>
  <c r="J1298" i="21"/>
  <c r="L1298" i="21"/>
  <c r="B1299" i="21"/>
  <c r="C1299" i="21"/>
  <c r="D1299" i="21"/>
  <c r="E1299" i="21"/>
  <c r="F1299" i="21"/>
  <c r="G1299" i="21"/>
  <c r="I1299" i="21"/>
  <c r="J1299" i="21"/>
  <c r="L1299" i="21"/>
  <c r="B1300" i="21"/>
  <c r="C1300" i="21"/>
  <c r="D1300" i="21"/>
  <c r="E1300" i="21"/>
  <c r="F1300" i="21"/>
  <c r="G1300" i="21"/>
  <c r="I1300" i="21"/>
  <c r="J1300" i="21"/>
  <c r="L1300" i="21"/>
  <c r="B1301" i="21"/>
  <c r="C1301" i="21"/>
  <c r="D1301" i="21"/>
  <c r="E1301" i="21"/>
  <c r="F1301" i="21"/>
  <c r="G1301" i="21"/>
  <c r="I1301" i="21"/>
  <c r="J1301" i="21"/>
  <c r="L1301" i="21"/>
  <c r="B1302" i="21"/>
  <c r="C1302" i="21"/>
  <c r="D1302" i="21"/>
  <c r="E1302" i="21"/>
  <c r="F1302" i="21"/>
  <c r="G1302" i="21"/>
  <c r="I1302" i="21"/>
  <c r="J1302" i="21"/>
  <c r="L1302" i="21"/>
  <c r="B1303" i="21"/>
  <c r="C1303" i="21"/>
  <c r="D1303" i="21"/>
  <c r="E1303" i="21"/>
  <c r="F1303" i="21"/>
  <c r="G1303" i="21"/>
  <c r="I1303" i="21"/>
  <c r="J1303" i="21"/>
  <c r="L1303" i="21"/>
  <c r="B1304" i="21"/>
  <c r="C1304" i="21"/>
  <c r="D1304" i="21"/>
  <c r="E1304" i="21"/>
  <c r="F1304" i="21"/>
  <c r="G1304" i="21"/>
  <c r="I1304" i="21"/>
  <c r="J1304" i="21"/>
  <c r="L1304" i="21"/>
  <c r="B1305" i="21"/>
  <c r="C1305" i="21"/>
  <c r="D1305" i="21"/>
  <c r="E1305" i="21"/>
  <c r="F1305" i="21"/>
  <c r="G1305" i="21"/>
  <c r="I1305" i="21"/>
  <c r="J1305" i="21"/>
  <c r="L1305" i="21"/>
  <c r="B1306" i="21"/>
  <c r="C1306" i="21"/>
  <c r="D1306" i="21"/>
  <c r="E1306" i="21"/>
  <c r="F1306" i="21"/>
  <c r="G1306" i="21"/>
  <c r="I1306" i="21"/>
  <c r="J1306" i="21"/>
  <c r="L1306" i="21"/>
  <c r="B1307" i="21"/>
  <c r="C1307" i="21"/>
  <c r="D1307" i="21"/>
  <c r="E1307" i="21"/>
  <c r="F1307" i="21"/>
  <c r="G1307" i="21"/>
  <c r="I1307" i="21"/>
  <c r="J1307" i="21"/>
  <c r="L1307" i="21"/>
  <c r="B1308" i="21"/>
  <c r="C1308" i="21"/>
  <c r="D1308" i="21"/>
  <c r="E1308" i="21"/>
  <c r="F1308" i="21"/>
  <c r="G1308" i="21"/>
  <c r="I1308" i="21"/>
  <c r="J1308" i="21"/>
  <c r="L1308" i="21"/>
  <c r="B1309" i="21"/>
  <c r="C1309" i="21"/>
  <c r="D1309" i="21"/>
  <c r="E1309" i="21"/>
  <c r="F1309" i="21"/>
  <c r="G1309" i="21"/>
  <c r="I1309" i="21"/>
  <c r="J1309" i="21"/>
  <c r="L1309" i="21"/>
  <c r="B1310" i="21"/>
  <c r="C1310" i="21"/>
  <c r="D1310" i="21"/>
  <c r="E1310" i="21"/>
  <c r="F1310" i="21"/>
  <c r="G1310" i="21"/>
  <c r="I1310" i="21"/>
  <c r="J1310" i="21"/>
  <c r="L1310" i="21"/>
  <c r="B1311" i="21"/>
  <c r="C1311" i="21"/>
  <c r="D1311" i="21"/>
  <c r="E1311" i="21"/>
  <c r="F1311" i="21"/>
  <c r="G1311" i="21"/>
  <c r="I1311" i="21"/>
  <c r="J1311" i="21"/>
  <c r="L1311" i="21"/>
  <c r="B1312" i="21"/>
  <c r="C1312" i="21"/>
  <c r="D1312" i="21"/>
  <c r="E1312" i="21"/>
  <c r="F1312" i="21"/>
  <c r="G1312" i="21"/>
  <c r="I1312" i="21"/>
  <c r="J1312" i="21"/>
  <c r="L1312" i="21"/>
  <c r="B1313" i="21"/>
  <c r="C1313" i="21"/>
  <c r="D1313" i="21"/>
  <c r="E1313" i="21"/>
  <c r="F1313" i="21"/>
  <c r="G1313" i="21"/>
  <c r="I1313" i="21"/>
  <c r="J1313" i="21"/>
  <c r="L1313" i="21"/>
  <c r="B1314" i="21"/>
  <c r="C1314" i="21"/>
  <c r="D1314" i="21"/>
  <c r="E1314" i="21"/>
  <c r="F1314" i="21"/>
  <c r="G1314" i="21"/>
  <c r="I1314" i="21"/>
  <c r="J1314" i="21"/>
  <c r="L1314" i="21"/>
  <c r="B1315" i="21"/>
  <c r="C1315" i="21"/>
  <c r="D1315" i="21"/>
  <c r="E1315" i="21"/>
  <c r="F1315" i="21"/>
  <c r="G1315" i="21"/>
  <c r="I1315" i="21"/>
  <c r="J1315" i="21"/>
  <c r="L1315" i="21"/>
  <c r="B1316" i="21"/>
  <c r="C1316" i="21"/>
  <c r="D1316" i="21"/>
  <c r="E1316" i="21"/>
  <c r="F1316" i="21"/>
  <c r="G1316" i="21"/>
  <c r="I1316" i="21"/>
  <c r="J1316" i="21"/>
  <c r="L1316" i="21"/>
  <c r="B1317" i="21"/>
  <c r="C1317" i="21"/>
  <c r="D1317" i="21"/>
  <c r="E1317" i="21"/>
  <c r="F1317" i="21"/>
  <c r="G1317" i="21"/>
  <c r="I1317" i="21"/>
  <c r="J1317" i="21"/>
  <c r="L1317" i="21"/>
  <c r="B1318" i="21"/>
  <c r="C1318" i="21"/>
  <c r="D1318" i="21"/>
  <c r="E1318" i="21"/>
  <c r="F1318" i="21"/>
  <c r="G1318" i="21"/>
  <c r="I1318" i="21"/>
  <c r="J1318" i="21"/>
  <c r="L1318" i="21"/>
  <c r="B1319" i="21"/>
  <c r="C1319" i="21"/>
  <c r="D1319" i="21"/>
  <c r="E1319" i="21"/>
  <c r="F1319" i="21"/>
  <c r="G1319" i="21"/>
  <c r="I1319" i="21"/>
  <c r="J1319" i="21"/>
  <c r="L1319" i="21"/>
  <c r="B1320" i="21"/>
  <c r="C1320" i="21"/>
  <c r="D1320" i="21"/>
  <c r="E1320" i="21"/>
  <c r="F1320" i="21"/>
  <c r="G1320" i="21"/>
  <c r="I1320" i="21"/>
  <c r="J1320" i="21"/>
  <c r="L1320" i="21"/>
  <c r="B1321" i="21"/>
  <c r="C1321" i="21"/>
  <c r="D1321" i="21"/>
  <c r="E1321" i="21"/>
  <c r="F1321" i="21"/>
  <c r="G1321" i="21"/>
  <c r="I1321" i="21"/>
  <c r="J1321" i="21"/>
  <c r="L1321" i="21"/>
  <c r="B1322" i="21"/>
  <c r="C1322" i="21"/>
  <c r="D1322" i="21"/>
  <c r="E1322" i="21"/>
  <c r="F1322" i="21"/>
  <c r="G1322" i="21"/>
  <c r="I1322" i="21"/>
  <c r="J1322" i="21"/>
  <c r="L1322" i="21"/>
  <c r="B1323" i="21"/>
  <c r="C1323" i="21"/>
  <c r="D1323" i="21"/>
  <c r="E1323" i="21"/>
  <c r="F1323" i="21"/>
  <c r="G1323" i="21"/>
  <c r="I1323" i="21"/>
  <c r="J1323" i="21"/>
  <c r="L1323" i="21"/>
  <c r="B1324" i="21"/>
  <c r="C1324" i="21"/>
  <c r="D1324" i="21"/>
  <c r="E1324" i="21"/>
  <c r="F1324" i="21"/>
  <c r="G1324" i="21"/>
  <c r="I1324" i="21"/>
  <c r="J1324" i="21"/>
  <c r="L1324" i="21"/>
  <c r="B1325" i="21"/>
  <c r="C1325" i="21"/>
  <c r="D1325" i="21"/>
  <c r="E1325" i="21"/>
  <c r="F1325" i="21"/>
  <c r="G1325" i="21"/>
  <c r="I1325" i="21"/>
  <c r="J1325" i="21"/>
  <c r="L1325" i="21"/>
  <c r="B1326" i="21"/>
  <c r="C1326" i="21"/>
  <c r="D1326" i="21"/>
  <c r="E1326" i="21"/>
  <c r="F1326" i="21"/>
  <c r="G1326" i="21"/>
  <c r="I1326" i="21"/>
  <c r="J1326" i="21"/>
  <c r="L1326" i="21"/>
  <c r="B1327" i="21"/>
  <c r="C1327" i="21"/>
  <c r="D1327" i="21"/>
  <c r="E1327" i="21"/>
  <c r="F1327" i="21"/>
  <c r="G1327" i="21"/>
  <c r="I1327" i="21"/>
  <c r="J1327" i="21"/>
  <c r="L1327" i="21"/>
  <c r="B1328" i="21"/>
  <c r="C1328" i="21"/>
  <c r="D1328" i="21"/>
  <c r="E1328" i="21"/>
  <c r="F1328" i="21"/>
  <c r="G1328" i="21"/>
  <c r="I1328" i="21"/>
  <c r="J1328" i="21"/>
  <c r="L1328" i="21"/>
  <c r="B1329" i="21"/>
  <c r="C1329" i="21"/>
  <c r="D1329" i="21"/>
  <c r="E1329" i="21"/>
  <c r="F1329" i="21"/>
  <c r="G1329" i="21"/>
  <c r="I1329" i="21"/>
  <c r="J1329" i="21"/>
  <c r="L1329" i="21"/>
  <c r="B1330" i="21"/>
  <c r="C1330" i="21"/>
  <c r="D1330" i="21"/>
  <c r="E1330" i="21"/>
  <c r="F1330" i="21"/>
  <c r="G1330" i="21"/>
  <c r="I1330" i="21"/>
  <c r="J1330" i="21"/>
  <c r="L1330" i="21"/>
  <c r="B1331" i="21"/>
  <c r="C1331" i="21"/>
  <c r="D1331" i="21"/>
  <c r="E1331" i="21"/>
  <c r="F1331" i="21"/>
  <c r="G1331" i="21"/>
  <c r="I1331" i="21"/>
  <c r="J1331" i="21"/>
  <c r="L1331" i="21"/>
  <c r="B1332" i="21"/>
  <c r="C1332" i="21"/>
  <c r="D1332" i="21"/>
  <c r="E1332" i="21"/>
  <c r="F1332" i="21"/>
  <c r="G1332" i="21"/>
  <c r="I1332" i="21"/>
  <c r="J1332" i="21"/>
  <c r="L1332" i="21"/>
  <c r="B1333" i="21"/>
  <c r="C1333" i="21"/>
  <c r="D1333" i="21"/>
  <c r="E1333" i="21"/>
  <c r="F1333" i="21"/>
  <c r="G1333" i="21"/>
  <c r="I1333" i="21"/>
  <c r="J1333" i="21"/>
  <c r="L1333" i="21"/>
  <c r="B1334" i="21"/>
  <c r="C1334" i="21"/>
  <c r="D1334" i="21"/>
  <c r="E1334" i="21"/>
  <c r="F1334" i="21"/>
  <c r="G1334" i="21"/>
  <c r="I1334" i="21"/>
  <c r="J1334" i="21"/>
  <c r="L1334" i="21"/>
  <c r="B1335" i="21"/>
  <c r="C1335" i="21"/>
  <c r="D1335" i="21"/>
  <c r="E1335" i="21"/>
  <c r="F1335" i="21"/>
  <c r="G1335" i="21"/>
  <c r="I1335" i="21"/>
  <c r="J1335" i="21"/>
  <c r="L1335" i="21"/>
  <c r="B1336" i="21"/>
  <c r="C1336" i="21"/>
  <c r="D1336" i="21"/>
  <c r="E1336" i="21"/>
  <c r="F1336" i="21"/>
  <c r="G1336" i="21"/>
  <c r="I1336" i="21"/>
  <c r="J1336" i="21"/>
  <c r="L1336" i="21"/>
  <c r="B1337" i="21"/>
  <c r="C1337" i="21"/>
  <c r="D1337" i="21"/>
  <c r="E1337" i="21"/>
  <c r="F1337" i="21"/>
  <c r="G1337" i="21"/>
  <c r="I1337" i="21"/>
  <c r="J1337" i="21"/>
  <c r="L1337" i="21"/>
  <c r="B1338" i="21"/>
  <c r="C1338" i="21"/>
  <c r="D1338" i="21"/>
  <c r="E1338" i="21"/>
  <c r="F1338" i="21"/>
  <c r="G1338" i="21"/>
  <c r="I1338" i="21"/>
  <c r="J1338" i="21"/>
  <c r="L1338" i="21"/>
  <c r="B1339" i="21"/>
  <c r="C1339" i="21"/>
  <c r="D1339" i="21"/>
  <c r="E1339" i="21"/>
  <c r="F1339" i="21"/>
  <c r="G1339" i="21"/>
  <c r="I1339" i="21"/>
  <c r="J1339" i="21"/>
  <c r="L1339" i="21"/>
  <c r="B1340" i="21"/>
  <c r="C1340" i="21"/>
  <c r="D1340" i="21"/>
  <c r="E1340" i="21"/>
  <c r="F1340" i="21"/>
  <c r="G1340" i="21"/>
  <c r="I1340" i="21"/>
  <c r="J1340" i="21"/>
  <c r="L1340" i="21"/>
  <c r="B1341" i="21"/>
  <c r="C1341" i="21"/>
  <c r="D1341" i="21"/>
  <c r="E1341" i="21"/>
  <c r="F1341" i="21"/>
  <c r="G1341" i="21"/>
  <c r="I1341" i="21"/>
  <c r="J1341" i="21"/>
  <c r="L1341" i="21"/>
  <c r="B1342" i="21"/>
  <c r="C1342" i="21"/>
  <c r="D1342" i="21"/>
  <c r="E1342" i="21"/>
  <c r="F1342" i="21"/>
  <c r="G1342" i="21"/>
  <c r="I1342" i="21"/>
  <c r="J1342" i="21"/>
  <c r="L1342" i="21"/>
  <c r="B1343" i="21"/>
  <c r="C1343" i="21"/>
  <c r="D1343" i="21"/>
  <c r="E1343" i="21"/>
  <c r="F1343" i="21"/>
  <c r="G1343" i="21"/>
  <c r="I1343" i="21"/>
  <c r="J1343" i="21"/>
  <c r="L1343" i="21"/>
  <c r="B1344" i="21"/>
  <c r="C1344" i="21"/>
  <c r="D1344" i="21"/>
  <c r="E1344" i="21"/>
  <c r="F1344" i="21"/>
  <c r="G1344" i="21"/>
  <c r="I1344" i="21"/>
  <c r="J1344" i="21"/>
  <c r="L1344" i="21"/>
  <c r="B1345" i="21"/>
  <c r="C1345" i="21"/>
  <c r="D1345" i="21"/>
  <c r="E1345" i="21"/>
  <c r="F1345" i="21"/>
  <c r="G1345" i="21"/>
  <c r="I1345" i="21"/>
  <c r="J1345" i="21"/>
  <c r="L1345" i="21"/>
  <c r="B1346" i="21"/>
  <c r="C1346" i="21"/>
  <c r="D1346" i="21"/>
  <c r="E1346" i="21"/>
  <c r="F1346" i="21"/>
  <c r="G1346" i="21"/>
  <c r="I1346" i="21"/>
  <c r="J1346" i="21"/>
  <c r="L1346" i="21"/>
  <c r="B1347" i="21"/>
  <c r="C1347" i="21"/>
  <c r="D1347" i="21"/>
  <c r="E1347" i="21"/>
  <c r="F1347" i="21"/>
  <c r="G1347" i="21"/>
  <c r="I1347" i="21"/>
  <c r="J1347" i="21"/>
  <c r="L1347" i="21"/>
  <c r="B1348" i="21"/>
  <c r="C1348" i="21"/>
  <c r="D1348" i="21"/>
  <c r="E1348" i="21"/>
  <c r="F1348" i="21"/>
  <c r="G1348" i="21"/>
  <c r="I1348" i="21"/>
  <c r="J1348" i="21"/>
  <c r="L1348" i="21"/>
  <c r="B1349" i="21"/>
  <c r="C1349" i="21"/>
  <c r="D1349" i="21"/>
  <c r="E1349" i="21"/>
  <c r="F1349" i="21"/>
  <c r="G1349" i="21"/>
  <c r="I1349" i="21"/>
  <c r="J1349" i="21"/>
  <c r="L1349" i="21"/>
  <c r="B1350" i="21"/>
  <c r="C1350" i="21"/>
  <c r="D1350" i="21"/>
  <c r="E1350" i="21"/>
  <c r="F1350" i="21"/>
  <c r="G1350" i="21"/>
  <c r="I1350" i="21"/>
  <c r="J1350" i="21"/>
  <c r="L1350" i="21"/>
  <c r="B1351" i="21"/>
  <c r="C1351" i="21"/>
  <c r="D1351" i="21"/>
  <c r="E1351" i="21"/>
  <c r="F1351" i="21"/>
  <c r="G1351" i="21"/>
  <c r="I1351" i="21"/>
  <c r="J1351" i="21"/>
  <c r="L1351" i="21"/>
  <c r="B1352" i="21"/>
  <c r="C1352" i="21"/>
  <c r="D1352" i="21"/>
  <c r="E1352" i="21"/>
  <c r="F1352" i="21"/>
  <c r="G1352" i="21"/>
  <c r="I1352" i="21"/>
  <c r="J1352" i="21"/>
  <c r="L1352" i="21"/>
  <c r="B1353" i="21"/>
  <c r="C1353" i="21"/>
  <c r="D1353" i="21"/>
  <c r="E1353" i="21"/>
  <c r="F1353" i="21"/>
  <c r="G1353" i="21"/>
  <c r="I1353" i="21"/>
  <c r="J1353" i="21"/>
  <c r="L1353" i="21"/>
  <c r="B1354" i="21"/>
  <c r="C1354" i="21"/>
  <c r="D1354" i="21"/>
  <c r="E1354" i="21"/>
  <c r="F1354" i="21"/>
  <c r="G1354" i="21"/>
  <c r="I1354" i="21"/>
  <c r="J1354" i="21"/>
  <c r="L1354" i="21"/>
  <c r="B1355" i="21"/>
  <c r="C1355" i="21"/>
  <c r="D1355" i="21"/>
  <c r="E1355" i="21"/>
  <c r="F1355" i="21"/>
  <c r="G1355" i="21"/>
  <c r="I1355" i="21"/>
  <c r="J1355" i="21"/>
  <c r="L1355" i="21"/>
  <c r="B1356" i="21"/>
  <c r="C1356" i="21"/>
  <c r="D1356" i="21"/>
  <c r="E1356" i="21"/>
  <c r="F1356" i="21"/>
  <c r="G1356" i="21"/>
  <c r="I1356" i="21"/>
  <c r="J1356" i="21"/>
  <c r="L1356" i="21"/>
  <c r="B1357" i="21"/>
  <c r="C1357" i="21"/>
  <c r="D1357" i="21"/>
  <c r="E1357" i="21"/>
  <c r="F1357" i="21"/>
  <c r="G1357" i="21"/>
  <c r="I1357" i="21"/>
  <c r="J1357" i="21"/>
  <c r="L1357" i="21"/>
  <c r="B1358" i="21"/>
  <c r="C1358" i="21"/>
  <c r="D1358" i="21"/>
  <c r="E1358" i="21"/>
  <c r="F1358" i="21"/>
  <c r="G1358" i="21"/>
  <c r="I1358" i="21"/>
  <c r="J1358" i="21"/>
  <c r="L1358" i="21"/>
  <c r="B1359" i="21"/>
  <c r="C1359" i="21"/>
  <c r="D1359" i="21"/>
  <c r="E1359" i="21"/>
  <c r="F1359" i="21"/>
  <c r="G1359" i="21"/>
  <c r="I1359" i="21"/>
  <c r="J1359" i="21"/>
  <c r="L1359" i="21"/>
  <c r="B1360" i="21"/>
  <c r="C1360" i="21"/>
  <c r="D1360" i="21"/>
  <c r="E1360" i="21"/>
  <c r="F1360" i="21"/>
  <c r="G1360" i="21"/>
  <c r="I1360" i="21"/>
  <c r="J1360" i="21"/>
  <c r="L1360" i="21"/>
  <c r="B1361" i="21"/>
  <c r="C1361" i="21"/>
  <c r="D1361" i="21"/>
  <c r="E1361" i="21"/>
  <c r="F1361" i="21"/>
  <c r="G1361" i="21"/>
  <c r="I1361" i="21"/>
  <c r="J1361" i="21"/>
  <c r="L1361" i="21"/>
  <c r="B1362" i="21"/>
  <c r="C1362" i="21"/>
  <c r="D1362" i="21"/>
  <c r="E1362" i="21"/>
  <c r="F1362" i="21"/>
  <c r="G1362" i="21"/>
  <c r="I1362" i="21"/>
  <c r="J1362" i="21"/>
  <c r="L1362" i="21"/>
  <c r="B1363" i="21"/>
  <c r="C1363" i="21"/>
  <c r="D1363" i="21"/>
  <c r="E1363" i="21"/>
  <c r="F1363" i="21"/>
  <c r="G1363" i="21"/>
  <c r="I1363" i="21"/>
  <c r="J1363" i="21"/>
  <c r="L1363" i="21"/>
  <c r="B1364" i="21"/>
  <c r="C1364" i="21"/>
  <c r="D1364" i="21"/>
  <c r="E1364" i="21"/>
  <c r="F1364" i="21"/>
  <c r="G1364" i="21"/>
  <c r="I1364" i="21"/>
  <c r="J1364" i="21"/>
  <c r="L1364" i="21"/>
  <c r="B1365" i="21"/>
  <c r="C1365" i="21"/>
  <c r="D1365" i="21"/>
  <c r="E1365" i="21"/>
  <c r="F1365" i="21"/>
  <c r="G1365" i="21"/>
  <c r="I1365" i="21"/>
  <c r="J1365" i="21"/>
  <c r="L1365" i="21"/>
  <c r="B1366" i="21"/>
  <c r="C1366" i="21"/>
  <c r="D1366" i="21"/>
  <c r="E1366" i="21"/>
  <c r="F1366" i="21"/>
  <c r="G1366" i="21"/>
  <c r="I1366" i="21"/>
  <c r="J1366" i="21"/>
  <c r="L1366" i="21"/>
  <c r="B1367" i="21"/>
  <c r="C1367" i="21"/>
  <c r="D1367" i="21"/>
  <c r="E1367" i="21"/>
  <c r="F1367" i="21"/>
  <c r="G1367" i="21"/>
  <c r="I1367" i="21"/>
  <c r="J1367" i="21"/>
  <c r="L1367" i="21"/>
  <c r="B1368" i="21"/>
  <c r="C1368" i="21"/>
  <c r="D1368" i="21"/>
  <c r="E1368" i="21"/>
  <c r="F1368" i="21"/>
  <c r="G1368" i="21"/>
  <c r="I1368" i="21"/>
  <c r="J1368" i="21"/>
  <c r="L1368" i="21"/>
  <c r="B1369" i="21"/>
  <c r="C1369" i="21"/>
  <c r="D1369" i="21"/>
  <c r="E1369" i="21"/>
  <c r="F1369" i="21"/>
  <c r="G1369" i="21"/>
  <c r="I1369" i="21"/>
  <c r="J1369" i="21"/>
  <c r="L1369" i="21"/>
  <c r="B1370" i="21"/>
  <c r="C1370" i="21"/>
  <c r="D1370" i="21"/>
  <c r="E1370" i="21"/>
  <c r="F1370" i="21"/>
  <c r="G1370" i="21"/>
  <c r="I1370" i="21"/>
  <c r="J1370" i="21"/>
  <c r="L1370" i="21"/>
  <c r="B1371" i="21"/>
  <c r="C1371" i="21"/>
  <c r="D1371" i="21"/>
  <c r="E1371" i="21"/>
  <c r="F1371" i="21"/>
  <c r="G1371" i="21"/>
  <c r="I1371" i="21"/>
  <c r="J1371" i="21"/>
  <c r="L1371" i="21"/>
  <c r="B1372" i="21"/>
  <c r="C1372" i="21"/>
  <c r="D1372" i="21"/>
  <c r="E1372" i="21"/>
  <c r="F1372" i="21"/>
  <c r="G1372" i="21"/>
  <c r="I1372" i="21"/>
  <c r="J1372" i="21"/>
  <c r="L1372" i="21"/>
  <c r="B1373" i="21"/>
  <c r="C1373" i="21"/>
  <c r="D1373" i="21"/>
  <c r="E1373" i="21"/>
  <c r="F1373" i="21"/>
  <c r="G1373" i="21"/>
  <c r="I1373" i="21"/>
  <c r="J1373" i="21"/>
  <c r="L1373" i="21"/>
  <c r="B1374" i="21"/>
  <c r="C1374" i="21"/>
  <c r="D1374" i="21"/>
  <c r="E1374" i="21"/>
  <c r="F1374" i="21"/>
  <c r="G1374" i="21"/>
  <c r="I1374" i="21"/>
  <c r="J1374" i="21"/>
  <c r="L1374" i="21"/>
  <c r="B1375" i="21"/>
  <c r="C1375" i="21"/>
  <c r="D1375" i="21"/>
  <c r="E1375" i="21"/>
  <c r="F1375" i="21"/>
  <c r="G1375" i="21"/>
  <c r="I1375" i="21"/>
  <c r="J1375" i="21"/>
  <c r="L1375" i="21"/>
  <c r="B1376" i="21"/>
  <c r="C1376" i="21"/>
  <c r="D1376" i="21"/>
  <c r="E1376" i="21"/>
  <c r="F1376" i="21"/>
  <c r="G1376" i="21"/>
  <c r="I1376" i="21"/>
  <c r="J1376" i="21"/>
  <c r="L1376" i="21"/>
  <c r="B1377" i="21"/>
  <c r="C1377" i="21"/>
  <c r="D1377" i="21"/>
  <c r="E1377" i="21"/>
  <c r="F1377" i="21"/>
  <c r="G1377" i="21"/>
  <c r="I1377" i="21"/>
  <c r="J1377" i="21"/>
  <c r="L1377" i="21"/>
  <c r="B1378" i="21"/>
  <c r="C1378" i="21"/>
  <c r="D1378" i="21"/>
  <c r="E1378" i="21"/>
  <c r="F1378" i="21"/>
  <c r="G1378" i="21"/>
  <c r="I1378" i="21"/>
  <c r="J1378" i="21"/>
  <c r="L1378" i="21"/>
  <c r="B1379" i="21"/>
  <c r="C1379" i="21"/>
  <c r="D1379" i="21"/>
  <c r="E1379" i="21"/>
  <c r="F1379" i="21"/>
  <c r="G1379" i="21"/>
  <c r="I1379" i="21"/>
  <c r="J1379" i="21"/>
  <c r="L1379" i="21"/>
  <c r="B1380" i="21"/>
  <c r="C1380" i="21"/>
  <c r="D1380" i="21"/>
  <c r="E1380" i="21"/>
  <c r="F1380" i="21"/>
  <c r="G1380" i="21"/>
  <c r="I1380" i="21"/>
  <c r="J1380" i="21"/>
  <c r="L1380" i="21"/>
  <c r="B1381" i="21"/>
  <c r="C1381" i="21"/>
  <c r="D1381" i="21"/>
  <c r="E1381" i="21"/>
  <c r="F1381" i="21"/>
  <c r="G1381" i="21"/>
  <c r="I1381" i="21"/>
  <c r="J1381" i="21"/>
  <c r="L1381" i="21"/>
  <c r="B1382" i="21"/>
  <c r="C1382" i="21"/>
  <c r="D1382" i="21"/>
  <c r="E1382" i="21"/>
  <c r="F1382" i="21"/>
  <c r="G1382" i="21"/>
  <c r="I1382" i="21"/>
  <c r="J1382" i="21"/>
  <c r="L1382" i="21"/>
  <c r="B1383" i="21"/>
  <c r="C1383" i="21"/>
  <c r="D1383" i="21"/>
  <c r="E1383" i="21"/>
  <c r="F1383" i="21"/>
  <c r="G1383" i="21"/>
  <c r="I1383" i="21"/>
  <c r="J1383" i="21"/>
  <c r="L1383" i="21"/>
  <c r="B1384" i="21"/>
  <c r="C1384" i="21"/>
  <c r="D1384" i="21"/>
  <c r="E1384" i="21"/>
  <c r="F1384" i="21"/>
  <c r="G1384" i="21"/>
  <c r="I1384" i="21"/>
  <c r="J1384" i="21"/>
  <c r="L1384" i="21"/>
  <c r="B1385" i="21"/>
  <c r="C1385" i="21"/>
  <c r="D1385" i="21"/>
  <c r="E1385" i="21"/>
  <c r="F1385" i="21"/>
  <c r="G1385" i="21"/>
  <c r="I1385" i="21"/>
  <c r="J1385" i="21"/>
  <c r="L1385" i="21"/>
  <c r="B1386" i="21"/>
  <c r="C1386" i="21"/>
  <c r="D1386" i="21"/>
  <c r="E1386" i="21"/>
  <c r="F1386" i="21"/>
  <c r="G1386" i="21"/>
  <c r="I1386" i="21"/>
  <c r="J1386" i="21"/>
  <c r="L1386" i="21"/>
  <c r="B1387" i="21"/>
  <c r="C1387" i="21"/>
  <c r="D1387" i="21"/>
  <c r="E1387" i="21"/>
  <c r="F1387" i="21"/>
  <c r="G1387" i="21"/>
  <c r="I1387" i="21"/>
  <c r="J1387" i="21"/>
  <c r="L1387" i="21"/>
  <c r="B1388" i="21"/>
  <c r="C1388" i="21"/>
  <c r="D1388" i="21"/>
  <c r="E1388" i="21"/>
  <c r="F1388" i="21"/>
  <c r="G1388" i="21"/>
  <c r="I1388" i="21"/>
  <c r="J1388" i="21"/>
  <c r="L1388" i="21"/>
  <c r="B1389" i="21"/>
  <c r="C1389" i="21"/>
  <c r="D1389" i="21"/>
  <c r="E1389" i="21"/>
  <c r="F1389" i="21"/>
  <c r="G1389" i="21"/>
  <c r="I1389" i="21"/>
  <c r="J1389" i="21"/>
  <c r="L1389" i="21"/>
  <c r="B1390" i="21"/>
  <c r="C1390" i="21"/>
  <c r="D1390" i="21"/>
  <c r="E1390" i="21"/>
  <c r="F1390" i="21"/>
  <c r="G1390" i="21"/>
  <c r="I1390" i="21"/>
  <c r="J1390" i="21"/>
  <c r="L1390" i="21"/>
  <c r="B1391" i="21"/>
  <c r="C1391" i="21"/>
  <c r="D1391" i="21"/>
  <c r="E1391" i="21"/>
  <c r="F1391" i="21"/>
  <c r="G1391" i="21"/>
  <c r="I1391" i="21"/>
  <c r="J1391" i="21"/>
  <c r="L1391" i="21"/>
  <c r="B1392" i="21"/>
  <c r="C1392" i="21"/>
  <c r="D1392" i="21"/>
  <c r="E1392" i="21"/>
  <c r="F1392" i="21"/>
  <c r="G1392" i="21"/>
  <c r="I1392" i="21"/>
  <c r="J1392" i="21"/>
  <c r="L1392" i="21"/>
  <c r="B1393" i="21"/>
  <c r="C1393" i="21"/>
  <c r="D1393" i="21"/>
  <c r="E1393" i="21"/>
  <c r="F1393" i="21"/>
  <c r="G1393" i="21"/>
  <c r="I1393" i="21"/>
  <c r="J1393" i="21"/>
  <c r="L1393" i="21"/>
  <c r="B1394" i="21"/>
  <c r="C1394" i="21"/>
  <c r="D1394" i="21"/>
  <c r="E1394" i="21"/>
  <c r="F1394" i="21"/>
  <c r="G1394" i="21"/>
  <c r="I1394" i="21"/>
  <c r="J1394" i="21"/>
  <c r="L1394" i="21"/>
  <c r="B1395" i="21"/>
  <c r="C1395" i="21"/>
  <c r="D1395" i="21"/>
  <c r="E1395" i="21"/>
  <c r="F1395" i="21"/>
  <c r="G1395" i="21"/>
  <c r="I1395" i="21"/>
  <c r="J1395" i="21"/>
  <c r="L1395" i="21"/>
  <c r="B1396" i="21"/>
  <c r="C1396" i="21"/>
  <c r="D1396" i="21"/>
  <c r="E1396" i="21"/>
  <c r="F1396" i="21"/>
  <c r="G1396" i="21"/>
  <c r="I1396" i="21"/>
  <c r="J1396" i="21"/>
  <c r="L1396" i="21"/>
  <c r="B1397" i="21"/>
  <c r="C1397" i="21"/>
  <c r="D1397" i="21"/>
  <c r="E1397" i="21"/>
  <c r="F1397" i="21"/>
  <c r="G1397" i="21"/>
  <c r="I1397" i="21"/>
  <c r="J1397" i="21"/>
  <c r="L1397" i="21"/>
  <c r="B1398" i="21"/>
  <c r="C1398" i="21"/>
  <c r="D1398" i="21"/>
  <c r="E1398" i="21"/>
  <c r="F1398" i="21"/>
  <c r="G1398" i="21"/>
  <c r="I1398" i="21"/>
  <c r="J1398" i="21"/>
  <c r="L1398" i="21"/>
  <c r="B1399" i="21"/>
  <c r="C1399" i="21"/>
  <c r="D1399" i="21"/>
  <c r="E1399" i="21"/>
  <c r="F1399" i="21"/>
  <c r="G1399" i="21"/>
  <c r="I1399" i="21"/>
  <c r="J1399" i="21"/>
  <c r="L1399" i="21"/>
  <c r="B1400" i="21"/>
  <c r="C1400" i="21"/>
  <c r="D1400" i="21"/>
  <c r="E1400" i="21"/>
  <c r="F1400" i="21"/>
  <c r="G1400" i="21"/>
  <c r="I1400" i="21"/>
  <c r="J1400" i="21"/>
  <c r="L1400" i="21"/>
  <c r="B1401" i="21"/>
  <c r="C1401" i="21"/>
  <c r="D1401" i="21"/>
  <c r="E1401" i="21"/>
  <c r="F1401" i="21"/>
  <c r="G1401" i="21"/>
  <c r="I1401" i="21"/>
  <c r="J1401" i="21"/>
  <c r="L1401" i="21"/>
  <c r="B1402" i="21"/>
  <c r="C1402" i="21"/>
  <c r="D1402" i="21"/>
  <c r="E1402" i="21"/>
  <c r="F1402" i="21"/>
  <c r="G1402" i="21"/>
  <c r="I1402" i="21"/>
  <c r="J1402" i="21"/>
  <c r="L1402" i="21"/>
  <c r="B1403" i="21"/>
  <c r="C1403" i="21"/>
  <c r="D1403" i="21"/>
  <c r="E1403" i="21"/>
  <c r="F1403" i="21"/>
  <c r="G1403" i="21"/>
  <c r="I1403" i="21"/>
  <c r="J1403" i="21"/>
  <c r="L1403" i="21"/>
  <c r="B1404" i="21"/>
  <c r="C1404" i="21"/>
  <c r="D1404" i="21"/>
  <c r="E1404" i="21"/>
  <c r="F1404" i="21"/>
  <c r="G1404" i="21"/>
  <c r="I1404" i="21"/>
  <c r="J1404" i="21"/>
  <c r="L1404" i="21"/>
  <c r="B1405" i="21"/>
  <c r="C1405" i="21"/>
  <c r="D1405" i="21"/>
  <c r="E1405" i="21"/>
  <c r="F1405" i="21"/>
  <c r="G1405" i="21"/>
  <c r="I1405" i="21"/>
  <c r="J1405" i="21"/>
  <c r="L1405" i="21"/>
  <c r="B1406" i="21"/>
  <c r="C1406" i="21"/>
  <c r="D1406" i="21"/>
  <c r="E1406" i="21"/>
  <c r="F1406" i="21"/>
  <c r="G1406" i="21"/>
  <c r="I1406" i="21"/>
  <c r="J1406" i="21"/>
  <c r="L1406" i="21"/>
  <c r="B1407" i="21"/>
  <c r="C1407" i="21"/>
  <c r="D1407" i="21"/>
  <c r="E1407" i="21"/>
  <c r="F1407" i="21"/>
  <c r="G1407" i="21"/>
  <c r="I1407" i="21"/>
  <c r="J1407" i="21"/>
  <c r="L1407" i="21"/>
  <c r="B1408" i="21"/>
  <c r="C1408" i="21"/>
  <c r="D1408" i="21"/>
  <c r="E1408" i="21"/>
  <c r="F1408" i="21"/>
  <c r="G1408" i="21"/>
  <c r="I1408" i="21"/>
  <c r="J1408" i="21"/>
  <c r="L1408" i="21"/>
  <c r="B1409" i="21"/>
  <c r="C1409" i="21"/>
  <c r="D1409" i="21"/>
  <c r="E1409" i="21"/>
  <c r="F1409" i="21"/>
  <c r="G1409" i="21"/>
  <c r="I1409" i="21"/>
  <c r="J1409" i="21"/>
  <c r="L1409" i="21"/>
  <c r="B1410" i="21"/>
  <c r="C1410" i="21"/>
  <c r="D1410" i="21"/>
  <c r="E1410" i="21"/>
  <c r="F1410" i="21"/>
  <c r="G1410" i="21"/>
  <c r="I1410" i="21"/>
  <c r="J1410" i="21"/>
  <c r="L1410" i="21"/>
  <c r="B1411" i="21"/>
  <c r="C1411" i="21"/>
  <c r="D1411" i="21"/>
  <c r="E1411" i="21"/>
  <c r="F1411" i="21"/>
  <c r="G1411" i="21"/>
  <c r="I1411" i="21"/>
  <c r="J1411" i="21"/>
  <c r="L1411" i="21"/>
  <c r="B1412" i="21"/>
  <c r="C1412" i="21"/>
  <c r="D1412" i="21"/>
  <c r="E1412" i="21"/>
  <c r="F1412" i="21"/>
  <c r="G1412" i="21"/>
  <c r="I1412" i="21"/>
  <c r="J1412" i="21"/>
  <c r="L1412" i="21"/>
  <c r="B1413" i="21"/>
  <c r="C1413" i="21"/>
  <c r="D1413" i="21"/>
  <c r="E1413" i="21"/>
  <c r="F1413" i="21"/>
  <c r="G1413" i="21"/>
  <c r="I1413" i="21"/>
  <c r="J1413" i="21"/>
  <c r="L1413" i="21"/>
  <c r="B1414" i="21"/>
  <c r="C1414" i="21"/>
  <c r="D1414" i="21"/>
  <c r="E1414" i="21"/>
  <c r="F1414" i="21"/>
  <c r="G1414" i="21"/>
  <c r="I1414" i="21"/>
  <c r="J1414" i="21"/>
  <c r="L1414" i="21"/>
  <c r="B1415" i="21"/>
  <c r="C1415" i="21"/>
  <c r="D1415" i="21"/>
  <c r="E1415" i="21"/>
  <c r="F1415" i="21"/>
  <c r="G1415" i="21"/>
  <c r="I1415" i="21"/>
  <c r="J1415" i="21"/>
  <c r="L1415" i="21"/>
  <c r="B1416" i="21"/>
  <c r="C1416" i="21"/>
  <c r="D1416" i="21"/>
  <c r="E1416" i="21"/>
  <c r="F1416" i="21"/>
  <c r="G1416" i="21"/>
  <c r="I1416" i="21"/>
  <c r="J1416" i="21"/>
  <c r="L1416" i="21"/>
  <c r="B1417" i="21"/>
  <c r="C1417" i="21"/>
  <c r="D1417" i="21"/>
  <c r="E1417" i="21"/>
  <c r="F1417" i="21"/>
  <c r="G1417" i="21"/>
  <c r="I1417" i="21"/>
  <c r="J1417" i="21"/>
  <c r="L1417" i="21"/>
  <c r="B1418" i="21"/>
  <c r="C1418" i="21"/>
  <c r="D1418" i="21"/>
  <c r="E1418" i="21"/>
  <c r="F1418" i="21"/>
  <c r="G1418" i="21"/>
  <c r="I1418" i="21"/>
  <c r="J1418" i="21"/>
  <c r="L1418" i="21"/>
  <c r="B1419" i="21"/>
  <c r="C1419" i="21"/>
  <c r="D1419" i="21"/>
  <c r="E1419" i="21"/>
  <c r="F1419" i="21"/>
  <c r="G1419" i="21"/>
  <c r="I1419" i="21"/>
  <c r="J1419" i="21"/>
  <c r="L1419" i="21"/>
  <c r="B1420" i="21"/>
  <c r="C1420" i="21"/>
  <c r="D1420" i="21"/>
  <c r="E1420" i="21"/>
  <c r="F1420" i="21"/>
  <c r="G1420" i="21"/>
  <c r="I1420" i="21"/>
  <c r="J1420" i="21"/>
  <c r="L1420" i="21"/>
  <c r="B1421" i="21"/>
  <c r="C1421" i="21"/>
  <c r="D1421" i="21"/>
  <c r="E1421" i="21"/>
  <c r="F1421" i="21"/>
  <c r="G1421" i="21"/>
  <c r="I1421" i="21"/>
  <c r="J1421" i="21"/>
  <c r="L1421" i="21"/>
  <c r="B1422" i="21"/>
  <c r="C1422" i="21"/>
  <c r="D1422" i="21"/>
  <c r="E1422" i="21"/>
  <c r="F1422" i="21"/>
  <c r="G1422" i="21"/>
  <c r="I1422" i="21"/>
  <c r="J1422" i="21"/>
  <c r="L1422" i="21"/>
  <c r="B1423" i="21"/>
  <c r="C1423" i="21"/>
  <c r="D1423" i="21"/>
  <c r="E1423" i="21"/>
  <c r="F1423" i="21"/>
  <c r="G1423" i="21"/>
  <c r="I1423" i="21"/>
  <c r="J1423" i="21"/>
  <c r="L1423" i="21"/>
  <c r="B1424" i="21"/>
  <c r="C1424" i="21"/>
  <c r="D1424" i="21"/>
  <c r="E1424" i="21"/>
  <c r="F1424" i="21"/>
  <c r="G1424" i="21"/>
  <c r="I1424" i="21"/>
  <c r="J1424" i="21"/>
  <c r="L1424" i="21"/>
  <c r="B1425" i="21"/>
  <c r="C1425" i="21"/>
  <c r="D1425" i="21"/>
  <c r="E1425" i="21"/>
  <c r="F1425" i="21"/>
  <c r="G1425" i="21"/>
  <c r="I1425" i="21"/>
  <c r="J1425" i="21"/>
  <c r="L1425" i="21"/>
  <c r="B1426" i="21"/>
  <c r="C1426" i="21"/>
  <c r="D1426" i="21"/>
  <c r="E1426" i="21"/>
  <c r="F1426" i="21"/>
  <c r="G1426" i="21"/>
  <c r="I1426" i="21"/>
  <c r="J1426" i="21"/>
  <c r="L1426" i="21"/>
  <c r="B1427" i="21"/>
  <c r="C1427" i="21"/>
  <c r="D1427" i="21"/>
  <c r="E1427" i="21"/>
  <c r="F1427" i="21"/>
  <c r="G1427" i="21"/>
  <c r="I1427" i="21"/>
  <c r="J1427" i="21"/>
  <c r="L1427" i="21"/>
  <c r="B1428" i="21"/>
  <c r="C1428" i="21"/>
  <c r="D1428" i="21"/>
  <c r="E1428" i="21"/>
  <c r="F1428" i="21"/>
  <c r="G1428" i="21"/>
  <c r="I1428" i="21"/>
  <c r="J1428" i="21"/>
  <c r="L1428" i="21"/>
  <c r="B1429" i="21"/>
  <c r="C1429" i="21"/>
  <c r="D1429" i="21"/>
  <c r="E1429" i="21"/>
  <c r="F1429" i="21"/>
  <c r="G1429" i="21"/>
  <c r="I1429" i="21"/>
  <c r="J1429" i="21"/>
  <c r="L1429" i="21"/>
  <c r="B1430" i="21"/>
  <c r="C1430" i="21"/>
  <c r="D1430" i="21"/>
  <c r="E1430" i="21"/>
  <c r="F1430" i="21"/>
  <c r="G1430" i="21"/>
  <c r="I1430" i="21"/>
  <c r="J1430" i="21"/>
  <c r="L1430" i="21"/>
  <c r="B1431" i="21"/>
  <c r="C1431" i="21"/>
  <c r="D1431" i="21"/>
  <c r="E1431" i="21"/>
  <c r="F1431" i="21"/>
  <c r="G1431" i="21"/>
  <c r="I1431" i="21"/>
  <c r="J1431" i="21"/>
  <c r="L1431" i="21"/>
  <c r="B1432" i="21"/>
  <c r="C1432" i="21"/>
  <c r="D1432" i="21"/>
  <c r="E1432" i="21"/>
  <c r="F1432" i="21"/>
  <c r="G1432" i="21"/>
  <c r="I1432" i="21"/>
  <c r="J1432" i="21"/>
  <c r="L1432" i="21"/>
  <c r="B1433" i="21"/>
  <c r="C1433" i="21"/>
  <c r="D1433" i="21"/>
  <c r="E1433" i="21"/>
  <c r="F1433" i="21"/>
  <c r="G1433" i="21"/>
  <c r="I1433" i="21"/>
  <c r="J1433" i="21"/>
  <c r="L1433" i="21"/>
  <c r="B1434" i="21"/>
  <c r="C1434" i="21"/>
  <c r="D1434" i="21"/>
  <c r="E1434" i="21"/>
  <c r="F1434" i="21"/>
  <c r="G1434" i="21"/>
  <c r="I1434" i="21"/>
  <c r="J1434" i="21"/>
  <c r="L1434" i="21"/>
  <c r="B1435" i="21"/>
  <c r="C1435" i="21"/>
  <c r="D1435" i="21"/>
  <c r="E1435" i="21"/>
  <c r="F1435" i="21"/>
  <c r="G1435" i="21"/>
  <c r="I1435" i="21"/>
  <c r="J1435" i="21"/>
  <c r="L1435" i="21"/>
  <c r="B1436" i="21"/>
  <c r="C1436" i="21"/>
  <c r="D1436" i="21"/>
  <c r="E1436" i="21"/>
  <c r="F1436" i="21"/>
  <c r="G1436" i="21"/>
  <c r="I1436" i="21"/>
  <c r="J1436" i="21"/>
  <c r="L1436" i="21"/>
  <c r="B1437" i="21"/>
  <c r="C1437" i="21"/>
  <c r="D1437" i="21"/>
  <c r="E1437" i="21"/>
  <c r="F1437" i="21"/>
  <c r="G1437" i="21"/>
  <c r="I1437" i="21"/>
  <c r="J1437" i="21"/>
  <c r="L1437" i="21"/>
  <c r="B1438" i="21"/>
  <c r="C1438" i="21"/>
  <c r="D1438" i="21"/>
  <c r="E1438" i="21"/>
  <c r="F1438" i="21"/>
  <c r="G1438" i="21"/>
  <c r="I1438" i="21"/>
  <c r="J1438" i="21"/>
  <c r="L1438" i="21"/>
  <c r="B1439" i="21"/>
  <c r="C1439" i="21"/>
  <c r="D1439" i="21"/>
  <c r="E1439" i="21"/>
  <c r="F1439" i="21"/>
  <c r="G1439" i="21"/>
  <c r="I1439" i="21"/>
  <c r="J1439" i="21"/>
  <c r="L1439" i="21"/>
  <c r="B1440" i="21"/>
  <c r="C1440" i="21"/>
  <c r="D1440" i="21"/>
  <c r="E1440" i="21"/>
  <c r="F1440" i="21"/>
  <c r="G1440" i="21"/>
  <c r="I1440" i="21"/>
  <c r="J1440" i="21"/>
  <c r="L1440" i="21"/>
  <c r="B1441" i="21"/>
  <c r="C1441" i="21"/>
  <c r="D1441" i="21"/>
  <c r="E1441" i="21"/>
  <c r="F1441" i="21"/>
  <c r="G1441" i="21"/>
  <c r="I1441" i="21"/>
  <c r="J1441" i="21"/>
  <c r="L1441" i="21"/>
  <c r="B1442" i="21"/>
  <c r="C1442" i="21"/>
  <c r="D1442" i="21"/>
  <c r="E1442" i="21"/>
  <c r="F1442" i="21"/>
  <c r="G1442" i="21"/>
  <c r="I1442" i="21"/>
  <c r="J1442" i="21"/>
  <c r="L1442" i="21"/>
  <c r="B1443" i="21"/>
  <c r="C1443" i="21"/>
  <c r="D1443" i="21"/>
  <c r="E1443" i="21"/>
  <c r="F1443" i="21"/>
  <c r="G1443" i="21"/>
  <c r="I1443" i="21"/>
  <c r="J1443" i="21"/>
  <c r="L1443" i="21"/>
  <c r="B1444" i="21"/>
  <c r="C1444" i="21"/>
  <c r="D1444" i="21"/>
  <c r="E1444" i="21"/>
  <c r="F1444" i="21"/>
  <c r="G1444" i="21"/>
  <c r="I1444" i="21"/>
  <c r="J1444" i="21"/>
  <c r="L1444" i="21"/>
  <c r="B1445" i="21"/>
  <c r="C1445" i="21"/>
  <c r="D1445" i="21"/>
  <c r="E1445" i="21"/>
  <c r="F1445" i="21"/>
  <c r="G1445" i="21"/>
  <c r="I1445" i="21"/>
  <c r="J1445" i="21"/>
  <c r="L1445" i="21"/>
  <c r="B1446" i="21"/>
  <c r="C1446" i="21"/>
  <c r="D1446" i="21"/>
  <c r="E1446" i="21"/>
  <c r="F1446" i="21"/>
  <c r="G1446" i="21"/>
  <c r="I1446" i="21"/>
  <c r="J1446" i="21"/>
  <c r="L1446" i="21"/>
  <c r="B1447" i="21"/>
  <c r="C1447" i="21"/>
  <c r="D1447" i="21"/>
  <c r="E1447" i="21"/>
  <c r="F1447" i="21"/>
  <c r="G1447" i="21"/>
  <c r="I1447" i="21"/>
  <c r="J1447" i="21"/>
  <c r="L1447" i="21"/>
  <c r="B1448" i="21"/>
  <c r="C1448" i="21"/>
  <c r="D1448" i="21"/>
  <c r="E1448" i="21"/>
  <c r="F1448" i="21"/>
  <c r="G1448" i="21"/>
  <c r="I1448" i="21"/>
  <c r="J1448" i="21"/>
  <c r="L1448" i="21"/>
  <c r="B1449" i="21"/>
  <c r="C1449" i="21"/>
  <c r="D1449" i="21"/>
  <c r="E1449" i="21"/>
  <c r="F1449" i="21"/>
  <c r="G1449" i="21"/>
  <c r="I1449" i="21"/>
  <c r="J1449" i="21"/>
  <c r="L1449" i="21"/>
  <c r="B1450" i="21"/>
  <c r="C1450" i="21"/>
  <c r="D1450" i="21"/>
  <c r="E1450" i="21"/>
  <c r="F1450" i="21"/>
  <c r="G1450" i="21"/>
  <c r="I1450" i="21"/>
  <c r="J1450" i="21"/>
  <c r="L1450" i="21"/>
  <c r="B1451" i="21"/>
  <c r="C1451" i="21"/>
  <c r="D1451" i="21"/>
  <c r="E1451" i="21"/>
  <c r="F1451" i="21"/>
  <c r="G1451" i="21"/>
  <c r="I1451" i="21"/>
  <c r="J1451" i="21"/>
  <c r="L1451" i="21"/>
  <c r="B1452" i="21"/>
  <c r="C1452" i="21"/>
  <c r="D1452" i="21"/>
  <c r="E1452" i="21"/>
  <c r="F1452" i="21"/>
  <c r="G1452" i="21"/>
  <c r="I1452" i="21"/>
  <c r="J1452" i="21"/>
  <c r="L1452" i="21"/>
  <c r="B1453" i="21"/>
  <c r="C1453" i="21"/>
  <c r="D1453" i="21"/>
  <c r="E1453" i="21"/>
  <c r="F1453" i="21"/>
  <c r="G1453" i="21"/>
  <c r="I1453" i="21"/>
  <c r="J1453" i="21"/>
  <c r="L1453" i="21"/>
  <c r="B1454" i="21"/>
  <c r="C1454" i="21"/>
  <c r="D1454" i="21"/>
  <c r="E1454" i="21"/>
  <c r="F1454" i="21"/>
  <c r="G1454" i="21"/>
  <c r="I1454" i="21"/>
  <c r="J1454" i="21"/>
  <c r="L1454" i="21"/>
  <c r="B1455" i="21"/>
  <c r="C1455" i="21"/>
  <c r="D1455" i="21"/>
  <c r="E1455" i="21"/>
  <c r="F1455" i="21"/>
  <c r="G1455" i="21"/>
  <c r="I1455" i="21"/>
  <c r="J1455" i="21"/>
  <c r="L1455" i="21"/>
  <c r="B1456" i="21"/>
  <c r="C1456" i="21"/>
  <c r="D1456" i="21"/>
  <c r="E1456" i="21"/>
  <c r="F1456" i="21"/>
  <c r="G1456" i="21"/>
  <c r="I1456" i="21"/>
  <c r="J1456" i="21"/>
  <c r="L1456" i="21"/>
  <c r="B1457" i="21"/>
  <c r="C1457" i="21"/>
  <c r="D1457" i="21"/>
  <c r="E1457" i="21"/>
  <c r="F1457" i="21"/>
  <c r="G1457" i="21"/>
  <c r="I1457" i="21"/>
  <c r="J1457" i="21"/>
  <c r="L1457" i="21"/>
  <c r="B1458" i="21"/>
  <c r="C1458" i="21"/>
  <c r="D1458" i="21"/>
  <c r="E1458" i="21"/>
  <c r="F1458" i="21"/>
  <c r="G1458" i="21"/>
  <c r="I1458" i="21"/>
  <c r="J1458" i="21"/>
  <c r="L1458" i="21"/>
  <c r="B1459" i="21"/>
  <c r="C1459" i="21"/>
  <c r="D1459" i="21"/>
  <c r="E1459" i="21"/>
  <c r="F1459" i="21"/>
  <c r="G1459" i="21"/>
  <c r="I1459" i="21"/>
  <c r="J1459" i="21"/>
  <c r="L1459" i="21"/>
  <c r="B1460" i="21"/>
  <c r="C1460" i="21"/>
  <c r="D1460" i="21"/>
  <c r="E1460" i="21"/>
  <c r="F1460" i="21"/>
  <c r="G1460" i="21"/>
  <c r="I1460" i="21"/>
  <c r="J1460" i="21"/>
  <c r="L1460" i="21"/>
  <c r="B1461" i="21"/>
  <c r="C1461" i="21"/>
  <c r="D1461" i="21"/>
  <c r="E1461" i="21"/>
  <c r="F1461" i="21"/>
  <c r="G1461" i="21"/>
  <c r="I1461" i="21"/>
  <c r="J1461" i="21"/>
  <c r="L1461" i="21"/>
  <c r="B1462" i="21"/>
  <c r="C1462" i="21"/>
  <c r="D1462" i="21"/>
  <c r="E1462" i="21"/>
  <c r="F1462" i="21"/>
  <c r="G1462" i="21"/>
  <c r="I1462" i="21"/>
  <c r="J1462" i="21"/>
  <c r="L1462" i="21"/>
  <c r="B1463" i="21"/>
  <c r="C1463" i="21"/>
  <c r="D1463" i="21"/>
  <c r="E1463" i="21"/>
  <c r="F1463" i="21"/>
  <c r="G1463" i="21"/>
  <c r="I1463" i="21"/>
  <c r="J1463" i="21"/>
  <c r="L1463" i="21"/>
  <c r="B1464" i="21"/>
  <c r="C1464" i="21"/>
  <c r="D1464" i="21"/>
  <c r="E1464" i="21"/>
  <c r="F1464" i="21"/>
  <c r="G1464" i="21"/>
  <c r="I1464" i="21"/>
  <c r="J1464" i="21"/>
  <c r="L1464" i="21"/>
  <c r="B1465" i="21"/>
  <c r="C1465" i="21"/>
  <c r="D1465" i="21"/>
  <c r="E1465" i="21"/>
  <c r="F1465" i="21"/>
  <c r="G1465" i="21"/>
  <c r="I1465" i="21"/>
  <c r="J1465" i="21"/>
  <c r="L1465" i="21"/>
  <c r="B1466" i="21"/>
  <c r="C1466" i="21"/>
  <c r="D1466" i="21"/>
  <c r="E1466" i="21"/>
  <c r="F1466" i="21"/>
  <c r="G1466" i="21"/>
  <c r="I1466" i="21"/>
  <c r="J1466" i="21"/>
  <c r="L1466" i="21"/>
  <c r="B1467" i="21"/>
  <c r="C1467" i="21"/>
  <c r="D1467" i="21"/>
  <c r="E1467" i="21"/>
  <c r="F1467" i="21"/>
  <c r="G1467" i="21"/>
  <c r="I1467" i="21"/>
  <c r="J1467" i="21"/>
  <c r="L1467" i="21"/>
  <c r="B1468" i="21"/>
  <c r="C1468" i="21"/>
  <c r="D1468" i="21"/>
  <c r="E1468" i="21"/>
  <c r="F1468" i="21"/>
  <c r="G1468" i="21"/>
  <c r="I1468" i="21"/>
  <c r="J1468" i="21"/>
  <c r="L1468" i="21"/>
  <c r="B1469" i="21"/>
  <c r="C1469" i="21"/>
  <c r="D1469" i="21"/>
  <c r="E1469" i="21"/>
  <c r="F1469" i="21"/>
  <c r="G1469" i="21"/>
  <c r="I1469" i="21"/>
  <c r="J1469" i="21"/>
  <c r="L1469" i="21"/>
  <c r="B1470" i="21"/>
  <c r="C1470" i="21"/>
  <c r="D1470" i="21"/>
  <c r="E1470" i="21"/>
  <c r="F1470" i="21"/>
  <c r="G1470" i="21"/>
  <c r="I1470" i="21"/>
  <c r="J1470" i="21"/>
  <c r="L1470" i="21"/>
  <c r="B1471" i="21"/>
  <c r="C1471" i="21"/>
  <c r="D1471" i="21"/>
  <c r="E1471" i="21"/>
  <c r="F1471" i="21"/>
  <c r="G1471" i="21"/>
  <c r="I1471" i="21"/>
  <c r="J1471" i="21"/>
  <c r="L1471" i="21"/>
  <c r="B1472" i="21"/>
  <c r="C1472" i="21"/>
  <c r="D1472" i="21"/>
  <c r="E1472" i="21"/>
  <c r="F1472" i="21"/>
  <c r="G1472" i="21"/>
  <c r="I1472" i="21"/>
  <c r="J1472" i="21"/>
  <c r="L1472" i="21"/>
  <c r="B1473" i="21"/>
  <c r="C1473" i="21"/>
  <c r="D1473" i="21"/>
  <c r="E1473" i="21"/>
  <c r="F1473" i="21"/>
  <c r="G1473" i="21"/>
  <c r="I1473" i="21"/>
  <c r="J1473" i="21"/>
  <c r="L1473" i="21"/>
  <c r="B1474" i="21"/>
  <c r="C1474" i="21"/>
  <c r="D1474" i="21"/>
  <c r="E1474" i="21"/>
  <c r="F1474" i="21"/>
  <c r="G1474" i="21"/>
  <c r="I1474" i="21"/>
  <c r="J1474" i="21"/>
  <c r="L1474" i="21"/>
  <c r="B1475" i="21"/>
  <c r="C1475" i="21"/>
  <c r="D1475" i="21"/>
  <c r="E1475" i="21"/>
  <c r="F1475" i="21"/>
  <c r="G1475" i="21"/>
  <c r="I1475" i="21"/>
  <c r="J1475" i="21"/>
  <c r="L1475" i="21"/>
  <c r="B1476" i="21"/>
  <c r="C1476" i="21"/>
  <c r="D1476" i="21"/>
  <c r="E1476" i="21"/>
  <c r="F1476" i="21"/>
  <c r="G1476" i="21"/>
  <c r="I1476" i="21"/>
  <c r="J1476" i="21"/>
  <c r="L1476" i="21"/>
  <c r="B1477" i="21"/>
  <c r="C1477" i="21"/>
  <c r="D1477" i="21"/>
  <c r="E1477" i="21"/>
  <c r="F1477" i="21"/>
  <c r="G1477" i="21"/>
  <c r="I1477" i="21"/>
  <c r="J1477" i="21"/>
  <c r="L1477" i="21"/>
  <c r="B1478" i="21"/>
  <c r="C1478" i="21"/>
  <c r="D1478" i="21"/>
  <c r="E1478" i="21"/>
  <c r="F1478" i="21"/>
  <c r="G1478" i="21"/>
  <c r="I1478" i="21"/>
  <c r="J1478" i="21"/>
  <c r="L1478" i="21"/>
  <c r="B1479" i="21"/>
  <c r="C1479" i="21"/>
  <c r="D1479" i="21"/>
  <c r="E1479" i="21"/>
  <c r="F1479" i="21"/>
  <c r="G1479" i="21"/>
  <c r="I1479" i="21"/>
  <c r="J1479" i="21"/>
  <c r="L1479" i="21"/>
  <c r="B1480" i="21"/>
  <c r="C1480" i="21"/>
  <c r="D1480" i="21"/>
  <c r="E1480" i="21"/>
  <c r="F1480" i="21"/>
  <c r="G1480" i="21"/>
  <c r="I1480" i="21"/>
  <c r="J1480" i="21"/>
  <c r="L1480" i="21"/>
  <c r="B1481" i="21"/>
  <c r="C1481" i="21"/>
  <c r="D1481" i="21"/>
  <c r="E1481" i="21"/>
  <c r="F1481" i="21"/>
  <c r="G1481" i="21"/>
  <c r="I1481" i="21"/>
  <c r="J1481" i="21"/>
  <c r="L1481" i="21"/>
  <c r="B1482" i="21"/>
  <c r="C1482" i="21"/>
  <c r="D1482" i="21"/>
  <c r="E1482" i="21"/>
  <c r="F1482" i="21"/>
  <c r="G1482" i="21"/>
  <c r="I1482" i="21"/>
  <c r="J1482" i="21"/>
  <c r="L1482" i="21"/>
  <c r="B1483" i="21"/>
  <c r="C1483" i="21"/>
  <c r="D1483" i="21"/>
  <c r="E1483" i="21"/>
  <c r="F1483" i="21"/>
  <c r="G1483" i="21"/>
  <c r="I1483" i="21"/>
  <c r="J1483" i="21"/>
  <c r="L1483" i="21"/>
  <c r="B1484" i="21"/>
  <c r="C1484" i="21"/>
  <c r="D1484" i="21"/>
  <c r="E1484" i="21"/>
  <c r="F1484" i="21"/>
  <c r="G1484" i="21"/>
  <c r="I1484" i="21"/>
  <c r="J1484" i="21"/>
  <c r="L1484" i="21"/>
  <c r="B1485" i="21"/>
  <c r="C1485" i="21"/>
  <c r="D1485" i="21"/>
  <c r="E1485" i="21"/>
  <c r="F1485" i="21"/>
  <c r="G1485" i="21"/>
  <c r="I1485" i="21"/>
  <c r="J1485" i="21"/>
  <c r="L1485" i="21"/>
  <c r="B1486" i="21"/>
  <c r="C1486" i="21"/>
  <c r="D1486" i="21"/>
  <c r="E1486" i="21"/>
  <c r="F1486" i="21"/>
  <c r="G1486" i="21"/>
  <c r="I1486" i="21"/>
  <c r="J1486" i="21"/>
  <c r="L1486" i="21"/>
  <c r="B1487" i="21"/>
  <c r="C1487" i="21"/>
  <c r="D1487" i="21"/>
  <c r="E1487" i="21"/>
  <c r="F1487" i="21"/>
  <c r="G1487" i="21"/>
  <c r="I1487" i="21"/>
  <c r="J1487" i="21"/>
  <c r="L1487" i="21"/>
  <c r="B1488" i="21"/>
  <c r="C1488" i="21"/>
  <c r="D1488" i="21"/>
  <c r="E1488" i="21"/>
  <c r="F1488" i="21"/>
  <c r="G1488" i="21"/>
  <c r="I1488" i="21"/>
  <c r="J1488" i="21"/>
  <c r="L1488" i="21"/>
  <c r="B1489" i="21"/>
  <c r="C1489" i="21"/>
  <c r="D1489" i="21"/>
  <c r="E1489" i="21"/>
  <c r="F1489" i="21"/>
  <c r="G1489" i="21"/>
  <c r="I1489" i="21"/>
  <c r="J1489" i="21"/>
  <c r="L1489" i="21"/>
  <c r="B1490" i="21"/>
  <c r="C1490" i="21"/>
  <c r="D1490" i="21"/>
  <c r="E1490" i="21"/>
  <c r="F1490" i="21"/>
  <c r="G1490" i="21"/>
  <c r="I1490" i="21"/>
  <c r="J1490" i="21"/>
  <c r="L1490" i="21"/>
  <c r="B1491" i="21"/>
  <c r="C1491" i="21"/>
  <c r="D1491" i="21"/>
  <c r="E1491" i="21"/>
  <c r="F1491" i="21"/>
  <c r="G1491" i="21"/>
  <c r="I1491" i="21"/>
  <c r="J1491" i="21"/>
  <c r="L1491" i="21"/>
  <c r="B1492" i="21"/>
  <c r="C1492" i="21"/>
  <c r="D1492" i="21"/>
  <c r="E1492" i="21"/>
  <c r="F1492" i="21"/>
  <c r="G1492" i="21"/>
  <c r="I1492" i="21"/>
  <c r="J1492" i="21"/>
  <c r="L1492" i="21"/>
  <c r="B1493" i="21"/>
  <c r="C1493" i="21"/>
  <c r="D1493" i="21"/>
  <c r="E1493" i="21"/>
  <c r="F1493" i="21"/>
  <c r="G1493" i="21"/>
  <c r="I1493" i="21"/>
  <c r="J1493" i="21"/>
  <c r="L1493" i="21"/>
  <c r="B1494" i="21"/>
  <c r="C1494" i="21"/>
  <c r="D1494" i="21"/>
  <c r="E1494" i="21"/>
  <c r="F1494" i="21"/>
  <c r="G1494" i="21"/>
  <c r="I1494" i="21"/>
  <c r="J1494" i="21"/>
  <c r="L1494" i="21"/>
  <c r="B1495" i="21"/>
  <c r="C1495" i="21"/>
  <c r="D1495" i="21"/>
  <c r="E1495" i="21"/>
  <c r="F1495" i="21"/>
  <c r="G1495" i="21"/>
  <c r="I1495" i="21"/>
  <c r="J1495" i="21"/>
  <c r="L1495" i="21"/>
  <c r="B1496" i="21"/>
  <c r="C1496" i="21"/>
  <c r="D1496" i="21"/>
  <c r="E1496" i="21"/>
  <c r="F1496" i="21"/>
  <c r="G1496" i="21"/>
  <c r="I1496" i="21"/>
  <c r="J1496" i="21"/>
  <c r="L1496" i="21"/>
  <c r="B1497" i="21"/>
  <c r="C1497" i="21"/>
  <c r="D1497" i="21"/>
  <c r="E1497" i="21"/>
  <c r="F1497" i="21"/>
  <c r="G1497" i="21"/>
  <c r="I1497" i="21"/>
  <c r="J1497" i="21"/>
  <c r="L1497" i="21"/>
  <c r="B1498" i="21"/>
  <c r="C1498" i="21"/>
  <c r="D1498" i="21"/>
  <c r="E1498" i="21"/>
  <c r="F1498" i="21"/>
  <c r="G1498" i="21"/>
  <c r="I1498" i="21"/>
  <c r="J1498" i="21"/>
  <c r="L1498" i="21"/>
  <c r="B1499" i="21"/>
  <c r="C1499" i="21"/>
  <c r="D1499" i="21"/>
  <c r="E1499" i="21"/>
  <c r="F1499" i="21"/>
  <c r="G1499" i="21"/>
  <c r="I1499" i="21"/>
  <c r="J1499" i="21"/>
  <c r="L1499" i="21"/>
  <c r="B1500" i="21"/>
  <c r="C1500" i="21"/>
  <c r="D1500" i="21"/>
  <c r="E1500" i="21"/>
  <c r="F1500" i="21"/>
  <c r="G1500" i="21"/>
  <c r="I1500" i="21"/>
  <c r="J1500" i="21"/>
  <c r="L1500" i="21"/>
  <c r="B1501" i="21"/>
  <c r="C1501" i="21"/>
  <c r="D1501" i="21"/>
  <c r="E1501" i="21"/>
  <c r="F1501" i="21"/>
  <c r="G1501" i="21"/>
  <c r="I1501" i="21"/>
  <c r="J1501" i="21"/>
  <c r="L1501" i="21"/>
  <c r="B1502" i="21"/>
  <c r="C1502" i="21"/>
  <c r="D1502" i="21"/>
  <c r="E1502" i="21"/>
  <c r="F1502" i="21"/>
  <c r="G1502" i="21"/>
  <c r="I1502" i="21"/>
  <c r="J1502" i="21"/>
  <c r="L1502" i="21"/>
  <c r="B1503" i="21"/>
  <c r="C1503" i="21"/>
  <c r="D1503" i="21"/>
  <c r="E1503" i="21"/>
  <c r="F1503" i="21"/>
  <c r="G1503" i="21"/>
  <c r="I1503" i="21"/>
  <c r="J1503" i="21"/>
  <c r="L1503" i="21"/>
  <c r="B1504" i="21"/>
  <c r="C1504" i="21"/>
  <c r="D1504" i="21"/>
  <c r="E1504" i="21"/>
  <c r="F1504" i="21"/>
  <c r="G1504" i="21"/>
  <c r="I1504" i="21"/>
  <c r="J1504" i="21"/>
  <c r="L1504" i="21"/>
  <c r="B1505" i="21"/>
  <c r="C1505" i="21"/>
  <c r="D1505" i="21"/>
  <c r="E1505" i="21"/>
  <c r="F1505" i="21"/>
  <c r="G1505" i="21"/>
  <c r="I1505" i="21"/>
  <c r="J1505" i="21"/>
  <c r="L1505" i="21"/>
  <c r="B1506" i="21"/>
  <c r="C1506" i="21"/>
  <c r="D1506" i="21"/>
  <c r="E1506" i="21"/>
  <c r="F1506" i="21"/>
  <c r="G1506" i="21"/>
  <c r="I1506" i="21"/>
  <c r="J1506" i="21"/>
  <c r="L1506" i="21"/>
  <c r="B1507" i="21"/>
  <c r="C1507" i="21"/>
  <c r="D1507" i="21"/>
  <c r="E1507" i="21"/>
  <c r="F1507" i="21"/>
  <c r="G1507" i="21"/>
  <c r="I1507" i="21"/>
  <c r="J1507" i="21"/>
  <c r="L1507" i="21"/>
  <c r="B1508" i="21"/>
  <c r="C1508" i="21"/>
  <c r="D1508" i="21"/>
  <c r="E1508" i="21"/>
  <c r="F1508" i="21"/>
  <c r="G1508" i="21"/>
  <c r="I1508" i="21"/>
  <c r="J1508" i="21"/>
  <c r="L1508" i="21"/>
  <c r="B1509" i="21"/>
  <c r="C1509" i="21"/>
  <c r="D1509" i="21"/>
  <c r="E1509" i="21"/>
  <c r="F1509" i="21"/>
  <c r="G1509" i="21"/>
  <c r="I1509" i="21"/>
  <c r="J1509" i="21"/>
  <c r="L1509" i="21"/>
  <c r="B1510" i="21"/>
  <c r="C1510" i="21"/>
  <c r="D1510" i="21"/>
  <c r="E1510" i="21"/>
  <c r="F1510" i="21"/>
  <c r="G1510" i="21"/>
  <c r="I1510" i="21"/>
  <c r="J1510" i="21"/>
  <c r="L1510" i="21"/>
  <c r="B1511" i="21"/>
  <c r="C1511" i="21"/>
  <c r="D1511" i="21"/>
  <c r="E1511" i="21"/>
  <c r="F1511" i="21"/>
  <c r="G1511" i="21"/>
  <c r="I1511" i="21"/>
  <c r="J1511" i="21"/>
  <c r="L1511" i="21"/>
  <c r="B1512" i="21"/>
  <c r="C1512" i="21"/>
  <c r="D1512" i="21"/>
  <c r="E1512" i="21"/>
  <c r="F1512" i="21"/>
  <c r="G1512" i="21"/>
  <c r="I1512" i="21"/>
  <c r="J1512" i="21"/>
  <c r="L1512" i="21"/>
  <c r="B1513" i="21"/>
  <c r="C1513" i="21"/>
  <c r="D1513" i="21"/>
  <c r="E1513" i="21"/>
  <c r="F1513" i="21"/>
  <c r="G1513" i="21"/>
  <c r="I1513" i="21"/>
  <c r="J1513" i="21"/>
  <c r="L1513" i="21"/>
  <c r="B1514" i="21"/>
  <c r="C1514" i="21"/>
  <c r="D1514" i="21"/>
  <c r="E1514" i="21"/>
  <c r="F1514" i="21"/>
  <c r="G1514" i="21"/>
  <c r="I1514" i="21"/>
  <c r="J1514" i="21"/>
  <c r="L1514" i="21"/>
  <c r="B1515" i="21"/>
  <c r="C1515" i="21"/>
  <c r="D1515" i="21"/>
  <c r="E1515" i="21"/>
  <c r="F1515" i="21"/>
  <c r="G1515" i="21"/>
  <c r="I1515" i="21"/>
  <c r="J1515" i="21"/>
  <c r="L1515" i="21"/>
  <c r="B1516" i="21"/>
  <c r="C1516" i="21"/>
  <c r="D1516" i="21"/>
  <c r="E1516" i="21"/>
  <c r="F1516" i="21"/>
  <c r="G1516" i="21"/>
  <c r="I1516" i="21"/>
  <c r="J1516" i="21"/>
  <c r="L1516" i="21"/>
  <c r="B1517" i="21"/>
  <c r="C1517" i="21"/>
  <c r="D1517" i="21"/>
  <c r="E1517" i="21"/>
  <c r="F1517" i="21"/>
  <c r="G1517" i="21"/>
  <c r="I1517" i="21"/>
  <c r="J1517" i="21"/>
  <c r="L1517" i="21"/>
  <c r="B1518" i="21"/>
  <c r="C1518" i="21"/>
  <c r="D1518" i="21"/>
  <c r="E1518" i="21"/>
  <c r="F1518" i="21"/>
  <c r="G1518" i="21"/>
  <c r="I1518" i="21"/>
  <c r="J1518" i="21"/>
  <c r="L1518" i="21"/>
  <c r="B1519" i="21"/>
  <c r="C1519" i="21"/>
  <c r="D1519" i="21"/>
  <c r="E1519" i="21"/>
  <c r="F1519" i="21"/>
  <c r="G1519" i="21"/>
  <c r="I1519" i="21"/>
  <c r="J1519" i="21"/>
  <c r="L1519" i="21"/>
  <c r="B1520" i="21"/>
  <c r="C1520" i="21"/>
  <c r="D1520" i="21"/>
  <c r="E1520" i="21"/>
  <c r="F1520" i="21"/>
  <c r="G1520" i="21"/>
  <c r="I1520" i="21"/>
  <c r="J1520" i="21"/>
  <c r="L1520" i="21"/>
  <c r="B1521" i="21"/>
  <c r="C1521" i="21"/>
  <c r="D1521" i="21"/>
  <c r="E1521" i="21"/>
  <c r="F1521" i="21"/>
  <c r="G1521" i="21"/>
  <c r="I1521" i="21"/>
  <c r="J1521" i="21"/>
  <c r="L1521" i="21"/>
  <c r="B1522" i="21"/>
  <c r="C1522" i="21"/>
  <c r="D1522" i="21"/>
  <c r="E1522" i="21"/>
  <c r="F1522" i="21"/>
  <c r="G1522" i="21"/>
  <c r="I1522" i="21"/>
  <c r="J1522" i="21"/>
  <c r="L1522" i="21"/>
  <c r="B1523" i="21"/>
  <c r="C1523" i="21"/>
  <c r="D1523" i="21"/>
  <c r="E1523" i="21"/>
  <c r="F1523" i="21"/>
  <c r="G1523" i="21"/>
  <c r="I1523" i="21"/>
  <c r="J1523" i="21"/>
  <c r="L1523" i="21"/>
  <c r="B1524" i="21"/>
  <c r="C1524" i="21"/>
  <c r="D1524" i="21"/>
  <c r="E1524" i="21"/>
  <c r="F1524" i="21"/>
  <c r="G1524" i="21"/>
  <c r="I1524" i="21"/>
  <c r="J1524" i="21"/>
  <c r="L1524" i="21"/>
  <c r="B1525" i="21"/>
  <c r="C1525" i="21"/>
  <c r="D1525" i="21"/>
  <c r="E1525" i="21"/>
  <c r="F1525" i="21"/>
  <c r="G1525" i="21"/>
  <c r="I1525" i="21"/>
  <c r="J1525" i="21"/>
  <c r="L1525" i="21"/>
  <c r="B1526" i="21"/>
  <c r="C1526" i="21"/>
  <c r="D1526" i="21"/>
  <c r="E1526" i="21"/>
  <c r="F1526" i="21"/>
  <c r="G1526" i="21"/>
  <c r="I1526" i="21"/>
  <c r="J1526" i="21"/>
  <c r="L1526" i="21"/>
  <c r="B1527" i="21"/>
  <c r="C1527" i="21"/>
  <c r="D1527" i="21"/>
  <c r="E1527" i="21"/>
  <c r="F1527" i="21"/>
  <c r="G1527" i="21"/>
  <c r="I1527" i="21"/>
  <c r="J1527" i="21"/>
  <c r="L1527" i="21"/>
  <c r="B1528" i="21"/>
  <c r="C1528" i="21"/>
  <c r="D1528" i="21"/>
  <c r="E1528" i="21"/>
  <c r="F1528" i="21"/>
  <c r="G1528" i="21"/>
  <c r="I1528" i="21"/>
  <c r="J1528" i="21"/>
  <c r="L1528" i="21"/>
  <c r="B1529" i="21"/>
  <c r="C1529" i="21"/>
  <c r="D1529" i="21"/>
  <c r="E1529" i="21"/>
  <c r="F1529" i="21"/>
  <c r="G1529" i="21"/>
  <c r="I1529" i="21"/>
  <c r="J1529" i="21"/>
  <c r="L1529" i="21"/>
  <c r="B1530" i="21"/>
  <c r="C1530" i="21"/>
  <c r="D1530" i="21"/>
  <c r="E1530" i="21"/>
  <c r="F1530" i="21"/>
  <c r="G1530" i="21"/>
  <c r="I1530" i="21"/>
  <c r="J1530" i="21"/>
  <c r="L1530" i="21"/>
  <c r="B1531" i="21"/>
  <c r="C1531" i="21"/>
  <c r="D1531" i="21"/>
  <c r="E1531" i="21"/>
  <c r="F1531" i="21"/>
  <c r="G1531" i="21"/>
  <c r="I1531" i="21"/>
  <c r="J1531" i="21"/>
  <c r="L1531" i="21"/>
  <c r="B1532" i="21"/>
  <c r="C1532" i="21"/>
  <c r="D1532" i="21"/>
  <c r="E1532" i="21"/>
  <c r="F1532" i="21"/>
  <c r="G1532" i="21"/>
  <c r="I1532" i="21"/>
  <c r="J1532" i="21"/>
  <c r="L1532" i="21"/>
  <c r="B1533" i="21"/>
  <c r="C1533" i="21"/>
  <c r="D1533" i="21"/>
  <c r="E1533" i="21"/>
  <c r="F1533" i="21"/>
  <c r="G1533" i="21"/>
  <c r="I1533" i="21"/>
  <c r="J1533" i="21"/>
  <c r="L1533" i="21"/>
  <c r="B1534" i="21"/>
  <c r="C1534" i="21"/>
  <c r="D1534" i="21"/>
  <c r="E1534" i="21"/>
  <c r="F1534" i="21"/>
  <c r="G1534" i="21"/>
  <c r="I1534" i="21"/>
  <c r="J1534" i="21"/>
  <c r="L1534" i="21"/>
  <c r="B1535" i="21"/>
  <c r="C1535" i="21"/>
  <c r="D1535" i="21"/>
  <c r="E1535" i="21"/>
  <c r="F1535" i="21"/>
  <c r="G1535" i="21"/>
  <c r="I1535" i="21"/>
  <c r="J1535" i="21"/>
  <c r="L1535" i="21"/>
  <c r="B1536" i="21"/>
  <c r="C1536" i="21"/>
  <c r="D1536" i="21"/>
  <c r="E1536" i="21"/>
  <c r="F1536" i="21"/>
  <c r="G1536" i="21"/>
  <c r="I1536" i="21"/>
  <c r="J1536" i="21"/>
  <c r="L1536" i="21"/>
  <c r="B1537" i="21"/>
  <c r="C1537" i="21"/>
  <c r="D1537" i="21"/>
  <c r="E1537" i="21"/>
  <c r="F1537" i="21"/>
  <c r="G1537" i="21"/>
  <c r="I1537" i="21"/>
  <c r="J1537" i="21"/>
  <c r="L1537" i="21"/>
  <c r="B1538" i="21"/>
  <c r="C1538" i="21"/>
  <c r="D1538" i="21"/>
  <c r="E1538" i="21"/>
  <c r="F1538" i="21"/>
  <c r="G1538" i="21"/>
  <c r="I1538" i="21"/>
  <c r="J1538" i="21"/>
  <c r="L1538" i="21"/>
  <c r="B1539" i="21"/>
  <c r="C1539" i="21"/>
  <c r="D1539" i="21"/>
  <c r="E1539" i="21"/>
  <c r="F1539" i="21"/>
  <c r="G1539" i="21"/>
  <c r="I1539" i="21"/>
  <c r="J1539" i="21"/>
  <c r="L1539" i="21"/>
  <c r="B1540" i="21"/>
  <c r="C1540" i="21"/>
  <c r="D1540" i="21"/>
  <c r="E1540" i="21"/>
  <c r="F1540" i="21"/>
  <c r="G1540" i="21"/>
  <c r="I1540" i="21"/>
  <c r="J1540" i="21"/>
  <c r="L1540" i="21"/>
  <c r="B1541" i="21"/>
  <c r="C1541" i="21"/>
  <c r="D1541" i="21"/>
  <c r="E1541" i="21"/>
  <c r="F1541" i="21"/>
  <c r="G1541" i="21"/>
  <c r="I1541" i="21"/>
  <c r="J1541" i="21"/>
  <c r="L1541" i="21"/>
  <c r="B1542" i="21"/>
  <c r="C1542" i="21"/>
  <c r="D1542" i="21"/>
  <c r="E1542" i="21"/>
  <c r="F1542" i="21"/>
  <c r="G1542" i="21"/>
  <c r="I1542" i="21"/>
  <c r="J1542" i="21"/>
  <c r="L1542" i="21"/>
  <c r="B1543" i="21"/>
  <c r="C1543" i="21"/>
  <c r="D1543" i="21"/>
  <c r="E1543" i="21"/>
  <c r="F1543" i="21"/>
  <c r="G1543" i="21"/>
  <c r="I1543" i="21"/>
  <c r="J1543" i="21"/>
  <c r="L1543" i="21"/>
  <c r="B1544" i="21"/>
  <c r="C1544" i="21"/>
  <c r="D1544" i="21"/>
  <c r="E1544" i="21"/>
  <c r="F1544" i="21"/>
  <c r="G1544" i="21"/>
  <c r="I1544" i="21"/>
  <c r="J1544" i="21"/>
  <c r="L1544" i="21"/>
  <c r="B1545" i="21"/>
  <c r="C1545" i="21"/>
  <c r="D1545" i="21"/>
  <c r="E1545" i="21"/>
  <c r="F1545" i="21"/>
  <c r="G1545" i="21"/>
  <c r="I1545" i="21"/>
  <c r="J1545" i="21"/>
  <c r="L1545" i="21"/>
  <c r="B1546" i="21"/>
  <c r="C1546" i="21"/>
  <c r="D1546" i="21"/>
  <c r="E1546" i="21"/>
  <c r="F1546" i="21"/>
  <c r="G1546" i="21"/>
  <c r="I1546" i="21"/>
  <c r="J1546" i="21"/>
  <c r="L1546" i="21"/>
  <c r="B1547" i="21"/>
  <c r="C1547" i="21"/>
  <c r="D1547" i="21"/>
  <c r="E1547" i="21"/>
  <c r="F1547" i="21"/>
  <c r="G1547" i="21"/>
  <c r="I1547" i="21"/>
  <c r="J1547" i="21"/>
  <c r="L1547" i="21"/>
  <c r="B1548" i="21"/>
  <c r="C1548" i="21"/>
  <c r="D1548" i="21"/>
  <c r="E1548" i="21"/>
  <c r="F1548" i="21"/>
  <c r="G1548" i="21"/>
  <c r="I1548" i="21"/>
  <c r="J1548" i="21"/>
  <c r="L1548" i="21"/>
  <c r="B1549" i="21"/>
  <c r="C1549" i="21"/>
  <c r="D1549" i="21"/>
  <c r="E1549" i="21"/>
  <c r="F1549" i="21"/>
  <c r="G1549" i="21"/>
  <c r="I1549" i="21"/>
  <c r="J1549" i="21"/>
  <c r="L1549" i="21"/>
  <c r="B1550" i="21"/>
  <c r="C1550" i="21"/>
  <c r="D1550" i="21"/>
  <c r="E1550" i="21"/>
  <c r="F1550" i="21"/>
  <c r="G1550" i="21"/>
  <c r="I1550" i="21"/>
  <c r="J1550" i="21"/>
  <c r="L1550" i="21"/>
  <c r="B1551" i="21"/>
  <c r="C1551" i="21"/>
  <c r="D1551" i="21"/>
  <c r="E1551" i="21"/>
  <c r="F1551" i="21"/>
  <c r="G1551" i="21"/>
  <c r="I1551" i="21"/>
  <c r="J1551" i="21"/>
  <c r="L1551" i="21"/>
  <c r="B1552" i="21"/>
  <c r="C1552" i="21"/>
  <c r="D1552" i="21"/>
  <c r="E1552" i="21"/>
  <c r="F1552" i="21"/>
  <c r="G1552" i="21"/>
  <c r="I1552" i="21"/>
  <c r="J1552" i="21"/>
  <c r="L1552" i="21"/>
  <c r="B1553" i="21"/>
  <c r="C1553" i="21"/>
  <c r="D1553" i="21"/>
  <c r="E1553" i="21"/>
  <c r="F1553" i="21"/>
  <c r="G1553" i="21"/>
  <c r="I1553" i="21"/>
  <c r="J1553" i="21"/>
  <c r="L1553" i="21"/>
  <c r="B1554" i="21"/>
  <c r="C1554" i="21"/>
  <c r="D1554" i="21"/>
  <c r="E1554" i="21"/>
  <c r="F1554" i="21"/>
  <c r="G1554" i="21"/>
  <c r="I1554" i="21"/>
  <c r="J1554" i="21"/>
  <c r="L1554" i="21"/>
  <c r="B1555" i="21"/>
  <c r="C1555" i="21"/>
  <c r="D1555" i="21"/>
  <c r="E1555" i="21"/>
  <c r="F1555" i="21"/>
  <c r="G1555" i="21"/>
  <c r="I1555" i="21"/>
  <c r="J1555" i="21"/>
  <c r="L1555" i="21"/>
  <c r="B1556" i="21"/>
  <c r="C1556" i="21"/>
  <c r="D1556" i="21"/>
  <c r="E1556" i="21"/>
  <c r="F1556" i="21"/>
  <c r="G1556" i="21"/>
  <c r="I1556" i="21"/>
  <c r="J1556" i="21"/>
  <c r="L1556" i="21"/>
  <c r="B1557" i="21"/>
  <c r="C1557" i="21"/>
  <c r="D1557" i="21"/>
  <c r="E1557" i="21"/>
  <c r="F1557" i="21"/>
  <c r="G1557" i="21"/>
  <c r="I1557" i="21"/>
  <c r="J1557" i="21"/>
  <c r="L1557" i="21"/>
  <c r="B1558" i="21"/>
  <c r="C1558" i="21"/>
  <c r="D1558" i="21"/>
  <c r="E1558" i="21"/>
  <c r="F1558" i="21"/>
  <c r="G1558" i="21"/>
  <c r="I1558" i="21"/>
  <c r="J1558" i="21"/>
  <c r="L1558" i="21"/>
  <c r="B1559" i="21"/>
  <c r="C1559" i="21"/>
  <c r="D1559" i="21"/>
  <c r="E1559" i="21"/>
  <c r="F1559" i="21"/>
  <c r="G1559" i="21"/>
  <c r="I1559" i="21"/>
  <c r="J1559" i="21"/>
  <c r="L1559" i="21"/>
  <c r="B1560" i="21"/>
  <c r="C1560" i="21"/>
  <c r="D1560" i="21"/>
  <c r="E1560" i="21"/>
  <c r="F1560" i="21"/>
  <c r="G1560" i="21"/>
  <c r="I1560" i="21"/>
  <c r="J1560" i="21"/>
  <c r="L1560" i="21"/>
  <c r="B1561" i="21"/>
  <c r="C1561" i="21"/>
  <c r="D1561" i="21"/>
  <c r="E1561" i="21"/>
  <c r="F1561" i="21"/>
  <c r="G1561" i="21"/>
  <c r="I1561" i="21"/>
  <c r="J1561" i="21"/>
  <c r="L1561" i="21"/>
  <c r="B1562" i="21"/>
  <c r="C1562" i="21"/>
  <c r="D1562" i="21"/>
  <c r="E1562" i="21"/>
  <c r="F1562" i="21"/>
  <c r="G1562" i="21"/>
  <c r="I1562" i="21"/>
  <c r="J1562" i="21"/>
  <c r="L1562" i="21"/>
  <c r="B1563" i="21"/>
  <c r="C1563" i="21"/>
  <c r="D1563" i="21"/>
  <c r="E1563" i="21"/>
  <c r="F1563" i="21"/>
  <c r="G1563" i="21"/>
  <c r="I1563" i="21"/>
  <c r="J1563" i="21"/>
  <c r="L1563" i="21"/>
  <c r="B1564" i="21"/>
  <c r="C1564" i="21"/>
  <c r="D1564" i="21"/>
  <c r="E1564" i="21"/>
  <c r="F1564" i="21"/>
  <c r="G1564" i="21"/>
  <c r="I1564" i="21"/>
  <c r="J1564" i="21"/>
  <c r="L1564" i="21"/>
  <c r="B1565" i="21"/>
  <c r="C1565" i="21"/>
  <c r="D1565" i="21"/>
  <c r="E1565" i="21"/>
  <c r="F1565" i="21"/>
  <c r="G1565" i="21"/>
  <c r="I1565" i="21"/>
  <c r="J1565" i="21"/>
  <c r="L1565" i="21"/>
  <c r="B1566" i="21"/>
  <c r="C1566" i="21"/>
  <c r="D1566" i="21"/>
  <c r="E1566" i="21"/>
  <c r="F1566" i="21"/>
  <c r="G1566" i="21"/>
  <c r="I1566" i="21"/>
  <c r="J1566" i="21"/>
  <c r="L1566" i="21"/>
  <c r="B1567" i="21"/>
  <c r="C1567" i="21"/>
  <c r="D1567" i="21"/>
  <c r="E1567" i="21"/>
  <c r="F1567" i="21"/>
  <c r="G1567" i="21"/>
  <c r="I1567" i="21"/>
  <c r="J1567" i="21"/>
  <c r="L1567" i="21"/>
  <c r="B1568" i="21"/>
  <c r="C1568" i="21"/>
  <c r="D1568" i="21"/>
  <c r="E1568" i="21"/>
  <c r="F1568" i="21"/>
  <c r="G1568" i="21"/>
  <c r="I1568" i="21"/>
  <c r="J1568" i="21"/>
  <c r="L1568" i="21"/>
  <c r="B1569" i="21"/>
  <c r="C1569" i="21"/>
  <c r="D1569" i="21"/>
  <c r="E1569" i="21"/>
  <c r="F1569" i="21"/>
  <c r="G1569" i="21"/>
  <c r="I1569" i="21"/>
  <c r="J1569" i="21"/>
  <c r="L1569" i="21"/>
  <c r="B1570" i="21"/>
  <c r="C1570" i="21"/>
  <c r="D1570" i="21"/>
  <c r="E1570" i="21"/>
  <c r="F1570" i="21"/>
  <c r="G1570" i="21"/>
  <c r="I1570" i="21"/>
  <c r="J1570" i="21"/>
  <c r="L1570" i="21"/>
  <c r="B1571" i="21"/>
  <c r="C1571" i="21"/>
  <c r="D1571" i="21"/>
  <c r="E1571" i="21"/>
  <c r="F1571" i="21"/>
  <c r="G1571" i="21"/>
  <c r="I1571" i="21"/>
  <c r="J1571" i="21"/>
  <c r="L1571" i="21"/>
  <c r="B1572" i="21"/>
  <c r="C1572" i="21"/>
  <c r="D1572" i="21"/>
  <c r="E1572" i="21"/>
  <c r="F1572" i="21"/>
  <c r="G1572" i="21"/>
  <c r="I1572" i="21"/>
  <c r="J1572" i="21"/>
  <c r="L1572" i="21"/>
  <c r="B1573" i="21"/>
  <c r="C1573" i="21"/>
  <c r="D1573" i="21"/>
  <c r="E1573" i="21"/>
  <c r="F1573" i="21"/>
  <c r="G1573" i="21"/>
  <c r="I1573" i="21"/>
  <c r="J1573" i="21"/>
  <c r="L1573" i="21"/>
  <c r="B1574" i="21"/>
  <c r="C1574" i="21"/>
  <c r="D1574" i="21"/>
  <c r="E1574" i="21"/>
  <c r="F1574" i="21"/>
  <c r="G1574" i="21"/>
  <c r="I1574" i="21"/>
  <c r="J1574" i="21"/>
  <c r="L1574" i="21"/>
  <c r="B1575" i="21"/>
  <c r="C1575" i="21"/>
  <c r="D1575" i="21"/>
  <c r="E1575" i="21"/>
  <c r="F1575" i="21"/>
  <c r="G1575" i="21"/>
  <c r="I1575" i="21"/>
  <c r="J1575" i="21"/>
  <c r="L1575" i="21"/>
  <c r="B1576" i="21"/>
  <c r="C1576" i="21"/>
  <c r="D1576" i="21"/>
  <c r="E1576" i="21"/>
  <c r="F1576" i="21"/>
  <c r="G1576" i="21"/>
  <c r="I1576" i="21"/>
  <c r="J1576" i="21"/>
  <c r="L1576" i="21"/>
  <c r="B1577" i="21"/>
  <c r="C1577" i="21"/>
  <c r="D1577" i="21"/>
  <c r="E1577" i="21"/>
  <c r="F1577" i="21"/>
  <c r="G1577" i="21"/>
  <c r="I1577" i="21"/>
  <c r="J1577" i="21"/>
  <c r="L1577" i="21"/>
  <c r="B1578" i="21"/>
  <c r="C1578" i="21"/>
  <c r="D1578" i="21"/>
  <c r="E1578" i="21"/>
  <c r="F1578" i="21"/>
  <c r="G1578" i="21"/>
  <c r="I1578" i="21"/>
  <c r="J1578" i="21"/>
  <c r="L1578" i="21"/>
  <c r="B1579" i="21"/>
  <c r="C1579" i="21"/>
  <c r="D1579" i="21"/>
  <c r="E1579" i="21"/>
  <c r="F1579" i="21"/>
  <c r="G1579" i="21"/>
  <c r="I1579" i="21"/>
  <c r="J1579" i="21"/>
  <c r="L1579" i="21"/>
  <c r="B1580" i="21"/>
  <c r="C1580" i="21"/>
  <c r="D1580" i="21"/>
  <c r="E1580" i="21"/>
  <c r="F1580" i="21"/>
  <c r="G1580" i="21"/>
  <c r="I1580" i="21"/>
  <c r="J1580" i="21"/>
  <c r="L1580" i="21"/>
  <c r="B1581" i="21"/>
  <c r="C1581" i="21"/>
  <c r="D1581" i="21"/>
  <c r="E1581" i="21"/>
  <c r="F1581" i="21"/>
  <c r="G1581" i="21"/>
  <c r="I1581" i="21"/>
  <c r="J1581" i="21"/>
  <c r="L1581" i="21"/>
  <c r="B1582" i="21"/>
  <c r="C1582" i="21"/>
  <c r="D1582" i="21"/>
  <c r="E1582" i="21"/>
  <c r="F1582" i="21"/>
  <c r="G1582" i="21"/>
  <c r="I1582" i="21"/>
  <c r="J1582" i="21"/>
  <c r="L1582" i="21"/>
  <c r="B1583" i="21"/>
  <c r="C1583" i="21"/>
  <c r="D1583" i="21"/>
  <c r="E1583" i="21"/>
  <c r="F1583" i="21"/>
  <c r="G1583" i="21"/>
  <c r="I1583" i="21"/>
  <c r="J1583" i="21"/>
  <c r="L1583" i="21"/>
  <c r="B1584" i="21"/>
  <c r="C1584" i="21"/>
  <c r="D1584" i="21"/>
  <c r="E1584" i="21"/>
  <c r="F1584" i="21"/>
  <c r="G1584" i="21"/>
  <c r="I1584" i="21"/>
  <c r="J1584" i="21"/>
  <c r="L1584" i="21"/>
  <c r="B1585" i="21"/>
  <c r="C1585" i="21"/>
  <c r="D1585" i="21"/>
  <c r="E1585" i="21"/>
  <c r="F1585" i="21"/>
  <c r="G1585" i="21"/>
  <c r="I1585" i="21"/>
  <c r="J1585" i="21"/>
  <c r="L1585" i="21"/>
  <c r="B1586" i="21"/>
  <c r="C1586" i="21"/>
  <c r="D1586" i="21"/>
  <c r="E1586" i="21"/>
  <c r="F1586" i="21"/>
  <c r="G1586" i="21"/>
  <c r="I1586" i="21"/>
  <c r="J1586" i="21"/>
  <c r="L1586" i="21"/>
  <c r="B1587" i="21"/>
  <c r="C1587" i="21"/>
  <c r="D1587" i="21"/>
  <c r="E1587" i="21"/>
  <c r="F1587" i="21"/>
  <c r="G1587" i="21"/>
  <c r="I1587" i="21"/>
  <c r="J1587" i="21"/>
  <c r="L1587" i="21"/>
  <c r="B1588" i="21"/>
  <c r="C1588" i="21"/>
  <c r="D1588" i="21"/>
  <c r="E1588" i="21"/>
  <c r="F1588" i="21"/>
  <c r="G1588" i="21"/>
  <c r="I1588" i="21"/>
  <c r="J1588" i="21"/>
  <c r="L1588" i="21"/>
  <c r="B1589" i="21"/>
  <c r="C1589" i="21"/>
  <c r="D1589" i="21"/>
  <c r="E1589" i="21"/>
  <c r="F1589" i="21"/>
  <c r="G1589" i="21"/>
  <c r="I1589" i="21"/>
  <c r="J1589" i="21"/>
  <c r="L1589" i="21"/>
  <c r="B1590" i="21"/>
  <c r="C1590" i="21"/>
  <c r="D1590" i="21"/>
  <c r="E1590" i="21"/>
  <c r="F1590" i="21"/>
  <c r="G1590" i="21"/>
  <c r="I1590" i="21"/>
  <c r="J1590" i="21"/>
  <c r="L1590" i="21"/>
  <c r="B1591" i="21"/>
  <c r="C1591" i="21"/>
  <c r="D1591" i="21"/>
  <c r="E1591" i="21"/>
  <c r="F1591" i="21"/>
  <c r="G1591" i="21"/>
  <c r="I1591" i="21"/>
  <c r="J1591" i="21"/>
  <c r="L1591" i="21"/>
  <c r="B1592" i="21"/>
  <c r="C1592" i="21"/>
  <c r="D1592" i="21"/>
  <c r="E1592" i="21"/>
  <c r="F1592" i="21"/>
  <c r="G1592" i="21"/>
  <c r="I1592" i="21"/>
  <c r="J1592" i="21"/>
  <c r="L1592" i="21"/>
  <c r="B1593" i="21"/>
  <c r="C1593" i="21"/>
  <c r="D1593" i="21"/>
  <c r="E1593" i="21"/>
  <c r="F1593" i="21"/>
  <c r="G1593" i="21"/>
  <c r="I1593" i="21"/>
  <c r="J1593" i="21"/>
  <c r="L1593" i="21"/>
  <c r="B1594" i="21"/>
  <c r="C1594" i="21"/>
  <c r="D1594" i="21"/>
  <c r="E1594" i="21"/>
  <c r="F1594" i="21"/>
  <c r="G1594" i="21"/>
  <c r="I1594" i="21"/>
  <c r="J1594" i="21"/>
  <c r="L1594" i="21"/>
  <c r="B1595" i="21"/>
  <c r="C1595" i="21"/>
  <c r="D1595" i="21"/>
  <c r="E1595" i="21"/>
  <c r="F1595" i="21"/>
  <c r="G1595" i="21"/>
  <c r="I1595" i="21"/>
  <c r="J1595" i="21"/>
  <c r="L1595" i="21"/>
  <c r="B1596" i="21"/>
  <c r="C1596" i="21"/>
  <c r="D1596" i="21"/>
  <c r="E1596" i="21"/>
  <c r="F1596" i="21"/>
  <c r="G1596" i="21"/>
  <c r="I1596" i="21"/>
  <c r="J1596" i="21"/>
  <c r="L1596" i="21"/>
  <c r="B1597" i="21"/>
  <c r="C1597" i="21"/>
  <c r="D1597" i="21"/>
  <c r="E1597" i="21"/>
  <c r="F1597" i="21"/>
  <c r="G1597" i="21"/>
  <c r="I1597" i="21"/>
  <c r="J1597" i="21"/>
  <c r="L1597" i="21"/>
  <c r="B1598" i="21"/>
  <c r="C1598" i="21"/>
  <c r="D1598" i="21"/>
  <c r="E1598" i="21"/>
  <c r="F1598" i="21"/>
  <c r="G1598" i="21"/>
  <c r="I1598" i="21"/>
  <c r="J1598" i="21"/>
  <c r="L1598" i="21"/>
  <c r="B1599" i="21"/>
  <c r="C1599" i="21"/>
  <c r="D1599" i="21"/>
  <c r="E1599" i="21"/>
  <c r="F1599" i="21"/>
  <c r="G1599" i="21"/>
  <c r="I1599" i="21"/>
  <c r="J1599" i="21"/>
  <c r="L1599" i="21"/>
  <c r="B1600" i="21"/>
  <c r="C1600" i="21"/>
  <c r="D1600" i="21"/>
  <c r="E1600" i="21"/>
  <c r="F1600" i="21"/>
  <c r="G1600" i="21"/>
  <c r="I1600" i="21"/>
  <c r="J1600" i="21"/>
  <c r="L1600" i="21"/>
  <c r="B1601" i="21"/>
  <c r="C1601" i="21"/>
  <c r="D1601" i="21"/>
  <c r="E1601" i="21"/>
  <c r="F1601" i="21"/>
  <c r="G1601" i="21"/>
  <c r="I1601" i="21"/>
  <c r="J1601" i="21"/>
  <c r="L1601" i="21"/>
  <c r="B1602" i="21"/>
  <c r="C1602" i="21"/>
  <c r="D1602" i="21"/>
  <c r="E1602" i="21"/>
  <c r="F1602" i="21"/>
  <c r="G1602" i="21"/>
  <c r="I1602" i="21"/>
  <c r="J1602" i="21"/>
  <c r="L1602" i="21"/>
  <c r="B1603" i="21"/>
  <c r="C1603" i="21"/>
  <c r="D1603" i="21"/>
  <c r="E1603" i="21"/>
  <c r="F1603" i="21"/>
  <c r="G1603" i="21"/>
  <c r="I1603" i="21"/>
  <c r="J1603" i="21"/>
  <c r="L1603" i="21"/>
  <c r="B1604" i="21"/>
  <c r="C1604" i="21"/>
  <c r="D1604" i="21"/>
  <c r="E1604" i="21"/>
  <c r="F1604" i="21"/>
  <c r="G1604" i="21"/>
  <c r="I1604" i="21"/>
  <c r="J1604" i="21"/>
  <c r="L1604" i="21"/>
  <c r="B1605" i="21"/>
  <c r="C1605" i="21"/>
  <c r="D1605" i="21"/>
  <c r="E1605" i="21"/>
  <c r="F1605" i="21"/>
  <c r="G1605" i="21"/>
  <c r="I1605" i="21"/>
  <c r="J1605" i="21"/>
  <c r="L1605" i="21"/>
  <c r="B1606" i="21"/>
  <c r="C1606" i="21"/>
  <c r="D1606" i="21"/>
  <c r="E1606" i="21"/>
  <c r="F1606" i="21"/>
  <c r="G1606" i="21"/>
  <c r="I1606" i="21"/>
  <c r="J1606" i="21"/>
  <c r="L1606" i="21"/>
  <c r="B1607" i="21"/>
  <c r="C1607" i="21"/>
  <c r="D1607" i="21"/>
  <c r="E1607" i="21"/>
  <c r="F1607" i="21"/>
  <c r="G1607" i="21"/>
  <c r="I1607" i="21"/>
  <c r="J1607" i="21"/>
  <c r="L1607" i="21"/>
  <c r="B1608" i="21"/>
  <c r="C1608" i="21"/>
  <c r="D1608" i="21"/>
  <c r="E1608" i="21"/>
  <c r="F1608" i="21"/>
  <c r="G1608" i="21"/>
  <c r="I1608" i="21"/>
  <c r="J1608" i="21"/>
  <c r="L1608" i="21"/>
  <c r="B1609" i="21"/>
  <c r="C1609" i="21"/>
  <c r="D1609" i="21"/>
  <c r="E1609" i="21"/>
  <c r="F1609" i="21"/>
  <c r="G1609" i="21"/>
  <c r="I1609" i="21"/>
  <c r="J1609" i="21"/>
  <c r="L1609" i="21"/>
  <c r="B1610" i="21"/>
  <c r="C1610" i="21"/>
  <c r="D1610" i="21"/>
  <c r="E1610" i="21"/>
  <c r="F1610" i="21"/>
  <c r="G1610" i="21"/>
  <c r="I1610" i="21"/>
  <c r="J1610" i="21"/>
  <c r="L1610" i="21"/>
  <c r="B1611" i="21"/>
  <c r="C1611" i="21"/>
  <c r="D1611" i="21"/>
  <c r="E1611" i="21"/>
  <c r="F1611" i="21"/>
  <c r="G1611" i="21"/>
  <c r="I1611" i="21"/>
  <c r="J1611" i="21"/>
  <c r="L1611" i="21"/>
  <c r="B1612" i="21"/>
  <c r="C1612" i="21"/>
  <c r="D1612" i="21"/>
  <c r="E1612" i="21"/>
  <c r="F1612" i="21"/>
  <c r="G1612" i="21"/>
  <c r="I1612" i="21"/>
  <c r="J1612" i="21"/>
  <c r="L1612" i="21"/>
  <c r="B1613" i="21"/>
  <c r="C1613" i="21"/>
  <c r="D1613" i="21"/>
  <c r="E1613" i="21"/>
  <c r="F1613" i="21"/>
  <c r="G1613" i="21"/>
  <c r="I1613" i="21"/>
  <c r="J1613" i="21"/>
  <c r="L1613" i="21"/>
  <c r="B1614" i="21"/>
  <c r="C1614" i="21"/>
  <c r="D1614" i="21"/>
  <c r="E1614" i="21"/>
  <c r="F1614" i="21"/>
  <c r="G1614" i="21"/>
  <c r="I1614" i="21"/>
  <c r="J1614" i="21"/>
  <c r="L1614" i="21"/>
  <c r="B1615" i="21"/>
  <c r="C1615" i="21"/>
  <c r="D1615" i="21"/>
  <c r="E1615" i="21"/>
  <c r="F1615" i="21"/>
  <c r="G1615" i="21"/>
  <c r="I1615" i="21"/>
  <c r="J1615" i="21"/>
  <c r="L1615" i="21"/>
  <c r="B1616" i="21"/>
  <c r="C1616" i="21"/>
  <c r="D1616" i="21"/>
  <c r="E1616" i="21"/>
  <c r="F1616" i="21"/>
  <c r="G1616" i="21"/>
  <c r="I1616" i="21"/>
  <c r="J1616" i="21"/>
  <c r="L1616" i="21"/>
  <c r="B1617" i="21"/>
  <c r="C1617" i="21"/>
  <c r="D1617" i="21"/>
  <c r="E1617" i="21"/>
  <c r="F1617" i="21"/>
  <c r="G1617" i="21"/>
  <c r="I1617" i="21"/>
  <c r="J1617" i="21"/>
  <c r="L1617" i="21"/>
  <c r="B1618" i="21"/>
  <c r="C1618" i="21"/>
  <c r="D1618" i="21"/>
  <c r="E1618" i="21"/>
  <c r="F1618" i="21"/>
  <c r="G1618" i="21"/>
  <c r="I1618" i="21"/>
  <c r="J1618" i="21"/>
  <c r="L1618" i="21"/>
  <c r="B1619" i="21"/>
  <c r="C1619" i="21"/>
  <c r="D1619" i="21"/>
  <c r="E1619" i="21"/>
  <c r="F1619" i="21"/>
  <c r="G1619" i="21"/>
  <c r="I1619" i="21"/>
  <c r="J1619" i="21"/>
  <c r="L1619" i="21"/>
  <c r="B1620" i="21"/>
  <c r="C1620" i="21"/>
  <c r="D1620" i="21"/>
  <c r="E1620" i="21"/>
  <c r="F1620" i="21"/>
  <c r="G1620" i="21"/>
  <c r="I1620" i="21"/>
  <c r="J1620" i="21"/>
  <c r="L1620" i="21"/>
  <c r="B1621" i="21"/>
  <c r="C1621" i="21"/>
  <c r="D1621" i="21"/>
  <c r="E1621" i="21"/>
  <c r="F1621" i="21"/>
  <c r="G1621" i="21"/>
  <c r="I1621" i="21"/>
  <c r="J1621" i="21"/>
  <c r="L1621" i="21"/>
  <c r="B1622" i="21"/>
  <c r="C1622" i="21"/>
  <c r="D1622" i="21"/>
  <c r="E1622" i="21"/>
  <c r="F1622" i="21"/>
  <c r="G1622" i="21"/>
  <c r="I1622" i="21"/>
  <c r="J1622" i="21"/>
  <c r="L1622" i="21"/>
  <c r="B1623" i="21"/>
  <c r="C1623" i="21"/>
  <c r="D1623" i="21"/>
  <c r="E1623" i="21"/>
  <c r="F1623" i="21"/>
  <c r="G1623" i="21"/>
  <c r="I1623" i="21"/>
  <c r="J1623" i="21"/>
  <c r="L1623" i="21"/>
  <c r="B1624" i="21"/>
  <c r="C1624" i="21"/>
  <c r="D1624" i="21"/>
  <c r="E1624" i="21"/>
  <c r="F1624" i="21"/>
  <c r="G1624" i="21"/>
  <c r="I1624" i="21"/>
  <c r="J1624" i="21"/>
  <c r="L1624" i="21"/>
  <c r="B1625" i="21"/>
  <c r="C1625" i="21"/>
  <c r="D1625" i="21"/>
  <c r="E1625" i="21"/>
  <c r="F1625" i="21"/>
  <c r="G1625" i="21"/>
  <c r="I1625" i="21"/>
  <c r="J1625" i="21"/>
  <c r="L1625" i="21"/>
  <c r="B1626" i="21"/>
  <c r="C1626" i="21"/>
  <c r="D1626" i="21"/>
  <c r="E1626" i="21"/>
  <c r="F1626" i="21"/>
  <c r="G1626" i="21"/>
  <c r="I1626" i="21"/>
  <c r="J1626" i="21"/>
  <c r="L1626" i="21"/>
  <c r="B1627" i="21"/>
  <c r="C1627" i="21"/>
  <c r="D1627" i="21"/>
  <c r="E1627" i="21"/>
  <c r="F1627" i="21"/>
  <c r="G1627" i="21"/>
  <c r="I1627" i="21"/>
  <c r="J1627" i="21"/>
  <c r="L1627" i="21"/>
  <c r="B1628" i="21"/>
  <c r="C1628" i="21"/>
  <c r="D1628" i="21"/>
  <c r="E1628" i="21"/>
  <c r="F1628" i="21"/>
  <c r="G1628" i="21"/>
  <c r="I1628" i="21"/>
  <c r="J1628" i="21"/>
  <c r="L1628" i="21"/>
  <c r="B1629" i="21"/>
  <c r="C1629" i="21"/>
  <c r="D1629" i="21"/>
  <c r="E1629" i="21"/>
  <c r="F1629" i="21"/>
  <c r="G1629" i="21"/>
  <c r="I1629" i="21"/>
  <c r="J1629" i="21"/>
  <c r="L1629" i="21"/>
  <c r="B1630" i="21"/>
  <c r="C1630" i="21"/>
  <c r="D1630" i="21"/>
  <c r="E1630" i="21"/>
  <c r="F1630" i="21"/>
  <c r="G1630" i="21"/>
  <c r="I1630" i="21"/>
  <c r="J1630" i="21"/>
  <c r="L1630" i="21"/>
  <c r="B1631" i="21"/>
  <c r="C1631" i="21"/>
  <c r="D1631" i="21"/>
  <c r="E1631" i="21"/>
  <c r="F1631" i="21"/>
  <c r="G1631" i="21"/>
  <c r="I1631" i="21"/>
  <c r="J1631" i="21"/>
  <c r="L1631" i="21"/>
  <c r="B1632" i="21"/>
  <c r="C1632" i="21"/>
  <c r="D1632" i="21"/>
  <c r="E1632" i="21"/>
  <c r="F1632" i="21"/>
  <c r="G1632" i="21"/>
  <c r="I1632" i="21"/>
  <c r="J1632" i="21"/>
  <c r="L1632" i="21"/>
  <c r="B1633" i="21"/>
  <c r="C1633" i="21"/>
  <c r="D1633" i="21"/>
  <c r="E1633" i="21"/>
  <c r="F1633" i="21"/>
  <c r="G1633" i="21"/>
  <c r="I1633" i="21"/>
  <c r="J1633" i="21"/>
  <c r="L1633" i="21"/>
  <c r="B1634" i="21"/>
  <c r="C1634" i="21"/>
  <c r="D1634" i="21"/>
  <c r="E1634" i="21"/>
  <c r="F1634" i="21"/>
  <c r="G1634" i="21"/>
  <c r="I1634" i="21"/>
  <c r="J1634" i="21"/>
  <c r="L1634" i="21"/>
  <c r="B1635" i="21"/>
  <c r="C1635" i="21"/>
  <c r="D1635" i="21"/>
  <c r="E1635" i="21"/>
  <c r="F1635" i="21"/>
  <c r="G1635" i="21"/>
  <c r="I1635" i="21"/>
  <c r="J1635" i="21"/>
  <c r="L1635" i="21"/>
  <c r="B1636" i="21"/>
  <c r="C1636" i="21"/>
  <c r="D1636" i="21"/>
  <c r="E1636" i="21"/>
  <c r="F1636" i="21"/>
  <c r="G1636" i="21"/>
  <c r="I1636" i="21"/>
  <c r="J1636" i="21"/>
  <c r="L1636" i="21"/>
  <c r="B1637" i="21"/>
  <c r="C1637" i="21"/>
  <c r="D1637" i="21"/>
  <c r="E1637" i="21"/>
  <c r="F1637" i="21"/>
  <c r="G1637" i="21"/>
  <c r="I1637" i="21"/>
  <c r="J1637" i="21"/>
  <c r="L1637" i="21"/>
  <c r="B1638" i="21"/>
  <c r="C1638" i="21"/>
  <c r="D1638" i="21"/>
  <c r="E1638" i="21"/>
  <c r="F1638" i="21"/>
  <c r="G1638" i="21"/>
  <c r="I1638" i="21"/>
  <c r="J1638" i="21"/>
  <c r="L1638" i="21"/>
  <c r="B1639" i="21"/>
  <c r="C1639" i="21"/>
  <c r="D1639" i="21"/>
  <c r="E1639" i="21"/>
  <c r="F1639" i="21"/>
  <c r="G1639" i="21"/>
  <c r="I1639" i="21"/>
  <c r="J1639" i="21"/>
  <c r="L1639" i="21"/>
  <c r="B1640" i="21"/>
  <c r="C1640" i="21"/>
  <c r="D1640" i="21"/>
  <c r="E1640" i="21"/>
  <c r="F1640" i="21"/>
  <c r="G1640" i="21"/>
  <c r="I1640" i="21"/>
  <c r="J1640" i="21"/>
  <c r="L1640" i="21"/>
  <c r="B1641" i="21"/>
  <c r="C1641" i="21"/>
  <c r="D1641" i="21"/>
  <c r="E1641" i="21"/>
  <c r="F1641" i="21"/>
  <c r="G1641" i="21"/>
  <c r="I1641" i="21"/>
  <c r="J1641" i="21"/>
  <c r="L1641" i="21"/>
  <c r="B1642" i="21"/>
  <c r="C1642" i="21"/>
  <c r="D1642" i="21"/>
  <c r="E1642" i="21"/>
  <c r="F1642" i="21"/>
  <c r="G1642" i="21"/>
  <c r="I1642" i="21"/>
  <c r="J1642" i="21"/>
  <c r="L1642" i="21"/>
  <c r="B1643" i="21"/>
  <c r="C1643" i="21"/>
  <c r="D1643" i="21"/>
  <c r="E1643" i="21"/>
  <c r="F1643" i="21"/>
  <c r="G1643" i="21"/>
  <c r="I1643" i="21"/>
  <c r="J1643" i="21"/>
  <c r="L1643" i="21"/>
  <c r="B1644" i="21"/>
  <c r="C1644" i="21"/>
  <c r="D1644" i="21"/>
  <c r="E1644" i="21"/>
  <c r="F1644" i="21"/>
  <c r="G1644" i="21"/>
  <c r="I1644" i="21"/>
  <c r="J1644" i="21"/>
  <c r="L1644" i="21"/>
  <c r="B1645" i="21"/>
  <c r="C1645" i="21"/>
  <c r="D1645" i="21"/>
  <c r="E1645" i="21"/>
  <c r="F1645" i="21"/>
  <c r="G1645" i="21"/>
  <c r="I1645" i="21"/>
  <c r="J1645" i="21"/>
  <c r="L1645" i="21"/>
  <c r="B1646" i="21"/>
  <c r="C1646" i="21"/>
  <c r="D1646" i="21"/>
  <c r="E1646" i="21"/>
  <c r="F1646" i="21"/>
  <c r="G1646" i="21"/>
  <c r="I1646" i="21"/>
  <c r="J1646" i="21"/>
  <c r="L1646" i="21"/>
  <c r="B1647" i="21"/>
  <c r="C1647" i="21"/>
  <c r="D1647" i="21"/>
  <c r="E1647" i="21"/>
  <c r="F1647" i="21"/>
  <c r="G1647" i="21"/>
  <c r="I1647" i="21"/>
  <c r="J1647" i="21"/>
  <c r="L1647" i="21"/>
  <c r="B1648" i="21"/>
  <c r="C1648" i="21"/>
  <c r="D1648" i="21"/>
  <c r="E1648" i="21"/>
  <c r="F1648" i="21"/>
  <c r="G1648" i="21"/>
  <c r="I1648" i="21"/>
  <c r="J1648" i="21"/>
  <c r="L1648" i="21"/>
  <c r="B1649" i="21"/>
  <c r="C1649" i="21"/>
  <c r="D1649" i="21"/>
  <c r="E1649" i="21"/>
  <c r="F1649" i="21"/>
  <c r="G1649" i="21"/>
  <c r="I1649" i="21"/>
  <c r="J1649" i="21"/>
  <c r="L1649" i="21"/>
  <c r="B1650" i="21"/>
  <c r="C1650" i="21"/>
  <c r="D1650" i="21"/>
  <c r="E1650" i="21"/>
  <c r="F1650" i="21"/>
  <c r="G1650" i="21"/>
  <c r="I1650" i="21"/>
  <c r="J1650" i="21"/>
  <c r="L1650" i="21"/>
  <c r="B1651" i="21"/>
  <c r="C1651" i="21"/>
  <c r="D1651" i="21"/>
  <c r="E1651" i="21"/>
  <c r="F1651" i="21"/>
  <c r="G1651" i="21"/>
  <c r="I1651" i="21"/>
  <c r="J1651" i="21"/>
  <c r="L1651" i="21"/>
  <c r="B1652" i="21"/>
  <c r="C1652" i="21"/>
  <c r="D1652" i="21"/>
  <c r="E1652" i="21"/>
  <c r="F1652" i="21"/>
  <c r="G1652" i="21"/>
  <c r="I1652" i="21"/>
  <c r="J1652" i="21"/>
  <c r="L1652" i="21"/>
  <c r="B1653" i="21"/>
  <c r="C1653" i="21"/>
  <c r="D1653" i="21"/>
  <c r="E1653" i="21"/>
  <c r="F1653" i="21"/>
  <c r="G1653" i="21"/>
  <c r="I1653" i="21"/>
  <c r="J1653" i="21"/>
  <c r="L1653" i="21"/>
  <c r="B1654" i="21"/>
  <c r="C1654" i="21"/>
  <c r="D1654" i="21"/>
  <c r="E1654" i="21"/>
  <c r="F1654" i="21"/>
  <c r="G1654" i="21"/>
  <c r="I1654" i="21"/>
  <c r="J1654" i="21"/>
  <c r="L1654" i="21"/>
  <c r="B1655" i="21"/>
  <c r="C1655" i="21"/>
  <c r="D1655" i="21"/>
  <c r="E1655" i="21"/>
  <c r="F1655" i="21"/>
  <c r="G1655" i="21"/>
  <c r="I1655" i="21"/>
  <c r="J1655" i="21"/>
  <c r="L1655" i="21"/>
  <c r="B1656" i="21"/>
  <c r="C1656" i="21"/>
  <c r="D1656" i="21"/>
  <c r="E1656" i="21"/>
  <c r="F1656" i="21"/>
  <c r="G1656" i="21"/>
  <c r="I1656" i="21"/>
  <c r="J1656" i="21"/>
  <c r="L1656" i="21"/>
  <c r="B1657" i="21"/>
  <c r="C1657" i="21"/>
  <c r="D1657" i="21"/>
  <c r="E1657" i="21"/>
  <c r="F1657" i="21"/>
  <c r="G1657" i="21"/>
  <c r="I1657" i="21"/>
  <c r="J1657" i="21"/>
  <c r="L1657" i="21"/>
  <c r="B1658" i="21"/>
  <c r="C1658" i="21"/>
  <c r="D1658" i="21"/>
  <c r="E1658" i="21"/>
  <c r="F1658" i="21"/>
  <c r="G1658" i="21"/>
  <c r="I1658" i="21"/>
  <c r="J1658" i="21"/>
  <c r="L1658" i="21"/>
  <c r="B1659" i="21"/>
  <c r="C1659" i="21"/>
  <c r="D1659" i="21"/>
  <c r="E1659" i="21"/>
  <c r="F1659" i="21"/>
  <c r="G1659" i="21"/>
  <c r="I1659" i="21"/>
  <c r="J1659" i="21"/>
  <c r="L1659" i="21"/>
  <c r="B1660" i="21"/>
  <c r="C1660" i="21"/>
  <c r="D1660" i="21"/>
  <c r="E1660" i="21"/>
  <c r="F1660" i="21"/>
  <c r="G1660" i="21"/>
  <c r="I1660" i="21"/>
  <c r="J1660" i="21"/>
  <c r="L1660" i="21"/>
  <c r="B1661" i="21"/>
  <c r="C1661" i="21"/>
  <c r="D1661" i="21"/>
  <c r="E1661" i="21"/>
  <c r="F1661" i="21"/>
  <c r="G1661" i="21"/>
  <c r="I1661" i="21"/>
  <c r="J1661" i="21"/>
  <c r="L1661" i="21"/>
  <c r="B1662" i="21"/>
  <c r="C1662" i="21"/>
  <c r="D1662" i="21"/>
  <c r="E1662" i="21"/>
  <c r="F1662" i="21"/>
  <c r="G1662" i="21"/>
  <c r="I1662" i="21"/>
  <c r="J1662" i="21"/>
  <c r="L1662" i="21"/>
  <c r="B1663" i="21"/>
  <c r="C1663" i="21"/>
  <c r="D1663" i="21"/>
  <c r="E1663" i="21"/>
  <c r="F1663" i="21"/>
  <c r="G1663" i="21"/>
  <c r="I1663" i="21"/>
  <c r="J1663" i="21"/>
  <c r="L1663" i="21"/>
  <c r="B1664" i="21"/>
  <c r="C1664" i="21"/>
  <c r="D1664" i="21"/>
  <c r="E1664" i="21"/>
  <c r="F1664" i="21"/>
  <c r="G1664" i="21"/>
  <c r="I1664" i="21"/>
  <c r="J1664" i="21"/>
  <c r="L1664" i="21"/>
  <c r="B1665" i="21"/>
  <c r="C1665" i="21"/>
  <c r="D1665" i="21"/>
  <c r="E1665" i="21"/>
  <c r="F1665" i="21"/>
  <c r="G1665" i="21"/>
  <c r="I1665" i="21"/>
  <c r="J1665" i="21"/>
  <c r="L1665" i="21"/>
  <c r="B1666" i="21"/>
  <c r="C1666" i="21"/>
  <c r="D1666" i="21"/>
  <c r="E1666" i="21"/>
  <c r="F1666" i="21"/>
  <c r="G1666" i="21"/>
  <c r="I1666" i="21"/>
  <c r="J1666" i="21"/>
  <c r="L1666" i="21"/>
  <c r="B1667" i="21"/>
  <c r="C1667" i="21"/>
  <c r="D1667" i="21"/>
  <c r="E1667" i="21"/>
  <c r="F1667" i="21"/>
  <c r="G1667" i="21"/>
  <c r="I1667" i="21"/>
  <c r="J1667" i="21"/>
  <c r="L1667" i="21"/>
  <c r="B1668" i="21"/>
  <c r="C1668" i="21"/>
  <c r="D1668" i="21"/>
  <c r="E1668" i="21"/>
  <c r="F1668" i="21"/>
  <c r="G1668" i="21"/>
  <c r="I1668" i="21"/>
  <c r="J1668" i="21"/>
  <c r="L1668" i="21"/>
  <c r="B1669" i="21"/>
  <c r="C1669" i="21"/>
  <c r="D1669" i="21"/>
  <c r="E1669" i="21"/>
  <c r="F1669" i="21"/>
  <c r="G1669" i="21"/>
  <c r="I1669" i="21"/>
  <c r="J1669" i="21"/>
  <c r="L1669" i="21"/>
  <c r="B1670" i="21"/>
  <c r="C1670" i="21"/>
  <c r="D1670" i="21"/>
  <c r="E1670" i="21"/>
  <c r="F1670" i="21"/>
  <c r="G1670" i="21"/>
  <c r="I1670" i="21"/>
  <c r="J1670" i="21"/>
  <c r="L1670" i="21"/>
  <c r="B1671" i="21"/>
  <c r="C1671" i="21"/>
  <c r="D1671" i="21"/>
  <c r="E1671" i="21"/>
  <c r="F1671" i="21"/>
  <c r="G1671" i="21"/>
  <c r="I1671" i="21"/>
  <c r="J1671" i="21"/>
  <c r="L1671" i="21"/>
  <c r="B1672" i="21"/>
  <c r="C1672" i="21"/>
  <c r="D1672" i="21"/>
  <c r="E1672" i="21"/>
  <c r="F1672" i="21"/>
  <c r="G1672" i="21"/>
  <c r="I1672" i="21"/>
  <c r="J1672" i="21"/>
  <c r="L1672" i="21"/>
  <c r="B1673" i="21"/>
  <c r="C1673" i="21"/>
  <c r="D1673" i="21"/>
  <c r="E1673" i="21"/>
  <c r="F1673" i="21"/>
  <c r="G1673" i="21"/>
  <c r="I1673" i="21"/>
  <c r="J1673" i="21"/>
  <c r="L1673" i="21"/>
  <c r="B1674" i="21"/>
  <c r="C1674" i="21"/>
  <c r="D1674" i="21"/>
  <c r="E1674" i="21"/>
  <c r="F1674" i="21"/>
  <c r="G1674" i="21"/>
  <c r="I1674" i="21"/>
  <c r="J1674" i="21"/>
  <c r="L1674" i="21"/>
  <c r="B1675" i="21"/>
  <c r="C1675" i="21"/>
  <c r="D1675" i="21"/>
  <c r="E1675" i="21"/>
  <c r="F1675" i="21"/>
  <c r="G1675" i="21"/>
  <c r="I1675" i="21"/>
  <c r="J1675" i="21"/>
  <c r="L1675" i="21"/>
  <c r="B1676" i="21"/>
  <c r="C1676" i="21"/>
  <c r="D1676" i="21"/>
  <c r="E1676" i="21"/>
  <c r="F1676" i="21"/>
  <c r="G1676" i="21"/>
  <c r="I1676" i="21"/>
  <c r="J1676" i="21"/>
  <c r="L1676" i="21"/>
  <c r="B1677" i="21"/>
  <c r="C1677" i="21"/>
  <c r="D1677" i="21"/>
  <c r="E1677" i="21"/>
  <c r="F1677" i="21"/>
  <c r="G1677" i="21"/>
  <c r="I1677" i="21"/>
  <c r="J1677" i="21"/>
  <c r="L1677" i="21"/>
  <c r="B1678" i="21"/>
  <c r="C1678" i="21"/>
  <c r="D1678" i="21"/>
  <c r="E1678" i="21"/>
  <c r="F1678" i="21"/>
  <c r="G1678" i="21"/>
  <c r="I1678" i="21"/>
  <c r="J1678" i="21"/>
  <c r="L1678" i="21"/>
  <c r="B1679" i="21"/>
  <c r="C1679" i="21"/>
  <c r="D1679" i="21"/>
  <c r="E1679" i="21"/>
  <c r="F1679" i="21"/>
  <c r="G1679" i="21"/>
  <c r="I1679" i="21"/>
  <c r="J1679" i="21"/>
  <c r="L1679" i="21"/>
  <c r="B1680" i="21"/>
  <c r="C1680" i="21"/>
  <c r="D1680" i="21"/>
  <c r="E1680" i="21"/>
  <c r="F1680" i="21"/>
  <c r="G1680" i="21"/>
  <c r="I1680" i="21"/>
  <c r="J1680" i="21"/>
  <c r="L1680" i="21"/>
  <c r="B1681" i="21"/>
  <c r="C1681" i="21"/>
  <c r="D1681" i="21"/>
  <c r="E1681" i="21"/>
  <c r="F1681" i="21"/>
  <c r="G1681" i="21"/>
  <c r="I1681" i="21"/>
  <c r="J1681" i="21"/>
  <c r="L1681" i="21"/>
  <c r="B1682" i="21"/>
  <c r="C1682" i="21"/>
  <c r="D1682" i="21"/>
  <c r="E1682" i="21"/>
  <c r="F1682" i="21"/>
  <c r="G1682" i="21"/>
  <c r="I1682" i="21"/>
  <c r="J1682" i="21"/>
  <c r="L1682" i="21"/>
  <c r="B1683" i="21"/>
  <c r="C1683" i="21"/>
  <c r="D1683" i="21"/>
  <c r="E1683" i="21"/>
  <c r="F1683" i="21"/>
  <c r="G1683" i="21"/>
  <c r="I1683" i="21"/>
  <c r="J1683" i="21"/>
  <c r="L1683" i="21"/>
  <c r="B1684" i="21"/>
  <c r="C1684" i="21"/>
  <c r="D1684" i="21"/>
  <c r="E1684" i="21"/>
  <c r="F1684" i="21"/>
  <c r="G1684" i="21"/>
  <c r="I1684" i="21"/>
  <c r="J1684" i="21"/>
  <c r="L1684" i="21"/>
  <c r="B1685" i="21"/>
  <c r="C1685" i="21"/>
  <c r="D1685" i="21"/>
  <c r="E1685" i="21"/>
  <c r="F1685" i="21"/>
  <c r="G1685" i="21"/>
  <c r="I1685" i="21"/>
  <c r="J1685" i="21"/>
  <c r="L1685" i="21"/>
  <c r="B1686" i="21"/>
  <c r="C1686" i="21"/>
  <c r="D1686" i="21"/>
  <c r="E1686" i="21"/>
  <c r="F1686" i="21"/>
  <c r="G1686" i="21"/>
  <c r="I1686" i="21"/>
  <c r="J1686" i="21"/>
  <c r="L1686" i="21"/>
  <c r="B1687" i="21"/>
  <c r="C1687" i="21"/>
  <c r="D1687" i="21"/>
  <c r="E1687" i="21"/>
  <c r="F1687" i="21"/>
  <c r="G1687" i="21"/>
  <c r="I1687" i="21"/>
  <c r="J1687" i="21"/>
  <c r="L1687" i="21"/>
  <c r="B1688" i="21"/>
  <c r="C1688" i="21"/>
  <c r="D1688" i="21"/>
  <c r="E1688" i="21"/>
  <c r="F1688" i="21"/>
  <c r="G1688" i="21"/>
  <c r="I1688" i="21"/>
  <c r="J1688" i="21"/>
  <c r="L1688" i="21"/>
  <c r="B1689" i="21"/>
  <c r="C1689" i="21"/>
  <c r="D1689" i="21"/>
  <c r="E1689" i="21"/>
  <c r="F1689" i="21"/>
  <c r="G1689" i="21"/>
  <c r="I1689" i="21"/>
  <c r="J1689" i="21"/>
  <c r="L1689" i="21"/>
  <c r="B1690" i="21"/>
  <c r="C1690" i="21"/>
  <c r="D1690" i="21"/>
  <c r="E1690" i="21"/>
  <c r="F1690" i="21"/>
  <c r="G1690" i="21"/>
  <c r="I1690" i="21"/>
  <c r="J1690" i="21"/>
  <c r="L1690" i="21"/>
  <c r="B1691" i="21"/>
  <c r="C1691" i="21"/>
  <c r="D1691" i="21"/>
  <c r="E1691" i="21"/>
  <c r="F1691" i="21"/>
  <c r="G1691" i="21"/>
  <c r="I1691" i="21"/>
  <c r="J1691" i="21"/>
  <c r="L1691" i="21"/>
  <c r="B1692" i="21"/>
  <c r="C1692" i="21"/>
  <c r="D1692" i="21"/>
  <c r="E1692" i="21"/>
  <c r="F1692" i="21"/>
  <c r="G1692" i="21"/>
  <c r="I1692" i="21"/>
  <c r="J1692" i="21"/>
  <c r="L1692" i="21"/>
  <c r="B1693" i="21"/>
  <c r="C1693" i="21"/>
  <c r="D1693" i="21"/>
  <c r="E1693" i="21"/>
  <c r="F1693" i="21"/>
  <c r="G1693" i="21"/>
  <c r="I1693" i="21"/>
  <c r="J1693" i="21"/>
  <c r="L1693" i="21"/>
  <c r="B1694" i="21"/>
  <c r="C1694" i="21"/>
  <c r="D1694" i="21"/>
  <c r="E1694" i="21"/>
  <c r="F1694" i="21"/>
  <c r="G1694" i="21"/>
  <c r="I1694" i="21"/>
  <c r="J1694" i="21"/>
  <c r="L1694" i="21"/>
  <c r="B1695" i="21"/>
  <c r="C1695" i="21"/>
  <c r="D1695" i="21"/>
  <c r="E1695" i="21"/>
  <c r="F1695" i="21"/>
  <c r="G1695" i="21"/>
  <c r="I1695" i="21"/>
  <c r="J1695" i="21"/>
  <c r="L1695" i="21"/>
  <c r="B1696" i="21"/>
  <c r="C1696" i="21"/>
  <c r="D1696" i="21"/>
  <c r="E1696" i="21"/>
  <c r="F1696" i="21"/>
  <c r="G1696" i="21"/>
  <c r="I1696" i="21"/>
  <c r="J1696" i="21"/>
  <c r="L1696" i="21"/>
  <c r="B1697" i="21"/>
  <c r="C1697" i="21"/>
  <c r="D1697" i="21"/>
  <c r="E1697" i="21"/>
  <c r="F1697" i="21"/>
  <c r="G1697" i="21"/>
  <c r="I1697" i="21"/>
  <c r="J1697" i="21"/>
  <c r="L1697" i="21"/>
  <c r="B1698" i="21"/>
  <c r="C1698" i="21"/>
  <c r="D1698" i="21"/>
  <c r="E1698" i="21"/>
  <c r="F1698" i="21"/>
  <c r="G1698" i="21"/>
  <c r="I1698" i="21"/>
  <c r="J1698" i="21"/>
  <c r="L1698" i="21"/>
  <c r="B1699" i="21"/>
  <c r="C1699" i="21"/>
  <c r="D1699" i="21"/>
  <c r="E1699" i="21"/>
  <c r="F1699" i="21"/>
  <c r="G1699" i="21"/>
  <c r="I1699" i="21"/>
  <c r="J1699" i="21"/>
  <c r="L1699" i="21"/>
  <c r="B1700" i="21"/>
  <c r="C1700" i="21"/>
  <c r="D1700" i="21"/>
  <c r="E1700" i="21"/>
  <c r="F1700" i="21"/>
  <c r="G1700" i="21"/>
  <c r="I1700" i="21"/>
  <c r="J1700" i="21"/>
  <c r="L1700" i="21"/>
  <c r="B1701" i="21"/>
  <c r="C1701" i="21"/>
  <c r="D1701" i="21"/>
  <c r="E1701" i="21"/>
  <c r="F1701" i="21"/>
  <c r="G1701" i="21"/>
  <c r="I1701" i="21"/>
  <c r="J1701" i="21"/>
  <c r="L1701" i="21"/>
  <c r="B1702" i="21"/>
  <c r="C1702" i="21"/>
  <c r="D1702" i="21"/>
  <c r="E1702" i="21"/>
  <c r="F1702" i="21"/>
  <c r="G1702" i="21"/>
  <c r="I1702" i="21"/>
  <c r="J1702" i="21"/>
  <c r="L1702" i="21"/>
  <c r="B1703" i="21"/>
  <c r="C1703" i="21"/>
  <c r="D1703" i="21"/>
  <c r="E1703" i="21"/>
  <c r="F1703" i="21"/>
  <c r="G1703" i="21"/>
  <c r="I1703" i="21"/>
  <c r="J1703" i="21"/>
  <c r="L1703" i="21"/>
  <c r="B1704" i="21"/>
  <c r="C1704" i="21"/>
  <c r="D1704" i="21"/>
  <c r="E1704" i="21"/>
  <c r="F1704" i="21"/>
  <c r="G1704" i="21"/>
  <c r="I1704" i="21"/>
  <c r="J1704" i="21"/>
  <c r="L1704" i="21"/>
  <c r="B1705" i="21"/>
  <c r="C1705" i="21"/>
  <c r="D1705" i="21"/>
  <c r="E1705" i="21"/>
  <c r="F1705" i="21"/>
  <c r="G1705" i="21"/>
  <c r="I1705" i="21"/>
  <c r="J1705" i="21"/>
  <c r="L1705" i="21"/>
  <c r="B1706" i="21"/>
  <c r="C1706" i="21"/>
  <c r="D1706" i="21"/>
  <c r="E1706" i="21"/>
  <c r="F1706" i="21"/>
  <c r="G1706" i="21"/>
  <c r="I1706" i="21"/>
  <c r="J1706" i="21"/>
  <c r="L1706" i="21"/>
  <c r="B1707" i="21"/>
  <c r="C1707" i="21"/>
  <c r="D1707" i="21"/>
  <c r="E1707" i="21"/>
  <c r="F1707" i="21"/>
  <c r="G1707" i="21"/>
  <c r="I1707" i="21"/>
  <c r="J1707" i="21"/>
  <c r="L1707" i="21"/>
  <c r="B1708" i="21"/>
  <c r="C1708" i="21"/>
  <c r="D1708" i="21"/>
  <c r="E1708" i="21"/>
  <c r="F1708" i="21"/>
  <c r="G1708" i="21"/>
  <c r="I1708" i="21"/>
  <c r="J1708" i="21"/>
  <c r="L1708" i="21"/>
  <c r="B1709" i="21"/>
  <c r="C1709" i="21"/>
  <c r="D1709" i="21"/>
  <c r="E1709" i="21"/>
  <c r="F1709" i="21"/>
  <c r="G1709" i="21"/>
  <c r="I1709" i="21"/>
  <c r="J1709" i="21"/>
  <c r="L1709" i="21"/>
  <c r="B1710" i="21"/>
  <c r="C1710" i="21"/>
  <c r="D1710" i="21"/>
  <c r="E1710" i="21"/>
  <c r="F1710" i="21"/>
  <c r="G1710" i="21"/>
  <c r="I1710" i="21"/>
  <c r="J1710" i="21"/>
  <c r="L1710" i="21"/>
  <c r="B1711" i="21"/>
  <c r="C1711" i="21"/>
  <c r="D1711" i="21"/>
  <c r="E1711" i="21"/>
  <c r="F1711" i="21"/>
  <c r="G1711" i="21"/>
  <c r="I1711" i="21"/>
  <c r="J1711" i="21"/>
  <c r="L1711" i="21"/>
  <c r="B1712" i="21"/>
  <c r="C1712" i="21"/>
  <c r="D1712" i="21"/>
  <c r="E1712" i="21"/>
  <c r="F1712" i="21"/>
  <c r="G1712" i="21"/>
  <c r="I1712" i="21"/>
  <c r="J1712" i="21"/>
  <c r="L1712" i="21"/>
  <c r="B1713" i="21"/>
  <c r="C1713" i="21"/>
  <c r="D1713" i="21"/>
  <c r="E1713" i="21"/>
  <c r="F1713" i="21"/>
  <c r="G1713" i="21"/>
  <c r="I1713" i="21"/>
  <c r="J1713" i="21"/>
  <c r="L1713" i="21"/>
  <c r="B1714" i="21"/>
  <c r="C1714" i="21"/>
  <c r="D1714" i="21"/>
  <c r="E1714" i="21"/>
  <c r="F1714" i="21"/>
  <c r="G1714" i="21"/>
  <c r="I1714" i="21"/>
  <c r="J1714" i="21"/>
  <c r="L1714" i="21"/>
  <c r="B1715" i="21"/>
  <c r="C1715" i="21"/>
  <c r="D1715" i="21"/>
  <c r="E1715" i="21"/>
  <c r="F1715" i="21"/>
  <c r="G1715" i="21"/>
  <c r="I1715" i="21"/>
  <c r="J1715" i="21"/>
  <c r="L1715" i="21"/>
  <c r="B1716" i="21"/>
  <c r="C1716" i="21"/>
  <c r="D1716" i="21"/>
  <c r="E1716" i="21"/>
  <c r="F1716" i="21"/>
  <c r="G1716" i="21"/>
  <c r="I1716" i="21"/>
  <c r="J1716" i="21"/>
  <c r="L1716" i="21"/>
  <c r="B1717" i="21"/>
  <c r="C1717" i="21"/>
  <c r="D1717" i="21"/>
  <c r="E1717" i="21"/>
  <c r="F1717" i="21"/>
  <c r="G1717" i="21"/>
  <c r="I1717" i="21"/>
  <c r="J1717" i="21"/>
  <c r="L1717" i="21"/>
  <c r="B1718" i="21"/>
  <c r="C1718" i="21"/>
  <c r="D1718" i="21"/>
  <c r="E1718" i="21"/>
  <c r="F1718" i="21"/>
  <c r="G1718" i="21"/>
  <c r="I1718" i="21"/>
  <c r="J1718" i="21"/>
  <c r="L1718" i="21"/>
  <c r="B1719" i="21"/>
  <c r="C1719" i="21"/>
  <c r="D1719" i="21"/>
  <c r="E1719" i="21"/>
  <c r="F1719" i="21"/>
  <c r="G1719" i="21"/>
  <c r="I1719" i="21"/>
  <c r="J1719" i="21"/>
  <c r="L1719" i="21"/>
  <c r="B1720" i="21"/>
  <c r="C1720" i="21"/>
  <c r="D1720" i="21"/>
  <c r="E1720" i="21"/>
  <c r="F1720" i="21"/>
  <c r="G1720" i="21"/>
  <c r="I1720" i="21"/>
  <c r="J1720" i="21"/>
  <c r="L1720" i="21"/>
  <c r="B1721" i="21"/>
  <c r="C1721" i="21"/>
  <c r="D1721" i="21"/>
  <c r="E1721" i="21"/>
  <c r="F1721" i="21"/>
  <c r="G1721" i="21"/>
  <c r="I1721" i="21"/>
  <c r="J1721" i="21"/>
  <c r="L1721" i="21"/>
  <c r="B1722" i="21"/>
  <c r="C1722" i="21"/>
  <c r="D1722" i="21"/>
  <c r="E1722" i="21"/>
  <c r="F1722" i="21"/>
  <c r="G1722" i="21"/>
  <c r="I1722" i="21"/>
  <c r="J1722" i="21"/>
  <c r="L1722" i="21"/>
  <c r="B1723" i="21"/>
  <c r="C1723" i="21"/>
  <c r="D1723" i="21"/>
  <c r="E1723" i="21"/>
  <c r="F1723" i="21"/>
  <c r="G1723" i="21"/>
  <c r="I1723" i="21"/>
  <c r="J1723" i="21"/>
  <c r="L1723" i="21"/>
  <c r="B1724" i="21"/>
  <c r="C1724" i="21"/>
  <c r="D1724" i="21"/>
  <c r="E1724" i="21"/>
  <c r="F1724" i="21"/>
  <c r="G1724" i="21"/>
  <c r="I1724" i="21"/>
  <c r="J1724" i="21"/>
  <c r="L1724" i="21"/>
  <c r="B1725" i="21"/>
  <c r="C1725" i="21"/>
  <c r="D1725" i="21"/>
  <c r="E1725" i="21"/>
  <c r="F1725" i="21"/>
  <c r="G1725" i="21"/>
  <c r="I1725" i="21"/>
  <c r="J1725" i="21"/>
  <c r="L1725" i="21"/>
  <c r="B1726" i="21"/>
  <c r="C1726" i="21"/>
  <c r="D1726" i="21"/>
  <c r="E1726" i="21"/>
  <c r="F1726" i="21"/>
  <c r="G1726" i="21"/>
  <c r="I1726" i="21"/>
  <c r="J1726" i="21"/>
  <c r="L1726" i="21"/>
  <c r="B1727" i="21"/>
  <c r="C1727" i="21"/>
  <c r="D1727" i="21"/>
  <c r="E1727" i="21"/>
  <c r="F1727" i="21"/>
  <c r="G1727" i="21"/>
  <c r="I1727" i="21"/>
  <c r="J1727" i="21"/>
  <c r="L1727" i="21"/>
  <c r="B1728" i="21"/>
  <c r="C1728" i="21"/>
  <c r="D1728" i="21"/>
  <c r="E1728" i="21"/>
  <c r="F1728" i="21"/>
  <c r="G1728" i="21"/>
  <c r="I1728" i="21"/>
  <c r="J1728" i="21"/>
  <c r="L1728" i="21"/>
  <c r="B1729" i="21"/>
  <c r="C1729" i="21"/>
  <c r="D1729" i="21"/>
  <c r="E1729" i="21"/>
  <c r="F1729" i="21"/>
  <c r="G1729" i="21"/>
  <c r="I1729" i="21"/>
  <c r="J1729" i="21"/>
  <c r="L1729" i="21"/>
  <c r="B1730" i="21"/>
  <c r="C1730" i="21"/>
  <c r="D1730" i="21"/>
  <c r="E1730" i="21"/>
  <c r="F1730" i="21"/>
  <c r="G1730" i="21"/>
  <c r="I1730" i="21"/>
  <c r="J1730" i="21"/>
  <c r="L1730" i="21"/>
  <c r="B1731" i="21"/>
  <c r="C1731" i="21"/>
  <c r="D1731" i="21"/>
  <c r="E1731" i="21"/>
  <c r="F1731" i="21"/>
  <c r="G1731" i="21"/>
  <c r="I1731" i="21"/>
  <c r="J1731" i="21"/>
  <c r="L1731" i="21"/>
  <c r="B1732" i="21"/>
  <c r="C1732" i="21"/>
  <c r="D1732" i="21"/>
  <c r="E1732" i="21"/>
  <c r="F1732" i="21"/>
  <c r="G1732" i="21"/>
  <c r="I1732" i="21"/>
  <c r="J1732" i="21"/>
  <c r="L1732" i="21"/>
  <c r="B1733" i="21"/>
  <c r="C1733" i="21"/>
  <c r="D1733" i="21"/>
  <c r="E1733" i="21"/>
  <c r="F1733" i="21"/>
  <c r="G1733" i="21"/>
  <c r="I1733" i="21"/>
  <c r="J1733" i="21"/>
  <c r="L1733" i="21"/>
  <c r="B1734" i="21"/>
  <c r="C1734" i="21"/>
  <c r="D1734" i="21"/>
  <c r="E1734" i="21"/>
  <c r="F1734" i="21"/>
  <c r="G1734" i="21"/>
  <c r="I1734" i="21"/>
  <c r="J1734" i="21"/>
  <c r="L1734" i="21"/>
  <c r="B1735" i="21"/>
  <c r="C1735" i="21"/>
  <c r="D1735" i="21"/>
  <c r="E1735" i="21"/>
  <c r="F1735" i="21"/>
  <c r="G1735" i="21"/>
  <c r="I1735" i="21"/>
  <c r="J1735" i="21"/>
  <c r="L1735" i="21"/>
  <c r="B1736" i="21"/>
  <c r="C1736" i="21"/>
  <c r="D1736" i="21"/>
  <c r="E1736" i="21"/>
  <c r="F1736" i="21"/>
  <c r="G1736" i="21"/>
  <c r="I1736" i="21"/>
  <c r="J1736" i="21"/>
  <c r="L1736" i="21"/>
  <c r="B1737" i="21"/>
  <c r="C1737" i="21"/>
  <c r="D1737" i="21"/>
  <c r="E1737" i="21"/>
  <c r="F1737" i="21"/>
  <c r="G1737" i="21"/>
  <c r="I1737" i="21"/>
  <c r="J1737" i="21"/>
  <c r="L1737" i="21"/>
  <c r="B1738" i="21"/>
  <c r="C1738" i="21"/>
  <c r="D1738" i="21"/>
  <c r="E1738" i="21"/>
  <c r="F1738" i="21"/>
  <c r="G1738" i="21"/>
  <c r="I1738" i="21"/>
  <c r="J1738" i="21"/>
  <c r="L1738" i="21"/>
  <c r="B1739" i="21"/>
  <c r="C1739" i="21"/>
  <c r="D1739" i="21"/>
  <c r="E1739" i="21"/>
  <c r="F1739" i="21"/>
  <c r="G1739" i="21"/>
  <c r="I1739" i="21"/>
  <c r="J1739" i="21"/>
  <c r="L1739" i="21"/>
  <c r="B1740" i="21"/>
  <c r="C1740" i="21"/>
  <c r="D1740" i="21"/>
  <c r="E1740" i="21"/>
  <c r="F1740" i="21"/>
  <c r="G1740" i="21"/>
  <c r="I1740" i="21"/>
  <c r="J1740" i="21"/>
  <c r="L1740" i="21"/>
  <c r="B1741" i="21"/>
  <c r="C1741" i="21"/>
  <c r="D1741" i="21"/>
  <c r="E1741" i="21"/>
  <c r="F1741" i="21"/>
  <c r="G1741" i="21"/>
  <c r="I1741" i="21"/>
  <c r="J1741" i="21"/>
  <c r="L1741" i="21"/>
  <c r="B1742" i="21"/>
  <c r="C1742" i="21"/>
  <c r="D1742" i="21"/>
  <c r="E1742" i="21"/>
  <c r="F1742" i="21"/>
  <c r="G1742" i="21"/>
  <c r="I1742" i="21"/>
  <c r="J1742" i="21"/>
  <c r="L1742" i="21"/>
  <c r="B1743" i="21"/>
  <c r="C1743" i="21"/>
  <c r="D1743" i="21"/>
  <c r="E1743" i="21"/>
  <c r="F1743" i="21"/>
  <c r="G1743" i="21"/>
  <c r="I1743" i="21"/>
  <c r="J1743" i="21"/>
  <c r="L1743" i="21"/>
  <c r="B1744" i="21"/>
  <c r="C1744" i="21"/>
  <c r="D1744" i="21"/>
  <c r="E1744" i="21"/>
  <c r="F1744" i="21"/>
  <c r="G1744" i="21"/>
  <c r="I1744" i="21"/>
  <c r="J1744" i="21"/>
  <c r="L1744" i="21"/>
  <c r="B1745" i="21"/>
  <c r="C1745" i="21"/>
  <c r="D1745" i="21"/>
  <c r="E1745" i="21"/>
  <c r="F1745" i="21"/>
  <c r="G1745" i="21"/>
  <c r="I1745" i="21"/>
  <c r="J1745" i="21"/>
  <c r="L1745" i="21"/>
  <c r="B1746" i="21"/>
  <c r="C1746" i="21"/>
  <c r="D1746" i="21"/>
  <c r="E1746" i="21"/>
  <c r="F1746" i="21"/>
  <c r="G1746" i="21"/>
  <c r="I1746" i="21"/>
  <c r="J1746" i="21"/>
  <c r="L1746" i="21"/>
  <c r="B1747" i="21"/>
  <c r="C1747" i="21"/>
  <c r="D1747" i="21"/>
  <c r="E1747" i="21"/>
  <c r="F1747" i="21"/>
  <c r="G1747" i="21"/>
  <c r="I1747" i="21"/>
  <c r="J1747" i="21"/>
  <c r="L1747" i="21"/>
  <c r="B1748" i="21"/>
  <c r="C1748" i="21"/>
  <c r="D1748" i="21"/>
  <c r="E1748" i="21"/>
  <c r="F1748" i="21"/>
  <c r="G1748" i="21"/>
  <c r="I1748" i="21"/>
  <c r="J1748" i="21"/>
  <c r="L1748" i="21"/>
  <c r="B1749" i="21"/>
  <c r="C1749" i="21"/>
  <c r="D1749" i="21"/>
  <c r="E1749" i="21"/>
  <c r="F1749" i="21"/>
  <c r="G1749" i="21"/>
  <c r="I1749" i="21"/>
  <c r="J1749" i="21"/>
  <c r="L1749" i="21"/>
  <c r="B1750" i="21"/>
  <c r="C1750" i="21"/>
  <c r="D1750" i="21"/>
  <c r="E1750" i="21"/>
  <c r="F1750" i="21"/>
  <c r="G1750" i="21"/>
  <c r="I1750" i="21"/>
  <c r="J1750" i="21"/>
  <c r="L1750" i="21"/>
  <c r="B1751" i="21"/>
  <c r="C1751" i="21"/>
  <c r="D1751" i="21"/>
  <c r="E1751" i="21"/>
  <c r="F1751" i="21"/>
  <c r="G1751" i="21"/>
  <c r="I1751" i="21"/>
  <c r="J1751" i="21"/>
  <c r="L1751" i="21"/>
  <c r="B1752" i="21"/>
  <c r="C1752" i="21"/>
  <c r="D1752" i="21"/>
  <c r="E1752" i="21"/>
  <c r="F1752" i="21"/>
  <c r="G1752" i="21"/>
  <c r="I1752" i="21"/>
  <c r="J1752" i="21"/>
  <c r="L1752" i="21"/>
  <c r="B1753" i="21"/>
  <c r="C1753" i="21"/>
  <c r="D1753" i="21"/>
  <c r="E1753" i="21"/>
  <c r="F1753" i="21"/>
  <c r="G1753" i="21"/>
  <c r="I1753" i="21"/>
  <c r="J1753" i="21"/>
  <c r="L1753" i="21"/>
  <c r="B1754" i="21"/>
  <c r="C1754" i="21"/>
  <c r="D1754" i="21"/>
  <c r="E1754" i="21"/>
  <c r="F1754" i="21"/>
  <c r="G1754" i="21"/>
  <c r="I1754" i="21"/>
  <c r="J1754" i="21"/>
  <c r="L1754" i="21"/>
  <c r="B1755" i="21"/>
  <c r="C1755" i="21"/>
  <c r="D1755" i="21"/>
  <c r="E1755" i="21"/>
  <c r="F1755" i="21"/>
  <c r="G1755" i="21"/>
  <c r="I1755" i="21"/>
  <c r="J1755" i="21"/>
  <c r="L1755" i="21"/>
  <c r="B1756" i="21"/>
  <c r="C1756" i="21"/>
  <c r="D1756" i="21"/>
  <c r="E1756" i="21"/>
  <c r="F1756" i="21"/>
  <c r="G1756" i="21"/>
  <c r="I1756" i="21"/>
  <c r="J1756" i="21"/>
  <c r="L1756" i="21"/>
  <c r="B1757" i="21"/>
  <c r="C1757" i="21"/>
  <c r="D1757" i="21"/>
  <c r="E1757" i="21"/>
  <c r="F1757" i="21"/>
  <c r="G1757" i="21"/>
  <c r="I1757" i="21"/>
  <c r="J1757" i="21"/>
  <c r="L1757" i="21"/>
  <c r="B1758" i="21"/>
  <c r="C1758" i="21"/>
  <c r="D1758" i="21"/>
  <c r="E1758" i="21"/>
  <c r="F1758" i="21"/>
  <c r="G1758" i="21"/>
  <c r="I1758" i="21"/>
  <c r="J1758" i="21"/>
  <c r="L1758" i="21"/>
  <c r="B1759" i="21"/>
  <c r="C1759" i="21"/>
  <c r="D1759" i="21"/>
  <c r="E1759" i="21"/>
  <c r="F1759" i="21"/>
  <c r="G1759" i="21"/>
  <c r="I1759" i="21"/>
  <c r="J1759" i="21"/>
  <c r="L1759" i="21"/>
  <c r="B1760" i="21"/>
  <c r="C1760" i="21"/>
  <c r="D1760" i="21"/>
  <c r="E1760" i="21"/>
  <c r="F1760" i="21"/>
  <c r="G1760" i="21"/>
  <c r="I1760" i="21"/>
  <c r="J1760" i="21"/>
  <c r="L1760" i="21"/>
  <c r="B1761" i="21"/>
  <c r="C1761" i="21"/>
  <c r="D1761" i="21"/>
  <c r="E1761" i="21"/>
  <c r="F1761" i="21"/>
  <c r="G1761" i="21"/>
  <c r="I1761" i="21"/>
  <c r="J1761" i="21"/>
  <c r="L1761" i="21"/>
  <c r="B1762" i="21"/>
  <c r="C1762" i="21"/>
  <c r="D1762" i="21"/>
  <c r="E1762" i="21"/>
  <c r="F1762" i="21"/>
  <c r="G1762" i="21"/>
  <c r="I1762" i="21"/>
  <c r="J1762" i="21"/>
  <c r="L1762" i="21"/>
  <c r="B1763" i="21"/>
  <c r="C1763" i="21"/>
  <c r="D1763" i="21"/>
  <c r="E1763" i="21"/>
  <c r="F1763" i="21"/>
  <c r="G1763" i="21"/>
  <c r="I1763" i="21"/>
  <c r="J1763" i="21"/>
  <c r="L1763" i="21"/>
  <c r="B1764" i="21"/>
  <c r="C1764" i="21"/>
  <c r="D1764" i="21"/>
  <c r="E1764" i="21"/>
  <c r="F1764" i="21"/>
  <c r="G1764" i="21"/>
  <c r="I1764" i="21"/>
  <c r="J1764" i="21"/>
  <c r="L1764" i="21"/>
  <c r="B1765" i="21"/>
  <c r="C1765" i="21"/>
  <c r="D1765" i="21"/>
  <c r="E1765" i="21"/>
  <c r="F1765" i="21"/>
  <c r="G1765" i="21"/>
  <c r="I1765" i="21"/>
  <c r="J1765" i="21"/>
  <c r="L1765" i="21"/>
  <c r="B1766" i="21"/>
  <c r="C1766" i="21"/>
  <c r="D1766" i="21"/>
  <c r="E1766" i="21"/>
  <c r="F1766" i="21"/>
  <c r="G1766" i="21"/>
  <c r="I1766" i="21"/>
  <c r="J1766" i="21"/>
  <c r="L1766" i="21"/>
  <c r="B1767" i="21"/>
  <c r="C1767" i="21"/>
  <c r="D1767" i="21"/>
  <c r="E1767" i="21"/>
  <c r="F1767" i="21"/>
  <c r="G1767" i="21"/>
  <c r="I1767" i="21"/>
  <c r="J1767" i="21"/>
  <c r="L1767" i="21"/>
  <c r="B1768" i="21"/>
  <c r="C1768" i="21"/>
  <c r="D1768" i="21"/>
  <c r="E1768" i="21"/>
  <c r="F1768" i="21"/>
  <c r="G1768" i="21"/>
  <c r="I1768" i="21"/>
  <c r="J1768" i="21"/>
  <c r="L1768" i="21"/>
  <c r="B1769" i="21"/>
  <c r="C1769" i="21"/>
  <c r="D1769" i="21"/>
  <c r="E1769" i="21"/>
  <c r="F1769" i="21"/>
  <c r="G1769" i="21"/>
  <c r="I1769" i="21"/>
  <c r="J1769" i="21"/>
  <c r="L1769" i="21"/>
  <c r="B1770" i="21"/>
  <c r="C1770" i="21"/>
  <c r="D1770" i="21"/>
  <c r="E1770" i="21"/>
  <c r="F1770" i="21"/>
  <c r="G1770" i="21"/>
  <c r="I1770" i="21"/>
  <c r="J1770" i="21"/>
  <c r="L1770" i="21"/>
  <c r="B1771" i="21"/>
  <c r="C1771" i="21"/>
  <c r="D1771" i="21"/>
  <c r="E1771" i="21"/>
  <c r="F1771" i="21"/>
  <c r="G1771" i="21"/>
  <c r="I1771" i="21"/>
  <c r="J1771" i="21"/>
  <c r="L1771" i="21"/>
  <c r="B1772" i="21"/>
  <c r="C1772" i="21"/>
  <c r="D1772" i="21"/>
  <c r="E1772" i="21"/>
  <c r="F1772" i="21"/>
  <c r="G1772" i="21"/>
  <c r="I1772" i="21"/>
  <c r="J1772" i="21"/>
  <c r="L1772" i="21"/>
  <c r="B1773" i="21"/>
  <c r="C1773" i="21"/>
  <c r="D1773" i="21"/>
  <c r="E1773" i="21"/>
  <c r="F1773" i="21"/>
  <c r="G1773" i="21"/>
  <c r="I1773" i="21"/>
  <c r="J1773" i="21"/>
  <c r="L1773" i="21"/>
  <c r="B1774" i="21"/>
  <c r="C1774" i="21"/>
  <c r="D1774" i="21"/>
  <c r="E1774" i="21"/>
  <c r="F1774" i="21"/>
  <c r="G1774" i="21"/>
  <c r="I1774" i="21"/>
  <c r="J1774" i="21"/>
  <c r="L1774" i="21"/>
  <c r="B1775" i="21"/>
  <c r="C1775" i="21"/>
  <c r="D1775" i="21"/>
  <c r="E1775" i="21"/>
  <c r="F1775" i="21"/>
  <c r="G1775" i="21"/>
  <c r="I1775" i="21"/>
  <c r="J1775" i="21"/>
  <c r="L1775" i="21"/>
  <c r="B1776" i="21"/>
  <c r="C1776" i="21"/>
  <c r="D1776" i="21"/>
  <c r="E1776" i="21"/>
  <c r="F1776" i="21"/>
  <c r="G1776" i="21"/>
  <c r="I1776" i="21"/>
  <c r="J1776" i="21"/>
  <c r="L1776" i="21"/>
  <c r="B1777" i="21"/>
  <c r="C1777" i="21"/>
  <c r="D1777" i="21"/>
  <c r="E1777" i="21"/>
  <c r="F1777" i="21"/>
  <c r="G1777" i="21"/>
  <c r="I1777" i="21"/>
  <c r="J1777" i="21"/>
  <c r="L1777" i="21"/>
  <c r="B1778" i="21"/>
  <c r="C1778" i="21"/>
  <c r="D1778" i="21"/>
  <c r="E1778" i="21"/>
  <c r="F1778" i="21"/>
  <c r="G1778" i="21"/>
  <c r="I1778" i="21"/>
  <c r="J1778" i="21"/>
  <c r="L1778" i="21"/>
  <c r="B1779" i="21"/>
  <c r="C1779" i="21"/>
  <c r="D1779" i="21"/>
  <c r="E1779" i="21"/>
  <c r="F1779" i="21"/>
  <c r="G1779" i="21"/>
  <c r="I1779" i="21"/>
  <c r="J1779" i="21"/>
  <c r="L1779" i="21"/>
  <c r="B1780" i="21"/>
  <c r="C1780" i="21"/>
  <c r="D1780" i="21"/>
  <c r="E1780" i="21"/>
  <c r="F1780" i="21"/>
  <c r="G1780" i="21"/>
  <c r="I1780" i="21"/>
  <c r="J1780" i="21"/>
  <c r="L1780" i="21"/>
  <c r="B1781" i="21"/>
  <c r="C1781" i="21"/>
  <c r="D1781" i="21"/>
  <c r="E1781" i="21"/>
  <c r="F1781" i="21"/>
  <c r="G1781" i="21"/>
  <c r="I1781" i="21"/>
  <c r="J1781" i="21"/>
  <c r="L1781" i="21"/>
  <c r="B1782" i="21"/>
  <c r="C1782" i="21"/>
  <c r="D1782" i="21"/>
  <c r="E1782" i="21"/>
  <c r="F1782" i="21"/>
  <c r="G1782" i="21"/>
  <c r="I1782" i="21"/>
  <c r="J1782" i="21"/>
  <c r="L1782" i="21"/>
  <c r="B1783" i="21"/>
  <c r="C1783" i="21"/>
  <c r="D1783" i="21"/>
  <c r="E1783" i="21"/>
  <c r="F1783" i="21"/>
  <c r="G1783" i="21"/>
  <c r="I1783" i="21"/>
  <c r="J1783" i="21"/>
  <c r="L1783" i="21"/>
  <c r="B1784" i="21"/>
  <c r="C1784" i="21"/>
  <c r="D1784" i="21"/>
  <c r="E1784" i="21"/>
  <c r="F1784" i="21"/>
  <c r="G1784" i="21"/>
  <c r="I1784" i="21"/>
  <c r="J1784" i="21"/>
  <c r="L1784" i="21"/>
  <c r="B1785" i="21"/>
  <c r="C1785" i="21"/>
  <c r="D1785" i="21"/>
  <c r="E1785" i="21"/>
  <c r="F1785" i="21"/>
  <c r="G1785" i="21"/>
  <c r="I1785" i="21"/>
  <c r="J1785" i="21"/>
  <c r="L1785" i="21"/>
  <c r="B1786" i="21"/>
  <c r="C1786" i="21"/>
  <c r="D1786" i="21"/>
  <c r="E1786" i="21"/>
  <c r="F1786" i="21"/>
  <c r="G1786" i="21"/>
  <c r="I1786" i="21"/>
  <c r="J1786" i="21"/>
  <c r="L1786" i="21"/>
  <c r="B1787" i="21"/>
  <c r="C1787" i="21"/>
  <c r="D1787" i="21"/>
  <c r="E1787" i="21"/>
  <c r="F1787" i="21"/>
  <c r="G1787" i="21"/>
  <c r="I1787" i="21"/>
  <c r="J1787" i="21"/>
  <c r="L1787" i="21"/>
  <c r="B1788" i="21"/>
  <c r="C1788" i="21"/>
  <c r="D1788" i="21"/>
  <c r="E1788" i="21"/>
  <c r="F1788" i="21"/>
  <c r="G1788" i="21"/>
  <c r="I1788" i="21"/>
  <c r="J1788" i="21"/>
  <c r="L1788" i="21"/>
  <c r="B1789" i="21"/>
  <c r="C1789" i="21"/>
  <c r="D1789" i="21"/>
  <c r="E1789" i="21"/>
  <c r="F1789" i="21"/>
  <c r="G1789" i="21"/>
  <c r="I1789" i="21"/>
  <c r="J1789" i="21"/>
  <c r="L1789" i="21"/>
  <c r="B1790" i="21"/>
  <c r="C1790" i="21"/>
  <c r="D1790" i="21"/>
  <c r="E1790" i="21"/>
  <c r="F1790" i="21"/>
  <c r="G1790" i="21"/>
  <c r="I1790" i="21"/>
  <c r="J1790" i="21"/>
  <c r="L1790" i="21"/>
  <c r="B1791" i="21"/>
  <c r="C1791" i="21"/>
  <c r="D1791" i="21"/>
  <c r="E1791" i="21"/>
  <c r="F1791" i="21"/>
  <c r="G1791" i="21"/>
  <c r="I1791" i="21"/>
  <c r="J1791" i="21"/>
  <c r="L1791" i="21"/>
  <c r="B1792" i="21"/>
  <c r="C1792" i="21"/>
  <c r="D1792" i="21"/>
  <c r="E1792" i="21"/>
  <c r="F1792" i="21"/>
  <c r="G1792" i="21"/>
  <c r="I1792" i="21"/>
  <c r="J1792" i="21"/>
  <c r="L1792" i="21"/>
  <c r="B1793" i="21"/>
  <c r="C1793" i="21"/>
  <c r="D1793" i="21"/>
  <c r="E1793" i="21"/>
  <c r="F1793" i="21"/>
  <c r="G1793" i="21"/>
  <c r="I1793" i="21"/>
  <c r="J1793" i="21"/>
  <c r="L1793" i="21"/>
  <c r="B1794" i="21"/>
  <c r="C1794" i="21"/>
  <c r="D1794" i="21"/>
  <c r="E1794" i="21"/>
  <c r="F1794" i="21"/>
  <c r="G1794" i="21"/>
  <c r="I1794" i="21"/>
  <c r="J1794" i="21"/>
  <c r="L1794" i="21"/>
  <c r="B1795" i="21"/>
  <c r="C1795" i="21"/>
  <c r="D1795" i="21"/>
  <c r="E1795" i="21"/>
  <c r="F1795" i="21"/>
  <c r="G1795" i="21"/>
  <c r="I1795" i="21"/>
  <c r="J1795" i="21"/>
  <c r="L1795" i="21"/>
  <c r="B1796" i="21"/>
  <c r="C1796" i="21"/>
  <c r="D1796" i="21"/>
  <c r="E1796" i="21"/>
  <c r="F1796" i="21"/>
  <c r="G1796" i="21"/>
  <c r="I1796" i="21"/>
  <c r="J1796" i="21"/>
  <c r="L1796" i="21"/>
  <c r="B1797" i="21"/>
  <c r="C1797" i="21"/>
  <c r="D1797" i="21"/>
  <c r="E1797" i="21"/>
  <c r="F1797" i="21"/>
  <c r="G1797" i="21"/>
  <c r="I1797" i="21"/>
  <c r="J1797" i="21"/>
  <c r="L1797" i="21"/>
  <c r="B1798" i="21"/>
  <c r="C1798" i="21"/>
  <c r="D1798" i="21"/>
  <c r="E1798" i="21"/>
  <c r="F1798" i="21"/>
  <c r="G1798" i="21"/>
  <c r="I1798" i="21"/>
  <c r="J1798" i="21"/>
  <c r="L1798" i="21"/>
  <c r="B1799" i="21"/>
  <c r="C1799" i="21"/>
  <c r="D1799" i="21"/>
  <c r="E1799" i="21"/>
  <c r="F1799" i="21"/>
  <c r="G1799" i="21"/>
  <c r="I1799" i="21"/>
  <c r="J1799" i="21"/>
  <c r="L1799" i="21"/>
  <c r="B1800" i="21"/>
  <c r="C1800" i="21"/>
  <c r="D1800" i="21"/>
  <c r="E1800" i="21"/>
  <c r="F1800" i="21"/>
  <c r="G1800" i="21"/>
  <c r="I1800" i="21"/>
  <c r="J1800" i="21"/>
  <c r="L1800" i="21"/>
  <c r="B1801" i="21"/>
  <c r="C1801" i="21"/>
  <c r="D1801" i="21"/>
  <c r="E1801" i="21"/>
  <c r="F1801" i="21"/>
  <c r="G1801" i="21"/>
  <c r="I1801" i="21"/>
  <c r="J1801" i="21"/>
  <c r="L1801" i="21"/>
  <c r="B1802" i="21"/>
  <c r="C1802" i="21"/>
  <c r="D1802" i="21"/>
  <c r="E1802" i="21"/>
  <c r="F1802" i="21"/>
  <c r="G1802" i="21"/>
  <c r="I1802" i="21"/>
  <c r="J1802" i="21"/>
  <c r="L1802" i="21"/>
  <c r="B1803" i="21"/>
  <c r="C1803" i="21"/>
  <c r="D1803" i="21"/>
  <c r="E1803" i="21"/>
  <c r="F1803" i="21"/>
  <c r="G1803" i="21"/>
  <c r="I1803" i="21"/>
  <c r="J1803" i="21"/>
  <c r="L1803" i="21"/>
  <c r="B1804" i="21"/>
  <c r="C1804" i="21"/>
  <c r="D1804" i="21"/>
  <c r="E1804" i="21"/>
  <c r="F1804" i="21"/>
  <c r="G1804" i="21"/>
  <c r="I1804" i="21"/>
  <c r="J1804" i="21"/>
  <c r="L1804" i="21"/>
  <c r="B1805" i="21"/>
  <c r="C1805" i="21"/>
  <c r="D1805" i="21"/>
  <c r="E1805" i="21"/>
  <c r="F1805" i="21"/>
  <c r="G1805" i="21"/>
  <c r="I1805" i="21"/>
  <c r="J1805" i="21"/>
  <c r="L1805" i="21"/>
  <c r="B1806" i="21"/>
  <c r="C1806" i="21"/>
  <c r="D1806" i="21"/>
  <c r="E1806" i="21"/>
  <c r="F1806" i="21"/>
  <c r="G1806" i="21"/>
  <c r="I1806" i="21"/>
  <c r="J1806" i="21"/>
  <c r="L1806" i="21"/>
  <c r="B1807" i="21"/>
  <c r="C1807" i="21"/>
  <c r="D1807" i="21"/>
  <c r="E1807" i="21"/>
  <c r="F1807" i="21"/>
  <c r="G1807" i="21"/>
  <c r="I1807" i="21"/>
  <c r="J1807" i="21"/>
  <c r="L1807" i="21"/>
  <c r="B1808" i="21"/>
  <c r="C1808" i="21"/>
  <c r="D1808" i="21"/>
  <c r="E1808" i="21"/>
  <c r="F1808" i="21"/>
  <c r="G1808" i="21"/>
  <c r="I1808" i="21"/>
  <c r="J1808" i="21"/>
  <c r="L1808" i="21"/>
  <c r="B1809" i="21"/>
  <c r="C1809" i="21"/>
  <c r="D1809" i="21"/>
  <c r="E1809" i="21"/>
  <c r="F1809" i="21"/>
  <c r="G1809" i="21"/>
  <c r="I1809" i="21"/>
  <c r="J1809" i="21"/>
  <c r="L1809" i="21"/>
  <c r="B1810" i="21"/>
  <c r="C1810" i="21"/>
  <c r="D1810" i="21"/>
  <c r="E1810" i="21"/>
  <c r="F1810" i="21"/>
  <c r="G1810" i="21"/>
  <c r="I1810" i="21"/>
  <c r="J1810" i="21"/>
  <c r="L1810" i="21"/>
  <c r="B1811" i="21"/>
  <c r="C1811" i="21"/>
  <c r="D1811" i="21"/>
  <c r="E1811" i="21"/>
  <c r="F1811" i="21"/>
  <c r="G1811" i="21"/>
  <c r="I1811" i="21"/>
  <c r="J1811" i="21"/>
  <c r="L1811" i="21"/>
  <c r="B1812" i="21"/>
  <c r="C1812" i="21"/>
  <c r="D1812" i="21"/>
  <c r="E1812" i="21"/>
  <c r="F1812" i="21"/>
  <c r="G1812" i="21"/>
  <c r="I1812" i="21"/>
  <c r="J1812" i="21"/>
  <c r="L1812" i="21"/>
  <c r="B1813" i="21"/>
  <c r="C1813" i="21"/>
  <c r="D1813" i="21"/>
  <c r="E1813" i="21"/>
  <c r="F1813" i="21"/>
  <c r="G1813" i="21"/>
  <c r="I1813" i="21"/>
  <c r="J1813" i="21"/>
  <c r="L1813" i="21"/>
  <c r="B1814" i="21"/>
  <c r="C1814" i="21"/>
  <c r="D1814" i="21"/>
  <c r="E1814" i="21"/>
  <c r="F1814" i="21"/>
  <c r="G1814" i="21"/>
  <c r="I1814" i="21"/>
  <c r="J1814" i="21"/>
  <c r="L1814" i="21"/>
  <c r="B1815" i="21"/>
  <c r="C1815" i="21"/>
  <c r="D1815" i="21"/>
  <c r="E1815" i="21"/>
  <c r="F1815" i="21"/>
  <c r="G1815" i="21"/>
  <c r="I1815" i="21"/>
  <c r="J1815" i="21"/>
  <c r="L1815" i="21"/>
  <c r="B1816" i="21"/>
  <c r="C1816" i="21"/>
  <c r="D1816" i="21"/>
  <c r="E1816" i="21"/>
  <c r="F1816" i="21"/>
  <c r="G1816" i="21"/>
  <c r="I1816" i="21"/>
  <c r="J1816" i="21"/>
  <c r="L1816" i="21"/>
  <c r="B1817" i="21"/>
  <c r="C1817" i="21"/>
  <c r="D1817" i="21"/>
  <c r="E1817" i="21"/>
  <c r="F1817" i="21"/>
  <c r="G1817" i="21"/>
  <c r="I1817" i="21"/>
  <c r="J1817" i="21"/>
  <c r="L1817" i="21"/>
  <c r="B1818" i="21"/>
  <c r="C1818" i="21"/>
  <c r="D1818" i="21"/>
  <c r="E1818" i="21"/>
  <c r="F1818" i="21"/>
  <c r="G1818" i="21"/>
  <c r="I1818" i="21"/>
  <c r="J1818" i="21"/>
  <c r="L1818" i="21"/>
  <c r="B1819" i="21"/>
  <c r="C1819" i="21"/>
  <c r="D1819" i="21"/>
  <c r="E1819" i="21"/>
  <c r="F1819" i="21"/>
  <c r="G1819" i="21"/>
  <c r="I1819" i="21"/>
  <c r="J1819" i="21"/>
  <c r="L1819" i="21"/>
  <c r="B1820" i="21"/>
  <c r="C1820" i="21"/>
  <c r="D1820" i="21"/>
  <c r="E1820" i="21"/>
  <c r="F1820" i="21"/>
  <c r="G1820" i="21"/>
  <c r="I1820" i="21"/>
  <c r="J1820" i="21"/>
  <c r="L1820" i="21"/>
  <c r="B1821" i="21"/>
  <c r="C1821" i="21"/>
  <c r="D1821" i="21"/>
  <c r="E1821" i="21"/>
  <c r="F1821" i="21"/>
  <c r="G1821" i="21"/>
  <c r="I1821" i="21"/>
  <c r="J1821" i="21"/>
  <c r="L1821" i="21"/>
  <c r="B1822" i="21"/>
  <c r="C1822" i="21"/>
  <c r="D1822" i="21"/>
  <c r="E1822" i="21"/>
  <c r="F1822" i="21"/>
  <c r="G1822" i="21"/>
  <c r="I1822" i="21"/>
  <c r="J1822" i="21"/>
  <c r="L1822" i="21"/>
  <c r="B1823" i="21"/>
  <c r="C1823" i="21"/>
  <c r="D1823" i="21"/>
  <c r="E1823" i="21"/>
  <c r="F1823" i="21"/>
  <c r="G1823" i="21"/>
  <c r="I1823" i="21"/>
  <c r="J1823" i="21"/>
  <c r="L1823" i="21"/>
  <c r="B1824" i="21"/>
  <c r="C1824" i="21"/>
  <c r="D1824" i="21"/>
  <c r="E1824" i="21"/>
  <c r="F1824" i="21"/>
  <c r="G1824" i="21"/>
  <c r="I1824" i="21"/>
  <c r="J1824" i="21"/>
  <c r="L1824" i="21"/>
  <c r="B1825" i="21"/>
  <c r="C1825" i="21"/>
  <c r="D1825" i="21"/>
  <c r="E1825" i="21"/>
  <c r="F1825" i="21"/>
  <c r="G1825" i="21"/>
  <c r="I1825" i="21"/>
  <c r="J1825" i="21"/>
  <c r="L1825" i="21"/>
  <c r="B1826" i="21"/>
  <c r="C1826" i="21"/>
  <c r="D1826" i="21"/>
  <c r="E1826" i="21"/>
  <c r="F1826" i="21"/>
  <c r="G1826" i="21"/>
  <c r="I1826" i="21"/>
  <c r="J1826" i="21"/>
  <c r="L1826" i="21"/>
  <c r="B1827" i="21"/>
  <c r="C1827" i="21"/>
  <c r="D1827" i="21"/>
  <c r="E1827" i="21"/>
  <c r="F1827" i="21"/>
  <c r="G1827" i="21"/>
  <c r="I1827" i="21"/>
  <c r="J1827" i="21"/>
  <c r="L1827" i="21"/>
  <c r="B1828" i="21"/>
  <c r="C1828" i="21"/>
  <c r="D1828" i="21"/>
  <c r="E1828" i="21"/>
  <c r="F1828" i="21"/>
  <c r="G1828" i="21"/>
  <c r="I1828" i="21"/>
  <c r="J1828" i="21"/>
  <c r="L1828" i="21"/>
  <c r="B1829" i="21"/>
  <c r="C1829" i="21"/>
  <c r="D1829" i="21"/>
  <c r="E1829" i="21"/>
  <c r="F1829" i="21"/>
  <c r="G1829" i="21"/>
  <c r="I1829" i="21"/>
  <c r="J1829" i="21"/>
  <c r="L1829" i="21"/>
  <c r="B1830" i="21"/>
  <c r="C1830" i="21"/>
  <c r="D1830" i="21"/>
  <c r="E1830" i="21"/>
  <c r="F1830" i="21"/>
  <c r="G1830" i="21"/>
  <c r="I1830" i="21"/>
  <c r="J1830" i="21"/>
  <c r="L1830" i="21"/>
  <c r="B1831" i="21"/>
  <c r="C1831" i="21"/>
  <c r="D1831" i="21"/>
  <c r="E1831" i="21"/>
  <c r="F1831" i="21"/>
  <c r="G1831" i="21"/>
  <c r="I1831" i="21"/>
  <c r="J1831" i="21"/>
  <c r="L1831" i="21"/>
  <c r="B1832" i="21"/>
  <c r="C1832" i="21"/>
  <c r="D1832" i="21"/>
  <c r="E1832" i="21"/>
  <c r="F1832" i="21"/>
  <c r="G1832" i="21"/>
  <c r="I1832" i="21"/>
  <c r="J1832" i="21"/>
  <c r="L1832" i="21"/>
  <c r="B1833" i="21"/>
  <c r="C1833" i="21"/>
  <c r="D1833" i="21"/>
  <c r="E1833" i="21"/>
  <c r="F1833" i="21"/>
  <c r="G1833" i="21"/>
  <c r="I1833" i="21"/>
  <c r="J1833" i="21"/>
  <c r="L1833" i="21"/>
  <c r="B1834" i="21"/>
  <c r="C1834" i="21"/>
  <c r="D1834" i="21"/>
  <c r="E1834" i="21"/>
  <c r="F1834" i="21"/>
  <c r="G1834" i="21"/>
  <c r="I1834" i="21"/>
  <c r="J1834" i="21"/>
  <c r="L1834" i="21"/>
  <c r="B1835" i="21"/>
  <c r="C1835" i="21"/>
  <c r="D1835" i="21"/>
  <c r="E1835" i="21"/>
  <c r="F1835" i="21"/>
  <c r="G1835" i="21"/>
  <c r="I1835" i="21"/>
  <c r="J1835" i="21"/>
  <c r="L1835" i="21"/>
  <c r="B1836" i="21"/>
  <c r="C1836" i="21"/>
  <c r="D1836" i="21"/>
  <c r="E1836" i="21"/>
  <c r="F1836" i="21"/>
  <c r="G1836" i="21"/>
  <c r="I1836" i="21"/>
  <c r="J1836" i="21"/>
  <c r="L1836" i="21"/>
  <c r="B1837" i="21"/>
  <c r="C1837" i="21"/>
  <c r="D1837" i="21"/>
  <c r="E1837" i="21"/>
  <c r="F1837" i="21"/>
  <c r="G1837" i="21"/>
  <c r="I1837" i="21"/>
  <c r="J1837" i="21"/>
  <c r="L1837" i="21"/>
  <c r="B1838" i="21"/>
  <c r="C1838" i="21"/>
  <c r="D1838" i="21"/>
  <c r="E1838" i="21"/>
  <c r="F1838" i="21"/>
  <c r="G1838" i="21"/>
  <c r="I1838" i="21"/>
  <c r="J1838" i="21"/>
  <c r="L1838" i="21"/>
  <c r="B1839" i="21"/>
  <c r="C1839" i="21"/>
  <c r="D1839" i="21"/>
  <c r="E1839" i="21"/>
  <c r="F1839" i="21"/>
  <c r="G1839" i="21"/>
  <c r="I1839" i="21"/>
  <c r="J1839" i="21"/>
  <c r="L1839" i="21"/>
  <c r="B1840" i="21"/>
  <c r="C1840" i="21"/>
  <c r="D1840" i="21"/>
  <c r="E1840" i="21"/>
  <c r="F1840" i="21"/>
  <c r="G1840" i="21"/>
  <c r="I1840" i="21"/>
  <c r="J1840" i="21"/>
  <c r="L1840" i="21"/>
  <c r="B1841" i="21"/>
  <c r="C1841" i="21"/>
  <c r="D1841" i="21"/>
  <c r="E1841" i="21"/>
  <c r="F1841" i="21"/>
  <c r="G1841" i="21"/>
  <c r="I1841" i="21"/>
  <c r="J1841" i="21"/>
  <c r="L1841" i="21"/>
  <c r="B1842" i="21"/>
  <c r="C1842" i="21"/>
  <c r="D1842" i="21"/>
  <c r="E1842" i="21"/>
  <c r="F1842" i="21"/>
  <c r="G1842" i="21"/>
  <c r="I1842" i="21"/>
  <c r="J1842" i="21"/>
  <c r="L1842" i="21"/>
  <c r="B1843" i="21"/>
  <c r="C1843" i="21"/>
  <c r="D1843" i="21"/>
  <c r="E1843" i="21"/>
  <c r="F1843" i="21"/>
  <c r="G1843" i="21"/>
  <c r="I1843" i="21"/>
  <c r="J1843" i="21"/>
  <c r="L1843" i="21"/>
  <c r="B1844" i="21"/>
  <c r="C1844" i="21"/>
  <c r="D1844" i="21"/>
  <c r="E1844" i="21"/>
  <c r="F1844" i="21"/>
  <c r="G1844" i="21"/>
  <c r="I1844" i="21"/>
  <c r="J1844" i="21"/>
  <c r="L1844" i="21"/>
  <c r="B1845" i="21"/>
  <c r="C1845" i="21"/>
  <c r="D1845" i="21"/>
  <c r="E1845" i="21"/>
  <c r="F1845" i="21"/>
  <c r="G1845" i="21"/>
  <c r="I1845" i="21"/>
  <c r="J1845" i="21"/>
  <c r="L1845" i="21"/>
  <c r="B1846" i="21"/>
  <c r="C1846" i="21"/>
  <c r="D1846" i="21"/>
  <c r="E1846" i="21"/>
  <c r="F1846" i="21"/>
  <c r="G1846" i="21"/>
  <c r="I1846" i="21"/>
  <c r="J1846" i="21"/>
  <c r="L1846" i="21"/>
  <c r="B1847" i="21"/>
  <c r="C1847" i="21"/>
  <c r="D1847" i="21"/>
  <c r="E1847" i="21"/>
  <c r="F1847" i="21"/>
  <c r="G1847" i="21"/>
  <c r="I1847" i="21"/>
  <c r="J1847" i="21"/>
  <c r="L1847" i="21"/>
  <c r="B1848" i="21"/>
  <c r="C1848" i="21"/>
  <c r="D1848" i="21"/>
  <c r="E1848" i="21"/>
  <c r="F1848" i="21"/>
  <c r="G1848" i="21"/>
  <c r="I1848" i="21"/>
  <c r="J1848" i="21"/>
  <c r="L1848" i="21"/>
  <c r="B1849" i="21"/>
  <c r="C1849" i="21"/>
  <c r="D1849" i="21"/>
  <c r="E1849" i="21"/>
  <c r="F1849" i="21"/>
  <c r="G1849" i="21"/>
  <c r="I1849" i="21"/>
  <c r="J1849" i="21"/>
  <c r="L1849" i="21"/>
  <c r="B1850" i="21"/>
  <c r="C1850" i="21"/>
  <c r="D1850" i="21"/>
  <c r="E1850" i="21"/>
  <c r="F1850" i="21"/>
  <c r="G1850" i="21"/>
  <c r="I1850" i="21"/>
  <c r="J1850" i="21"/>
  <c r="L1850" i="21"/>
  <c r="B1851" i="21"/>
  <c r="C1851" i="21"/>
  <c r="D1851" i="21"/>
  <c r="E1851" i="21"/>
  <c r="F1851" i="21"/>
  <c r="G1851" i="21"/>
  <c r="I1851" i="21"/>
  <c r="J1851" i="21"/>
  <c r="L1851" i="21"/>
  <c r="B1852" i="21"/>
  <c r="C1852" i="21"/>
  <c r="D1852" i="21"/>
  <c r="E1852" i="21"/>
  <c r="F1852" i="21"/>
  <c r="G1852" i="21"/>
  <c r="I1852" i="21"/>
  <c r="J1852" i="21"/>
  <c r="L1852" i="21"/>
  <c r="B1853" i="21"/>
  <c r="C1853" i="21"/>
  <c r="D1853" i="21"/>
  <c r="E1853" i="21"/>
  <c r="F1853" i="21"/>
  <c r="G1853" i="21"/>
  <c r="I1853" i="21"/>
  <c r="J1853" i="21"/>
  <c r="L1853" i="21"/>
  <c r="B1854" i="21"/>
  <c r="C1854" i="21"/>
  <c r="D1854" i="21"/>
  <c r="E1854" i="21"/>
  <c r="F1854" i="21"/>
  <c r="G1854" i="21"/>
  <c r="I1854" i="21"/>
  <c r="J1854" i="21"/>
  <c r="L1854" i="21"/>
  <c r="B1855" i="21"/>
  <c r="C1855" i="21"/>
  <c r="D1855" i="21"/>
  <c r="E1855" i="21"/>
  <c r="F1855" i="21"/>
  <c r="G1855" i="21"/>
  <c r="I1855" i="21"/>
  <c r="J1855" i="21"/>
  <c r="L1855" i="21"/>
  <c r="B1856" i="21"/>
  <c r="C1856" i="21"/>
  <c r="D1856" i="21"/>
  <c r="E1856" i="21"/>
  <c r="F1856" i="21"/>
  <c r="G1856" i="21"/>
  <c r="I1856" i="21"/>
  <c r="J1856" i="21"/>
  <c r="L1856" i="21"/>
  <c r="B1857" i="21"/>
  <c r="C1857" i="21"/>
  <c r="D1857" i="21"/>
  <c r="E1857" i="21"/>
  <c r="F1857" i="21"/>
  <c r="G1857" i="21"/>
  <c r="I1857" i="21"/>
  <c r="J1857" i="21"/>
  <c r="L1857" i="21"/>
  <c r="B1858" i="21"/>
  <c r="C1858" i="21"/>
  <c r="D1858" i="21"/>
  <c r="E1858" i="21"/>
  <c r="F1858" i="21"/>
  <c r="G1858" i="21"/>
  <c r="I1858" i="21"/>
  <c r="J1858" i="21"/>
  <c r="L1858" i="21"/>
  <c r="B1859" i="21"/>
  <c r="C1859" i="21"/>
  <c r="D1859" i="21"/>
  <c r="E1859" i="21"/>
  <c r="F1859" i="21"/>
  <c r="G1859" i="21"/>
  <c r="I1859" i="21"/>
  <c r="J1859" i="21"/>
  <c r="L1859" i="21"/>
  <c r="B1860" i="21"/>
  <c r="C1860" i="21"/>
  <c r="D1860" i="21"/>
  <c r="E1860" i="21"/>
  <c r="F1860" i="21"/>
  <c r="G1860" i="21"/>
  <c r="I1860" i="21"/>
  <c r="J1860" i="21"/>
  <c r="L1860" i="21"/>
  <c r="B1861" i="21"/>
  <c r="C1861" i="21"/>
  <c r="D1861" i="21"/>
  <c r="E1861" i="21"/>
  <c r="F1861" i="21"/>
  <c r="G1861" i="21"/>
  <c r="I1861" i="21"/>
  <c r="J1861" i="21"/>
  <c r="L1861" i="21"/>
  <c r="B1862" i="21"/>
  <c r="C1862" i="21"/>
  <c r="D1862" i="21"/>
  <c r="E1862" i="21"/>
  <c r="F1862" i="21"/>
  <c r="G1862" i="21"/>
  <c r="I1862" i="21"/>
  <c r="J1862" i="21"/>
  <c r="L1862" i="21"/>
  <c r="B1863" i="21"/>
  <c r="C1863" i="21"/>
  <c r="D1863" i="21"/>
  <c r="E1863" i="21"/>
  <c r="F1863" i="21"/>
  <c r="G1863" i="21"/>
  <c r="I1863" i="21"/>
  <c r="J1863" i="21"/>
  <c r="L1863" i="21"/>
  <c r="B1864" i="21"/>
  <c r="C1864" i="21"/>
  <c r="D1864" i="21"/>
  <c r="E1864" i="21"/>
  <c r="F1864" i="21"/>
  <c r="G1864" i="21"/>
  <c r="I1864" i="21"/>
  <c r="J1864" i="21"/>
  <c r="L1864" i="21"/>
  <c r="B1865" i="21"/>
  <c r="C1865" i="21"/>
  <c r="D1865" i="21"/>
  <c r="E1865" i="21"/>
  <c r="F1865" i="21"/>
  <c r="G1865" i="21"/>
  <c r="I1865" i="21"/>
  <c r="J1865" i="21"/>
  <c r="L1865" i="21"/>
  <c r="B1866" i="21"/>
  <c r="C1866" i="21"/>
  <c r="D1866" i="21"/>
  <c r="E1866" i="21"/>
  <c r="F1866" i="21"/>
  <c r="G1866" i="21"/>
  <c r="I1866" i="21"/>
  <c r="J1866" i="21"/>
  <c r="L1866" i="21"/>
  <c r="B1867" i="21"/>
  <c r="C1867" i="21"/>
  <c r="D1867" i="21"/>
  <c r="E1867" i="21"/>
  <c r="F1867" i="21"/>
  <c r="G1867" i="21"/>
  <c r="I1867" i="21"/>
  <c r="J1867" i="21"/>
  <c r="L1867" i="21"/>
  <c r="B1868" i="21"/>
  <c r="C1868" i="21"/>
  <c r="D1868" i="21"/>
  <c r="E1868" i="21"/>
  <c r="F1868" i="21"/>
  <c r="G1868" i="21"/>
  <c r="I1868" i="21"/>
  <c r="J1868" i="21"/>
  <c r="L1868" i="21"/>
  <c r="B1869" i="21"/>
  <c r="C1869" i="21"/>
  <c r="D1869" i="21"/>
  <c r="E1869" i="21"/>
  <c r="F1869" i="21"/>
  <c r="G1869" i="21"/>
  <c r="I1869" i="21"/>
  <c r="J1869" i="21"/>
  <c r="L1869" i="21"/>
  <c r="B1870" i="21"/>
  <c r="C1870" i="21"/>
  <c r="D1870" i="21"/>
  <c r="E1870" i="21"/>
  <c r="F1870" i="21"/>
  <c r="G1870" i="21"/>
  <c r="I1870" i="21"/>
  <c r="J1870" i="21"/>
  <c r="L1870" i="21"/>
  <c r="B1871" i="21"/>
  <c r="C1871" i="21"/>
  <c r="D1871" i="21"/>
  <c r="E1871" i="21"/>
  <c r="F1871" i="21"/>
  <c r="G1871" i="21"/>
  <c r="I1871" i="21"/>
  <c r="J1871" i="21"/>
  <c r="L1871" i="21"/>
  <c r="B1872" i="21"/>
  <c r="C1872" i="21"/>
  <c r="D1872" i="21"/>
  <c r="E1872" i="21"/>
  <c r="F1872" i="21"/>
  <c r="G1872" i="21"/>
  <c r="I1872" i="21"/>
  <c r="J1872" i="21"/>
  <c r="L1872" i="21"/>
  <c r="B1873" i="21"/>
  <c r="C1873" i="21"/>
  <c r="D1873" i="21"/>
  <c r="E1873" i="21"/>
  <c r="F1873" i="21"/>
  <c r="G1873" i="21"/>
  <c r="I1873" i="21"/>
  <c r="J1873" i="21"/>
  <c r="L1873" i="21"/>
  <c r="B1874" i="21"/>
  <c r="C1874" i="21"/>
  <c r="D1874" i="21"/>
  <c r="E1874" i="21"/>
  <c r="F1874" i="21"/>
  <c r="G1874" i="21"/>
  <c r="I1874" i="21"/>
  <c r="J1874" i="21"/>
  <c r="L1874" i="21"/>
  <c r="B1875" i="21"/>
  <c r="C1875" i="21"/>
  <c r="D1875" i="21"/>
  <c r="E1875" i="21"/>
  <c r="F1875" i="21"/>
  <c r="G1875" i="21"/>
  <c r="I1875" i="21"/>
  <c r="J1875" i="21"/>
  <c r="L1875" i="21"/>
  <c r="B1876" i="21"/>
  <c r="C1876" i="21"/>
  <c r="D1876" i="21"/>
  <c r="E1876" i="21"/>
  <c r="F1876" i="21"/>
  <c r="G1876" i="21"/>
  <c r="I1876" i="21"/>
  <c r="J1876" i="21"/>
  <c r="L1876" i="21"/>
  <c r="B1877" i="21"/>
  <c r="C1877" i="21"/>
  <c r="D1877" i="21"/>
  <c r="E1877" i="21"/>
  <c r="F1877" i="21"/>
  <c r="G1877" i="21"/>
  <c r="I1877" i="21"/>
  <c r="J1877" i="21"/>
  <c r="L1877" i="21"/>
  <c r="B1878" i="21"/>
  <c r="C1878" i="21"/>
  <c r="D1878" i="21"/>
  <c r="E1878" i="21"/>
  <c r="F1878" i="21"/>
  <c r="G1878" i="21"/>
  <c r="I1878" i="21"/>
  <c r="J1878" i="21"/>
  <c r="L1878" i="21"/>
  <c r="B1879" i="21"/>
  <c r="C1879" i="21"/>
  <c r="D1879" i="21"/>
  <c r="E1879" i="21"/>
  <c r="F1879" i="21"/>
  <c r="G1879" i="21"/>
  <c r="I1879" i="21"/>
  <c r="J1879" i="21"/>
  <c r="L1879" i="21"/>
  <c r="B1880" i="21"/>
  <c r="C1880" i="21"/>
  <c r="D1880" i="21"/>
  <c r="E1880" i="21"/>
  <c r="F1880" i="21"/>
  <c r="G1880" i="21"/>
  <c r="I1880" i="21"/>
  <c r="J1880" i="21"/>
  <c r="L1880" i="21"/>
  <c r="B1881" i="21"/>
  <c r="C1881" i="21"/>
  <c r="D1881" i="21"/>
  <c r="E1881" i="21"/>
  <c r="F1881" i="21"/>
  <c r="G1881" i="21"/>
  <c r="I1881" i="21"/>
  <c r="J1881" i="21"/>
  <c r="L1881" i="21"/>
  <c r="B1882" i="21"/>
  <c r="C1882" i="21"/>
  <c r="D1882" i="21"/>
  <c r="E1882" i="21"/>
  <c r="F1882" i="21"/>
  <c r="G1882" i="21"/>
  <c r="I1882" i="21"/>
  <c r="J1882" i="21"/>
  <c r="L1882" i="21"/>
  <c r="B1883" i="21"/>
  <c r="C1883" i="21"/>
  <c r="D1883" i="21"/>
  <c r="E1883" i="21"/>
  <c r="F1883" i="21"/>
  <c r="G1883" i="21"/>
  <c r="I1883" i="21"/>
  <c r="J1883" i="21"/>
  <c r="L1883" i="21"/>
  <c r="B1884" i="21"/>
  <c r="C1884" i="21"/>
  <c r="D1884" i="21"/>
  <c r="E1884" i="21"/>
  <c r="F1884" i="21"/>
  <c r="G1884" i="21"/>
  <c r="I1884" i="21"/>
  <c r="J1884" i="21"/>
  <c r="L1884" i="21"/>
  <c r="B1885" i="21"/>
  <c r="C1885" i="21"/>
  <c r="D1885" i="21"/>
  <c r="E1885" i="21"/>
  <c r="F1885" i="21"/>
  <c r="G1885" i="21"/>
  <c r="I1885" i="21"/>
  <c r="J1885" i="21"/>
  <c r="L1885" i="21"/>
  <c r="B1886" i="21"/>
  <c r="C1886" i="21"/>
  <c r="D1886" i="21"/>
  <c r="E1886" i="21"/>
  <c r="F1886" i="21"/>
  <c r="G1886" i="21"/>
  <c r="I1886" i="21"/>
  <c r="J1886" i="21"/>
  <c r="L1886" i="21"/>
  <c r="B1887" i="21"/>
  <c r="C1887" i="21"/>
  <c r="D1887" i="21"/>
  <c r="E1887" i="21"/>
  <c r="F1887" i="21"/>
  <c r="G1887" i="21"/>
  <c r="I1887" i="21"/>
  <c r="J1887" i="21"/>
  <c r="L1887" i="21"/>
  <c r="B1888" i="21"/>
  <c r="C1888" i="21"/>
  <c r="D1888" i="21"/>
  <c r="E1888" i="21"/>
  <c r="F1888" i="21"/>
  <c r="G1888" i="21"/>
  <c r="I1888" i="21"/>
  <c r="J1888" i="21"/>
  <c r="L1888" i="21"/>
  <c r="B1889" i="21"/>
  <c r="C1889" i="21"/>
  <c r="D1889" i="21"/>
  <c r="E1889" i="21"/>
  <c r="F1889" i="21"/>
  <c r="G1889" i="21"/>
  <c r="I1889" i="21"/>
  <c r="J1889" i="21"/>
  <c r="L1889" i="21"/>
  <c r="B1890" i="21"/>
  <c r="C1890" i="21"/>
  <c r="D1890" i="21"/>
  <c r="E1890" i="21"/>
  <c r="F1890" i="21"/>
  <c r="G1890" i="21"/>
  <c r="I1890" i="21"/>
  <c r="J1890" i="21"/>
  <c r="L1890" i="21"/>
  <c r="B1891" i="21"/>
  <c r="C1891" i="21"/>
  <c r="D1891" i="21"/>
  <c r="E1891" i="21"/>
  <c r="F1891" i="21"/>
  <c r="G1891" i="21"/>
  <c r="I1891" i="21"/>
  <c r="J1891" i="21"/>
  <c r="L1891" i="21"/>
  <c r="B1892" i="21"/>
  <c r="C1892" i="21"/>
  <c r="D1892" i="21"/>
  <c r="E1892" i="21"/>
  <c r="F1892" i="21"/>
  <c r="G1892" i="21"/>
  <c r="I1892" i="21"/>
  <c r="J1892" i="21"/>
  <c r="L1892" i="21"/>
  <c r="B1893" i="21"/>
  <c r="C1893" i="21"/>
  <c r="D1893" i="21"/>
  <c r="E1893" i="21"/>
  <c r="F1893" i="21"/>
  <c r="G1893" i="21"/>
  <c r="I1893" i="21"/>
  <c r="J1893" i="21"/>
  <c r="L1893" i="21"/>
  <c r="B1894" i="21"/>
  <c r="C1894" i="21"/>
  <c r="D1894" i="21"/>
  <c r="E1894" i="21"/>
  <c r="F1894" i="21"/>
  <c r="G1894" i="21"/>
  <c r="I1894" i="21"/>
  <c r="J1894" i="21"/>
  <c r="L1894" i="21"/>
  <c r="B1895" i="21"/>
  <c r="C1895" i="21"/>
  <c r="D1895" i="21"/>
  <c r="E1895" i="21"/>
  <c r="F1895" i="21"/>
  <c r="G1895" i="21"/>
  <c r="I1895" i="21"/>
  <c r="J1895" i="21"/>
  <c r="L1895" i="21"/>
  <c r="B1896" i="21"/>
  <c r="C1896" i="21"/>
  <c r="D1896" i="21"/>
  <c r="E1896" i="21"/>
  <c r="F1896" i="21"/>
  <c r="G1896" i="21"/>
  <c r="I1896" i="21"/>
  <c r="J1896" i="21"/>
  <c r="L1896" i="21"/>
  <c r="B1897" i="21"/>
  <c r="C1897" i="21"/>
  <c r="D1897" i="21"/>
  <c r="E1897" i="21"/>
  <c r="F1897" i="21"/>
  <c r="G1897" i="21"/>
  <c r="I1897" i="21"/>
  <c r="J1897" i="21"/>
  <c r="L1897" i="21"/>
  <c r="B1898" i="21"/>
  <c r="C1898" i="21"/>
  <c r="D1898" i="21"/>
  <c r="E1898" i="21"/>
  <c r="F1898" i="21"/>
  <c r="G1898" i="21"/>
  <c r="I1898" i="21"/>
  <c r="J1898" i="21"/>
  <c r="L1898" i="21"/>
  <c r="B1899" i="21"/>
  <c r="C1899" i="21"/>
  <c r="D1899" i="21"/>
  <c r="E1899" i="21"/>
  <c r="F1899" i="21"/>
  <c r="G1899" i="21"/>
  <c r="I1899" i="21"/>
  <c r="J1899" i="21"/>
  <c r="L1899" i="21"/>
  <c r="B1900" i="21"/>
  <c r="C1900" i="21"/>
  <c r="D1900" i="21"/>
  <c r="E1900" i="21"/>
  <c r="F1900" i="21"/>
  <c r="G1900" i="21"/>
  <c r="I1900" i="21"/>
  <c r="J1900" i="21"/>
  <c r="L1900" i="21"/>
  <c r="B1901" i="21"/>
  <c r="C1901" i="21"/>
  <c r="D1901" i="21"/>
  <c r="E1901" i="21"/>
  <c r="F1901" i="21"/>
  <c r="G1901" i="21"/>
  <c r="I1901" i="21"/>
  <c r="J1901" i="21"/>
  <c r="L1901" i="21"/>
  <c r="B1902" i="21"/>
  <c r="C1902" i="21"/>
  <c r="D1902" i="21"/>
  <c r="E1902" i="21"/>
  <c r="F1902" i="21"/>
  <c r="G1902" i="21"/>
  <c r="I1902" i="21"/>
  <c r="J1902" i="21"/>
  <c r="L1902" i="21"/>
  <c r="B1903" i="21"/>
  <c r="C1903" i="21"/>
  <c r="D1903" i="21"/>
  <c r="E1903" i="21"/>
  <c r="F1903" i="21"/>
  <c r="G1903" i="21"/>
  <c r="I1903" i="21"/>
  <c r="J1903" i="21"/>
  <c r="L1903" i="21"/>
  <c r="B1904" i="21"/>
  <c r="C1904" i="21"/>
  <c r="D1904" i="21"/>
  <c r="E1904" i="21"/>
  <c r="F1904" i="21"/>
  <c r="G1904" i="21"/>
  <c r="I1904" i="21"/>
  <c r="J1904" i="21"/>
  <c r="L1904" i="21"/>
  <c r="B1905" i="21"/>
  <c r="C1905" i="21"/>
  <c r="D1905" i="21"/>
  <c r="E1905" i="21"/>
  <c r="F1905" i="21"/>
  <c r="G1905" i="21"/>
  <c r="I1905" i="21"/>
  <c r="J1905" i="21"/>
  <c r="L1905" i="21"/>
  <c r="B1906" i="21"/>
  <c r="C1906" i="21"/>
  <c r="D1906" i="21"/>
  <c r="E1906" i="21"/>
  <c r="F1906" i="21"/>
  <c r="G1906" i="21"/>
  <c r="I1906" i="21"/>
  <c r="J1906" i="21"/>
  <c r="L1906" i="21"/>
  <c r="B1907" i="21"/>
  <c r="C1907" i="21"/>
  <c r="D1907" i="21"/>
  <c r="E1907" i="21"/>
  <c r="F1907" i="21"/>
  <c r="G1907" i="21"/>
  <c r="I1907" i="21"/>
  <c r="J1907" i="21"/>
  <c r="L1907" i="21"/>
  <c r="B1908" i="21"/>
  <c r="C1908" i="21"/>
  <c r="D1908" i="21"/>
  <c r="E1908" i="21"/>
  <c r="F1908" i="21"/>
  <c r="G1908" i="21"/>
  <c r="I1908" i="21"/>
  <c r="J1908" i="21"/>
  <c r="L1908" i="21"/>
  <c r="B1909" i="21"/>
  <c r="C1909" i="21"/>
  <c r="D1909" i="21"/>
  <c r="E1909" i="21"/>
  <c r="F1909" i="21"/>
  <c r="G1909" i="21"/>
  <c r="I1909" i="21"/>
  <c r="J1909" i="21"/>
  <c r="L1909" i="21"/>
  <c r="B1910" i="21"/>
  <c r="C1910" i="21"/>
  <c r="D1910" i="21"/>
  <c r="E1910" i="21"/>
  <c r="F1910" i="21"/>
  <c r="G1910" i="21"/>
  <c r="I1910" i="21"/>
  <c r="J1910" i="21"/>
  <c r="L1910" i="21"/>
  <c r="B1911" i="21"/>
  <c r="C1911" i="21"/>
  <c r="D1911" i="21"/>
  <c r="E1911" i="21"/>
  <c r="F1911" i="21"/>
  <c r="G1911" i="21"/>
  <c r="I1911" i="21"/>
  <c r="J1911" i="21"/>
  <c r="L1911" i="21"/>
  <c r="B1912" i="21"/>
  <c r="C1912" i="21"/>
  <c r="D1912" i="21"/>
  <c r="E1912" i="21"/>
  <c r="F1912" i="21"/>
  <c r="G1912" i="21"/>
  <c r="I1912" i="21"/>
  <c r="J1912" i="21"/>
  <c r="L1912" i="21"/>
  <c r="B1913" i="21"/>
  <c r="C1913" i="21"/>
  <c r="D1913" i="21"/>
  <c r="E1913" i="21"/>
  <c r="F1913" i="21"/>
  <c r="G1913" i="21"/>
  <c r="I1913" i="21"/>
  <c r="J1913" i="21"/>
  <c r="L1913" i="21"/>
  <c r="B1914" i="21"/>
  <c r="C1914" i="21"/>
  <c r="D1914" i="21"/>
  <c r="E1914" i="21"/>
  <c r="F1914" i="21"/>
  <c r="G1914" i="21"/>
  <c r="I1914" i="21"/>
  <c r="J1914" i="21"/>
  <c r="L1914" i="21"/>
  <c r="B1915" i="21"/>
  <c r="C1915" i="21"/>
  <c r="D1915" i="21"/>
  <c r="E1915" i="21"/>
  <c r="F1915" i="21"/>
  <c r="G1915" i="21"/>
  <c r="I1915" i="21"/>
  <c r="J1915" i="21"/>
  <c r="L1915" i="21"/>
  <c r="B1916" i="21"/>
  <c r="C1916" i="21"/>
  <c r="D1916" i="21"/>
  <c r="E1916" i="21"/>
  <c r="F1916" i="21"/>
  <c r="G1916" i="21"/>
  <c r="I1916" i="21"/>
  <c r="J1916" i="21"/>
  <c r="L1916" i="21"/>
  <c r="B1917" i="21"/>
  <c r="C1917" i="21"/>
  <c r="D1917" i="21"/>
  <c r="E1917" i="21"/>
  <c r="F1917" i="21"/>
  <c r="G1917" i="21"/>
  <c r="I1917" i="21"/>
  <c r="J1917" i="21"/>
  <c r="L1917" i="21"/>
  <c r="B1918" i="21"/>
  <c r="C1918" i="21"/>
  <c r="D1918" i="21"/>
  <c r="E1918" i="21"/>
  <c r="F1918" i="21"/>
  <c r="G1918" i="21"/>
  <c r="I1918" i="21"/>
  <c r="J1918" i="21"/>
  <c r="L1918" i="21"/>
  <c r="B1919" i="21"/>
  <c r="C1919" i="21"/>
  <c r="D1919" i="21"/>
  <c r="E1919" i="21"/>
  <c r="F1919" i="21"/>
  <c r="G1919" i="21"/>
  <c r="I1919" i="21"/>
  <c r="J1919" i="21"/>
  <c r="L1919" i="21"/>
  <c r="B1920" i="21"/>
  <c r="C1920" i="21"/>
  <c r="D1920" i="21"/>
  <c r="E1920" i="21"/>
  <c r="F1920" i="21"/>
  <c r="G1920" i="21"/>
  <c r="I1920" i="21"/>
  <c r="J1920" i="21"/>
  <c r="L1920" i="21"/>
  <c r="B1921" i="21"/>
  <c r="C1921" i="21"/>
  <c r="D1921" i="21"/>
  <c r="E1921" i="21"/>
  <c r="F1921" i="21"/>
  <c r="G1921" i="21"/>
  <c r="I1921" i="21"/>
  <c r="J1921" i="21"/>
  <c r="L1921" i="21"/>
  <c r="B1922" i="21"/>
  <c r="C1922" i="21"/>
  <c r="D1922" i="21"/>
  <c r="E1922" i="21"/>
  <c r="F1922" i="21"/>
  <c r="G1922" i="21"/>
  <c r="I1922" i="21"/>
  <c r="J1922" i="21"/>
  <c r="L1922" i="21"/>
  <c r="B1923" i="21"/>
  <c r="C1923" i="21"/>
  <c r="D1923" i="21"/>
  <c r="E1923" i="21"/>
  <c r="F1923" i="21"/>
  <c r="G1923" i="21"/>
  <c r="I1923" i="21"/>
  <c r="J1923" i="21"/>
  <c r="L1923" i="21"/>
  <c r="B1924" i="21"/>
  <c r="C1924" i="21"/>
  <c r="D1924" i="21"/>
  <c r="E1924" i="21"/>
  <c r="F1924" i="21"/>
  <c r="G1924" i="21"/>
  <c r="I1924" i="21"/>
  <c r="J1924" i="21"/>
  <c r="L1924" i="21"/>
  <c r="B1925" i="21"/>
  <c r="C1925" i="21"/>
  <c r="D1925" i="21"/>
  <c r="E1925" i="21"/>
  <c r="F1925" i="21"/>
  <c r="G1925" i="21"/>
  <c r="I1925" i="21"/>
  <c r="J1925" i="21"/>
  <c r="L1925" i="21"/>
  <c r="B1926" i="21"/>
  <c r="C1926" i="21"/>
  <c r="D1926" i="21"/>
  <c r="E1926" i="21"/>
  <c r="F1926" i="21"/>
  <c r="G1926" i="21"/>
  <c r="I1926" i="21"/>
  <c r="J1926" i="21"/>
  <c r="L1926" i="21"/>
  <c r="B1927" i="21"/>
  <c r="C1927" i="21"/>
  <c r="D1927" i="21"/>
  <c r="E1927" i="21"/>
  <c r="F1927" i="21"/>
  <c r="G1927" i="21"/>
  <c r="I1927" i="21"/>
  <c r="J1927" i="21"/>
  <c r="L1927" i="21"/>
  <c r="B1928" i="21"/>
  <c r="C1928" i="21"/>
  <c r="D1928" i="21"/>
  <c r="E1928" i="21"/>
  <c r="F1928" i="21"/>
  <c r="G1928" i="21"/>
  <c r="I1928" i="21"/>
  <c r="J1928" i="21"/>
  <c r="L1928" i="21"/>
  <c r="B1929" i="21"/>
  <c r="C1929" i="21"/>
  <c r="D1929" i="21"/>
  <c r="E1929" i="21"/>
  <c r="F1929" i="21"/>
  <c r="G1929" i="21"/>
  <c r="I1929" i="21"/>
  <c r="J1929" i="21"/>
  <c r="L1929" i="21"/>
  <c r="B1930" i="21"/>
  <c r="C1930" i="21"/>
  <c r="D1930" i="21"/>
  <c r="E1930" i="21"/>
  <c r="F1930" i="21"/>
  <c r="G1930" i="21"/>
  <c r="I1930" i="21"/>
  <c r="J1930" i="21"/>
  <c r="L1930" i="21"/>
  <c r="B1931" i="21"/>
  <c r="C1931" i="21"/>
  <c r="D1931" i="21"/>
  <c r="E1931" i="21"/>
  <c r="F1931" i="21"/>
  <c r="G1931" i="21"/>
  <c r="I1931" i="21"/>
  <c r="J1931" i="21"/>
  <c r="L1931" i="21"/>
  <c r="B1932" i="21"/>
  <c r="C1932" i="21"/>
  <c r="D1932" i="21"/>
  <c r="E1932" i="21"/>
  <c r="F1932" i="21"/>
  <c r="G1932" i="21"/>
  <c r="I1932" i="21"/>
  <c r="J1932" i="21"/>
  <c r="L1932" i="21"/>
  <c r="B1933" i="21"/>
  <c r="C1933" i="21"/>
  <c r="D1933" i="21"/>
  <c r="E1933" i="21"/>
  <c r="F1933" i="21"/>
  <c r="G1933" i="21"/>
  <c r="I1933" i="21"/>
  <c r="J1933" i="21"/>
  <c r="L1933" i="21"/>
  <c r="B1934" i="21"/>
  <c r="C1934" i="21"/>
  <c r="D1934" i="21"/>
  <c r="E1934" i="21"/>
  <c r="F1934" i="21"/>
  <c r="G1934" i="21"/>
  <c r="I1934" i="21"/>
  <c r="J1934" i="21"/>
  <c r="L1934" i="21"/>
  <c r="B1935" i="21"/>
  <c r="C1935" i="21"/>
  <c r="D1935" i="21"/>
  <c r="E1935" i="21"/>
  <c r="F1935" i="21"/>
  <c r="G1935" i="21"/>
  <c r="I1935" i="21"/>
  <c r="J1935" i="21"/>
  <c r="L1935" i="21"/>
  <c r="B1936" i="21"/>
  <c r="C1936" i="21"/>
  <c r="D1936" i="21"/>
  <c r="E1936" i="21"/>
  <c r="F1936" i="21"/>
  <c r="G1936" i="21"/>
  <c r="I1936" i="21"/>
  <c r="J1936" i="21"/>
  <c r="L1936" i="21"/>
  <c r="B1937" i="21"/>
  <c r="C1937" i="21"/>
  <c r="D1937" i="21"/>
  <c r="E1937" i="21"/>
  <c r="F1937" i="21"/>
  <c r="G1937" i="21"/>
  <c r="I1937" i="21"/>
  <c r="J1937" i="21"/>
  <c r="L1937" i="21"/>
  <c r="B1938" i="21"/>
  <c r="C1938" i="21"/>
  <c r="D1938" i="21"/>
  <c r="E1938" i="21"/>
  <c r="F1938" i="21"/>
  <c r="G1938" i="21"/>
  <c r="I1938" i="21"/>
  <c r="J1938" i="21"/>
  <c r="L1938" i="21"/>
  <c r="B1939" i="21"/>
  <c r="C1939" i="21"/>
  <c r="D1939" i="21"/>
  <c r="E1939" i="21"/>
  <c r="F1939" i="21"/>
  <c r="G1939" i="21"/>
  <c r="I1939" i="21"/>
  <c r="J1939" i="21"/>
  <c r="L1939" i="21"/>
  <c r="B1940" i="21"/>
  <c r="C1940" i="21"/>
  <c r="D1940" i="21"/>
  <c r="E1940" i="21"/>
  <c r="F1940" i="21"/>
  <c r="G1940" i="21"/>
  <c r="I1940" i="21"/>
  <c r="J1940" i="21"/>
  <c r="L1940" i="21"/>
  <c r="B1941" i="21"/>
  <c r="C1941" i="21"/>
  <c r="D1941" i="21"/>
  <c r="E1941" i="21"/>
  <c r="F1941" i="21"/>
  <c r="G1941" i="21"/>
  <c r="I1941" i="21"/>
  <c r="J1941" i="21"/>
  <c r="L1941" i="21"/>
  <c r="B1942" i="21"/>
  <c r="C1942" i="21"/>
  <c r="D1942" i="21"/>
  <c r="E1942" i="21"/>
  <c r="F1942" i="21"/>
  <c r="G1942" i="21"/>
  <c r="I1942" i="21"/>
  <c r="J1942" i="21"/>
  <c r="L1942" i="21"/>
  <c r="B1943" i="21"/>
  <c r="C1943" i="21"/>
  <c r="D1943" i="21"/>
  <c r="E1943" i="21"/>
  <c r="F1943" i="21"/>
  <c r="G1943" i="21"/>
  <c r="I1943" i="21"/>
  <c r="J1943" i="21"/>
  <c r="L1943" i="21"/>
  <c r="B1944" i="21"/>
  <c r="C1944" i="21"/>
  <c r="D1944" i="21"/>
  <c r="E1944" i="21"/>
  <c r="F1944" i="21"/>
  <c r="G1944" i="21"/>
  <c r="I1944" i="21"/>
  <c r="J1944" i="21"/>
  <c r="L1944" i="21"/>
  <c r="B1945" i="21"/>
  <c r="C1945" i="21"/>
  <c r="D1945" i="21"/>
  <c r="E1945" i="21"/>
  <c r="F1945" i="21"/>
  <c r="G1945" i="21"/>
  <c r="I1945" i="21"/>
  <c r="J1945" i="21"/>
  <c r="L1945" i="21"/>
  <c r="B1946" i="21"/>
  <c r="C1946" i="21"/>
  <c r="D1946" i="21"/>
  <c r="E1946" i="21"/>
  <c r="F1946" i="21"/>
  <c r="G1946" i="21"/>
  <c r="I1946" i="21"/>
  <c r="J1946" i="21"/>
  <c r="L1946" i="21"/>
  <c r="B1947" i="21"/>
  <c r="C1947" i="21"/>
  <c r="D1947" i="21"/>
  <c r="E1947" i="21"/>
  <c r="F1947" i="21"/>
  <c r="G1947" i="21"/>
  <c r="I1947" i="21"/>
  <c r="J1947" i="21"/>
  <c r="L1947" i="21"/>
  <c r="B1948" i="21"/>
  <c r="C1948" i="21"/>
  <c r="D1948" i="21"/>
  <c r="E1948" i="21"/>
  <c r="F1948" i="21"/>
  <c r="G1948" i="21"/>
  <c r="I1948" i="21"/>
  <c r="J1948" i="21"/>
  <c r="L1948" i="21"/>
  <c r="B1949" i="21"/>
  <c r="C1949" i="21"/>
  <c r="D1949" i="21"/>
  <c r="E1949" i="21"/>
  <c r="F1949" i="21"/>
  <c r="G1949" i="21"/>
  <c r="I1949" i="21"/>
  <c r="J1949" i="21"/>
  <c r="L1949" i="21"/>
  <c r="B1950" i="21"/>
  <c r="C1950" i="21"/>
  <c r="D1950" i="21"/>
  <c r="E1950" i="21"/>
  <c r="F1950" i="21"/>
  <c r="G1950" i="21"/>
  <c r="I1950" i="21"/>
  <c r="J1950" i="21"/>
  <c r="L1950" i="21"/>
  <c r="B1951" i="21"/>
  <c r="C1951" i="21"/>
  <c r="D1951" i="21"/>
  <c r="E1951" i="21"/>
  <c r="F1951" i="21"/>
  <c r="G1951" i="21"/>
  <c r="I1951" i="21"/>
  <c r="J1951" i="21"/>
  <c r="L1951" i="21"/>
  <c r="B1952" i="21"/>
  <c r="C1952" i="21"/>
  <c r="D1952" i="21"/>
  <c r="E1952" i="21"/>
  <c r="F1952" i="21"/>
  <c r="G1952" i="21"/>
  <c r="I1952" i="21"/>
  <c r="J1952" i="21"/>
  <c r="L1952" i="21"/>
  <c r="B1953" i="21"/>
  <c r="C1953" i="21"/>
  <c r="D1953" i="21"/>
  <c r="E1953" i="21"/>
  <c r="F1953" i="21"/>
  <c r="G1953" i="21"/>
  <c r="I1953" i="21"/>
  <c r="J1953" i="21"/>
  <c r="L1953" i="21"/>
  <c r="B1954" i="21"/>
  <c r="C1954" i="21"/>
  <c r="D1954" i="21"/>
  <c r="E1954" i="21"/>
  <c r="F1954" i="21"/>
  <c r="G1954" i="21"/>
  <c r="I1954" i="21"/>
  <c r="J1954" i="21"/>
  <c r="L1954" i="21"/>
  <c r="B1955" i="21"/>
  <c r="C1955" i="21"/>
  <c r="D1955" i="21"/>
  <c r="E1955" i="21"/>
  <c r="F1955" i="21"/>
  <c r="G1955" i="21"/>
  <c r="I1955" i="21"/>
  <c r="J1955" i="21"/>
  <c r="L1955" i="21"/>
  <c r="B1956" i="21"/>
  <c r="C1956" i="21"/>
  <c r="D1956" i="21"/>
  <c r="E1956" i="21"/>
  <c r="F1956" i="21"/>
  <c r="G1956" i="21"/>
  <c r="I1956" i="21"/>
  <c r="J1956" i="21"/>
  <c r="L1956" i="21"/>
  <c r="B1957" i="21"/>
  <c r="C1957" i="21"/>
  <c r="D1957" i="21"/>
  <c r="E1957" i="21"/>
  <c r="F1957" i="21"/>
  <c r="G1957" i="21"/>
  <c r="I1957" i="21"/>
  <c r="J1957" i="21"/>
  <c r="L1957" i="21"/>
  <c r="B1958" i="21"/>
  <c r="C1958" i="21"/>
  <c r="D1958" i="21"/>
  <c r="E1958" i="21"/>
  <c r="F1958" i="21"/>
  <c r="G1958" i="21"/>
  <c r="I1958" i="21"/>
  <c r="J1958" i="21"/>
  <c r="L1958" i="21"/>
  <c r="B1959" i="21"/>
  <c r="C1959" i="21"/>
  <c r="D1959" i="21"/>
  <c r="E1959" i="21"/>
  <c r="F1959" i="21"/>
  <c r="G1959" i="21"/>
  <c r="I1959" i="21"/>
  <c r="J1959" i="21"/>
  <c r="L1959" i="21"/>
  <c r="B1960" i="21"/>
  <c r="C1960" i="21"/>
  <c r="D1960" i="21"/>
  <c r="E1960" i="21"/>
  <c r="F1960" i="21"/>
  <c r="G1960" i="21"/>
  <c r="I1960" i="21"/>
  <c r="J1960" i="21"/>
  <c r="L1960" i="21"/>
  <c r="B1961" i="21"/>
  <c r="C1961" i="21"/>
  <c r="D1961" i="21"/>
  <c r="E1961" i="21"/>
  <c r="F1961" i="21"/>
  <c r="G1961" i="21"/>
  <c r="I1961" i="21"/>
  <c r="J1961" i="21"/>
  <c r="L1961" i="21"/>
  <c r="B1962" i="21"/>
  <c r="C1962" i="21"/>
  <c r="D1962" i="21"/>
  <c r="E1962" i="21"/>
  <c r="F1962" i="21"/>
  <c r="G1962" i="21"/>
  <c r="I1962" i="21"/>
  <c r="J1962" i="21"/>
  <c r="L1962" i="21"/>
  <c r="B1963" i="21"/>
  <c r="C1963" i="21"/>
  <c r="D1963" i="21"/>
  <c r="E1963" i="21"/>
  <c r="F1963" i="21"/>
  <c r="G1963" i="21"/>
  <c r="I1963" i="21"/>
  <c r="J1963" i="21"/>
  <c r="L1963" i="21"/>
  <c r="B1964" i="21"/>
  <c r="C1964" i="21"/>
  <c r="D1964" i="21"/>
  <c r="E1964" i="21"/>
  <c r="F1964" i="21"/>
  <c r="G1964" i="21"/>
  <c r="I1964" i="21"/>
  <c r="J1964" i="21"/>
  <c r="L1964" i="21"/>
  <c r="B1965" i="21"/>
  <c r="C1965" i="21"/>
  <c r="D1965" i="21"/>
  <c r="E1965" i="21"/>
  <c r="F1965" i="21"/>
  <c r="G1965" i="21"/>
  <c r="I1965" i="21"/>
  <c r="J1965" i="21"/>
  <c r="L1965" i="21"/>
  <c r="B1966" i="21"/>
  <c r="C1966" i="21"/>
  <c r="D1966" i="21"/>
  <c r="E1966" i="21"/>
  <c r="F1966" i="21"/>
  <c r="G1966" i="21"/>
  <c r="I1966" i="21"/>
  <c r="J1966" i="21"/>
  <c r="L1966" i="21"/>
  <c r="B1967" i="21"/>
  <c r="C1967" i="21"/>
  <c r="D1967" i="21"/>
  <c r="E1967" i="21"/>
  <c r="F1967" i="21"/>
  <c r="G1967" i="21"/>
  <c r="I1967" i="21"/>
  <c r="J1967" i="21"/>
  <c r="L1967" i="21"/>
  <c r="B1968" i="21"/>
  <c r="C1968" i="21"/>
  <c r="D1968" i="21"/>
  <c r="E1968" i="21"/>
  <c r="F1968" i="21"/>
  <c r="G1968" i="21"/>
  <c r="I1968" i="21"/>
  <c r="J1968" i="21"/>
  <c r="L1968" i="21"/>
  <c r="B1969" i="21"/>
  <c r="C1969" i="21"/>
  <c r="D1969" i="21"/>
  <c r="E1969" i="21"/>
  <c r="F1969" i="21"/>
  <c r="G1969" i="21"/>
  <c r="I1969" i="21"/>
  <c r="J1969" i="21"/>
  <c r="L1969" i="21"/>
  <c r="B1970" i="21"/>
  <c r="C1970" i="21"/>
  <c r="D1970" i="21"/>
  <c r="E1970" i="21"/>
  <c r="F1970" i="21"/>
  <c r="G1970" i="21"/>
  <c r="I1970" i="21"/>
  <c r="J1970" i="21"/>
  <c r="L1970" i="21"/>
  <c r="B1971" i="21"/>
  <c r="C1971" i="21"/>
  <c r="D1971" i="21"/>
  <c r="E1971" i="21"/>
  <c r="F1971" i="21"/>
  <c r="G1971" i="21"/>
  <c r="I1971" i="21"/>
  <c r="J1971" i="21"/>
  <c r="L1971" i="21"/>
  <c r="B1972" i="21"/>
  <c r="C1972" i="21"/>
  <c r="D1972" i="21"/>
  <c r="E1972" i="21"/>
  <c r="F1972" i="21"/>
  <c r="G1972" i="21"/>
  <c r="I1972" i="21"/>
  <c r="J1972" i="21"/>
  <c r="L1972" i="21"/>
  <c r="B1973" i="21"/>
  <c r="C1973" i="21"/>
  <c r="D1973" i="21"/>
  <c r="E1973" i="21"/>
  <c r="F1973" i="21"/>
  <c r="G1973" i="21"/>
  <c r="I1973" i="21"/>
  <c r="J1973" i="21"/>
  <c r="L1973" i="21"/>
  <c r="B1974" i="21"/>
  <c r="C1974" i="21"/>
  <c r="D1974" i="21"/>
  <c r="E1974" i="21"/>
  <c r="F1974" i="21"/>
  <c r="G1974" i="21"/>
  <c r="I1974" i="21"/>
  <c r="J1974" i="21"/>
  <c r="L1974" i="21"/>
  <c r="B1975" i="21"/>
  <c r="C1975" i="21"/>
  <c r="D1975" i="21"/>
  <c r="E1975" i="21"/>
  <c r="F1975" i="21"/>
  <c r="G1975" i="21"/>
  <c r="I1975" i="21"/>
  <c r="J1975" i="21"/>
  <c r="L1975" i="21"/>
  <c r="B1976" i="21"/>
  <c r="C1976" i="21"/>
  <c r="D1976" i="21"/>
  <c r="E1976" i="21"/>
  <c r="F1976" i="21"/>
  <c r="G1976" i="21"/>
  <c r="I1976" i="21"/>
  <c r="J1976" i="21"/>
  <c r="L1976" i="21"/>
  <c r="B1977" i="21"/>
  <c r="C1977" i="21"/>
  <c r="D1977" i="21"/>
  <c r="E1977" i="21"/>
  <c r="F1977" i="21"/>
  <c r="G1977" i="21"/>
  <c r="I1977" i="21"/>
  <c r="J1977" i="21"/>
  <c r="L1977" i="21"/>
  <c r="B1978" i="21"/>
  <c r="C1978" i="21"/>
  <c r="D1978" i="21"/>
  <c r="E1978" i="21"/>
  <c r="F1978" i="21"/>
  <c r="G1978" i="21"/>
  <c r="I1978" i="21"/>
  <c r="J1978" i="21"/>
  <c r="L1978" i="21"/>
  <c r="B1979" i="21"/>
  <c r="C1979" i="21"/>
  <c r="D1979" i="21"/>
  <c r="E1979" i="21"/>
  <c r="F1979" i="21"/>
  <c r="G1979" i="21"/>
  <c r="I1979" i="21"/>
  <c r="J1979" i="21"/>
  <c r="L1979" i="21"/>
  <c r="B1980" i="21"/>
  <c r="C1980" i="21"/>
  <c r="D1980" i="21"/>
  <c r="E1980" i="21"/>
  <c r="F1980" i="21"/>
  <c r="G1980" i="21"/>
  <c r="I1980" i="21"/>
  <c r="J1980" i="21"/>
  <c r="L1980" i="21"/>
  <c r="B1981" i="21"/>
  <c r="C1981" i="21"/>
  <c r="D1981" i="21"/>
  <c r="E1981" i="21"/>
  <c r="F1981" i="21"/>
  <c r="G1981" i="21"/>
  <c r="I1981" i="21"/>
  <c r="J1981" i="21"/>
  <c r="L1981" i="21"/>
  <c r="B1982" i="21"/>
  <c r="C1982" i="21"/>
  <c r="D1982" i="21"/>
  <c r="E1982" i="21"/>
  <c r="F1982" i="21"/>
  <c r="G1982" i="21"/>
  <c r="I1982" i="21"/>
  <c r="J1982" i="21"/>
  <c r="L1982" i="21"/>
  <c r="B1983" i="21"/>
  <c r="C1983" i="21"/>
  <c r="D1983" i="21"/>
  <c r="E1983" i="21"/>
  <c r="F1983" i="21"/>
  <c r="G1983" i="21"/>
  <c r="I1983" i="21"/>
  <c r="J1983" i="21"/>
  <c r="L1983" i="21"/>
  <c r="B1984" i="21"/>
  <c r="C1984" i="21"/>
  <c r="D1984" i="21"/>
  <c r="E1984" i="21"/>
  <c r="F1984" i="21"/>
  <c r="G1984" i="21"/>
  <c r="I1984" i="21"/>
  <c r="J1984" i="21"/>
  <c r="L1984" i="21"/>
  <c r="B1985" i="21"/>
  <c r="C1985" i="21"/>
  <c r="D1985" i="21"/>
  <c r="E1985" i="21"/>
  <c r="F1985" i="21"/>
  <c r="G1985" i="21"/>
  <c r="I1985" i="21"/>
  <c r="J1985" i="21"/>
  <c r="L1985" i="21"/>
  <c r="B1986" i="21"/>
  <c r="C1986" i="21"/>
  <c r="D1986" i="21"/>
  <c r="E1986" i="21"/>
  <c r="F1986" i="21"/>
  <c r="G1986" i="21"/>
  <c r="I1986" i="21"/>
  <c r="J1986" i="21"/>
  <c r="L1986" i="21"/>
  <c r="B1987" i="21"/>
  <c r="C1987" i="21"/>
  <c r="D1987" i="21"/>
  <c r="E1987" i="21"/>
  <c r="F1987" i="21"/>
  <c r="G1987" i="21"/>
  <c r="I1987" i="21"/>
  <c r="J1987" i="21"/>
  <c r="L1987" i="21"/>
  <c r="B1988" i="21"/>
  <c r="C1988" i="21"/>
  <c r="D1988" i="21"/>
  <c r="E1988" i="21"/>
  <c r="F1988" i="21"/>
  <c r="G1988" i="21"/>
  <c r="I1988" i="21"/>
  <c r="J1988" i="21"/>
  <c r="L1988" i="21"/>
  <c r="B1989" i="21"/>
  <c r="C1989" i="21"/>
  <c r="D1989" i="21"/>
  <c r="E1989" i="21"/>
  <c r="F1989" i="21"/>
  <c r="G1989" i="21"/>
  <c r="I1989" i="21"/>
  <c r="J1989" i="21"/>
  <c r="L1989" i="21"/>
  <c r="B1990" i="21"/>
  <c r="C1990" i="21"/>
  <c r="D1990" i="21"/>
  <c r="E1990" i="21"/>
  <c r="F1990" i="21"/>
  <c r="G1990" i="21"/>
  <c r="I1990" i="21"/>
  <c r="J1990" i="21"/>
  <c r="L1990" i="21"/>
  <c r="B1991" i="21"/>
  <c r="C1991" i="21"/>
  <c r="D1991" i="21"/>
  <c r="E1991" i="21"/>
  <c r="F1991" i="21"/>
  <c r="G1991" i="21"/>
  <c r="I1991" i="21"/>
  <c r="J1991" i="21"/>
  <c r="L1991" i="21"/>
  <c r="B1992" i="21"/>
  <c r="C1992" i="21"/>
  <c r="D1992" i="21"/>
  <c r="E1992" i="21"/>
  <c r="F1992" i="21"/>
  <c r="G1992" i="21"/>
  <c r="I1992" i="21"/>
  <c r="J1992" i="21"/>
  <c r="L1992" i="21"/>
  <c r="B1993" i="21"/>
  <c r="C1993" i="21"/>
  <c r="D1993" i="21"/>
  <c r="E1993" i="21"/>
  <c r="F1993" i="21"/>
  <c r="G1993" i="21"/>
  <c r="I1993" i="21"/>
  <c r="J1993" i="21"/>
  <c r="L1993" i="21"/>
  <c r="B1994" i="21"/>
  <c r="C1994" i="21"/>
  <c r="D1994" i="21"/>
  <c r="E1994" i="21"/>
  <c r="F1994" i="21"/>
  <c r="G1994" i="21"/>
  <c r="I1994" i="21"/>
  <c r="J1994" i="21"/>
  <c r="L1994" i="21"/>
  <c r="B1995" i="21"/>
  <c r="C1995" i="21"/>
  <c r="D1995" i="21"/>
  <c r="E1995" i="21"/>
  <c r="F1995" i="21"/>
  <c r="G1995" i="21"/>
  <c r="I1995" i="21"/>
  <c r="J1995" i="21"/>
  <c r="L1995" i="21"/>
  <c r="B1996" i="21"/>
  <c r="C1996" i="21"/>
  <c r="D1996" i="21"/>
  <c r="E1996" i="21"/>
  <c r="F1996" i="21"/>
  <c r="G1996" i="21"/>
  <c r="I1996" i="21"/>
  <c r="J1996" i="21"/>
  <c r="L1996" i="21"/>
  <c r="B1997" i="21"/>
  <c r="C1997" i="21"/>
  <c r="D1997" i="21"/>
  <c r="E1997" i="21"/>
  <c r="F1997" i="21"/>
  <c r="G1997" i="21"/>
  <c r="I1997" i="21"/>
  <c r="J1997" i="21"/>
  <c r="L1997" i="21"/>
  <c r="B1998" i="21"/>
  <c r="C1998" i="21"/>
  <c r="D1998" i="21"/>
  <c r="E1998" i="21"/>
  <c r="F1998" i="21"/>
  <c r="G1998" i="21"/>
  <c r="I1998" i="21"/>
  <c r="J1998" i="21"/>
  <c r="L1998" i="21"/>
  <c r="B1999" i="21"/>
  <c r="C1999" i="21"/>
  <c r="D1999" i="21"/>
  <c r="E1999" i="21"/>
  <c r="F1999" i="21"/>
  <c r="G1999" i="21"/>
  <c r="I1999" i="21"/>
  <c r="J1999" i="21"/>
  <c r="L1999" i="21"/>
  <c r="B2000" i="21"/>
  <c r="C2000" i="21"/>
  <c r="D2000" i="21"/>
  <c r="E2000" i="21"/>
  <c r="F2000" i="21"/>
  <c r="G2000" i="21"/>
  <c r="I2000" i="21"/>
  <c r="J2000" i="21"/>
  <c r="L2000" i="21"/>
  <c r="B2001" i="21"/>
  <c r="C2001" i="21"/>
  <c r="D2001" i="21"/>
  <c r="E2001" i="21"/>
  <c r="F2001" i="21"/>
  <c r="G2001" i="21"/>
  <c r="I2001" i="21"/>
  <c r="J2001" i="21"/>
  <c r="L2001" i="21"/>
  <c r="B2002" i="21"/>
  <c r="C2002" i="21"/>
  <c r="D2002" i="21"/>
  <c r="E2002" i="21"/>
  <c r="F2002" i="21"/>
  <c r="G2002" i="21"/>
  <c r="I2002" i="21"/>
  <c r="J2002" i="21"/>
  <c r="L2002" i="21"/>
  <c r="B2003" i="21"/>
  <c r="C2003" i="21"/>
  <c r="D2003" i="21"/>
  <c r="E2003" i="21"/>
  <c r="F2003" i="21"/>
  <c r="G2003" i="21"/>
  <c r="I2003" i="21"/>
  <c r="J2003" i="21"/>
  <c r="L2003" i="21"/>
  <c r="B2004" i="21"/>
  <c r="C2004" i="21"/>
  <c r="D2004" i="21"/>
  <c r="E2004" i="21"/>
  <c r="F2004" i="21"/>
  <c r="G2004" i="21"/>
  <c r="I2004" i="21"/>
  <c r="J2004" i="21"/>
  <c r="L2004" i="21"/>
  <c r="B2005" i="21"/>
  <c r="C2005" i="21"/>
  <c r="D2005" i="21"/>
  <c r="E2005" i="21"/>
  <c r="F2005" i="21"/>
  <c r="G2005" i="21"/>
  <c r="I2005" i="21"/>
  <c r="J2005" i="21"/>
  <c r="L2005" i="21"/>
  <c r="B2006" i="21"/>
  <c r="C2006" i="21"/>
  <c r="D2006" i="21"/>
  <c r="E2006" i="21"/>
  <c r="F2006" i="21"/>
  <c r="G2006" i="21"/>
  <c r="I2006" i="21"/>
  <c r="J2006" i="21"/>
  <c r="L2006" i="21"/>
  <c r="B2007" i="21"/>
  <c r="C2007" i="21"/>
  <c r="D2007" i="21"/>
  <c r="E2007" i="21"/>
  <c r="F2007" i="21"/>
  <c r="G2007" i="21"/>
  <c r="I2007" i="21"/>
  <c r="J2007" i="21"/>
  <c r="L2007" i="21"/>
  <c r="B2008" i="21"/>
  <c r="C2008" i="21"/>
  <c r="D2008" i="21"/>
  <c r="E2008" i="21"/>
  <c r="F2008" i="21"/>
  <c r="G2008" i="21"/>
  <c r="I2008" i="21"/>
  <c r="J2008" i="21"/>
  <c r="L2008" i="21"/>
  <c r="B2009" i="21"/>
  <c r="C2009" i="21"/>
  <c r="D2009" i="21"/>
  <c r="E2009" i="21"/>
  <c r="F2009" i="21"/>
  <c r="G2009" i="21"/>
  <c r="I2009" i="21"/>
  <c r="J2009" i="21"/>
  <c r="L2009" i="21"/>
  <c r="B2010" i="21"/>
  <c r="C2010" i="21"/>
  <c r="D2010" i="21"/>
  <c r="E2010" i="21"/>
  <c r="F2010" i="21"/>
  <c r="G2010" i="21"/>
  <c r="I2010" i="21"/>
  <c r="J2010" i="21"/>
  <c r="L2010" i="21"/>
  <c r="B2011" i="21"/>
  <c r="C2011" i="21"/>
  <c r="D2011" i="21"/>
  <c r="E2011" i="21"/>
  <c r="F2011" i="21"/>
  <c r="G2011" i="21"/>
  <c r="I2011" i="21"/>
  <c r="J2011" i="21"/>
  <c r="L2011" i="21"/>
  <c r="B2012" i="21"/>
  <c r="C2012" i="21"/>
  <c r="D2012" i="21"/>
  <c r="E2012" i="21"/>
  <c r="F2012" i="21"/>
  <c r="G2012" i="21"/>
  <c r="I2012" i="21"/>
  <c r="J2012" i="21"/>
  <c r="L2012" i="21"/>
  <c r="B2013" i="21"/>
  <c r="C2013" i="21"/>
  <c r="D2013" i="21"/>
  <c r="E2013" i="21"/>
  <c r="F2013" i="21"/>
  <c r="G2013" i="21"/>
  <c r="I2013" i="21"/>
  <c r="J2013" i="21"/>
  <c r="L2013" i="21"/>
  <c r="B2014" i="21"/>
  <c r="C2014" i="21"/>
  <c r="D2014" i="21"/>
  <c r="E2014" i="21"/>
  <c r="F2014" i="21"/>
  <c r="G2014" i="21"/>
  <c r="I2014" i="21"/>
  <c r="J2014" i="21"/>
  <c r="L2014" i="21"/>
  <c r="B2015" i="21"/>
  <c r="C2015" i="21"/>
  <c r="D2015" i="21"/>
  <c r="E2015" i="21"/>
  <c r="F2015" i="21"/>
  <c r="G2015" i="21"/>
  <c r="I2015" i="21"/>
  <c r="J2015" i="21"/>
  <c r="L2015" i="21"/>
  <c r="B2016" i="21"/>
  <c r="C2016" i="21"/>
  <c r="D2016" i="21"/>
  <c r="E2016" i="21"/>
  <c r="F2016" i="21"/>
  <c r="G2016" i="21"/>
  <c r="I2016" i="21"/>
  <c r="J2016" i="21"/>
  <c r="L2016" i="21"/>
  <c r="B2017" i="21"/>
  <c r="C2017" i="21"/>
  <c r="D2017" i="21"/>
  <c r="E2017" i="21"/>
  <c r="F2017" i="21"/>
  <c r="G2017" i="21"/>
  <c r="I2017" i="21"/>
  <c r="J2017" i="21"/>
  <c r="L2017" i="21"/>
  <c r="B2018" i="21"/>
  <c r="C2018" i="21"/>
  <c r="D2018" i="21"/>
  <c r="E2018" i="21"/>
  <c r="F2018" i="21"/>
  <c r="G2018" i="21"/>
  <c r="I2018" i="21"/>
  <c r="J2018" i="21"/>
  <c r="L2018" i="21"/>
  <c r="B2019" i="21"/>
  <c r="C2019" i="21"/>
  <c r="D2019" i="21"/>
  <c r="E2019" i="21"/>
  <c r="F2019" i="21"/>
  <c r="G2019" i="21"/>
  <c r="I2019" i="21"/>
  <c r="J2019" i="21"/>
  <c r="L2019" i="21"/>
  <c r="B2020" i="21"/>
  <c r="C2020" i="21"/>
  <c r="D2020" i="21"/>
  <c r="E2020" i="21"/>
  <c r="F2020" i="21"/>
  <c r="G2020" i="21"/>
  <c r="I2020" i="21"/>
  <c r="J2020" i="21"/>
  <c r="L2020" i="21"/>
  <c r="B2021" i="21"/>
  <c r="C2021" i="21"/>
  <c r="D2021" i="21"/>
  <c r="E2021" i="21"/>
  <c r="F2021" i="21"/>
  <c r="G2021" i="21"/>
  <c r="I2021" i="21"/>
  <c r="J2021" i="21"/>
  <c r="L2021" i="21"/>
  <c r="B2022" i="21"/>
  <c r="C2022" i="21"/>
  <c r="D2022" i="21"/>
  <c r="E2022" i="21"/>
  <c r="F2022" i="21"/>
  <c r="G2022" i="21"/>
  <c r="I2022" i="21"/>
  <c r="J2022" i="21"/>
  <c r="L2022" i="21"/>
  <c r="B2023" i="21"/>
  <c r="C2023" i="21"/>
  <c r="D2023" i="21"/>
  <c r="E2023" i="21"/>
  <c r="F2023" i="21"/>
  <c r="G2023" i="21"/>
  <c r="I2023" i="21"/>
  <c r="J2023" i="21"/>
  <c r="L2023" i="21"/>
  <c r="B2024" i="21"/>
  <c r="C2024" i="21"/>
  <c r="D2024" i="21"/>
  <c r="E2024" i="21"/>
  <c r="F2024" i="21"/>
  <c r="G2024" i="21"/>
  <c r="I2024" i="21"/>
  <c r="J2024" i="21"/>
  <c r="L2024" i="21"/>
  <c r="B2025" i="21"/>
  <c r="C2025" i="21"/>
  <c r="D2025" i="21"/>
  <c r="E2025" i="21"/>
  <c r="F2025" i="21"/>
  <c r="G2025" i="21"/>
  <c r="I2025" i="21"/>
  <c r="J2025" i="21"/>
  <c r="L2025" i="21"/>
  <c r="B2026" i="21"/>
  <c r="C2026" i="21"/>
  <c r="D2026" i="21"/>
  <c r="E2026" i="21"/>
  <c r="F2026" i="21"/>
  <c r="G2026" i="21"/>
  <c r="I2026" i="21"/>
  <c r="J2026" i="21"/>
  <c r="L2026" i="21"/>
  <c r="B2027" i="21"/>
  <c r="C2027" i="21"/>
  <c r="D2027" i="21"/>
  <c r="E2027" i="21"/>
  <c r="F2027" i="21"/>
  <c r="G2027" i="21"/>
  <c r="I2027" i="21"/>
  <c r="J2027" i="21"/>
  <c r="L2027" i="21"/>
  <c r="B2028" i="21"/>
  <c r="C2028" i="21"/>
  <c r="D2028" i="21"/>
  <c r="E2028" i="21"/>
  <c r="F2028" i="21"/>
  <c r="G2028" i="21"/>
  <c r="I2028" i="21"/>
  <c r="J2028" i="21"/>
  <c r="L2028" i="21"/>
  <c r="B2029" i="21"/>
  <c r="C2029" i="21"/>
  <c r="D2029" i="21"/>
  <c r="E2029" i="21"/>
  <c r="F2029" i="21"/>
  <c r="G2029" i="21"/>
  <c r="I2029" i="21"/>
  <c r="J2029" i="21"/>
  <c r="L2029" i="21"/>
  <c r="B2030" i="21"/>
  <c r="C2030" i="21"/>
  <c r="D2030" i="21"/>
  <c r="E2030" i="21"/>
  <c r="F2030" i="21"/>
  <c r="G2030" i="21"/>
  <c r="I2030" i="21"/>
  <c r="J2030" i="21"/>
  <c r="L2030" i="21"/>
  <c r="B2031" i="21"/>
  <c r="C2031" i="21"/>
  <c r="D2031" i="21"/>
  <c r="E2031" i="21"/>
  <c r="F2031" i="21"/>
  <c r="G2031" i="21"/>
  <c r="I2031" i="21"/>
  <c r="J2031" i="21"/>
  <c r="L2031" i="21"/>
  <c r="B2032" i="21"/>
  <c r="C2032" i="21"/>
  <c r="D2032" i="21"/>
  <c r="E2032" i="21"/>
  <c r="F2032" i="21"/>
  <c r="G2032" i="21"/>
  <c r="I2032" i="21"/>
  <c r="J2032" i="21"/>
  <c r="L2032" i="21"/>
  <c r="B2033" i="21"/>
  <c r="C2033" i="21"/>
  <c r="D2033" i="21"/>
  <c r="E2033" i="21"/>
  <c r="F2033" i="21"/>
  <c r="G2033" i="21"/>
  <c r="I2033" i="21"/>
  <c r="J2033" i="21"/>
  <c r="L2033" i="21"/>
  <c r="B2034" i="21"/>
  <c r="C2034" i="21"/>
  <c r="D2034" i="21"/>
  <c r="E2034" i="21"/>
  <c r="F2034" i="21"/>
  <c r="G2034" i="21"/>
  <c r="I2034" i="21"/>
  <c r="J2034" i="21"/>
  <c r="L2034" i="21"/>
  <c r="B2035" i="21"/>
  <c r="C2035" i="21"/>
  <c r="D2035" i="21"/>
  <c r="E2035" i="21"/>
  <c r="F2035" i="21"/>
  <c r="G2035" i="21"/>
  <c r="I2035" i="21"/>
  <c r="J2035" i="21"/>
  <c r="L2035" i="21"/>
  <c r="B2036" i="21"/>
  <c r="C2036" i="21"/>
  <c r="D2036" i="21"/>
  <c r="E2036" i="21"/>
  <c r="F2036" i="21"/>
  <c r="G2036" i="21"/>
  <c r="I2036" i="21"/>
  <c r="J2036" i="21"/>
  <c r="L2036" i="21"/>
  <c r="B2037" i="21"/>
  <c r="C2037" i="21"/>
  <c r="D2037" i="21"/>
  <c r="E2037" i="21"/>
  <c r="F2037" i="21"/>
  <c r="G2037" i="21"/>
  <c r="I2037" i="21"/>
  <c r="J2037" i="21"/>
  <c r="L2037" i="21"/>
  <c r="B2038" i="21"/>
  <c r="C2038" i="21"/>
  <c r="D2038" i="21"/>
  <c r="E2038" i="21"/>
  <c r="F2038" i="21"/>
  <c r="G2038" i="21"/>
  <c r="I2038" i="21"/>
  <c r="J2038" i="21"/>
  <c r="L2038" i="21"/>
  <c r="B2039" i="21"/>
  <c r="C2039" i="21"/>
  <c r="D2039" i="21"/>
  <c r="E2039" i="21"/>
  <c r="F2039" i="21"/>
  <c r="G2039" i="21"/>
  <c r="I2039" i="21"/>
  <c r="J2039" i="21"/>
  <c r="L2039" i="21"/>
  <c r="B2040" i="21"/>
  <c r="C2040" i="21"/>
  <c r="D2040" i="21"/>
  <c r="E2040" i="21"/>
  <c r="F2040" i="21"/>
  <c r="G2040" i="21"/>
  <c r="I2040" i="21"/>
  <c r="J2040" i="21"/>
  <c r="L2040" i="21"/>
  <c r="B2041" i="21"/>
  <c r="C2041" i="21"/>
  <c r="D2041" i="21"/>
  <c r="E2041" i="21"/>
  <c r="F2041" i="21"/>
  <c r="G2041" i="21"/>
  <c r="I2041" i="21"/>
  <c r="J2041" i="21"/>
  <c r="L2041" i="21"/>
  <c r="B2042" i="21"/>
  <c r="C2042" i="21"/>
  <c r="D2042" i="21"/>
  <c r="E2042" i="21"/>
  <c r="F2042" i="21"/>
  <c r="G2042" i="21"/>
  <c r="I2042" i="21"/>
  <c r="J2042" i="21"/>
  <c r="L2042" i="21"/>
  <c r="B2043" i="21"/>
  <c r="C2043" i="21"/>
  <c r="D2043" i="21"/>
  <c r="E2043" i="21"/>
  <c r="F2043" i="21"/>
  <c r="G2043" i="21"/>
  <c r="I2043" i="21"/>
  <c r="J2043" i="21"/>
  <c r="L2043" i="21"/>
  <c r="B2044" i="21"/>
  <c r="C2044" i="21"/>
  <c r="D2044" i="21"/>
  <c r="E2044" i="21"/>
  <c r="F2044" i="21"/>
  <c r="G2044" i="21"/>
  <c r="I2044" i="21"/>
  <c r="J2044" i="21"/>
  <c r="L2044" i="21"/>
  <c r="B2045" i="21"/>
  <c r="C2045" i="21"/>
  <c r="D2045" i="21"/>
  <c r="E2045" i="21"/>
  <c r="F2045" i="21"/>
  <c r="G2045" i="21"/>
  <c r="I2045" i="21"/>
  <c r="J2045" i="21"/>
  <c r="L2045" i="21"/>
  <c r="B2046" i="21"/>
  <c r="C2046" i="21"/>
  <c r="D2046" i="21"/>
  <c r="E2046" i="21"/>
  <c r="F2046" i="21"/>
  <c r="G2046" i="21"/>
  <c r="I2046" i="21"/>
  <c r="J2046" i="21"/>
  <c r="L2046" i="21"/>
  <c r="B2047" i="21"/>
  <c r="C2047" i="21"/>
  <c r="D2047" i="21"/>
  <c r="E2047" i="21"/>
  <c r="F2047" i="21"/>
  <c r="G2047" i="21"/>
  <c r="I2047" i="21"/>
  <c r="J2047" i="21"/>
  <c r="L2047" i="21"/>
  <c r="B2048" i="21"/>
  <c r="C2048" i="21"/>
  <c r="D2048" i="21"/>
  <c r="E2048" i="21"/>
  <c r="F2048" i="21"/>
  <c r="G2048" i="21"/>
  <c r="I2048" i="21"/>
  <c r="J2048" i="21"/>
  <c r="L2048" i="21"/>
  <c r="B2049" i="21"/>
  <c r="C2049" i="21"/>
  <c r="D2049" i="21"/>
  <c r="E2049" i="21"/>
  <c r="F2049" i="21"/>
  <c r="G2049" i="21"/>
  <c r="I2049" i="21"/>
  <c r="J2049" i="21"/>
  <c r="L2049" i="21"/>
  <c r="B2050" i="21"/>
  <c r="C2050" i="21"/>
  <c r="D2050" i="21"/>
  <c r="E2050" i="21"/>
  <c r="F2050" i="21"/>
  <c r="G2050" i="21"/>
  <c r="I2050" i="21"/>
  <c r="J2050" i="21"/>
  <c r="L2050" i="21"/>
  <c r="B2051" i="21"/>
  <c r="C2051" i="21"/>
  <c r="D2051" i="21"/>
  <c r="E2051" i="21"/>
  <c r="F2051" i="21"/>
  <c r="G2051" i="21"/>
  <c r="I2051" i="21"/>
  <c r="J2051" i="21"/>
  <c r="L2051" i="21"/>
  <c r="B2052" i="21"/>
  <c r="C2052" i="21"/>
  <c r="D2052" i="21"/>
  <c r="E2052" i="21"/>
  <c r="F2052" i="21"/>
  <c r="G2052" i="21"/>
  <c r="I2052" i="21"/>
  <c r="J2052" i="21"/>
  <c r="L2052" i="21"/>
  <c r="B2053" i="21"/>
  <c r="C2053" i="21"/>
  <c r="D2053" i="21"/>
  <c r="E2053" i="21"/>
  <c r="F2053" i="21"/>
  <c r="G2053" i="21"/>
  <c r="I2053" i="21"/>
  <c r="J2053" i="21"/>
  <c r="L2053" i="21"/>
  <c r="B2054" i="21"/>
  <c r="C2054" i="21"/>
  <c r="D2054" i="21"/>
  <c r="E2054" i="21"/>
  <c r="F2054" i="21"/>
  <c r="G2054" i="21"/>
  <c r="I2054" i="21"/>
  <c r="J2054" i="21"/>
  <c r="L2054" i="21"/>
  <c r="B2055" i="21"/>
  <c r="C2055" i="21"/>
  <c r="D2055" i="21"/>
  <c r="E2055" i="21"/>
  <c r="F2055" i="21"/>
  <c r="G2055" i="21"/>
  <c r="I2055" i="21"/>
  <c r="J2055" i="21"/>
  <c r="L2055" i="21"/>
  <c r="B2056" i="21"/>
  <c r="C2056" i="21"/>
  <c r="D2056" i="21"/>
  <c r="E2056" i="21"/>
  <c r="F2056" i="21"/>
  <c r="G2056" i="21"/>
  <c r="I2056" i="21"/>
  <c r="J2056" i="21"/>
  <c r="L2056" i="21"/>
  <c r="B2057" i="21"/>
  <c r="C2057" i="21"/>
  <c r="D2057" i="21"/>
  <c r="E2057" i="21"/>
  <c r="F2057" i="21"/>
  <c r="G2057" i="21"/>
  <c r="I2057" i="21"/>
  <c r="J2057" i="21"/>
  <c r="L2057" i="21"/>
  <c r="B2058" i="21"/>
  <c r="C2058" i="21"/>
  <c r="D2058" i="21"/>
  <c r="E2058" i="21"/>
  <c r="F2058" i="21"/>
  <c r="G2058" i="21"/>
  <c r="I2058" i="21"/>
  <c r="J2058" i="21"/>
  <c r="L2058" i="21"/>
  <c r="B2059" i="21"/>
  <c r="C2059" i="21"/>
  <c r="D2059" i="21"/>
  <c r="E2059" i="21"/>
  <c r="F2059" i="21"/>
  <c r="G2059" i="21"/>
  <c r="I2059" i="21"/>
  <c r="J2059" i="21"/>
  <c r="L2059" i="21"/>
  <c r="B2060" i="21"/>
  <c r="C2060" i="21"/>
  <c r="D2060" i="21"/>
  <c r="E2060" i="21"/>
  <c r="F2060" i="21"/>
  <c r="G2060" i="21"/>
  <c r="I2060" i="21"/>
  <c r="J2060" i="21"/>
  <c r="L2060" i="21"/>
  <c r="B2061" i="21"/>
  <c r="C2061" i="21"/>
  <c r="D2061" i="21"/>
  <c r="E2061" i="21"/>
  <c r="F2061" i="21"/>
  <c r="G2061" i="21"/>
  <c r="I2061" i="21"/>
  <c r="J2061" i="21"/>
  <c r="L2061" i="21"/>
  <c r="B2062" i="21"/>
  <c r="C2062" i="21"/>
  <c r="D2062" i="21"/>
  <c r="E2062" i="21"/>
  <c r="F2062" i="21"/>
  <c r="G2062" i="21"/>
  <c r="I2062" i="21"/>
  <c r="J2062" i="21"/>
  <c r="L2062" i="21"/>
  <c r="B2063" i="21"/>
  <c r="C2063" i="21"/>
  <c r="D2063" i="21"/>
  <c r="E2063" i="21"/>
  <c r="F2063" i="21"/>
  <c r="G2063" i="21"/>
  <c r="I2063" i="21"/>
  <c r="J2063" i="21"/>
  <c r="L2063" i="21"/>
  <c r="B2064" i="21"/>
  <c r="C2064" i="21"/>
  <c r="D2064" i="21"/>
  <c r="E2064" i="21"/>
  <c r="F2064" i="21"/>
  <c r="G2064" i="21"/>
  <c r="I2064" i="21"/>
  <c r="J2064" i="21"/>
  <c r="L2064" i="21"/>
  <c r="B2065" i="21"/>
  <c r="C2065" i="21"/>
  <c r="D2065" i="21"/>
  <c r="E2065" i="21"/>
  <c r="F2065" i="21"/>
  <c r="G2065" i="21"/>
  <c r="I2065" i="21"/>
  <c r="J2065" i="21"/>
  <c r="L2065" i="21"/>
  <c r="B2066" i="21"/>
  <c r="C2066" i="21"/>
  <c r="D2066" i="21"/>
  <c r="E2066" i="21"/>
  <c r="F2066" i="21"/>
  <c r="G2066" i="21"/>
  <c r="I2066" i="21"/>
  <c r="J2066" i="21"/>
  <c r="L2066" i="21"/>
  <c r="B2067" i="21"/>
  <c r="C2067" i="21"/>
  <c r="D2067" i="21"/>
  <c r="E2067" i="21"/>
  <c r="F2067" i="21"/>
  <c r="G2067" i="21"/>
  <c r="I2067" i="21"/>
  <c r="J2067" i="21"/>
  <c r="L2067" i="21"/>
  <c r="B2068" i="21"/>
  <c r="C2068" i="21"/>
  <c r="D2068" i="21"/>
  <c r="E2068" i="21"/>
  <c r="F2068" i="21"/>
  <c r="G2068" i="21"/>
  <c r="I2068" i="21"/>
  <c r="J2068" i="21"/>
  <c r="L2068" i="21"/>
  <c r="B2069" i="21"/>
  <c r="C2069" i="21"/>
  <c r="D2069" i="21"/>
  <c r="E2069" i="21"/>
  <c r="F2069" i="21"/>
  <c r="G2069" i="21"/>
  <c r="I2069" i="21"/>
  <c r="J2069" i="21"/>
  <c r="L2069" i="21"/>
  <c r="B2070" i="21"/>
  <c r="C2070" i="21"/>
  <c r="D2070" i="21"/>
  <c r="E2070" i="21"/>
  <c r="F2070" i="21"/>
  <c r="G2070" i="21"/>
  <c r="I2070" i="21"/>
  <c r="J2070" i="21"/>
  <c r="L2070" i="21"/>
  <c r="B2071" i="21"/>
  <c r="C2071" i="21"/>
  <c r="D2071" i="21"/>
  <c r="E2071" i="21"/>
  <c r="F2071" i="21"/>
  <c r="G2071" i="21"/>
  <c r="I2071" i="21"/>
  <c r="J2071" i="21"/>
  <c r="L2071" i="21"/>
  <c r="B2072" i="21"/>
  <c r="C2072" i="21"/>
  <c r="D2072" i="21"/>
  <c r="E2072" i="21"/>
  <c r="F2072" i="21"/>
  <c r="G2072" i="21"/>
  <c r="I2072" i="21"/>
  <c r="J2072" i="21"/>
  <c r="L2072" i="21"/>
  <c r="B2073" i="21"/>
  <c r="C2073" i="21"/>
  <c r="D2073" i="21"/>
  <c r="E2073" i="21"/>
  <c r="F2073" i="21"/>
  <c r="G2073" i="21"/>
  <c r="I2073" i="21"/>
  <c r="J2073" i="21"/>
  <c r="L2073" i="21"/>
  <c r="B2074" i="21"/>
  <c r="C2074" i="21"/>
  <c r="D2074" i="21"/>
  <c r="E2074" i="21"/>
  <c r="F2074" i="21"/>
  <c r="G2074" i="21"/>
  <c r="I2074" i="21"/>
  <c r="J2074" i="21"/>
  <c r="L2074" i="21"/>
  <c r="B2075" i="21"/>
  <c r="C2075" i="21"/>
  <c r="D2075" i="21"/>
  <c r="E2075" i="21"/>
  <c r="F2075" i="21"/>
  <c r="G2075" i="21"/>
  <c r="I2075" i="21"/>
  <c r="J2075" i="21"/>
  <c r="L2075" i="21"/>
  <c r="B2076" i="21"/>
  <c r="C2076" i="21"/>
  <c r="D2076" i="21"/>
  <c r="E2076" i="21"/>
  <c r="F2076" i="21"/>
  <c r="G2076" i="21"/>
  <c r="I2076" i="21"/>
  <c r="J2076" i="21"/>
  <c r="L2076" i="21"/>
  <c r="B2077" i="21"/>
  <c r="C2077" i="21"/>
  <c r="D2077" i="21"/>
  <c r="E2077" i="21"/>
  <c r="F2077" i="21"/>
  <c r="G2077" i="21"/>
  <c r="I2077" i="21"/>
  <c r="J2077" i="21"/>
  <c r="L2077" i="21"/>
  <c r="B2078" i="21"/>
  <c r="C2078" i="21"/>
  <c r="D2078" i="21"/>
  <c r="E2078" i="21"/>
  <c r="F2078" i="21"/>
  <c r="G2078" i="21"/>
  <c r="I2078" i="21"/>
  <c r="J2078" i="21"/>
  <c r="L2078" i="21"/>
  <c r="B2079" i="21"/>
  <c r="C2079" i="21"/>
  <c r="D2079" i="21"/>
  <c r="E2079" i="21"/>
  <c r="F2079" i="21"/>
  <c r="G2079" i="21"/>
  <c r="I2079" i="21"/>
  <c r="J2079" i="21"/>
  <c r="L2079" i="21"/>
  <c r="B2080" i="21"/>
  <c r="C2080" i="21"/>
  <c r="D2080" i="21"/>
  <c r="E2080" i="21"/>
  <c r="F2080" i="21"/>
  <c r="G2080" i="21"/>
  <c r="I2080" i="21"/>
  <c r="J2080" i="21"/>
  <c r="L2080" i="21"/>
  <c r="B2081" i="21"/>
  <c r="C2081" i="21"/>
  <c r="D2081" i="21"/>
  <c r="E2081" i="21"/>
  <c r="F2081" i="21"/>
  <c r="G2081" i="21"/>
  <c r="I2081" i="21"/>
  <c r="J2081" i="21"/>
  <c r="L2081" i="21"/>
  <c r="B2082" i="21"/>
  <c r="C2082" i="21"/>
  <c r="D2082" i="21"/>
  <c r="E2082" i="21"/>
  <c r="F2082" i="21"/>
  <c r="G2082" i="21"/>
  <c r="I2082" i="21"/>
  <c r="J2082" i="21"/>
  <c r="L2082" i="21"/>
  <c r="B2083" i="21"/>
  <c r="C2083" i="21"/>
  <c r="D2083" i="21"/>
  <c r="E2083" i="21"/>
  <c r="F2083" i="21"/>
  <c r="G2083" i="21"/>
  <c r="I2083" i="21"/>
  <c r="J2083" i="21"/>
  <c r="L2083" i="21"/>
  <c r="B2084" i="21"/>
  <c r="C2084" i="21"/>
  <c r="D2084" i="21"/>
  <c r="E2084" i="21"/>
  <c r="F2084" i="21"/>
  <c r="G2084" i="21"/>
  <c r="I2084" i="21"/>
  <c r="J2084" i="21"/>
  <c r="L2084" i="21"/>
  <c r="B2085" i="21"/>
  <c r="C2085" i="21"/>
  <c r="D2085" i="21"/>
  <c r="E2085" i="21"/>
  <c r="F2085" i="21"/>
  <c r="G2085" i="21"/>
  <c r="I2085" i="21"/>
  <c r="J2085" i="21"/>
  <c r="L2085" i="21"/>
  <c r="B2086" i="21"/>
  <c r="C2086" i="21"/>
  <c r="D2086" i="21"/>
  <c r="E2086" i="21"/>
  <c r="F2086" i="21"/>
  <c r="G2086" i="21"/>
  <c r="I2086" i="21"/>
  <c r="J2086" i="21"/>
  <c r="L2086" i="21"/>
  <c r="B2087" i="21"/>
  <c r="C2087" i="21"/>
  <c r="D2087" i="21"/>
  <c r="E2087" i="21"/>
  <c r="F2087" i="21"/>
  <c r="G2087" i="21"/>
  <c r="I2087" i="21"/>
  <c r="J2087" i="21"/>
  <c r="L2087" i="21"/>
  <c r="B2088" i="21"/>
  <c r="C2088" i="21"/>
  <c r="D2088" i="21"/>
  <c r="E2088" i="21"/>
  <c r="F2088" i="21"/>
  <c r="G2088" i="21"/>
  <c r="I2088" i="21"/>
  <c r="J2088" i="21"/>
  <c r="L2088" i="21"/>
  <c r="B2089" i="21"/>
  <c r="C2089" i="21"/>
  <c r="D2089" i="21"/>
  <c r="E2089" i="21"/>
  <c r="F2089" i="21"/>
  <c r="G2089" i="21"/>
  <c r="I2089" i="21"/>
  <c r="J2089" i="21"/>
  <c r="L2089" i="21"/>
  <c r="B2090" i="21"/>
  <c r="C2090" i="21"/>
  <c r="D2090" i="21"/>
  <c r="E2090" i="21"/>
  <c r="F2090" i="21"/>
  <c r="G2090" i="21"/>
  <c r="I2090" i="21"/>
  <c r="J2090" i="21"/>
  <c r="L2090" i="21"/>
  <c r="B2091" i="21"/>
  <c r="C2091" i="21"/>
  <c r="D2091" i="21"/>
  <c r="E2091" i="21"/>
  <c r="F2091" i="21"/>
  <c r="G2091" i="21"/>
  <c r="I2091" i="21"/>
  <c r="J2091" i="21"/>
  <c r="L2091" i="21"/>
  <c r="B2092" i="21"/>
  <c r="C2092" i="21"/>
  <c r="D2092" i="21"/>
  <c r="E2092" i="21"/>
  <c r="F2092" i="21"/>
  <c r="G2092" i="21"/>
  <c r="I2092" i="21"/>
  <c r="J2092" i="21"/>
  <c r="L2092" i="21"/>
  <c r="B2093" i="21"/>
  <c r="C2093" i="21"/>
  <c r="D2093" i="21"/>
  <c r="E2093" i="21"/>
  <c r="F2093" i="21"/>
  <c r="G2093" i="21"/>
  <c r="I2093" i="21"/>
  <c r="J2093" i="21"/>
  <c r="L2093" i="21"/>
  <c r="B2094" i="21"/>
  <c r="C2094" i="21"/>
  <c r="D2094" i="21"/>
  <c r="E2094" i="21"/>
  <c r="F2094" i="21"/>
  <c r="G2094" i="21"/>
  <c r="I2094" i="21"/>
  <c r="J2094" i="21"/>
  <c r="L2094" i="21"/>
  <c r="B2095" i="21"/>
  <c r="C2095" i="21"/>
  <c r="D2095" i="21"/>
  <c r="E2095" i="21"/>
  <c r="F2095" i="21"/>
  <c r="G2095" i="21"/>
  <c r="I2095" i="21"/>
  <c r="J2095" i="21"/>
  <c r="L2095" i="21"/>
  <c r="B2096" i="21"/>
  <c r="C2096" i="21"/>
  <c r="D2096" i="21"/>
  <c r="E2096" i="21"/>
  <c r="F2096" i="21"/>
  <c r="G2096" i="21"/>
  <c r="I2096" i="21"/>
  <c r="J2096" i="21"/>
  <c r="L2096" i="21"/>
  <c r="B2097" i="21"/>
  <c r="C2097" i="21"/>
  <c r="D2097" i="21"/>
  <c r="E2097" i="21"/>
  <c r="F2097" i="21"/>
  <c r="G2097" i="21"/>
  <c r="I2097" i="21"/>
  <c r="J2097" i="21"/>
  <c r="L2097" i="21"/>
  <c r="B2098" i="21"/>
  <c r="C2098" i="21"/>
  <c r="D2098" i="21"/>
  <c r="E2098" i="21"/>
  <c r="F2098" i="21"/>
  <c r="G2098" i="21"/>
  <c r="I2098" i="21"/>
  <c r="J2098" i="21"/>
  <c r="L2098" i="21"/>
  <c r="B2099" i="21"/>
  <c r="C2099" i="21"/>
  <c r="D2099" i="21"/>
  <c r="E2099" i="21"/>
  <c r="F2099" i="21"/>
  <c r="G2099" i="21"/>
  <c r="I2099" i="21"/>
  <c r="J2099" i="21"/>
  <c r="L2099" i="21"/>
  <c r="B2100" i="21"/>
  <c r="C2100" i="21"/>
  <c r="D2100" i="21"/>
  <c r="E2100" i="21"/>
  <c r="F2100" i="21"/>
  <c r="G2100" i="21"/>
  <c r="I2100" i="21"/>
  <c r="J2100" i="21"/>
  <c r="L2100" i="21"/>
  <c r="B2101" i="21"/>
  <c r="C2101" i="21"/>
  <c r="D2101" i="21"/>
  <c r="E2101" i="21"/>
  <c r="F2101" i="21"/>
  <c r="G2101" i="21"/>
  <c r="I2101" i="21"/>
  <c r="J2101" i="21"/>
  <c r="L2101" i="21"/>
  <c r="B2102" i="21"/>
  <c r="C2102" i="21"/>
  <c r="D2102" i="21"/>
  <c r="E2102" i="21"/>
  <c r="F2102" i="21"/>
  <c r="G2102" i="21"/>
  <c r="I2102" i="21"/>
  <c r="J2102" i="21"/>
  <c r="L2102" i="21"/>
  <c r="B2103" i="21"/>
  <c r="C2103" i="21"/>
  <c r="D2103" i="21"/>
  <c r="E2103" i="21"/>
  <c r="F2103" i="21"/>
  <c r="G2103" i="21"/>
  <c r="I2103" i="21"/>
  <c r="J2103" i="21"/>
  <c r="L2103" i="21"/>
  <c r="B2104" i="21"/>
  <c r="C2104" i="21"/>
  <c r="D2104" i="21"/>
  <c r="E2104" i="21"/>
  <c r="F2104" i="21"/>
  <c r="G2104" i="21"/>
  <c r="I2104" i="21"/>
  <c r="J2104" i="21"/>
  <c r="L2104" i="21"/>
  <c r="B2105" i="21"/>
  <c r="C2105" i="21"/>
  <c r="D2105" i="21"/>
  <c r="E2105" i="21"/>
  <c r="F2105" i="21"/>
  <c r="G2105" i="21"/>
  <c r="I2105" i="21"/>
  <c r="J2105" i="21"/>
  <c r="L2105" i="21"/>
  <c r="B2106" i="21"/>
  <c r="C2106" i="21"/>
  <c r="D2106" i="21"/>
  <c r="E2106" i="21"/>
  <c r="F2106" i="21"/>
  <c r="G2106" i="21"/>
  <c r="I2106" i="21"/>
  <c r="J2106" i="21"/>
  <c r="L2106" i="21"/>
  <c r="B2107" i="21"/>
  <c r="C2107" i="21"/>
  <c r="D2107" i="21"/>
  <c r="E2107" i="21"/>
  <c r="F2107" i="21"/>
  <c r="G2107" i="21"/>
  <c r="I2107" i="21"/>
  <c r="J2107" i="21"/>
  <c r="L2107" i="21"/>
  <c r="B2108" i="21"/>
  <c r="C2108" i="21"/>
  <c r="D2108" i="21"/>
  <c r="E2108" i="21"/>
  <c r="F2108" i="21"/>
  <c r="G2108" i="21"/>
  <c r="I2108" i="21"/>
  <c r="J2108" i="21"/>
  <c r="L2108" i="21"/>
  <c r="B2109" i="21"/>
  <c r="C2109" i="21"/>
  <c r="D2109" i="21"/>
  <c r="E2109" i="21"/>
  <c r="F2109" i="21"/>
  <c r="G2109" i="21"/>
  <c r="I2109" i="21"/>
  <c r="J2109" i="21"/>
  <c r="L2109" i="21"/>
  <c r="B2110" i="21"/>
  <c r="C2110" i="21"/>
  <c r="D2110" i="21"/>
  <c r="E2110" i="21"/>
  <c r="F2110" i="21"/>
  <c r="G2110" i="21"/>
  <c r="I2110" i="21"/>
  <c r="J2110" i="21"/>
  <c r="L2110" i="21"/>
  <c r="B2111" i="21"/>
  <c r="C2111" i="21"/>
  <c r="D2111" i="21"/>
  <c r="E2111" i="21"/>
  <c r="F2111" i="21"/>
  <c r="G2111" i="21"/>
  <c r="I2111" i="21"/>
  <c r="J2111" i="21"/>
  <c r="L2111" i="21"/>
  <c r="B2112" i="21"/>
  <c r="C2112" i="21"/>
  <c r="D2112" i="21"/>
  <c r="E2112" i="21"/>
  <c r="F2112" i="21"/>
  <c r="G2112" i="21"/>
  <c r="I2112" i="21"/>
  <c r="J2112" i="21"/>
  <c r="L2112" i="21"/>
  <c r="B2113" i="21"/>
  <c r="C2113" i="21"/>
  <c r="D2113" i="21"/>
  <c r="E2113" i="21"/>
  <c r="F2113" i="21"/>
  <c r="G2113" i="21"/>
  <c r="I2113" i="21"/>
  <c r="J2113" i="21"/>
  <c r="L2113" i="21"/>
  <c r="B2114" i="21"/>
  <c r="C2114" i="21"/>
  <c r="D2114" i="21"/>
  <c r="E2114" i="21"/>
  <c r="F2114" i="21"/>
  <c r="G2114" i="21"/>
  <c r="I2114" i="21"/>
  <c r="J2114" i="21"/>
  <c r="L2114" i="21"/>
  <c r="B2115" i="21"/>
  <c r="C2115" i="21"/>
  <c r="D2115" i="21"/>
  <c r="E2115" i="21"/>
  <c r="F2115" i="21"/>
  <c r="G2115" i="21"/>
  <c r="I2115" i="21"/>
  <c r="J2115" i="21"/>
  <c r="L2115" i="21"/>
  <c r="B2116" i="21"/>
  <c r="C2116" i="21"/>
  <c r="D2116" i="21"/>
  <c r="E2116" i="21"/>
  <c r="F2116" i="21"/>
  <c r="G2116" i="21"/>
  <c r="I2116" i="21"/>
  <c r="J2116" i="21"/>
  <c r="L2116" i="21"/>
  <c r="B2117" i="21"/>
  <c r="C2117" i="21"/>
  <c r="D2117" i="21"/>
  <c r="E2117" i="21"/>
  <c r="F2117" i="21"/>
  <c r="G2117" i="21"/>
  <c r="I2117" i="21"/>
  <c r="J2117" i="21"/>
  <c r="L2117" i="21"/>
  <c r="B2118" i="21"/>
  <c r="C2118" i="21"/>
  <c r="D2118" i="21"/>
  <c r="E2118" i="21"/>
  <c r="F2118" i="21"/>
  <c r="G2118" i="21"/>
  <c r="I2118" i="21"/>
  <c r="J2118" i="21"/>
  <c r="L2118" i="21"/>
  <c r="B2119" i="21"/>
  <c r="C2119" i="21"/>
  <c r="D2119" i="21"/>
  <c r="E2119" i="21"/>
  <c r="F2119" i="21"/>
  <c r="G2119" i="21"/>
  <c r="I2119" i="21"/>
  <c r="J2119" i="21"/>
  <c r="L2119" i="21"/>
  <c r="B2120" i="21"/>
  <c r="C2120" i="21"/>
  <c r="D2120" i="21"/>
  <c r="E2120" i="21"/>
  <c r="F2120" i="21"/>
  <c r="G2120" i="21"/>
  <c r="I2120" i="21"/>
  <c r="J2120" i="21"/>
  <c r="L2120" i="21"/>
  <c r="B2121" i="21"/>
  <c r="C2121" i="21"/>
  <c r="D2121" i="21"/>
  <c r="E2121" i="21"/>
  <c r="F2121" i="21"/>
  <c r="G2121" i="21"/>
  <c r="I2121" i="21"/>
  <c r="J2121" i="21"/>
  <c r="L2121" i="21"/>
  <c r="B2122" i="21"/>
  <c r="C2122" i="21"/>
  <c r="D2122" i="21"/>
  <c r="E2122" i="21"/>
  <c r="F2122" i="21"/>
  <c r="G2122" i="21"/>
  <c r="I2122" i="21"/>
  <c r="J2122" i="21"/>
  <c r="L2122" i="21"/>
  <c r="B2123" i="21"/>
  <c r="C2123" i="21"/>
  <c r="D2123" i="21"/>
  <c r="E2123" i="21"/>
  <c r="F2123" i="21"/>
  <c r="G2123" i="21"/>
  <c r="I2123" i="21"/>
  <c r="J2123" i="21"/>
  <c r="L2123" i="21"/>
  <c r="B2124" i="21"/>
  <c r="C2124" i="21"/>
  <c r="D2124" i="21"/>
  <c r="E2124" i="21"/>
  <c r="F2124" i="21"/>
  <c r="G2124" i="21"/>
  <c r="I2124" i="21"/>
  <c r="J2124" i="21"/>
  <c r="L2124" i="21"/>
  <c r="B2125" i="21"/>
  <c r="C2125" i="21"/>
  <c r="D2125" i="21"/>
  <c r="E2125" i="21"/>
  <c r="F2125" i="21"/>
  <c r="G2125" i="21"/>
  <c r="I2125" i="21"/>
  <c r="J2125" i="21"/>
  <c r="L2125" i="21"/>
  <c r="B2126" i="21"/>
  <c r="C2126" i="21"/>
  <c r="D2126" i="21"/>
  <c r="E2126" i="21"/>
  <c r="F2126" i="21"/>
  <c r="G2126" i="21"/>
  <c r="I2126" i="21"/>
  <c r="J2126" i="21"/>
  <c r="L2126" i="21"/>
  <c r="B2127" i="21"/>
  <c r="C2127" i="21"/>
  <c r="D2127" i="21"/>
  <c r="E2127" i="21"/>
  <c r="F2127" i="21"/>
  <c r="G2127" i="21"/>
  <c r="I2127" i="21"/>
  <c r="J2127" i="21"/>
  <c r="L2127" i="21"/>
  <c r="B2128" i="21"/>
  <c r="C2128" i="21"/>
  <c r="D2128" i="21"/>
  <c r="E2128" i="21"/>
  <c r="F2128" i="21"/>
  <c r="G2128" i="21"/>
  <c r="I2128" i="21"/>
  <c r="J2128" i="21"/>
  <c r="L2128" i="21"/>
  <c r="B2129" i="21"/>
  <c r="C2129" i="21"/>
  <c r="D2129" i="21"/>
  <c r="E2129" i="21"/>
  <c r="F2129" i="21"/>
  <c r="G2129" i="21"/>
  <c r="I2129" i="21"/>
  <c r="J2129" i="21"/>
  <c r="L2129" i="21"/>
  <c r="B2130" i="21"/>
  <c r="C2130" i="21"/>
  <c r="D2130" i="21"/>
  <c r="E2130" i="21"/>
  <c r="F2130" i="21"/>
  <c r="G2130" i="21"/>
  <c r="I2130" i="21"/>
  <c r="J2130" i="21"/>
  <c r="L2130" i="21"/>
  <c r="B2131" i="21"/>
  <c r="C2131" i="21"/>
  <c r="D2131" i="21"/>
  <c r="E2131" i="21"/>
  <c r="F2131" i="21"/>
  <c r="G2131" i="21"/>
  <c r="I2131" i="21"/>
  <c r="J2131" i="21"/>
  <c r="L2131" i="21"/>
  <c r="B2132" i="21"/>
  <c r="C2132" i="21"/>
  <c r="D2132" i="21"/>
  <c r="E2132" i="21"/>
  <c r="F2132" i="21"/>
  <c r="G2132" i="21"/>
  <c r="I2132" i="21"/>
  <c r="J2132" i="21"/>
  <c r="L2132" i="21"/>
  <c r="B2133" i="21"/>
  <c r="C2133" i="21"/>
  <c r="D2133" i="21"/>
  <c r="E2133" i="21"/>
  <c r="F2133" i="21"/>
  <c r="G2133" i="21"/>
  <c r="I2133" i="21"/>
  <c r="J2133" i="21"/>
  <c r="L2133" i="21"/>
  <c r="B2134" i="21"/>
  <c r="C2134" i="21"/>
  <c r="D2134" i="21"/>
  <c r="E2134" i="21"/>
  <c r="F2134" i="21"/>
  <c r="G2134" i="21"/>
  <c r="I2134" i="21"/>
  <c r="J2134" i="21"/>
  <c r="L2134" i="21"/>
  <c r="B2135" i="21"/>
  <c r="C2135" i="21"/>
  <c r="D2135" i="21"/>
  <c r="E2135" i="21"/>
  <c r="F2135" i="21"/>
  <c r="G2135" i="21"/>
  <c r="I2135" i="21"/>
  <c r="J2135" i="21"/>
  <c r="L2135" i="21"/>
  <c r="B2136" i="21"/>
  <c r="C2136" i="21"/>
  <c r="D2136" i="21"/>
  <c r="E2136" i="21"/>
  <c r="F2136" i="21"/>
  <c r="G2136" i="21"/>
  <c r="I2136" i="21"/>
  <c r="J2136" i="21"/>
  <c r="L2136" i="21"/>
  <c r="B2137" i="21"/>
  <c r="C2137" i="21"/>
  <c r="D2137" i="21"/>
  <c r="E2137" i="21"/>
  <c r="F2137" i="21"/>
  <c r="G2137" i="21"/>
  <c r="I2137" i="21"/>
  <c r="J2137" i="21"/>
  <c r="L2137" i="21"/>
  <c r="B2138" i="21"/>
  <c r="C2138" i="21"/>
  <c r="D2138" i="21"/>
  <c r="E2138" i="21"/>
  <c r="F2138" i="21"/>
  <c r="G2138" i="21"/>
  <c r="I2138" i="21"/>
  <c r="J2138" i="21"/>
  <c r="L2138" i="21"/>
  <c r="B2139" i="21"/>
  <c r="C2139" i="21"/>
  <c r="D2139" i="21"/>
  <c r="E2139" i="21"/>
  <c r="F2139" i="21"/>
  <c r="G2139" i="21"/>
  <c r="I2139" i="21"/>
  <c r="J2139" i="21"/>
  <c r="L2139" i="21"/>
  <c r="B2140" i="21"/>
  <c r="C2140" i="21"/>
  <c r="D2140" i="21"/>
  <c r="E2140" i="21"/>
  <c r="F2140" i="21"/>
  <c r="G2140" i="21"/>
  <c r="I2140" i="21"/>
  <c r="J2140" i="21"/>
  <c r="L2140" i="21"/>
  <c r="B2141" i="21"/>
  <c r="C2141" i="21"/>
  <c r="D2141" i="21"/>
  <c r="E2141" i="21"/>
  <c r="F2141" i="21"/>
  <c r="G2141" i="21"/>
  <c r="I2141" i="21"/>
  <c r="J2141" i="21"/>
  <c r="L2141" i="21"/>
  <c r="B2142" i="21"/>
  <c r="C2142" i="21"/>
  <c r="D2142" i="21"/>
  <c r="E2142" i="21"/>
  <c r="F2142" i="21"/>
  <c r="G2142" i="21"/>
  <c r="I2142" i="21"/>
  <c r="J2142" i="21"/>
  <c r="L2142" i="21"/>
  <c r="B2143" i="21"/>
  <c r="C2143" i="21"/>
  <c r="D2143" i="21"/>
  <c r="E2143" i="21"/>
  <c r="F2143" i="21"/>
  <c r="G2143" i="21"/>
  <c r="I2143" i="21"/>
  <c r="J2143" i="21"/>
  <c r="L2143" i="21"/>
  <c r="B2144" i="21"/>
  <c r="C2144" i="21"/>
  <c r="D2144" i="21"/>
  <c r="E2144" i="21"/>
  <c r="F2144" i="21"/>
  <c r="G2144" i="21"/>
  <c r="I2144" i="21"/>
  <c r="J2144" i="21"/>
  <c r="L2144" i="21"/>
  <c r="B2145" i="21"/>
  <c r="C2145" i="21"/>
  <c r="D2145" i="21"/>
  <c r="E2145" i="21"/>
  <c r="F2145" i="21"/>
  <c r="G2145" i="21"/>
  <c r="I2145" i="21"/>
  <c r="J2145" i="21"/>
  <c r="L2145" i="21"/>
  <c r="B2146" i="21"/>
  <c r="C2146" i="21"/>
  <c r="D2146" i="21"/>
  <c r="E2146" i="21"/>
  <c r="F2146" i="21"/>
  <c r="G2146" i="21"/>
  <c r="I2146" i="21"/>
  <c r="J2146" i="21"/>
  <c r="L2146" i="21"/>
  <c r="B2147" i="21"/>
  <c r="C2147" i="21"/>
  <c r="D2147" i="21"/>
  <c r="E2147" i="21"/>
  <c r="F2147" i="21"/>
  <c r="G2147" i="21"/>
  <c r="I2147" i="21"/>
  <c r="J2147" i="21"/>
  <c r="L2147" i="21"/>
  <c r="B2148" i="21"/>
  <c r="C2148" i="21"/>
  <c r="D2148" i="21"/>
  <c r="E2148" i="21"/>
  <c r="F2148" i="21"/>
  <c r="G2148" i="21"/>
  <c r="I2148" i="21"/>
  <c r="J2148" i="21"/>
  <c r="L2148" i="21"/>
  <c r="B2149" i="21"/>
  <c r="C2149" i="21"/>
  <c r="D2149" i="21"/>
  <c r="E2149" i="21"/>
  <c r="F2149" i="21"/>
  <c r="G2149" i="21"/>
  <c r="I2149" i="21"/>
  <c r="J2149" i="21"/>
  <c r="L2149" i="21"/>
  <c r="B2150" i="21"/>
  <c r="C2150" i="21"/>
  <c r="D2150" i="21"/>
  <c r="E2150" i="21"/>
  <c r="F2150" i="21"/>
  <c r="G2150" i="21"/>
  <c r="I2150" i="21"/>
  <c r="J2150" i="21"/>
  <c r="L2150" i="21"/>
  <c r="B2151" i="21"/>
  <c r="C2151" i="21"/>
  <c r="D2151" i="21"/>
  <c r="E2151" i="21"/>
  <c r="F2151" i="21"/>
  <c r="G2151" i="21"/>
  <c r="I2151" i="21"/>
  <c r="J2151" i="21"/>
  <c r="L2151" i="21"/>
  <c r="B2152" i="21"/>
  <c r="C2152" i="21"/>
  <c r="D2152" i="21"/>
  <c r="E2152" i="21"/>
  <c r="F2152" i="21"/>
  <c r="G2152" i="21"/>
  <c r="I2152" i="21"/>
  <c r="J2152" i="21"/>
  <c r="L2152" i="21"/>
  <c r="B2153" i="21"/>
  <c r="C2153" i="21"/>
  <c r="D2153" i="21"/>
  <c r="E2153" i="21"/>
  <c r="F2153" i="21"/>
  <c r="G2153" i="21"/>
  <c r="I2153" i="21"/>
  <c r="J2153" i="21"/>
  <c r="L2153" i="21"/>
  <c r="B2154" i="21"/>
  <c r="C2154" i="21"/>
  <c r="D2154" i="21"/>
  <c r="E2154" i="21"/>
  <c r="F2154" i="21"/>
  <c r="G2154" i="21"/>
  <c r="I2154" i="21"/>
  <c r="J2154" i="21"/>
  <c r="L2154" i="21"/>
  <c r="B2155" i="21"/>
  <c r="C2155" i="21"/>
  <c r="D2155" i="21"/>
  <c r="E2155" i="21"/>
  <c r="F2155" i="21"/>
  <c r="G2155" i="21"/>
  <c r="I2155" i="21"/>
  <c r="J2155" i="21"/>
  <c r="L2155" i="21"/>
  <c r="B2156" i="21"/>
  <c r="C2156" i="21"/>
  <c r="D2156" i="21"/>
  <c r="E2156" i="21"/>
  <c r="F2156" i="21"/>
  <c r="G2156" i="21"/>
  <c r="I2156" i="21"/>
  <c r="J2156" i="21"/>
  <c r="L2156" i="21"/>
  <c r="B2157" i="21"/>
  <c r="C2157" i="21"/>
  <c r="D2157" i="21"/>
  <c r="E2157" i="21"/>
  <c r="F2157" i="21"/>
  <c r="G2157" i="21"/>
  <c r="I2157" i="21"/>
  <c r="J2157" i="21"/>
  <c r="L2157" i="21"/>
  <c r="B2158" i="21"/>
  <c r="C2158" i="21"/>
  <c r="D2158" i="21"/>
  <c r="E2158" i="21"/>
  <c r="F2158" i="21"/>
  <c r="G2158" i="21"/>
  <c r="I2158" i="21"/>
  <c r="J2158" i="21"/>
  <c r="L2158" i="21"/>
  <c r="B2159" i="21"/>
  <c r="C2159" i="21"/>
  <c r="D2159" i="21"/>
  <c r="E2159" i="21"/>
  <c r="F2159" i="21"/>
  <c r="G2159" i="21"/>
  <c r="I2159" i="21"/>
  <c r="J2159" i="21"/>
  <c r="L2159" i="21"/>
  <c r="B2160" i="21"/>
  <c r="C2160" i="21"/>
  <c r="D2160" i="21"/>
  <c r="E2160" i="21"/>
  <c r="F2160" i="21"/>
  <c r="G2160" i="21"/>
  <c r="I2160" i="21"/>
  <c r="J2160" i="21"/>
  <c r="L2160" i="21"/>
  <c r="B2161" i="21"/>
  <c r="C2161" i="21"/>
  <c r="D2161" i="21"/>
  <c r="E2161" i="21"/>
  <c r="F2161" i="21"/>
  <c r="G2161" i="21"/>
  <c r="I2161" i="21"/>
  <c r="J2161" i="21"/>
  <c r="L2161" i="21"/>
  <c r="B2162" i="21"/>
  <c r="C2162" i="21"/>
  <c r="D2162" i="21"/>
  <c r="E2162" i="21"/>
  <c r="F2162" i="21"/>
  <c r="G2162" i="21"/>
  <c r="I2162" i="21"/>
  <c r="J2162" i="21"/>
  <c r="L2162" i="21"/>
  <c r="B2163" i="21"/>
  <c r="C2163" i="21"/>
  <c r="D2163" i="21"/>
  <c r="E2163" i="21"/>
  <c r="F2163" i="21"/>
  <c r="G2163" i="21"/>
  <c r="I2163" i="21"/>
  <c r="J2163" i="21"/>
  <c r="L2163" i="21"/>
  <c r="B2164" i="21"/>
  <c r="C2164" i="21"/>
  <c r="D2164" i="21"/>
  <c r="E2164" i="21"/>
  <c r="F2164" i="21"/>
  <c r="G2164" i="21"/>
  <c r="I2164" i="21"/>
  <c r="J2164" i="21"/>
  <c r="L2164" i="21"/>
  <c r="B2165" i="21"/>
  <c r="C2165" i="21"/>
  <c r="D2165" i="21"/>
  <c r="E2165" i="21"/>
  <c r="F2165" i="21"/>
  <c r="G2165" i="21"/>
  <c r="I2165" i="21"/>
  <c r="J2165" i="21"/>
  <c r="L2165" i="21"/>
  <c r="B2166" i="21"/>
  <c r="C2166" i="21"/>
  <c r="D2166" i="21"/>
  <c r="E2166" i="21"/>
  <c r="F2166" i="21"/>
  <c r="G2166" i="21"/>
  <c r="I2166" i="21"/>
  <c r="J2166" i="21"/>
  <c r="L2166" i="21"/>
  <c r="B2167" i="21"/>
  <c r="C2167" i="21"/>
  <c r="D2167" i="21"/>
  <c r="E2167" i="21"/>
  <c r="F2167" i="21"/>
  <c r="G2167" i="21"/>
  <c r="I2167" i="21"/>
  <c r="J2167" i="21"/>
  <c r="L2167" i="21"/>
  <c r="B2168" i="21"/>
  <c r="C2168" i="21"/>
  <c r="D2168" i="21"/>
  <c r="E2168" i="21"/>
  <c r="F2168" i="21"/>
  <c r="G2168" i="21"/>
  <c r="I2168" i="21"/>
  <c r="J2168" i="21"/>
  <c r="L2168" i="21"/>
  <c r="B2169" i="21"/>
  <c r="C2169" i="21"/>
  <c r="D2169" i="21"/>
  <c r="E2169" i="21"/>
  <c r="F2169" i="21"/>
  <c r="G2169" i="21"/>
  <c r="I2169" i="21"/>
  <c r="J2169" i="21"/>
  <c r="L2169" i="21"/>
  <c r="B2170" i="21"/>
  <c r="C2170" i="21"/>
  <c r="D2170" i="21"/>
  <c r="E2170" i="21"/>
  <c r="F2170" i="21"/>
  <c r="G2170" i="21"/>
  <c r="I2170" i="21"/>
  <c r="J2170" i="21"/>
  <c r="L2170" i="21"/>
  <c r="B2171" i="21"/>
  <c r="C2171" i="21"/>
  <c r="D2171" i="21"/>
  <c r="E2171" i="21"/>
  <c r="F2171" i="21"/>
  <c r="G2171" i="21"/>
  <c r="I2171" i="21"/>
  <c r="J2171" i="21"/>
  <c r="L2171" i="21"/>
  <c r="B2172" i="21"/>
  <c r="C2172" i="21"/>
  <c r="D2172" i="21"/>
  <c r="E2172" i="21"/>
  <c r="F2172" i="21"/>
  <c r="G2172" i="21"/>
  <c r="I2172" i="21"/>
  <c r="J2172" i="21"/>
  <c r="L2172" i="21"/>
  <c r="B2173" i="21"/>
  <c r="C2173" i="21"/>
  <c r="D2173" i="21"/>
  <c r="E2173" i="21"/>
  <c r="F2173" i="21"/>
  <c r="G2173" i="21"/>
  <c r="I2173" i="21"/>
  <c r="J2173" i="21"/>
  <c r="L2173" i="21"/>
  <c r="B2174" i="21"/>
  <c r="C2174" i="21"/>
  <c r="D2174" i="21"/>
  <c r="E2174" i="21"/>
  <c r="F2174" i="21"/>
  <c r="G2174" i="21"/>
  <c r="I2174" i="21"/>
  <c r="J2174" i="21"/>
  <c r="L2174" i="21"/>
  <c r="B2175" i="21"/>
  <c r="C2175" i="21"/>
  <c r="D2175" i="21"/>
  <c r="E2175" i="21"/>
  <c r="F2175" i="21"/>
  <c r="G2175" i="21"/>
  <c r="I2175" i="21"/>
  <c r="J2175" i="21"/>
  <c r="L2175" i="21"/>
  <c r="B2176" i="21"/>
  <c r="C2176" i="21"/>
  <c r="D2176" i="21"/>
  <c r="E2176" i="21"/>
  <c r="F2176" i="21"/>
  <c r="G2176" i="21"/>
  <c r="I2176" i="21"/>
  <c r="J2176" i="21"/>
  <c r="L2176" i="21"/>
  <c r="B2177" i="21"/>
  <c r="C2177" i="21"/>
  <c r="D2177" i="21"/>
  <c r="E2177" i="21"/>
  <c r="F2177" i="21"/>
  <c r="G2177" i="21"/>
  <c r="I2177" i="21"/>
  <c r="J2177" i="21"/>
  <c r="L2177" i="21"/>
  <c r="B2178" i="21"/>
  <c r="C2178" i="21"/>
  <c r="D2178" i="21"/>
  <c r="E2178" i="21"/>
  <c r="F2178" i="21"/>
  <c r="G2178" i="21"/>
  <c r="I2178" i="21"/>
  <c r="J2178" i="21"/>
  <c r="L2178" i="21"/>
  <c r="B2179" i="21"/>
  <c r="C2179" i="21"/>
  <c r="D2179" i="21"/>
  <c r="E2179" i="21"/>
  <c r="F2179" i="21"/>
  <c r="G2179" i="21"/>
  <c r="I2179" i="21"/>
  <c r="J2179" i="21"/>
  <c r="L2179" i="21"/>
  <c r="B2180" i="21"/>
  <c r="C2180" i="21"/>
  <c r="D2180" i="21"/>
  <c r="E2180" i="21"/>
  <c r="F2180" i="21"/>
  <c r="G2180" i="21"/>
  <c r="I2180" i="21"/>
  <c r="J2180" i="21"/>
  <c r="L2180" i="21"/>
  <c r="B2181" i="21"/>
  <c r="C2181" i="21"/>
  <c r="D2181" i="21"/>
  <c r="E2181" i="21"/>
  <c r="F2181" i="21"/>
  <c r="G2181" i="21"/>
  <c r="I2181" i="21"/>
  <c r="J2181" i="21"/>
  <c r="L2181" i="21"/>
  <c r="B2182" i="21"/>
  <c r="C2182" i="21"/>
  <c r="D2182" i="21"/>
  <c r="E2182" i="21"/>
  <c r="F2182" i="21"/>
  <c r="G2182" i="21"/>
  <c r="I2182" i="21"/>
  <c r="J2182" i="21"/>
  <c r="L2182" i="21"/>
  <c r="B2183" i="21"/>
  <c r="C2183" i="21"/>
  <c r="D2183" i="21"/>
  <c r="E2183" i="21"/>
  <c r="F2183" i="21"/>
  <c r="G2183" i="21"/>
  <c r="I2183" i="21"/>
  <c r="J2183" i="21"/>
  <c r="L2183" i="21"/>
  <c r="B2184" i="21"/>
  <c r="C2184" i="21"/>
  <c r="D2184" i="21"/>
  <c r="E2184" i="21"/>
  <c r="F2184" i="21"/>
  <c r="G2184" i="21"/>
  <c r="I2184" i="21"/>
  <c r="J2184" i="21"/>
  <c r="L2184" i="21"/>
  <c r="B2185" i="21"/>
  <c r="C2185" i="21"/>
  <c r="D2185" i="21"/>
  <c r="E2185" i="21"/>
  <c r="F2185" i="21"/>
  <c r="G2185" i="21"/>
  <c r="I2185" i="21"/>
  <c r="J2185" i="21"/>
  <c r="L2185" i="21"/>
  <c r="B2186" i="21"/>
  <c r="C2186" i="21"/>
  <c r="D2186" i="21"/>
  <c r="E2186" i="21"/>
  <c r="F2186" i="21"/>
  <c r="G2186" i="21"/>
  <c r="I2186" i="21"/>
  <c r="J2186" i="21"/>
  <c r="L2186" i="21"/>
  <c r="B2187" i="21"/>
  <c r="C2187" i="21"/>
  <c r="D2187" i="21"/>
  <c r="E2187" i="21"/>
  <c r="F2187" i="21"/>
  <c r="G2187" i="21"/>
  <c r="I2187" i="21"/>
  <c r="J2187" i="21"/>
  <c r="L2187" i="21"/>
  <c r="B2188" i="21"/>
  <c r="C2188" i="21"/>
  <c r="D2188" i="21"/>
  <c r="E2188" i="21"/>
  <c r="F2188" i="21"/>
  <c r="G2188" i="21"/>
  <c r="I2188" i="21"/>
  <c r="J2188" i="21"/>
  <c r="L2188" i="21"/>
  <c r="B2189" i="21"/>
  <c r="C2189" i="21"/>
  <c r="D2189" i="21"/>
  <c r="E2189" i="21"/>
  <c r="F2189" i="21"/>
  <c r="G2189" i="21"/>
  <c r="I2189" i="21"/>
  <c r="J2189" i="21"/>
  <c r="L2189" i="21"/>
  <c r="B2190" i="21"/>
  <c r="C2190" i="21"/>
  <c r="D2190" i="21"/>
  <c r="E2190" i="21"/>
  <c r="F2190" i="21"/>
  <c r="G2190" i="21"/>
  <c r="I2190" i="21"/>
  <c r="J2190" i="21"/>
  <c r="L2190" i="21"/>
  <c r="B2191" i="21"/>
  <c r="C2191" i="21"/>
  <c r="D2191" i="21"/>
  <c r="E2191" i="21"/>
  <c r="F2191" i="21"/>
  <c r="G2191" i="21"/>
  <c r="I2191" i="21"/>
  <c r="J2191" i="21"/>
  <c r="L2191" i="21"/>
  <c r="B2192" i="21"/>
  <c r="C2192" i="21"/>
  <c r="D2192" i="21"/>
  <c r="E2192" i="21"/>
  <c r="F2192" i="21"/>
  <c r="G2192" i="21"/>
  <c r="I2192" i="21"/>
  <c r="J2192" i="21"/>
  <c r="L2192" i="21"/>
  <c r="B2193" i="21"/>
  <c r="C2193" i="21"/>
  <c r="D2193" i="21"/>
  <c r="E2193" i="21"/>
  <c r="F2193" i="21"/>
  <c r="G2193" i="21"/>
  <c r="I2193" i="21"/>
  <c r="J2193" i="21"/>
  <c r="L2193" i="21"/>
  <c r="B2194" i="21"/>
  <c r="C2194" i="21"/>
  <c r="D2194" i="21"/>
  <c r="E2194" i="21"/>
  <c r="F2194" i="21"/>
  <c r="G2194" i="21"/>
  <c r="I2194" i="21"/>
  <c r="J2194" i="21"/>
  <c r="L2194" i="21"/>
  <c r="B2195" i="21"/>
  <c r="C2195" i="21"/>
  <c r="D2195" i="21"/>
  <c r="E2195" i="21"/>
  <c r="F2195" i="21"/>
  <c r="G2195" i="21"/>
  <c r="I2195" i="21"/>
  <c r="J2195" i="21"/>
  <c r="L2195" i="21"/>
  <c r="B2196" i="21"/>
  <c r="C2196" i="21"/>
  <c r="D2196" i="21"/>
  <c r="E2196" i="21"/>
  <c r="F2196" i="21"/>
  <c r="G2196" i="21"/>
  <c r="I2196" i="21"/>
  <c r="J2196" i="21"/>
  <c r="L2196" i="21"/>
  <c r="B2197" i="21"/>
  <c r="C2197" i="21"/>
  <c r="D2197" i="21"/>
  <c r="E2197" i="21"/>
  <c r="F2197" i="21"/>
  <c r="G2197" i="21"/>
  <c r="I2197" i="21"/>
  <c r="J2197" i="21"/>
  <c r="L2197" i="21"/>
  <c r="B2198" i="21"/>
  <c r="C2198" i="21"/>
  <c r="D2198" i="21"/>
  <c r="E2198" i="21"/>
  <c r="F2198" i="21"/>
  <c r="G2198" i="21"/>
  <c r="I2198" i="21"/>
  <c r="J2198" i="21"/>
  <c r="L2198" i="21"/>
  <c r="B2199" i="21"/>
  <c r="C2199" i="21"/>
  <c r="D2199" i="21"/>
  <c r="E2199" i="21"/>
  <c r="F2199" i="21"/>
  <c r="G2199" i="21"/>
  <c r="I2199" i="21"/>
  <c r="J2199" i="21"/>
  <c r="L2199" i="21"/>
  <c r="B2200" i="21"/>
  <c r="C2200" i="21"/>
  <c r="D2200" i="21"/>
  <c r="E2200" i="21"/>
  <c r="F2200" i="21"/>
  <c r="G2200" i="21"/>
  <c r="I2200" i="21"/>
  <c r="J2200" i="21"/>
  <c r="L2200" i="21"/>
  <c r="B2201" i="21"/>
  <c r="C2201" i="21"/>
  <c r="D2201" i="21"/>
  <c r="E2201" i="21"/>
  <c r="F2201" i="21"/>
  <c r="G2201" i="21"/>
  <c r="I2201" i="21"/>
  <c r="J2201" i="21"/>
  <c r="L2201" i="21"/>
  <c r="B2202" i="21"/>
  <c r="C2202" i="21"/>
  <c r="D2202" i="21"/>
  <c r="E2202" i="21"/>
  <c r="F2202" i="21"/>
  <c r="G2202" i="21"/>
  <c r="I2202" i="21"/>
  <c r="J2202" i="21"/>
  <c r="L2202" i="21"/>
  <c r="B2203" i="21"/>
  <c r="C2203" i="21"/>
  <c r="D2203" i="21"/>
  <c r="E2203" i="21"/>
  <c r="F2203" i="21"/>
  <c r="G2203" i="21"/>
  <c r="I2203" i="21"/>
  <c r="J2203" i="21"/>
  <c r="L2203" i="21"/>
  <c r="B2204" i="21"/>
  <c r="C2204" i="21"/>
  <c r="D2204" i="21"/>
  <c r="E2204" i="21"/>
  <c r="F2204" i="21"/>
  <c r="G2204" i="21"/>
  <c r="I2204" i="21"/>
  <c r="J2204" i="21"/>
  <c r="L2204" i="21"/>
  <c r="B2205" i="21"/>
  <c r="C2205" i="21"/>
  <c r="D2205" i="21"/>
  <c r="E2205" i="21"/>
  <c r="F2205" i="21"/>
  <c r="G2205" i="21"/>
  <c r="I2205" i="21"/>
  <c r="J2205" i="21"/>
  <c r="L2205" i="21"/>
  <c r="B2206" i="21"/>
  <c r="C2206" i="21"/>
  <c r="D2206" i="21"/>
  <c r="E2206" i="21"/>
  <c r="F2206" i="21"/>
  <c r="G2206" i="21"/>
  <c r="I2206" i="21"/>
  <c r="J2206" i="21"/>
  <c r="L2206" i="21"/>
  <c r="B2207" i="21"/>
  <c r="C2207" i="21"/>
  <c r="D2207" i="21"/>
  <c r="E2207" i="21"/>
  <c r="F2207" i="21"/>
  <c r="G2207" i="21"/>
  <c r="I2207" i="21"/>
  <c r="J2207" i="21"/>
  <c r="L2207" i="21"/>
  <c r="B2208" i="21"/>
  <c r="C2208" i="21"/>
  <c r="D2208" i="21"/>
  <c r="E2208" i="21"/>
  <c r="F2208" i="21"/>
  <c r="G2208" i="21"/>
  <c r="I2208" i="21"/>
  <c r="J2208" i="21"/>
  <c r="L2208" i="21"/>
  <c r="B2209" i="21"/>
  <c r="C2209" i="21"/>
  <c r="D2209" i="21"/>
  <c r="E2209" i="21"/>
  <c r="F2209" i="21"/>
  <c r="G2209" i="21"/>
  <c r="I2209" i="21"/>
  <c r="J2209" i="21"/>
  <c r="L2209" i="21"/>
  <c r="B2210" i="21"/>
  <c r="C2210" i="21"/>
  <c r="D2210" i="21"/>
  <c r="E2210" i="21"/>
  <c r="F2210" i="21"/>
  <c r="G2210" i="21"/>
  <c r="I2210" i="21"/>
  <c r="J2210" i="21"/>
  <c r="L2210" i="21"/>
  <c r="B2211" i="21"/>
  <c r="C2211" i="21"/>
  <c r="D2211" i="21"/>
  <c r="E2211" i="21"/>
  <c r="F2211" i="21"/>
  <c r="G2211" i="21"/>
  <c r="I2211" i="21"/>
  <c r="J2211" i="21"/>
  <c r="L2211" i="21"/>
  <c r="B2212" i="21"/>
  <c r="C2212" i="21"/>
  <c r="D2212" i="21"/>
  <c r="E2212" i="21"/>
  <c r="F2212" i="21"/>
  <c r="G2212" i="21"/>
  <c r="I2212" i="21"/>
  <c r="J2212" i="21"/>
  <c r="L2212" i="21"/>
  <c r="B2213" i="21"/>
  <c r="C2213" i="21"/>
  <c r="D2213" i="21"/>
  <c r="E2213" i="21"/>
  <c r="F2213" i="21"/>
  <c r="G2213" i="21"/>
  <c r="I2213" i="21"/>
  <c r="J2213" i="21"/>
  <c r="L2213" i="21"/>
  <c r="B2214" i="21"/>
  <c r="C2214" i="21"/>
  <c r="D2214" i="21"/>
  <c r="E2214" i="21"/>
  <c r="F2214" i="21"/>
  <c r="G2214" i="21"/>
  <c r="I2214" i="21"/>
  <c r="J2214" i="21"/>
  <c r="L2214" i="21"/>
  <c r="B2215" i="21"/>
  <c r="C2215" i="21"/>
  <c r="D2215" i="21"/>
  <c r="E2215" i="21"/>
  <c r="F2215" i="21"/>
  <c r="G2215" i="21"/>
  <c r="I2215" i="21"/>
  <c r="J2215" i="21"/>
  <c r="L2215" i="21"/>
  <c r="B2216" i="21"/>
  <c r="C2216" i="21"/>
  <c r="D2216" i="21"/>
  <c r="E2216" i="21"/>
  <c r="F2216" i="21"/>
  <c r="G2216" i="21"/>
  <c r="I2216" i="21"/>
  <c r="J2216" i="21"/>
  <c r="L2216" i="21"/>
  <c r="B2217" i="21"/>
  <c r="C2217" i="21"/>
  <c r="D2217" i="21"/>
  <c r="E2217" i="21"/>
  <c r="F2217" i="21"/>
  <c r="G2217" i="21"/>
  <c r="I2217" i="21"/>
  <c r="J2217" i="21"/>
  <c r="L2217" i="21"/>
  <c r="B2218" i="21"/>
  <c r="C2218" i="21"/>
  <c r="D2218" i="21"/>
  <c r="E2218" i="21"/>
  <c r="F2218" i="21"/>
  <c r="G2218" i="21"/>
  <c r="I2218" i="21"/>
  <c r="J2218" i="21"/>
  <c r="L2218" i="21"/>
  <c r="B2219" i="21"/>
  <c r="C2219" i="21"/>
  <c r="D2219" i="21"/>
  <c r="E2219" i="21"/>
  <c r="F2219" i="21"/>
  <c r="G2219" i="21"/>
  <c r="I2219" i="21"/>
  <c r="J2219" i="21"/>
  <c r="L2219" i="21"/>
  <c r="B2220" i="21"/>
  <c r="C2220" i="21"/>
  <c r="D2220" i="21"/>
  <c r="E2220" i="21"/>
  <c r="F2220" i="21"/>
  <c r="G2220" i="21"/>
  <c r="I2220" i="21"/>
  <c r="J2220" i="21"/>
  <c r="L2220" i="21"/>
  <c r="B2221" i="21"/>
  <c r="C2221" i="21"/>
  <c r="D2221" i="21"/>
  <c r="E2221" i="21"/>
  <c r="F2221" i="21"/>
  <c r="G2221" i="21"/>
  <c r="I2221" i="21"/>
  <c r="J2221" i="21"/>
  <c r="L2221" i="21"/>
  <c r="B2222" i="21"/>
  <c r="C2222" i="21"/>
  <c r="D2222" i="21"/>
  <c r="E2222" i="21"/>
  <c r="F2222" i="21"/>
  <c r="G2222" i="21"/>
  <c r="I2222" i="21"/>
  <c r="J2222" i="21"/>
  <c r="L2222" i="21"/>
  <c r="B2223" i="21"/>
  <c r="C2223" i="21"/>
  <c r="D2223" i="21"/>
  <c r="E2223" i="21"/>
  <c r="F2223" i="21"/>
  <c r="G2223" i="21"/>
  <c r="I2223" i="21"/>
  <c r="J2223" i="21"/>
  <c r="L2223" i="21"/>
  <c r="B2224" i="21"/>
  <c r="C2224" i="21"/>
  <c r="D2224" i="21"/>
  <c r="E2224" i="21"/>
  <c r="F2224" i="21"/>
  <c r="G2224" i="21"/>
  <c r="I2224" i="21"/>
  <c r="J2224" i="21"/>
  <c r="L2224" i="21"/>
  <c r="B2225" i="21"/>
  <c r="C2225" i="21"/>
  <c r="D2225" i="21"/>
  <c r="E2225" i="21"/>
  <c r="F2225" i="21"/>
  <c r="G2225" i="21"/>
  <c r="I2225" i="21"/>
  <c r="J2225" i="21"/>
  <c r="L2225" i="21"/>
  <c r="B2226" i="21"/>
  <c r="C2226" i="21"/>
  <c r="D2226" i="21"/>
  <c r="E2226" i="21"/>
  <c r="F2226" i="21"/>
  <c r="G2226" i="21"/>
  <c r="I2226" i="21"/>
  <c r="J2226" i="21"/>
  <c r="L2226" i="21"/>
  <c r="B2227" i="21"/>
  <c r="C2227" i="21"/>
  <c r="D2227" i="21"/>
  <c r="E2227" i="21"/>
  <c r="F2227" i="21"/>
  <c r="G2227" i="21"/>
  <c r="I2227" i="21"/>
  <c r="J2227" i="21"/>
  <c r="L2227" i="21"/>
  <c r="B2228" i="21"/>
  <c r="C2228" i="21"/>
  <c r="D2228" i="21"/>
  <c r="E2228" i="21"/>
  <c r="F2228" i="21"/>
  <c r="G2228" i="21"/>
  <c r="I2228" i="21"/>
  <c r="J2228" i="21"/>
  <c r="L2228" i="21"/>
  <c r="B2229" i="21"/>
  <c r="C2229" i="21"/>
  <c r="D2229" i="21"/>
  <c r="E2229" i="21"/>
  <c r="F2229" i="21"/>
  <c r="G2229" i="21"/>
  <c r="I2229" i="21"/>
  <c r="J2229" i="21"/>
  <c r="L2229" i="21"/>
  <c r="B2230" i="21"/>
  <c r="C2230" i="21"/>
  <c r="D2230" i="21"/>
  <c r="E2230" i="21"/>
  <c r="F2230" i="21"/>
  <c r="G2230" i="21"/>
  <c r="I2230" i="21"/>
  <c r="J2230" i="21"/>
  <c r="L2230" i="21"/>
  <c r="B2231" i="21"/>
  <c r="C2231" i="21"/>
  <c r="D2231" i="21"/>
  <c r="E2231" i="21"/>
  <c r="F2231" i="21"/>
  <c r="G2231" i="21"/>
  <c r="I2231" i="21"/>
  <c r="J2231" i="21"/>
  <c r="L2231" i="21"/>
  <c r="B2232" i="21"/>
  <c r="C2232" i="21"/>
  <c r="D2232" i="21"/>
  <c r="E2232" i="21"/>
  <c r="F2232" i="21"/>
  <c r="G2232" i="21"/>
  <c r="I2232" i="21"/>
  <c r="J2232" i="21"/>
  <c r="L2232" i="21"/>
  <c r="B2233" i="21"/>
  <c r="C2233" i="21"/>
  <c r="D2233" i="21"/>
  <c r="E2233" i="21"/>
  <c r="F2233" i="21"/>
  <c r="G2233" i="21"/>
  <c r="I2233" i="21"/>
  <c r="J2233" i="21"/>
  <c r="L2233" i="21"/>
  <c r="B2234" i="21"/>
  <c r="C2234" i="21"/>
  <c r="D2234" i="21"/>
  <c r="E2234" i="21"/>
  <c r="F2234" i="21"/>
  <c r="G2234" i="21"/>
  <c r="I2234" i="21"/>
  <c r="J2234" i="21"/>
  <c r="L2234" i="21"/>
  <c r="B2235" i="21"/>
  <c r="C2235" i="21"/>
  <c r="D2235" i="21"/>
  <c r="E2235" i="21"/>
  <c r="F2235" i="21"/>
  <c r="G2235" i="21"/>
  <c r="I2235" i="21"/>
  <c r="J2235" i="21"/>
  <c r="L2235" i="21"/>
  <c r="B2236" i="21"/>
  <c r="C2236" i="21"/>
  <c r="D2236" i="21"/>
  <c r="E2236" i="21"/>
  <c r="F2236" i="21"/>
  <c r="G2236" i="21"/>
  <c r="I2236" i="21"/>
  <c r="J2236" i="21"/>
  <c r="L2236" i="21"/>
  <c r="B2237" i="21"/>
  <c r="C2237" i="21"/>
  <c r="D2237" i="21"/>
  <c r="E2237" i="21"/>
  <c r="F2237" i="21"/>
  <c r="G2237" i="21"/>
  <c r="I2237" i="21"/>
  <c r="J2237" i="21"/>
  <c r="L2237" i="21"/>
  <c r="B2238" i="21"/>
  <c r="C2238" i="21"/>
  <c r="D2238" i="21"/>
  <c r="E2238" i="21"/>
  <c r="F2238" i="21"/>
  <c r="G2238" i="21"/>
  <c r="I2238" i="21"/>
  <c r="J2238" i="21"/>
  <c r="L2238" i="21"/>
  <c r="B2239" i="21"/>
  <c r="C2239" i="21"/>
  <c r="D2239" i="21"/>
  <c r="E2239" i="21"/>
  <c r="F2239" i="21"/>
  <c r="G2239" i="21"/>
  <c r="I2239" i="21"/>
  <c r="J2239" i="21"/>
  <c r="L2239" i="21"/>
  <c r="B2240" i="21"/>
  <c r="C2240" i="21"/>
  <c r="D2240" i="21"/>
  <c r="E2240" i="21"/>
  <c r="F2240" i="21"/>
  <c r="G2240" i="21"/>
  <c r="I2240" i="21"/>
  <c r="J2240" i="21"/>
  <c r="L2240" i="21"/>
  <c r="B2241" i="21"/>
  <c r="C2241" i="21"/>
  <c r="D2241" i="21"/>
  <c r="E2241" i="21"/>
  <c r="F2241" i="21"/>
  <c r="G2241" i="21"/>
  <c r="I2241" i="21"/>
  <c r="J2241" i="21"/>
  <c r="L2241" i="21"/>
  <c r="B2242" i="21"/>
  <c r="C2242" i="21"/>
  <c r="D2242" i="21"/>
  <c r="E2242" i="21"/>
  <c r="F2242" i="21"/>
  <c r="G2242" i="21"/>
  <c r="I2242" i="21"/>
  <c r="J2242" i="21"/>
  <c r="L2242" i="21"/>
  <c r="B2243" i="21"/>
  <c r="C2243" i="21"/>
  <c r="D2243" i="21"/>
  <c r="E2243" i="21"/>
  <c r="F2243" i="21"/>
  <c r="G2243" i="21"/>
  <c r="I2243" i="21"/>
  <c r="J2243" i="21"/>
  <c r="L2243" i="21"/>
  <c r="B2244" i="21"/>
  <c r="C2244" i="21"/>
  <c r="D2244" i="21"/>
  <c r="E2244" i="21"/>
  <c r="F2244" i="21"/>
  <c r="G2244" i="21"/>
  <c r="I2244" i="21"/>
  <c r="J2244" i="21"/>
  <c r="L2244" i="21"/>
  <c r="B2245" i="21"/>
  <c r="C2245" i="21"/>
  <c r="D2245" i="21"/>
  <c r="E2245" i="21"/>
  <c r="F2245" i="21"/>
  <c r="G2245" i="21"/>
  <c r="I2245" i="21"/>
  <c r="J2245" i="21"/>
  <c r="L2245" i="21"/>
  <c r="B2246" i="21"/>
  <c r="C2246" i="21"/>
  <c r="D2246" i="21"/>
  <c r="E2246" i="21"/>
  <c r="F2246" i="21"/>
  <c r="G2246" i="21"/>
  <c r="I2246" i="21"/>
  <c r="J2246" i="21"/>
  <c r="L2246" i="21"/>
  <c r="B2247" i="21"/>
  <c r="C2247" i="21"/>
  <c r="D2247" i="21"/>
  <c r="E2247" i="21"/>
  <c r="F2247" i="21"/>
  <c r="G2247" i="21"/>
  <c r="I2247" i="21"/>
  <c r="J2247" i="21"/>
  <c r="L2247" i="21"/>
  <c r="B2248" i="21"/>
  <c r="C2248" i="21"/>
  <c r="D2248" i="21"/>
  <c r="E2248" i="21"/>
  <c r="F2248" i="21"/>
  <c r="G2248" i="21"/>
  <c r="I2248" i="21"/>
  <c r="J2248" i="21"/>
  <c r="L2248" i="21"/>
  <c r="B2249" i="21"/>
  <c r="C2249" i="21"/>
  <c r="D2249" i="21"/>
  <c r="E2249" i="21"/>
  <c r="F2249" i="21"/>
  <c r="G2249" i="21"/>
  <c r="I2249" i="21"/>
  <c r="J2249" i="21"/>
  <c r="L2249" i="21"/>
  <c r="B2250" i="21"/>
  <c r="C2250" i="21"/>
  <c r="D2250" i="21"/>
  <c r="E2250" i="21"/>
  <c r="F2250" i="21"/>
  <c r="G2250" i="21"/>
  <c r="I2250" i="21"/>
  <c r="J2250" i="21"/>
  <c r="L2250" i="21"/>
  <c r="B2251" i="21"/>
  <c r="C2251" i="21"/>
  <c r="D2251" i="21"/>
  <c r="E2251" i="21"/>
  <c r="F2251" i="21"/>
  <c r="G2251" i="21"/>
  <c r="I2251" i="21"/>
  <c r="J2251" i="21"/>
  <c r="L2251" i="21"/>
  <c r="B2252" i="21"/>
  <c r="C2252" i="21"/>
  <c r="D2252" i="21"/>
  <c r="E2252" i="21"/>
  <c r="F2252" i="21"/>
  <c r="G2252" i="21"/>
  <c r="I2252" i="21"/>
  <c r="J2252" i="21"/>
  <c r="L2252" i="21"/>
  <c r="BY274" i="20"/>
  <c r="C238" i="21" s="1"/>
  <c r="BZ274" i="20"/>
  <c r="CA274" i="20"/>
  <c r="E238" i="21" s="1"/>
  <c r="BY275" i="20"/>
  <c r="C239" i="21" s="1"/>
  <c r="BZ275" i="20"/>
  <c r="D239" i="21" s="1"/>
  <c r="CA275" i="20"/>
  <c r="E239" i="21" s="1"/>
  <c r="BY276" i="20"/>
  <c r="BZ276" i="20"/>
  <c r="D240" i="21" s="1"/>
  <c r="CA276" i="20"/>
  <c r="E240" i="21" s="1"/>
  <c r="BY277" i="20"/>
  <c r="C241" i="21" s="1"/>
  <c r="BZ277" i="20"/>
  <c r="D241" i="21" s="1"/>
  <c r="CA277" i="20"/>
  <c r="E241" i="21" s="1"/>
  <c r="BY278" i="20"/>
  <c r="C242" i="21" s="1"/>
  <c r="BZ278" i="20"/>
  <c r="D242" i="21" s="1"/>
  <c r="CA278" i="20"/>
  <c r="E242" i="21" s="1"/>
  <c r="BY279" i="20"/>
  <c r="CB279" i="20" s="1"/>
  <c r="F243" i="21" s="1"/>
  <c r="BZ279" i="20"/>
  <c r="D243" i="21" s="1"/>
  <c r="CA279" i="20"/>
  <c r="E243" i="21" s="1"/>
  <c r="BY280" i="20"/>
  <c r="C244" i="21" s="1"/>
  <c r="BZ280" i="20"/>
  <c r="D244" i="21" s="1"/>
  <c r="CA280" i="20"/>
  <c r="E244" i="21" s="1"/>
  <c r="BY271" i="20"/>
  <c r="C235" i="21" s="1"/>
  <c r="BZ271" i="20"/>
  <c r="D235" i="21" s="1"/>
  <c r="CA271" i="20"/>
  <c r="E235" i="21" s="1"/>
  <c r="BU274" i="20"/>
  <c r="BV274" i="20"/>
  <c r="CH274" i="20" s="1"/>
  <c r="L238" i="21" s="1"/>
  <c r="BU275" i="20"/>
  <c r="BV275" i="20"/>
  <c r="CH275" i="20" s="1"/>
  <c r="L239" i="21" s="1"/>
  <c r="BU276" i="20"/>
  <c r="BV276" i="20"/>
  <c r="CH276" i="20" s="1"/>
  <c r="L240" i="21" s="1"/>
  <c r="BU277" i="20"/>
  <c r="BV277" i="20"/>
  <c r="CH277" i="20" s="1"/>
  <c r="L241" i="21" s="1"/>
  <c r="BU278" i="20"/>
  <c r="BV278" i="20"/>
  <c r="CH278" i="20" s="1"/>
  <c r="L242" i="21" s="1"/>
  <c r="BU279" i="20"/>
  <c r="BV279" i="20"/>
  <c r="CH279" i="20" s="1"/>
  <c r="L243" i="21" s="1"/>
  <c r="BU280" i="20"/>
  <c r="BV280" i="20"/>
  <c r="CH280" i="20" s="1"/>
  <c r="L244" i="21" s="1"/>
  <c r="BU271" i="20"/>
  <c r="BV271" i="20" s="1"/>
  <c r="CH271" i="20" s="1"/>
  <c r="L235" i="21" s="1"/>
  <c r="BU272" i="20"/>
  <c r="BU273" i="20"/>
  <c r="BV273" i="20"/>
  <c r="CA273" i="20" s="1"/>
  <c r="E237" i="21" s="1"/>
  <c r="BV272" i="20"/>
  <c r="CH272" i="20" s="1"/>
  <c r="L236" i="21" s="1"/>
  <c r="CF281" i="20"/>
  <c r="J245" i="21" s="1"/>
  <c r="CE281" i="20"/>
  <c r="I245" i="21" s="1"/>
  <c r="H281" i="20"/>
  <c r="G281" i="20"/>
  <c r="F281" i="20"/>
  <c r="F280" i="20"/>
  <c r="F279" i="20"/>
  <c r="F278" i="20"/>
  <c r="F277" i="20"/>
  <c r="F276" i="20"/>
  <c r="F275" i="20"/>
  <c r="F274" i="20"/>
  <c r="F273" i="20"/>
  <c r="F272" i="20"/>
  <c r="B272" i="20"/>
  <c r="B273" i="20" s="1"/>
  <c r="B274" i="20" s="1"/>
  <c r="F271" i="20"/>
  <c r="BY272" i="20" l="1"/>
  <c r="C236" i="21" s="1"/>
  <c r="BZ272" i="20"/>
  <c r="D236" i="21" s="1"/>
  <c r="CA272" i="20"/>
  <c r="E236" i="21" s="1"/>
  <c r="CC279" i="20"/>
  <c r="G243" i="21" s="1"/>
  <c r="CB276" i="20"/>
  <c r="CB274" i="20"/>
  <c r="D238" i="21"/>
  <c r="BY273" i="20"/>
  <c r="BZ273" i="20"/>
  <c r="D237" i="21" s="1"/>
  <c r="CH273" i="20"/>
  <c r="L237" i="21" s="1"/>
  <c r="C243" i="21"/>
  <c r="B275" i="20"/>
  <c r="B238" i="21"/>
  <c r="CB271" i="20"/>
  <c r="CB277" i="20"/>
  <c r="CB275" i="20"/>
  <c r="C240" i="21"/>
  <c r="B236" i="21"/>
  <c r="B237" i="21"/>
  <c r="CB280" i="20"/>
  <c r="CB278" i="20"/>
  <c r="CB273" i="20" l="1"/>
  <c r="C237" i="21"/>
  <c r="CC277" i="20"/>
  <c r="G241" i="21" s="1"/>
  <c r="F241" i="21"/>
  <c r="CH281" i="20"/>
  <c r="L245" i="21" s="1"/>
  <c r="CC271" i="20"/>
  <c r="G235" i="21" s="1"/>
  <c r="F235" i="21"/>
  <c r="F238" i="21"/>
  <c r="CC274" i="20"/>
  <c r="G238" i="21" s="1"/>
  <c r="CC278" i="20"/>
  <c r="G242" i="21" s="1"/>
  <c r="F242" i="21"/>
  <c r="CC276" i="20"/>
  <c r="G240" i="21" s="1"/>
  <c r="F240" i="21"/>
  <c r="CC280" i="20"/>
  <c r="G244" i="21" s="1"/>
  <c r="F244" i="21"/>
  <c r="B276" i="20"/>
  <c r="B239" i="21"/>
  <c r="CC275" i="20"/>
  <c r="G239" i="21" s="1"/>
  <c r="F239" i="21"/>
  <c r="BZ281" i="20"/>
  <c r="D245" i="21" s="1"/>
  <c r="BY281" i="20"/>
  <c r="C245" i="21" s="1"/>
  <c r="CB272" i="20"/>
  <c r="CA281" i="20"/>
  <c r="E245" i="21" s="1"/>
  <c r="BZ442" i="20"/>
  <c r="D370" i="21" s="1"/>
  <c r="BZ441" i="20"/>
  <c r="D369" i="21" s="1"/>
  <c r="BZ440" i="20"/>
  <c r="D368" i="21" s="1"/>
  <c r="BZ439" i="20"/>
  <c r="D367" i="21" s="1"/>
  <c r="BZ438" i="20"/>
  <c r="D366" i="21" s="1"/>
  <c r="BZ437" i="20"/>
  <c r="D365" i="21" s="1"/>
  <c r="BZ436" i="20"/>
  <c r="D364" i="21" s="1"/>
  <c r="BZ435" i="20"/>
  <c r="D363" i="21" s="1"/>
  <c r="BZ433" i="20"/>
  <c r="D361" i="21" s="1"/>
  <c r="BZ434" i="20"/>
  <c r="D362" i="21" s="1"/>
  <c r="I131" i="3"/>
  <c r="B277" i="20" l="1"/>
  <c r="B240" i="21"/>
  <c r="CC272" i="20"/>
  <c r="G236" i="21" s="1"/>
  <c r="F236" i="21"/>
  <c r="CC273" i="20"/>
  <c r="G237" i="21" s="1"/>
  <c r="F237" i="21"/>
  <c r="CB281" i="20"/>
  <c r="F245" i="21" s="1"/>
  <c r="CC281" i="20" l="1"/>
  <c r="G245" i="21" s="1"/>
  <c r="B278" i="20"/>
  <c r="B241" i="21"/>
  <c r="B279" i="20" l="1"/>
  <c r="B242" i="21"/>
  <c r="B280" i="20" l="1"/>
  <c r="B244" i="21" s="1"/>
  <c r="B243" i="21"/>
  <c r="CH443" i="20" l="1"/>
  <c r="L371" i="21" s="1"/>
  <c r="CF443" i="20"/>
  <c r="J371" i="21" s="1"/>
  <c r="CE443" i="20"/>
  <c r="I371" i="21" s="1"/>
  <c r="CA443" i="20"/>
  <c r="E371" i="21" s="1"/>
  <c r="BZ443" i="20"/>
  <c r="D371" i="21" s="1"/>
  <c r="H443" i="20"/>
  <c r="G443" i="20"/>
  <c r="F443" i="20"/>
  <c r="CB442" i="20"/>
  <c r="F442" i="20"/>
  <c r="CB441" i="20"/>
  <c r="F441" i="20"/>
  <c r="CB440" i="20"/>
  <c r="F440" i="20"/>
  <c r="CB439" i="20"/>
  <c r="F439" i="20"/>
  <c r="CB438" i="20"/>
  <c r="F438" i="20"/>
  <c r="CB437" i="20"/>
  <c r="F437" i="20"/>
  <c r="CB436" i="20"/>
  <c r="F436" i="20"/>
  <c r="CB435" i="20"/>
  <c r="F435" i="20"/>
  <c r="CB434" i="20"/>
  <c r="F434" i="20"/>
  <c r="B434" i="20"/>
  <c r="F433" i="20"/>
  <c r="CC436" i="20" l="1"/>
  <c r="G364" i="21" s="1"/>
  <c r="F364" i="21"/>
  <c r="CC440" i="20"/>
  <c r="G368" i="21" s="1"/>
  <c r="F368" i="21"/>
  <c r="CC441" i="20"/>
  <c r="G369" i="21" s="1"/>
  <c r="F369" i="21"/>
  <c r="CC437" i="20"/>
  <c r="G365" i="21" s="1"/>
  <c r="F365" i="21"/>
  <c r="B435" i="20"/>
  <c r="B362" i="21"/>
  <c r="CC434" i="20"/>
  <c r="G362" i="21" s="1"/>
  <c r="F362" i="21"/>
  <c r="CC438" i="20"/>
  <c r="G366" i="21" s="1"/>
  <c r="F366" i="21"/>
  <c r="CC442" i="20"/>
  <c r="G370" i="21" s="1"/>
  <c r="F370" i="21"/>
  <c r="CC435" i="20"/>
  <c r="G363" i="21" s="1"/>
  <c r="F363" i="21"/>
  <c r="CC439" i="20"/>
  <c r="G367" i="21" s="1"/>
  <c r="F367" i="21"/>
  <c r="BY443" i="20"/>
  <c r="C371" i="21" s="1"/>
  <c r="CB433" i="20"/>
  <c r="CC433" i="20" l="1"/>
  <c r="F361" i="21"/>
  <c r="B436" i="20"/>
  <c r="B363" i="21"/>
  <c r="CB443" i="20"/>
  <c r="F371" i="21" s="1"/>
  <c r="BY383" i="20"/>
  <c r="C311" i="21" s="1"/>
  <c r="BY384" i="20"/>
  <c r="C312" i="21" s="1"/>
  <c r="BY385" i="20"/>
  <c r="C313" i="21" s="1"/>
  <c r="BY386" i="20"/>
  <c r="C314" i="21" s="1"/>
  <c r="BY387" i="20"/>
  <c r="C315" i="21" s="1"/>
  <c r="BY388" i="20"/>
  <c r="C316" i="21" s="1"/>
  <c r="BY379" i="20"/>
  <c r="C307" i="21" s="1"/>
  <c r="BY380" i="20"/>
  <c r="C308" i="21" s="1"/>
  <c r="BY381" i="20"/>
  <c r="C309" i="21" s="1"/>
  <c r="BY382" i="20"/>
  <c r="C310" i="21" s="1"/>
  <c r="B437" i="20" l="1"/>
  <c r="B364" i="21"/>
  <c r="CC443" i="20"/>
  <c r="G371" i="21" s="1"/>
  <c r="G361" i="21"/>
  <c r="I100" i="3"/>
  <c r="I99" i="3"/>
  <c r="I98" i="3"/>
  <c r="I96" i="3"/>
  <c r="CH389" i="20"/>
  <c r="L317" i="21" s="1"/>
  <c r="CF389" i="20"/>
  <c r="J317" i="21" s="1"/>
  <c r="CE389" i="20"/>
  <c r="I317" i="21" s="1"/>
  <c r="CA389" i="20"/>
  <c r="E317" i="21" s="1"/>
  <c r="BZ389" i="20"/>
  <c r="D317" i="21" s="1"/>
  <c r="H389" i="20"/>
  <c r="G389" i="20"/>
  <c r="F389" i="20"/>
  <c r="CB388" i="20"/>
  <c r="F388" i="20"/>
  <c r="CB387" i="20"/>
  <c r="F387" i="20"/>
  <c r="CB386" i="20"/>
  <c r="F386" i="20"/>
  <c r="CB385" i="20"/>
  <c r="F385" i="20"/>
  <c r="CB384" i="20"/>
  <c r="F384" i="20"/>
  <c r="CB383" i="20"/>
  <c r="F383" i="20"/>
  <c r="CB382" i="20"/>
  <c r="F382" i="20"/>
  <c r="CB381" i="20"/>
  <c r="F381" i="20"/>
  <c r="CB380" i="20"/>
  <c r="F380" i="20"/>
  <c r="B380" i="20"/>
  <c r="CB379" i="20"/>
  <c r="F307" i="21" s="1"/>
  <c r="F379" i="20"/>
  <c r="E543" i="11"/>
  <c r="L543" i="11" s="1"/>
  <c r="L542" i="11"/>
  <c r="E542" i="11"/>
  <c r="E541" i="11"/>
  <c r="L541" i="11" s="1"/>
  <c r="E540" i="11"/>
  <c r="L540" i="11" s="1"/>
  <c r="L539" i="11"/>
  <c r="E539" i="11"/>
  <c r="CC381" i="20" l="1"/>
  <c r="G309" i="21" s="1"/>
  <c r="F309" i="21"/>
  <c r="CC386" i="20"/>
  <c r="G314" i="21" s="1"/>
  <c r="F314" i="21"/>
  <c r="CC385" i="20"/>
  <c r="G313" i="21" s="1"/>
  <c r="F313" i="21"/>
  <c r="CC382" i="20"/>
  <c r="G310" i="21" s="1"/>
  <c r="F310" i="21"/>
  <c r="B381" i="20"/>
  <c r="B308" i="21"/>
  <c r="CC383" i="20"/>
  <c r="G311" i="21" s="1"/>
  <c r="F311" i="21"/>
  <c r="CC387" i="20"/>
  <c r="G315" i="21" s="1"/>
  <c r="F315" i="21"/>
  <c r="CC380" i="20"/>
  <c r="G308" i="21" s="1"/>
  <c r="F308" i="21"/>
  <c r="CC384" i="20"/>
  <c r="G312" i="21" s="1"/>
  <c r="F312" i="21"/>
  <c r="CC388" i="20"/>
  <c r="G316" i="21" s="1"/>
  <c r="F316" i="21"/>
  <c r="B438" i="20"/>
  <c r="B365" i="21"/>
  <c r="CC379" i="20"/>
  <c r="CB389" i="20"/>
  <c r="F317" i="21" s="1"/>
  <c r="BY389" i="20"/>
  <c r="C317" i="21" s="1"/>
  <c r="BY362" i="20"/>
  <c r="BY363" i="20"/>
  <c r="BY364" i="20"/>
  <c r="BY365" i="20"/>
  <c r="C293" i="21" s="1"/>
  <c r="BY366" i="20"/>
  <c r="BY367" i="20"/>
  <c r="C295" i="21" s="1"/>
  <c r="BY368" i="20"/>
  <c r="BY369" i="20"/>
  <c r="BY370" i="20"/>
  <c r="BY361" i="20"/>
  <c r="BY344" i="20"/>
  <c r="BY345" i="20"/>
  <c r="C273" i="21" s="1"/>
  <c r="BY346" i="20"/>
  <c r="C274" i="21" s="1"/>
  <c r="BY347" i="20"/>
  <c r="C275" i="21" s="1"/>
  <c r="BY348" i="20"/>
  <c r="C276" i="21" s="1"/>
  <c r="BY349" i="20"/>
  <c r="BY350" i="20"/>
  <c r="BY351" i="20"/>
  <c r="BY352" i="20"/>
  <c r="C280" i="21" s="1"/>
  <c r="BY343" i="20"/>
  <c r="BY326" i="20"/>
  <c r="C254" i="21" s="1"/>
  <c r="BY327" i="20"/>
  <c r="C255" i="21" s="1"/>
  <c r="BY328" i="20"/>
  <c r="C256" i="21" s="1"/>
  <c r="BY329" i="20"/>
  <c r="C257" i="21" s="1"/>
  <c r="BY330" i="20"/>
  <c r="C258" i="21" s="1"/>
  <c r="BY331" i="20"/>
  <c r="C259" i="21" s="1"/>
  <c r="BY332" i="20"/>
  <c r="C260" i="21" s="1"/>
  <c r="BY333" i="20"/>
  <c r="C261" i="21" s="1"/>
  <c r="BY334" i="20"/>
  <c r="C262" i="21" s="1"/>
  <c r="BY325" i="20"/>
  <c r="C253" i="21" s="1"/>
  <c r="CH371" i="20"/>
  <c r="L299" i="21" s="1"/>
  <c r="CF371" i="20"/>
  <c r="J299" i="21" s="1"/>
  <c r="CE371" i="20"/>
  <c r="I299" i="21" s="1"/>
  <c r="CA371" i="20"/>
  <c r="E299" i="21" s="1"/>
  <c r="BZ371" i="20"/>
  <c r="D299" i="21" s="1"/>
  <c r="H371" i="20"/>
  <c r="G371" i="20"/>
  <c r="F371" i="20"/>
  <c r="F370" i="20"/>
  <c r="F369" i="20"/>
  <c r="F368" i="20"/>
  <c r="F367" i="20"/>
  <c r="F366" i="20"/>
  <c r="CB365" i="20"/>
  <c r="F365" i="20"/>
  <c r="F364" i="20"/>
  <c r="F363" i="20"/>
  <c r="F362" i="20"/>
  <c r="B362" i="20"/>
  <c r="F361" i="20"/>
  <c r="CH353" i="20"/>
  <c r="L281" i="21" s="1"/>
  <c r="CF353" i="20"/>
  <c r="J281" i="21" s="1"/>
  <c r="CE353" i="20"/>
  <c r="I281" i="21" s="1"/>
  <c r="CA353" i="20"/>
  <c r="E281" i="21" s="1"/>
  <c r="BZ353" i="20"/>
  <c r="D281" i="21" s="1"/>
  <c r="H353" i="20"/>
  <c r="G353" i="20"/>
  <c r="F353" i="20"/>
  <c r="CB352" i="20"/>
  <c r="F352" i="20"/>
  <c r="F351" i="20"/>
  <c r="F350" i="20"/>
  <c r="F349" i="20"/>
  <c r="F348" i="20"/>
  <c r="F347" i="20"/>
  <c r="F346" i="20"/>
  <c r="F345" i="20"/>
  <c r="F344" i="20"/>
  <c r="B344" i="20"/>
  <c r="F343" i="20"/>
  <c r="CB347" i="20" l="1"/>
  <c r="CC347" i="20" s="1"/>
  <c r="G275" i="21" s="1"/>
  <c r="CB348" i="20"/>
  <c r="CC348" i="20" s="1"/>
  <c r="G276" i="21" s="1"/>
  <c r="CB346" i="20"/>
  <c r="CC346" i="20" s="1"/>
  <c r="G274" i="21" s="1"/>
  <c r="CB367" i="20"/>
  <c r="CC367" i="20" s="1"/>
  <c r="G295" i="21" s="1"/>
  <c r="CB368" i="20"/>
  <c r="C296" i="21"/>
  <c r="CC389" i="20"/>
  <c r="G317" i="21" s="1"/>
  <c r="G307" i="21"/>
  <c r="CC365" i="20"/>
  <c r="G293" i="21" s="1"/>
  <c r="F293" i="21"/>
  <c r="CB343" i="20"/>
  <c r="F271" i="21" s="1"/>
  <c r="C271" i="21"/>
  <c r="CB366" i="20"/>
  <c r="C294" i="21"/>
  <c r="CB344" i="20"/>
  <c r="C272" i="21"/>
  <c r="B439" i="20"/>
  <c r="B366" i="21"/>
  <c r="CB351" i="20"/>
  <c r="C279" i="21"/>
  <c r="CB364" i="20"/>
  <c r="C292" i="21"/>
  <c r="CC352" i="20"/>
  <c r="G280" i="21" s="1"/>
  <c r="F280" i="21"/>
  <c r="CB350" i="20"/>
  <c r="C278" i="21"/>
  <c r="CB361" i="20"/>
  <c r="F289" i="21" s="1"/>
  <c r="C289" i="21"/>
  <c r="CB363" i="20"/>
  <c r="C291" i="21"/>
  <c r="B363" i="20"/>
  <c r="B290" i="21"/>
  <c r="B345" i="20"/>
  <c r="B272" i="21"/>
  <c r="CB349" i="20"/>
  <c r="C277" i="21"/>
  <c r="CB370" i="20"/>
  <c r="C298" i="21"/>
  <c r="CB362" i="20"/>
  <c r="C290" i="21"/>
  <c r="CB369" i="20"/>
  <c r="C297" i="21"/>
  <c r="B382" i="20"/>
  <c r="B309" i="21"/>
  <c r="BY353" i="20"/>
  <c r="C281" i="21" s="1"/>
  <c r="BY371" i="20"/>
  <c r="C299" i="21" s="1"/>
  <c r="CB345" i="20"/>
  <c r="F295" i="21" l="1"/>
  <c r="F274" i="21"/>
  <c r="F275" i="21"/>
  <c r="F276" i="21"/>
  <c r="CC349" i="20"/>
  <c r="G277" i="21" s="1"/>
  <c r="F277" i="21"/>
  <c r="CC363" i="20"/>
  <c r="G291" i="21" s="1"/>
  <c r="F291" i="21"/>
  <c r="CC345" i="20"/>
  <c r="G273" i="21" s="1"/>
  <c r="F273" i="21"/>
  <c r="B440" i="20"/>
  <c r="B367" i="21"/>
  <c r="CC362" i="20"/>
  <c r="G290" i="21" s="1"/>
  <c r="F290" i="21"/>
  <c r="CC344" i="20"/>
  <c r="G272" i="21" s="1"/>
  <c r="F272" i="21"/>
  <c r="CB371" i="20"/>
  <c r="F299" i="21" s="1"/>
  <c r="B346" i="20"/>
  <c r="B273" i="21"/>
  <c r="CC361" i="20"/>
  <c r="B383" i="20"/>
  <c r="B310" i="21"/>
  <c r="CC343" i="20"/>
  <c r="G271" i="21" s="1"/>
  <c r="CC369" i="20"/>
  <c r="G297" i="21" s="1"/>
  <c r="F297" i="21"/>
  <c r="CC364" i="20"/>
  <c r="G292" i="21" s="1"/>
  <c r="F292" i="21"/>
  <c r="CC350" i="20"/>
  <c r="G278" i="21" s="1"/>
  <c r="F278" i="21"/>
  <c r="CC370" i="20"/>
  <c r="G298" i="21" s="1"/>
  <c r="F298" i="21"/>
  <c r="B364" i="20"/>
  <c r="B291" i="21"/>
  <c r="CC351" i="20"/>
  <c r="G279" i="21" s="1"/>
  <c r="F279" i="21"/>
  <c r="CC366" i="20"/>
  <c r="G294" i="21" s="1"/>
  <c r="F294" i="21"/>
  <c r="CC368" i="20"/>
  <c r="G296" i="21" s="1"/>
  <c r="F296" i="21"/>
  <c r="CB353" i="20"/>
  <c r="F281" i="21" s="1"/>
  <c r="CC371" i="20" l="1"/>
  <c r="G299" i="21" s="1"/>
  <c r="G289" i="21"/>
  <c r="B441" i="20"/>
  <c r="B368" i="21"/>
  <c r="B347" i="20"/>
  <c r="B274" i="21"/>
  <c r="B365" i="20"/>
  <c r="B292" i="21"/>
  <c r="CC353" i="20"/>
  <c r="G281" i="21" s="1"/>
  <c r="B384" i="20"/>
  <c r="B311" i="21"/>
  <c r="CB330" i="20"/>
  <c r="CB333" i="20"/>
  <c r="CB325" i="20"/>
  <c r="F253" i="21" s="1"/>
  <c r="CB326" i="20"/>
  <c r="CH335" i="20"/>
  <c r="L263" i="21" s="1"/>
  <c r="CF335" i="20"/>
  <c r="J263" i="21" s="1"/>
  <c r="CE335" i="20"/>
  <c r="I263" i="21" s="1"/>
  <c r="CA335" i="20"/>
  <c r="E263" i="21" s="1"/>
  <c r="BZ335" i="20"/>
  <c r="D263" i="21" s="1"/>
  <c r="H335" i="20"/>
  <c r="G335" i="20"/>
  <c r="F335" i="20"/>
  <c r="CB334" i="20"/>
  <c r="F334" i="20"/>
  <c r="F333" i="20"/>
  <c r="CB332" i="20"/>
  <c r="F332" i="20"/>
  <c r="CB331" i="20"/>
  <c r="F331" i="20"/>
  <c r="F330" i="20"/>
  <c r="CB329" i="20"/>
  <c r="F329" i="20"/>
  <c r="CB328" i="20"/>
  <c r="F328" i="20"/>
  <c r="CB327" i="20"/>
  <c r="F327" i="20"/>
  <c r="F326" i="20"/>
  <c r="B326" i="20"/>
  <c r="F325" i="20"/>
  <c r="CH30" i="20"/>
  <c r="L30" i="21" s="1"/>
  <c r="CA30" i="20"/>
  <c r="E30" i="21" s="1"/>
  <c r="BZ30" i="20"/>
  <c r="D30" i="21" s="1"/>
  <c r="BY30" i="20"/>
  <c r="C30" i="21" s="1"/>
  <c r="CH29" i="20"/>
  <c r="L29" i="21" s="1"/>
  <c r="CA29" i="20"/>
  <c r="E29" i="21" s="1"/>
  <c r="BZ29" i="20"/>
  <c r="D29" i="21" s="1"/>
  <c r="BY29" i="20"/>
  <c r="C29" i="21" s="1"/>
  <c r="CH28" i="20"/>
  <c r="L28" i="21" s="1"/>
  <c r="CA28" i="20"/>
  <c r="E28" i="21" s="1"/>
  <c r="BZ28" i="20"/>
  <c r="D28" i="21" s="1"/>
  <c r="BY28" i="20"/>
  <c r="C28" i="21" s="1"/>
  <c r="CH27" i="20"/>
  <c r="L27" i="21" s="1"/>
  <c r="CA27" i="20"/>
  <c r="E27" i="21" s="1"/>
  <c r="BZ27" i="20"/>
  <c r="D27" i="21" s="1"/>
  <c r="BY27" i="20"/>
  <c r="C27" i="21" s="1"/>
  <c r="CH26" i="20"/>
  <c r="L26" i="21" s="1"/>
  <c r="CA26" i="20"/>
  <c r="E26" i="21" s="1"/>
  <c r="BZ26" i="20"/>
  <c r="D26" i="21" s="1"/>
  <c r="BY26" i="20"/>
  <c r="C26" i="21" s="1"/>
  <c r="CH25" i="20"/>
  <c r="L25" i="21" s="1"/>
  <c r="CA25" i="20"/>
  <c r="E25" i="21" s="1"/>
  <c r="BZ25" i="20"/>
  <c r="D25" i="21" s="1"/>
  <c r="BY25" i="20"/>
  <c r="C25" i="21" s="1"/>
  <c r="CH24" i="20"/>
  <c r="L24" i="21" s="1"/>
  <c r="CA24" i="20"/>
  <c r="E24" i="21" s="1"/>
  <c r="BZ24" i="20"/>
  <c r="D24" i="21" s="1"/>
  <c r="BY24" i="20"/>
  <c r="C24" i="21" s="1"/>
  <c r="CH23" i="20"/>
  <c r="L23" i="21" s="1"/>
  <c r="CA23" i="20"/>
  <c r="E23" i="21" s="1"/>
  <c r="BZ23" i="20"/>
  <c r="D23" i="21" s="1"/>
  <c r="BY23" i="20"/>
  <c r="C23" i="21" s="1"/>
  <c r="CH22" i="20"/>
  <c r="L22" i="21" s="1"/>
  <c r="CA22" i="20"/>
  <c r="E22" i="21" s="1"/>
  <c r="BZ22" i="20"/>
  <c r="D22" i="21" s="1"/>
  <c r="BY22" i="20"/>
  <c r="C22" i="21" s="1"/>
  <c r="CH21" i="20"/>
  <c r="L21" i="21" s="1"/>
  <c r="CA21" i="20"/>
  <c r="E21" i="21" s="1"/>
  <c r="BZ21" i="20"/>
  <c r="D21" i="21" s="1"/>
  <c r="BY21" i="20"/>
  <c r="C21" i="21" s="1"/>
  <c r="CH20" i="20"/>
  <c r="L20" i="21" s="1"/>
  <c r="CA20" i="20"/>
  <c r="E20" i="21" s="1"/>
  <c r="BZ20" i="20"/>
  <c r="D20" i="21" s="1"/>
  <c r="BY20" i="20"/>
  <c r="C20" i="21" s="1"/>
  <c r="CH19" i="20"/>
  <c r="L19" i="21" s="1"/>
  <c r="CA19" i="20"/>
  <c r="E19" i="21" s="1"/>
  <c r="BZ19" i="20"/>
  <c r="D19" i="21" s="1"/>
  <c r="BY19" i="20"/>
  <c r="C19" i="21" s="1"/>
  <c r="CH18" i="20"/>
  <c r="L18" i="21" s="1"/>
  <c r="CA18" i="20"/>
  <c r="E18" i="21" s="1"/>
  <c r="BZ18" i="20"/>
  <c r="D18" i="21" s="1"/>
  <c r="BY18" i="20"/>
  <c r="C18" i="21" s="1"/>
  <c r="CH17" i="20"/>
  <c r="L17" i="21" s="1"/>
  <c r="CA17" i="20"/>
  <c r="E17" i="21" s="1"/>
  <c r="BZ17" i="20"/>
  <c r="D17" i="21" s="1"/>
  <c r="BY17" i="20"/>
  <c r="C17" i="21" s="1"/>
  <c r="CH16" i="20"/>
  <c r="L16" i="21" s="1"/>
  <c r="CA16" i="20"/>
  <c r="E16" i="21" s="1"/>
  <c r="BZ16" i="20"/>
  <c r="D16" i="21" s="1"/>
  <c r="BY16" i="20"/>
  <c r="C16" i="21" s="1"/>
  <c r="CH15" i="20"/>
  <c r="L15" i="21" s="1"/>
  <c r="CA15" i="20"/>
  <c r="E15" i="21" s="1"/>
  <c r="BZ15" i="20"/>
  <c r="D15" i="21" s="1"/>
  <c r="BY15" i="20"/>
  <c r="C15" i="21" s="1"/>
  <c r="CH11" i="20"/>
  <c r="L11" i="21" s="1"/>
  <c r="CA11" i="20"/>
  <c r="E11" i="21" s="1"/>
  <c r="BZ11" i="20"/>
  <c r="D11" i="21" s="1"/>
  <c r="BY11" i="20"/>
  <c r="C11" i="21" s="1"/>
  <c r="BY208" i="20"/>
  <c r="C208" i="21" s="1"/>
  <c r="BZ208" i="20"/>
  <c r="D208" i="21" s="1"/>
  <c r="CA208" i="20"/>
  <c r="E208" i="21" s="1"/>
  <c r="CH208" i="20"/>
  <c r="L208" i="21" s="1"/>
  <c r="CH207" i="20"/>
  <c r="L207" i="21" s="1"/>
  <c r="CA207" i="20"/>
  <c r="E207" i="21" s="1"/>
  <c r="BZ207" i="20"/>
  <c r="D207" i="21" s="1"/>
  <c r="BY207" i="20"/>
  <c r="C207" i="21" s="1"/>
  <c r="CH206" i="20"/>
  <c r="L206" i="21" s="1"/>
  <c r="CA206" i="20"/>
  <c r="E206" i="21" s="1"/>
  <c r="BZ206" i="20"/>
  <c r="D206" i="21" s="1"/>
  <c r="BY206" i="20"/>
  <c r="C206" i="21" s="1"/>
  <c r="CH205" i="20"/>
  <c r="L205" i="21" s="1"/>
  <c r="CA205" i="20"/>
  <c r="E205" i="21" s="1"/>
  <c r="BZ205" i="20"/>
  <c r="D205" i="21" s="1"/>
  <c r="BY205" i="20"/>
  <c r="C205" i="21" s="1"/>
  <c r="CH204" i="20"/>
  <c r="L204" i="21" s="1"/>
  <c r="CA204" i="20"/>
  <c r="E204" i="21" s="1"/>
  <c r="BZ204" i="20"/>
  <c r="D204" i="21" s="1"/>
  <c r="BY204" i="20"/>
  <c r="C204" i="21" s="1"/>
  <c r="CH203" i="20"/>
  <c r="L203" i="21" s="1"/>
  <c r="CA203" i="20"/>
  <c r="E203" i="21" s="1"/>
  <c r="BZ203" i="20"/>
  <c r="D203" i="21" s="1"/>
  <c r="BY203" i="20"/>
  <c r="C203" i="21" s="1"/>
  <c r="CH202" i="20"/>
  <c r="L202" i="21" s="1"/>
  <c r="CA202" i="20"/>
  <c r="E202" i="21" s="1"/>
  <c r="BZ202" i="20"/>
  <c r="D202" i="21" s="1"/>
  <c r="BY202" i="20"/>
  <c r="C202" i="21" s="1"/>
  <c r="CH199" i="20"/>
  <c r="L199" i="21" s="1"/>
  <c r="CH201" i="20"/>
  <c r="L201" i="21" s="1"/>
  <c r="BY201" i="20"/>
  <c r="C201" i="21" s="1"/>
  <c r="BZ201" i="20"/>
  <c r="D201" i="21" s="1"/>
  <c r="CA201" i="20"/>
  <c r="E201" i="21" s="1"/>
  <c r="BY199" i="20"/>
  <c r="C199" i="21" s="1"/>
  <c r="BZ199" i="20"/>
  <c r="D199" i="21" s="1"/>
  <c r="CA199" i="20"/>
  <c r="E199" i="21" s="1"/>
  <c r="I70" i="3"/>
  <c r="H209" i="20"/>
  <c r="G209" i="20"/>
  <c r="F209" i="20"/>
  <c r="F208" i="20"/>
  <c r="F207" i="20"/>
  <c r="F206" i="20"/>
  <c r="F205" i="20"/>
  <c r="F204" i="20"/>
  <c r="F203" i="20"/>
  <c r="F202" i="20"/>
  <c r="F201" i="20"/>
  <c r="F200" i="20"/>
  <c r="B200" i="20"/>
  <c r="F199" i="20"/>
  <c r="N5" i="2"/>
  <c r="CC329" i="20" l="1"/>
  <c r="G257" i="21" s="1"/>
  <c r="F257" i="21"/>
  <c r="CC334" i="20"/>
  <c r="G262" i="21" s="1"/>
  <c r="F262" i="21"/>
  <c r="B201" i="20"/>
  <c r="B200" i="21"/>
  <c r="CC331" i="20"/>
  <c r="G259" i="21" s="1"/>
  <c r="F259" i="21"/>
  <c r="CC333" i="20"/>
  <c r="G261" i="21" s="1"/>
  <c r="F261" i="21"/>
  <c r="B348" i="20"/>
  <c r="B275" i="21"/>
  <c r="CC327" i="20"/>
  <c r="G255" i="21" s="1"/>
  <c r="F255" i="21"/>
  <c r="CC330" i="20"/>
  <c r="G258" i="21" s="1"/>
  <c r="F258" i="21"/>
  <c r="B327" i="20"/>
  <c r="B254" i="21"/>
  <c r="CC326" i="20"/>
  <c r="G254" i="21" s="1"/>
  <c r="F254" i="21"/>
  <c r="B366" i="20"/>
  <c r="B293" i="21"/>
  <c r="CC332" i="20"/>
  <c r="G260" i="21" s="1"/>
  <c r="F260" i="21"/>
  <c r="B442" i="20"/>
  <c r="B370" i="21" s="1"/>
  <c r="B369" i="21"/>
  <c r="CC328" i="20"/>
  <c r="G256" i="21" s="1"/>
  <c r="F256" i="21"/>
  <c r="B385" i="20"/>
  <c r="B312" i="21"/>
  <c r="CB206" i="20"/>
  <c r="CB203" i="20"/>
  <c r="CB17" i="20"/>
  <c r="CB201" i="20"/>
  <c r="CB21" i="20"/>
  <c r="CB29" i="20"/>
  <c r="CB205" i="20"/>
  <c r="CB204" i="20"/>
  <c r="CB208" i="20"/>
  <c r="CB20" i="20"/>
  <c r="CB28" i="20"/>
  <c r="CC325" i="20"/>
  <c r="CB335" i="20"/>
  <c r="F263" i="21" s="1"/>
  <c r="BY335" i="20"/>
  <c r="C263" i="21" s="1"/>
  <c r="CB207" i="20"/>
  <c r="CB18" i="20"/>
  <c r="CB26" i="20"/>
  <c r="CB15" i="20"/>
  <c r="CB23" i="20"/>
  <c r="CB25" i="20"/>
  <c r="CB22" i="20"/>
  <c r="CB30" i="20"/>
  <c r="CB202" i="20"/>
  <c r="CB11" i="20"/>
  <c r="CB19" i="20"/>
  <c r="CB27" i="20"/>
  <c r="CB16" i="20"/>
  <c r="CB24" i="20"/>
  <c r="CB199" i="20"/>
  <c r="CC20" i="20" l="1"/>
  <c r="G20" i="21" s="1"/>
  <c r="F20" i="21"/>
  <c r="CC19" i="20"/>
  <c r="G19" i="21" s="1"/>
  <c r="F19" i="21"/>
  <c r="CC206" i="20"/>
  <c r="G206" i="21" s="1"/>
  <c r="F206" i="21"/>
  <c r="CC18" i="20"/>
  <c r="G18" i="21" s="1"/>
  <c r="F18" i="21"/>
  <c r="B386" i="20"/>
  <c r="B313" i="21"/>
  <c r="B367" i="20"/>
  <c r="B294" i="21"/>
  <c r="B202" i="20"/>
  <c r="B201" i="21"/>
  <c r="CC30" i="20"/>
  <c r="G30" i="21" s="1"/>
  <c r="F30" i="21"/>
  <c r="CC29" i="20"/>
  <c r="G29" i="21" s="1"/>
  <c r="F29" i="21"/>
  <c r="CC27" i="20"/>
  <c r="G27" i="21" s="1"/>
  <c r="F27" i="21"/>
  <c r="CC26" i="20"/>
  <c r="G26" i="21" s="1"/>
  <c r="F26" i="21"/>
  <c r="CC204" i="20"/>
  <c r="G204" i="21" s="1"/>
  <c r="F204" i="21"/>
  <c r="CC207" i="20"/>
  <c r="G207" i="21" s="1"/>
  <c r="F207" i="21"/>
  <c r="CC205" i="20"/>
  <c r="G205" i="21" s="1"/>
  <c r="F205" i="21"/>
  <c r="CC199" i="20"/>
  <c r="G199" i="21" s="1"/>
  <c r="F199" i="21"/>
  <c r="CC22" i="20"/>
  <c r="G22" i="21" s="1"/>
  <c r="F22" i="21"/>
  <c r="CC21" i="20"/>
  <c r="G21" i="21" s="1"/>
  <c r="F21" i="21"/>
  <c r="B349" i="20"/>
  <c r="B276" i="21"/>
  <c r="CC25" i="20"/>
  <c r="G25" i="21" s="1"/>
  <c r="F25" i="21"/>
  <c r="CC335" i="20"/>
  <c r="G263" i="21" s="1"/>
  <c r="G253" i="21"/>
  <c r="CC201" i="20"/>
  <c r="G201" i="21" s="1"/>
  <c r="F201" i="21"/>
  <c r="CC15" i="20"/>
  <c r="G15" i="21" s="1"/>
  <c r="F15" i="21"/>
  <c r="CC203" i="20"/>
  <c r="G203" i="21" s="1"/>
  <c r="F203" i="21"/>
  <c r="CC208" i="20"/>
  <c r="G208" i="21" s="1"/>
  <c r="F208" i="21"/>
  <c r="CC11" i="20"/>
  <c r="G11" i="21" s="1"/>
  <c r="F11" i="21"/>
  <c r="CC202" i="20"/>
  <c r="G202" i="21" s="1"/>
  <c r="F202" i="21"/>
  <c r="CC24" i="20"/>
  <c r="G24" i="21" s="1"/>
  <c r="F24" i="21"/>
  <c r="CC16" i="20"/>
  <c r="G16" i="21" s="1"/>
  <c r="F16" i="21"/>
  <c r="CC23" i="20"/>
  <c r="G23" i="21" s="1"/>
  <c r="F23" i="21"/>
  <c r="CC28" i="20"/>
  <c r="G28" i="21" s="1"/>
  <c r="F28" i="21"/>
  <c r="CC17" i="20"/>
  <c r="G17" i="21" s="1"/>
  <c r="F17" i="21"/>
  <c r="B328" i="20"/>
  <c r="B255" i="21"/>
  <c r="I103" i="3"/>
  <c r="I102" i="3"/>
  <c r="B203" i="20" l="1"/>
  <c r="B202" i="21"/>
  <c r="B329" i="20"/>
  <c r="B256" i="21"/>
  <c r="B350" i="20"/>
  <c r="B277" i="21"/>
  <c r="B368" i="20"/>
  <c r="B295" i="21"/>
  <c r="B387" i="20"/>
  <c r="B314" i="21"/>
  <c r="F154" i="3"/>
  <c r="C154" i="3"/>
  <c r="C147" i="3"/>
  <c r="C148" i="3" s="1"/>
  <c r="C149" i="3" s="1"/>
  <c r="C150" i="3" s="1"/>
  <c r="C151" i="3" s="1"/>
  <c r="C152" i="3" s="1"/>
  <c r="C153" i="3" s="1"/>
  <c r="F125" i="3"/>
  <c r="F126" i="3" s="1"/>
  <c r="F127" i="3" s="1"/>
  <c r="F128" i="3" s="1"/>
  <c r="F129" i="3" s="1"/>
  <c r="F130" i="3" s="1"/>
  <c r="F131" i="3"/>
  <c r="F132" i="3" s="1"/>
  <c r="F133" i="3" s="1"/>
  <c r="F134" i="3" s="1"/>
  <c r="F135" i="3"/>
  <c r="F136" i="3" s="1"/>
  <c r="F137" i="3" s="1"/>
  <c r="F138" i="3" s="1"/>
  <c r="F139" i="3" s="1"/>
  <c r="F140" i="3"/>
  <c r="F141" i="3" s="1"/>
  <c r="F142" i="3" s="1"/>
  <c r="F143" i="3" s="1"/>
  <c r="F86" i="3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82" i="3"/>
  <c r="F83" i="3" s="1"/>
  <c r="F84" i="3" s="1"/>
  <c r="F85" i="3" s="1"/>
  <c r="F77" i="3"/>
  <c r="F78" i="3" s="1"/>
  <c r="F79" i="3" s="1"/>
  <c r="F80" i="3" s="1"/>
  <c r="F81" i="3" s="1"/>
  <c r="F75" i="3"/>
  <c r="F76" i="3" s="1"/>
  <c r="F73" i="3"/>
  <c r="F74" i="3" s="1"/>
  <c r="B4" i="21"/>
  <c r="B369" i="20" l="1"/>
  <c r="B296" i="21"/>
  <c r="B330" i="20"/>
  <c r="B257" i="21"/>
  <c r="B351" i="20"/>
  <c r="B278" i="21"/>
  <c r="B388" i="20"/>
  <c r="B316" i="21" s="1"/>
  <c r="B315" i="21"/>
  <c r="B204" i="20"/>
  <c r="B203" i="21"/>
  <c r="F97" i="3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46" i="3"/>
  <c r="F147" i="3" s="1"/>
  <c r="F148" i="3" s="1"/>
  <c r="F149" i="3" s="1"/>
  <c r="F150" i="3" s="1"/>
  <c r="F151" i="3" s="1"/>
  <c r="F152" i="3" s="1"/>
  <c r="F153" i="3" s="1"/>
  <c r="B5" i="21"/>
  <c r="C5" i="21"/>
  <c r="D5" i="21"/>
  <c r="E5" i="21"/>
  <c r="F5" i="21"/>
  <c r="G5" i="21"/>
  <c r="I5" i="21"/>
  <c r="J5" i="21"/>
  <c r="L5" i="21"/>
  <c r="B2253" i="21"/>
  <c r="C2253" i="21"/>
  <c r="D2253" i="21"/>
  <c r="E2253" i="21"/>
  <c r="F2253" i="21"/>
  <c r="G2253" i="21"/>
  <c r="I2253" i="21"/>
  <c r="J2253" i="21"/>
  <c r="L2253" i="21"/>
  <c r="N19" i="2"/>
  <c r="O19" i="2"/>
  <c r="N18" i="2"/>
  <c r="B331" i="20" l="1"/>
  <c r="B258" i="21"/>
  <c r="B352" i="20"/>
  <c r="B280" i="21" s="1"/>
  <c r="B279" i="21"/>
  <c r="B205" i="20"/>
  <c r="B204" i="21"/>
  <c r="B370" i="20"/>
  <c r="B298" i="21" s="1"/>
  <c r="B297" i="21"/>
  <c r="F124" i="3"/>
  <c r="F123" i="3"/>
  <c r="I68" i="3"/>
  <c r="I66" i="3"/>
  <c r="I56" i="3"/>
  <c r="I55" i="3"/>
  <c r="I53" i="3"/>
  <c r="I47" i="3"/>
  <c r="I46" i="3"/>
  <c r="I45" i="3"/>
  <c r="I44" i="3"/>
  <c r="I42" i="3"/>
  <c r="F61" i="3"/>
  <c r="N6" i="16" a="1"/>
  <c r="N6" i="16" s="1"/>
  <c r="M6" i="16" a="1"/>
  <c r="M6" i="16" s="1"/>
  <c r="C220" i="21"/>
  <c r="D220" i="21"/>
  <c r="E220" i="21"/>
  <c r="C221" i="21"/>
  <c r="D221" i="21"/>
  <c r="E221" i="21"/>
  <c r="C222" i="21"/>
  <c r="D222" i="21"/>
  <c r="E222" i="21"/>
  <c r="C223" i="21"/>
  <c r="D223" i="21"/>
  <c r="E223" i="21"/>
  <c r="C224" i="21"/>
  <c r="D224" i="21"/>
  <c r="E224" i="21"/>
  <c r="C225" i="21"/>
  <c r="D225" i="21"/>
  <c r="E225" i="21"/>
  <c r="C226" i="21"/>
  <c r="D226" i="21"/>
  <c r="E226" i="21"/>
  <c r="E217" i="21"/>
  <c r="L218" i="21"/>
  <c r="J227" i="21"/>
  <c r="I227" i="21"/>
  <c r="B218" i="21"/>
  <c r="BY417" i="20"/>
  <c r="C345" i="21" s="1"/>
  <c r="BY418" i="20"/>
  <c r="C346" i="21" s="1"/>
  <c r="BY419" i="20"/>
  <c r="C347" i="21" s="1"/>
  <c r="BY420" i="20"/>
  <c r="C348" i="21" s="1"/>
  <c r="BY421" i="20"/>
  <c r="C349" i="21" s="1"/>
  <c r="BY422" i="20"/>
  <c r="C350" i="21" s="1"/>
  <c r="BY423" i="20"/>
  <c r="C351" i="21" s="1"/>
  <c r="BY424" i="20"/>
  <c r="C352" i="21" s="1"/>
  <c r="BY415" i="20"/>
  <c r="C343" i="21" s="1"/>
  <c r="BY416" i="20"/>
  <c r="C344" i="21" s="1"/>
  <c r="AN417" i="20"/>
  <c r="AN418" i="20"/>
  <c r="AN419" i="20"/>
  <c r="AN420" i="20"/>
  <c r="AN421" i="20"/>
  <c r="AN422" i="20"/>
  <c r="AN423" i="20"/>
  <c r="AN424" i="20"/>
  <c r="AN415" i="20"/>
  <c r="AN399" i="20"/>
  <c r="BY399" i="20"/>
  <c r="C327" i="21" s="1"/>
  <c r="AN400" i="20"/>
  <c r="BY400" i="20"/>
  <c r="C328" i="21" s="1"/>
  <c r="AN401" i="20"/>
  <c r="BY401" i="20"/>
  <c r="C329" i="21" s="1"/>
  <c r="AN402" i="20"/>
  <c r="BY402" i="20"/>
  <c r="C330" i="21" s="1"/>
  <c r="AN403" i="20"/>
  <c r="BY403" i="20"/>
  <c r="C331" i="21" s="1"/>
  <c r="AN404" i="20"/>
  <c r="BY404" i="20"/>
  <c r="C332" i="21" s="1"/>
  <c r="AN405" i="20"/>
  <c r="BY405" i="20"/>
  <c r="C333" i="21" s="1"/>
  <c r="AN406" i="20"/>
  <c r="BY406" i="20"/>
  <c r="C334" i="21" s="1"/>
  <c r="AN397" i="20"/>
  <c r="BY397" i="20"/>
  <c r="C325" i="21" s="1"/>
  <c r="BY398" i="20"/>
  <c r="C326" i="21" s="1"/>
  <c r="AN416" i="20"/>
  <c r="AN398" i="20"/>
  <c r="F417" i="20"/>
  <c r="F416" i="20"/>
  <c r="CF425" i="20"/>
  <c r="J353" i="21" s="1"/>
  <c r="CE425" i="20"/>
  <c r="I353" i="21" s="1"/>
  <c r="H425" i="20"/>
  <c r="G425" i="20"/>
  <c r="F425" i="20"/>
  <c r="F424" i="20"/>
  <c r="F423" i="20"/>
  <c r="F422" i="20"/>
  <c r="F421" i="20"/>
  <c r="F420" i="20"/>
  <c r="F419" i="20"/>
  <c r="F418" i="20"/>
  <c r="B416" i="20"/>
  <c r="B344" i="21" s="1"/>
  <c r="BZ425" i="20"/>
  <c r="D353" i="21" s="1"/>
  <c r="F415" i="20"/>
  <c r="H466" i="20"/>
  <c r="G466" i="20"/>
  <c r="F466" i="20"/>
  <c r="G407" i="20"/>
  <c r="H407" i="20"/>
  <c r="F407" i="20"/>
  <c r="CF407" i="20"/>
  <c r="J335" i="21" s="1"/>
  <c r="CE407" i="20"/>
  <c r="I335" i="21" s="1"/>
  <c r="F406" i="20"/>
  <c r="F405" i="20"/>
  <c r="F404" i="20"/>
  <c r="F403" i="20"/>
  <c r="F402" i="20"/>
  <c r="F401" i="20"/>
  <c r="F400" i="20"/>
  <c r="F399" i="20"/>
  <c r="F398" i="20"/>
  <c r="F397" i="20"/>
  <c r="B398" i="20"/>
  <c r="B326" i="21" s="1"/>
  <c r="CF466" i="20"/>
  <c r="J394" i="21" s="1"/>
  <c r="CE466" i="20"/>
  <c r="I394" i="21" s="1"/>
  <c r="CH465" i="20"/>
  <c r="L393" i="21" s="1"/>
  <c r="F465" i="20"/>
  <c r="CH464" i="20"/>
  <c r="L392" i="21" s="1"/>
  <c r="F464" i="20"/>
  <c r="CH463" i="20"/>
  <c r="L391" i="21" s="1"/>
  <c r="F463" i="20"/>
  <c r="CH462" i="20"/>
  <c r="L390" i="21" s="1"/>
  <c r="F462" i="20"/>
  <c r="CH461" i="20"/>
  <c r="L389" i="21" s="1"/>
  <c r="F461" i="20"/>
  <c r="CH460" i="20"/>
  <c r="L388" i="21" s="1"/>
  <c r="F460" i="20"/>
  <c r="CH459" i="20"/>
  <c r="L387" i="21" s="1"/>
  <c r="F459" i="20"/>
  <c r="CH458" i="20"/>
  <c r="L386" i="21" s="1"/>
  <c r="F458" i="20"/>
  <c r="CH457" i="20"/>
  <c r="L385" i="21" s="1"/>
  <c r="F457" i="20"/>
  <c r="CH456" i="20"/>
  <c r="L384" i="21" s="1"/>
  <c r="F456" i="20"/>
  <c r="B457" i="20"/>
  <c r="B385" i="21" s="1"/>
  <c r="CF155" i="20"/>
  <c r="J155" i="21" s="1"/>
  <c r="CE155" i="20"/>
  <c r="I155" i="21" s="1"/>
  <c r="CA155" i="20"/>
  <c r="E155" i="21" s="1"/>
  <c r="BZ155" i="20"/>
  <c r="D155" i="21" s="1"/>
  <c r="BY155" i="20"/>
  <c r="C155" i="21" s="1"/>
  <c r="H155" i="20"/>
  <c r="G155" i="20"/>
  <c r="F155" i="20"/>
  <c r="CH154" i="20"/>
  <c r="L154" i="21" s="1"/>
  <c r="BT154" i="20"/>
  <c r="F154" i="20"/>
  <c r="CH153" i="20"/>
  <c r="L153" i="21" s="1"/>
  <c r="BT153" i="20"/>
  <c r="F153" i="20"/>
  <c r="CH152" i="20"/>
  <c r="L152" i="21" s="1"/>
  <c r="BT152" i="20"/>
  <c r="F152" i="20"/>
  <c r="CH151" i="20"/>
  <c r="L151" i="21" s="1"/>
  <c r="BT151" i="20"/>
  <c r="F151" i="20"/>
  <c r="CH150" i="20"/>
  <c r="L150" i="21" s="1"/>
  <c r="BT150" i="20"/>
  <c r="F150" i="20"/>
  <c r="CH149" i="20"/>
  <c r="L149" i="21" s="1"/>
  <c r="BT149" i="20"/>
  <c r="F149" i="20"/>
  <c r="CH148" i="20"/>
  <c r="L148" i="21" s="1"/>
  <c r="BT148" i="20"/>
  <c r="F148" i="20"/>
  <c r="CH147" i="20"/>
  <c r="L147" i="21" s="1"/>
  <c r="BT147" i="20"/>
  <c r="F147" i="20"/>
  <c r="CH146" i="20"/>
  <c r="L146" i="21" s="1"/>
  <c r="BT146" i="20"/>
  <c r="F146" i="20"/>
  <c r="B146" i="20"/>
  <c r="B146" i="21" s="1"/>
  <c r="CH145" i="20"/>
  <c r="L145" i="21" s="1"/>
  <c r="BT145" i="20"/>
  <c r="F145" i="20"/>
  <c r="C145" i="20" a="1"/>
  <c r="B206" i="20" l="1"/>
  <c r="B205" i="21"/>
  <c r="B332" i="20"/>
  <c r="B259" i="21"/>
  <c r="L221" i="21"/>
  <c r="L220" i="21"/>
  <c r="D217" i="21"/>
  <c r="L217" i="21"/>
  <c r="C219" i="21"/>
  <c r="L219" i="21"/>
  <c r="L226" i="21"/>
  <c r="L225" i="21"/>
  <c r="L224" i="21"/>
  <c r="L223" i="21"/>
  <c r="L222" i="21"/>
  <c r="F226" i="21"/>
  <c r="B219" i="21"/>
  <c r="F220" i="21"/>
  <c r="B458" i="20"/>
  <c r="B386" i="21" s="1"/>
  <c r="F222" i="21"/>
  <c r="F221" i="21"/>
  <c r="F225" i="21"/>
  <c r="C217" i="21"/>
  <c r="E218" i="21"/>
  <c r="D218" i="21"/>
  <c r="C218" i="21"/>
  <c r="F224" i="21"/>
  <c r="E219" i="21"/>
  <c r="D219" i="21"/>
  <c r="F223" i="21"/>
  <c r="CB416" i="20"/>
  <c r="F344" i="21" s="1"/>
  <c r="CB424" i="20"/>
  <c r="F352" i="21" s="1"/>
  <c r="B417" i="20"/>
  <c r="B345" i="21" s="1"/>
  <c r="CB423" i="20"/>
  <c r="F351" i="21" s="1"/>
  <c r="B147" i="20"/>
  <c r="B147" i="21" s="1"/>
  <c r="B399" i="20"/>
  <c r="B327" i="21" s="1"/>
  <c r="BY425" i="20"/>
  <c r="C353" i="21" s="1"/>
  <c r="CB418" i="20"/>
  <c r="F346" i="21" s="1"/>
  <c r="CB420" i="20"/>
  <c r="F348" i="21" s="1"/>
  <c r="CH425" i="20"/>
  <c r="L353" i="21" s="1"/>
  <c r="CA425" i="20"/>
  <c r="E353" i="21" s="1"/>
  <c r="CB422" i="20"/>
  <c r="F350" i="21" s="1"/>
  <c r="CB417" i="20"/>
  <c r="F345" i="21" s="1"/>
  <c r="CB419" i="20"/>
  <c r="F347" i="21" s="1"/>
  <c r="CB421" i="20"/>
  <c r="F349" i="21" s="1"/>
  <c r="CB405" i="20"/>
  <c r="F333" i="21" s="1"/>
  <c r="CB402" i="20"/>
  <c r="F330" i="21" s="1"/>
  <c r="CB415" i="20"/>
  <c r="F343" i="21" s="1"/>
  <c r="BY407" i="20"/>
  <c r="C335" i="21" s="1"/>
  <c r="CH407" i="20"/>
  <c r="L335" i="21" s="1"/>
  <c r="CB398" i="20"/>
  <c r="F326" i="21" s="1"/>
  <c r="CB406" i="20"/>
  <c r="F334" i="21" s="1"/>
  <c r="CB400" i="20"/>
  <c r="F328" i="21" s="1"/>
  <c r="CA407" i="20"/>
  <c r="E335" i="21" s="1"/>
  <c r="CB399" i="20"/>
  <c r="F327" i="21" s="1"/>
  <c r="BZ407" i="20"/>
  <c r="D335" i="21" s="1"/>
  <c r="CB404" i="20"/>
  <c r="F332" i="21" s="1"/>
  <c r="CB401" i="20"/>
  <c r="F329" i="21" s="1"/>
  <c r="CB403" i="20"/>
  <c r="F331" i="21" s="1"/>
  <c r="CB397" i="20"/>
  <c r="F325" i="21" s="1"/>
  <c r="CH466" i="20"/>
  <c r="L394" i="21" s="1"/>
  <c r="CH155" i="20"/>
  <c r="L155" i="21" s="1"/>
  <c r="C145" i="20"/>
  <c r="B333" i="20" l="1"/>
  <c r="B260" i="21"/>
  <c r="B207" i="20"/>
  <c r="B206" i="21"/>
  <c r="G220" i="21"/>
  <c r="D227" i="21"/>
  <c r="G226" i="21"/>
  <c r="F219" i="21"/>
  <c r="B459" i="20"/>
  <c r="B387" i="21" s="1"/>
  <c r="E227" i="21"/>
  <c r="B220" i="21"/>
  <c r="G224" i="21"/>
  <c r="G225" i="21"/>
  <c r="G221" i="21"/>
  <c r="G223" i="21"/>
  <c r="G222" i="21"/>
  <c r="C227" i="21"/>
  <c r="F217" i="21"/>
  <c r="F218" i="21"/>
  <c r="CC422" i="20"/>
  <c r="G350" i="21" s="1"/>
  <c r="CC399" i="20"/>
  <c r="G327" i="21" s="1"/>
  <c r="B148" i="20"/>
  <c r="B148" i="21" s="1"/>
  <c r="CC424" i="20"/>
  <c r="G352" i="21" s="1"/>
  <c r="CC402" i="20"/>
  <c r="G330" i="21" s="1"/>
  <c r="CC420" i="20"/>
  <c r="G348" i="21" s="1"/>
  <c r="CC400" i="20"/>
  <c r="G328" i="21" s="1"/>
  <c r="CC405" i="20"/>
  <c r="G333" i="21" s="1"/>
  <c r="CC418" i="20"/>
  <c r="G346" i="21" s="1"/>
  <c r="CC423" i="20"/>
  <c r="G351" i="21" s="1"/>
  <c r="CC404" i="20"/>
  <c r="G332" i="21" s="1"/>
  <c r="CC406" i="20"/>
  <c r="G334" i="21" s="1"/>
  <c r="CC421" i="20"/>
  <c r="G349" i="21" s="1"/>
  <c r="CC416" i="20"/>
  <c r="G344" i="21" s="1"/>
  <c r="CC403" i="20"/>
  <c r="G331" i="21" s="1"/>
  <c r="CC398" i="20"/>
  <c r="G326" i="21" s="1"/>
  <c r="CC419" i="20"/>
  <c r="G347" i="21" s="1"/>
  <c r="B418" i="20"/>
  <c r="B346" i="21" s="1"/>
  <c r="CC401" i="20"/>
  <c r="G329" i="21" s="1"/>
  <c r="CC417" i="20"/>
  <c r="G345" i="21" s="1"/>
  <c r="B400" i="20"/>
  <c r="B328" i="21" s="1"/>
  <c r="CB425" i="20"/>
  <c r="F353" i="21" s="1"/>
  <c r="CC415" i="20"/>
  <c r="G343" i="21" s="1"/>
  <c r="CB407" i="20"/>
  <c r="F335" i="21" s="1"/>
  <c r="CC397" i="20"/>
  <c r="G325" i="21" s="1"/>
  <c r="B208" i="20" l="1"/>
  <c r="B208" i="21" s="1"/>
  <c r="B207" i="21"/>
  <c r="B334" i="20"/>
  <c r="B262" i="21" s="1"/>
  <c r="B261" i="21"/>
  <c r="B460" i="20"/>
  <c r="B388" i="21" s="1"/>
  <c r="G219" i="21"/>
  <c r="G218" i="21"/>
  <c r="B221" i="21"/>
  <c r="G217" i="21"/>
  <c r="F227" i="21"/>
  <c r="CC407" i="20"/>
  <c r="G335" i="21" s="1"/>
  <c r="B149" i="20"/>
  <c r="B149" i="21" s="1"/>
  <c r="B419" i="20"/>
  <c r="B347" i="21" s="1"/>
  <c r="B401" i="20"/>
  <c r="B329" i="21" s="1"/>
  <c r="CC425" i="20"/>
  <c r="G353" i="21" s="1"/>
  <c r="B461" i="20" l="1"/>
  <c r="B389" i="21" s="1"/>
  <c r="B222" i="21"/>
  <c r="G227" i="21"/>
  <c r="B420" i="20"/>
  <c r="B348" i="21" s="1"/>
  <c r="B150" i="20"/>
  <c r="B150" i="21" s="1"/>
  <c r="B402" i="20"/>
  <c r="B330" i="21" s="1"/>
  <c r="B462" i="20" l="1"/>
  <c r="B390" i="21" s="1"/>
  <c r="B223" i="21"/>
  <c r="B403" i="20"/>
  <c r="B331" i="21" s="1"/>
  <c r="B151" i="20"/>
  <c r="B151" i="21" s="1"/>
  <c r="B421" i="20"/>
  <c r="B349" i="21" s="1"/>
  <c r="B463" i="20" l="1"/>
  <c r="B391" i="21" s="1"/>
  <c r="B224" i="21"/>
  <c r="B422" i="20"/>
  <c r="B350" i="21" s="1"/>
  <c r="B152" i="20"/>
  <c r="B152" i="21" s="1"/>
  <c r="B404" i="20"/>
  <c r="B332" i="21" s="1"/>
  <c r="B464" i="20" l="1"/>
  <c r="B392" i="21" s="1"/>
  <c r="B225" i="21"/>
  <c r="B153" i="20"/>
  <c r="B153" i="21" s="1"/>
  <c r="B423" i="20"/>
  <c r="B351" i="21" s="1"/>
  <c r="B405" i="20"/>
  <c r="B333" i="21" s="1"/>
  <c r="B465" i="20" l="1"/>
  <c r="B393" i="21" s="1"/>
  <c r="B226" i="21"/>
  <c r="B406" i="20"/>
  <c r="B334" i="21" s="1"/>
  <c r="B424" i="20"/>
  <c r="B352" i="21" s="1"/>
  <c r="B154" i="20"/>
  <c r="B154" i="21" s="1"/>
  <c r="B4" i="7" l="1"/>
  <c r="U100" i="20"/>
  <c r="M100" i="20" s="1"/>
  <c r="U102" i="20"/>
  <c r="M102" i="20" s="1"/>
  <c r="U103" i="20"/>
  <c r="V103" i="20" s="1"/>
  <c r="U104" i="20"/>
  <c r="Z104" i="20" s="1"/>
  <c r="U105" i="20"/>
  <c r="M105" i="20" s="1"/>
  <c r="U106" i="20"/>
  <c r="M106" i="20" s="1"/>
  <c r="U107" i="20"/>
  <c r="M107" i="20" s="1"/>
  <c r="U108" i="20"/>
  <c r="M108" i="20" s="1"/>
  <c r="U109" i="20"/>
  <c r="M109" i="20" s="1"/>
  <c r="U101" i="20"/>
  <c r="Z101" i="20" s="1"/>
  <c r="CH50" i="20"/>
  <c r="L50" i="21" s="1"/>
  <c r="CA50" i="20"/>
  <c r="E50" i="21" s="1"/>
  <c r="BZ50" i="20"/>
  <c r="D50" i="21" s="1"/>
  <c r="BY50" i="20"/>
  <c r="C50" i="21" s="1"/>
  <c r="F50" i="20"/>
  <c r="CH49" i="20"/>
  <c r="L49" i="21" s="1"/>
  <c r="CA49" i="20"/>
  <c r="E49" i="21" s="1"/>
  <c r="BZ49" i="20"/>
  <c r="D49" i="21" s="1"/>
  <c r="BY49" i="20"/>
  <c r="C49" i="21" s="1"/>
  <c r="F49" i="20"/>
  <c r="CH48" i="20"/>
  <c r="L48" i="21" s="1"/>
  <c r="CA48" i="20"/>
  <c r="E48" i="21" s="1"/>
  <c r="BZ48" i="20"/>
  <c r="D48" i="21" s="1"/>
  <c r="BY48" i="20"/>
  <c r="C48" i="21" s="1"/>
  <c r="F48" i="20"/>
  <c r="CH47" i="20"/>
  <c r="L47" i="21" s="1"/>
  <c r="CA47" i="20"/>
  <c r="E47" i="21" s="1"/>
  <c r="BZ47" i="20"/>
  <c r="D47" i="21" s="1"/>
  <c r="BY47" i="20"/>
  <c r="C47" i="21" s="1"/>
  <c r="F47" i="20"/>
  <c r="CH46" i="20"/>
  <c r="L46" i="21" s="1"/>
  <c r="CA46" i="20"/>
  <c r="E46" i="21" s="1"/>
  <c r="BZ46" i="20"/>
  <c r="D46" i="21" s="1"/>
  <c r="BY46" i="20"/>
  <c r="C46" i="21" s="1"/>
  <c r="F46" i="20"/>
  <c r="CH45" i="20"/>
  <c r="L45" i="21" s="1"/>
  <c r="CA45" i="20"/>
  <c r="E45" i="21" s="1"/>
  <c r="BZ45" i="20"/>
  <c r="D45" i="21" s="1"/>
  <c r="BY45" i="20"/>
  <c r="C45" i="21" s="1"/>
  <c r="F45" i="20"/>
  <c r="CH44" i="20"/>
  <c r="L44" i="21" s="1"/>
  <c r="CA44" i="20"/>
  <c r="E44" i="21" s="1"/>
  <c r="BZ44" i="20"/>
  <c r="D44" i="21" s="1"/>
  <c r="BY44" i="20"/>
  <c r="C44" i="21" s="1"/>
  <c r="F44" i="20"/>
  <c r="T21" i="10"/>
  <c r="BY184" i="20"/>
  <c r="C184" i="21" s="1"/>
  <c r="BY185" i="20"/>
  <c r="C185" i="21" s="1"/>
  <c r="BY186" i="20"/>
  <c r="C186" i="21" s="1"/>
  <c r="BY187" i="20"/>
  <c r="C187" i="21" s="1"/>
  <c r="BY188" i="20"/>
  <c r="C188" i="21" s="1"/>
  <c r="BY189" i="20"/>
  <c r="C189" i="21" s="1"/>
  <c r="BY190" i="20"/>
  <c r="C190" i="21" s="1"/>
  <c r="BY181" i="20"/>
  <c r="C181" i="21" s="1"/>
  <c r="BY182" i="20"/>
  <c r="C182" i="21" s="1"/>
  <c r="BY183" i="20"/>
  <c r="C183" i="21" s="1"/>
  <c r="CF191" i="20"/>
  <c r="J191" i="21" s="1"/>
  <c r="CE191" i="20"/>
  <c r="I191" i="21" s="1"/>
  <c r="H191" i="20"/>
  <c r="G191" i="20"/>
  <c r="F191" i="20"/>
  <c r="CH190" i="20"/>
  <c r="L190" i="21" s="1"/>
  <c r="F190" i="20"/>
  <c r="CH189" i="20"/>
  <c r="L189" i="21" s="1"/>
  <c r="F189" i="20"/>
  <c r="CH188" i="20"/>
  <c r="L188" i="21" s="1"/>
  <c r="CB188" i="20"/>
  <c r="F188" i="21" s="1"/>
  <c r="F188" i="20"/>
  <c r="CH187" i="20"/>
  <c r="L187" i="21" s="1"/>
  <c r="F187" i="20"/>
  <c r="CH186" i="20"/>
  <c r="L186" i="21" s="1"/>
  <c r="F186" i="20"/>
  <c r="CH185" i="20"/>
  <c r="L185" i="21" s="1"/>
  <c r="F185" i="20"/>
  <c r="CH184" i="20"/>
  <c r="L184" i="21" s="1"/>
  <c r="F184" i="20"/>
  <c r="CH183" i="20"/>
  <c r="L183" i="21" s="1"/>
  <c r="F183" i="20"/>
  <c r="CH182" i="20"/>
  <c r="L182" i="21" s="1"/>
  <c r="F182" i="20"/>
  <c r="B182" i="20"/>
  <c r="B182" i="21" s="1"/>
  <c r="CH181" i="20"/>
  <c r="L181" i="21" s="1"/>
  <c r="CA191" i="20"/>
  <c r="E191" i="21" s="1"/>
  <c r="BZ191" i="20"/>
  <c r="D191" i="21" s="1"/>
  <c r="F181" i="20"/>
  <c r="F25" i="20"/>
  <c r="F24" i="20"/>
  <c r="F23" i="20"/>
  <c r="F22" i="20"/>
  <c r="F21" i="20"/>
  <c r="F20" i="20"/>
  <c r="F19" i="20"/>
  <c r="F18" i="20"/>
  <c r="F17" i="20"/>
  <c r="F16" i="20"/>
  <c r="CH165" i="20"/>
  <c r="L165" i="21" s="1"/>
  <c r="CH166" i="20"/>
  <c r="L166" i="21" s="1"/>
  <c r="CH167" i="20"/>
  <c r="L167" i="21" s="1"/>
  <c r="CH168" i="20"/>
  <c r="L168" i="21" s="1"/>
  <c r="CH169" i="20"/>
  <c r="L169" i="21" s="1"/>
  <c r="CH170" i="20"/>
  <c r="L170" i="21" s="1"/>
  <c r="CH171" i="20"/>
  <c r="L171" i="21" s="1"/>
  <c r="CH172" i="20"/>
  <c r="L172" i="21" s="1"/>
  <c r="CH163" i="20"/>
  <c r="L163" i="21" s="1"/>
  <c r="CH164" i="20"/>
  <c r="L164" i="21" s="1"/>
  <c r="BY166" i="20"/>
  <c r="C166" i="21" s="1"/>
  <c r="BZ166" i="20"/>
  <c r="D166" i="21" s="1"/>
  <c r="CA166" i="20"/>
  <c r="E166" i="21" s="1"/>
  <c r="BY167" i="20"/>
  <c r="C167" i="21" s="1"/>
  <c r="BZ167" i="20"/>
  <c r="D167" i="21" s="1"/>
  <c r="CA167" i="20"/>
  <c r="E167" i="21" s="1"/>
  <c r="BY168" i="20"/>
  <c r="C168" i="21" s="1"/>
  <c r="BZ168" i="20"/>
  <c r="D168" i="21" s="1"/>
  <c r="CA168" i="20"/>
  <c r="E168" i="21" s="1"/>
  <c r="BY169" i="20"/>
  <c r="C169" i="21" s="1"/>
  <c r="BZ169" i="20"/>
  <c r="D169" i="21" s="1"/>
  <c r="CA169" i="20"/>
  <c r="E169" i="21" s="1"/>
  <c r="BY170" i="20"/>
  <c r="C170" i="21" s="1"/>
  <c r="BZ170" i="20"/>
  <c r="D170" i="21" s="1"/>
  <c r="CA170" i="20"/>
  <c r="E170" i="21" s="1"/>
  <c r="BY171" i="20"/>
  <c r="C171" i="21" s="1"/>
  <c r="BZ171" i="20"/>
  <c r="D171" i="21" s="1"/>
  <c r="CA171" i="20"/>
  <c r="E171" i="21" s="1"/>
  <c r="BY172" i="20"/>
  <c r="C172" i="21" s="1"/>
  <c r="BZ172" i="20"/>
  <c r="D172" i="21" s="1"/>
  <c r="CA172" i="20"/>
  <c r="E172" i="21" s="1"/>
  <c r="BY163" i="20"/>
  <c r="C163" i="21" s="1"/>
  <c r="BZ163" i="20"/>
  <c r="D163" i="21" s="1"/>
  <c r="CA163" i="20"/>
  <c r="E163" i="21" s="1"/>
  <c r="BY164" i="20"/>
  <c r="C164" i="21" s="1"/>
  <c r="BZ164" i="20"/>
  <c r="D164" i="21" s="1"/>
  <c r="CA164" i="20"/>
  <c r="E164" i="21" s="1"/>
  <c r="CA165" i="20"/>
  <c r="E165" i="21" s="1"/>
  <c r="BZ165" i="20"/>
  <c r="D165" i="21" s="1"/>
  <c r="K6" i="16" a="1"/>
  <c r="K6" i="16" s="1"/>
  <c r="H173" i="20"/>
  <c r="G173" i="20"/>
  <c r="F173" i="20"/>
  <c r="H137" i="20"/>
  <c r="G137" i="20"/>
  <c r="F137" i="20"/>
  <c r="H128" i="20"/>
  <c r="G128" i="20"/>
  <c r="F128" i="20"/>
  <c r="H110" i="20"/>
  <c r="G110" i="20"/>
  <c r="F110" i="20"/>
  <c r="H92" i="20"/>
  <c r="G92" i="20"/>
  <c r="F92" i="20"/>
  <c r="H74" i="20"/>
  <c r="G74" i="20"/>
  <c r="F74" i="20"/>
  <c r="H56" i="20"/>
  <c r="G56" i="20"/>
  <c r="F56" i="20"/>
  <c r="G31" i="20"/>
  <c r="H31" i="20"/>
  <c r="F31" i="20"/>
  <c r="O18" i="2"/>
  <c r="O16" i="2"/>
  <c r="N16" i="2"/>
  <c r="O10" i="2"/>
  <c r="N10" i="2"/>
  <c r="O9" i="2"/>
  <c r="N9" i="2"/>
  <c r="O8" i="2"/>
  <c r="N8" i="2"/>
  <c r="N7" i="2"/>
  <c r="O7" i="2"/>
  <c r="O5" i="2"/>
  <c r="CB181" i="20" l="1"/>
  <c r="F181" i="21" s="1"/>
  <c r="CB187" i="20"/>
  <c r="F187" i="21" s="1"/>
  <c r="CB185" i="20"/>
  <c r="F185" i="21" s="1"/>
  <c r="CB189" i="20"/>
  <c r="F189" i="21" s="1"/>
  <c r="CC188" i="20"/>
  <c r="G188" i="21" s="1"/>
  <c r="B183" i="20"/>
  <c r="B183" i="21" s="1"/>
  <c r="CB50" i="20"/>
  <c r="F50" i="21" s="1"/>
  <c r="V100" i="20"/>
  <c r="V102" i="20"/>
  <c r="Z103" i="20"/>
  <c r="M104" i="20"/>
  <c r="V109" i="20"/>
  <c r="Z100" i="20"/>
  <c r="Z102" i="20"/>
  <c r="M103" i="20"/>
  <c r="V108" i="20"/>
  <c r="Z109" i="20"/>
  <c r="M101" i="20"/>
  <c r="CB190" i="20"/>
  <c r="F190" i="21" s="1"/>
  <c r="V107" i="20"/>
  <c r="Z108" i="20"/>
  <c r="V106" i="20"/>
  <c r="Z107" i="20"/>
  <c r="V105" i="20"/>
  <c r="Z106" i="20"/>
  <c r="V101" i="20"/>
  <c r="V104" i="20"/>
  <c r="Z105" i="20"/>
  <c r="CB186" i="20"/>
  <c r="F186" i="21" s="1"/>
  <c r="CB47" i="20"/>
  <c r="F47" i="21" s="1"/>
  <c r="CB45" i="20"/>
  <c r="F45" i="21" s="1"/>
  <c r="CB48" i="20"/>
  <c r="F48" i="21" s="1"/>
  <c r="CB46" i="20"/>
  <c r="F46" i="21" s="1"/>
  <c r="CB49" i="20"/>
  <c r="F49" i="21" s="1"/>
  <c r="CB44" i="20"/>
  <c r="F44" i="21" s="1"/>
  <c r="CB182" i="20"/>
  <c r="F182" i="21" s="1"/>
  <c r="CB184" i="20"/>
  <c r="F184" i="21" s="1"/>
  <c r="CH191" i="20"/>
  <c r="L191" i="21" s="1"/>
  <c r="BY191" i="20"/>
  <c r="C191" i="21" s="1"/>
  <c r="CB183" i="20"/>
  <c r="F183" i="21" s="1"/>
  <c r="CB164" i="20"/>
  <c r="F164" i="21" s="1"/>
  <c r="CB168" i="20"/>
  <c r="F168" i="21" s="1"/>
  <c r="CB166" i="20"/>
  <c r="F166" i="21" s="1"/>
  <c r="CB172" i="20"/>
  <c r="F172" i="21" s="1"/>
  <c r="CB169" i="20"/>
  <c r="F169" i="21" s="1"/>
  <c r="CB171" i="20"/>
  <c r="F171" i="21" s="1"/>
  <c r="CB163" i="20"/>
  <c r="F163" i="21" s="1"/>
  <c r="CB170" i="20"/>
  <c r="F170" i="21" s="1"/>
  <c r="CB167" i="20"/>
  <c r="F167" i="21" s="1"/>
  <c r="L4" i="21"/>
  <c r="J4" i="21"/>
  <c r="I4" i="21"/>
  <c r="G4" i="21"/>
  <c r="F4" i="21"/>
  <c r="E4" i="21"/>
  <c r="D4" i="21"/>
  <c r="C4" i="21"/>
  <c r="L3" i="21"/>
  <c r="I3" i="21"/>
  <c r="F3" i="21"/>
  <c r="E3" i="21"/>
  <c r="D3" i="21"/>
  <c r="C3" i="21"/>
  <c r="B3" i="21"/>
  <c r="CC187" i="20" l="1"/>
  <c r="G187" i="21" s="1"/>
  <c r="CC185" i="20"/>
  <c r="G185" i="21" s="1"/>
  <c r="CC181" i="20"/>
  <c r="G181" i="21" s="1"/>
  <c r="CC47" i="20"/>
  <c r="G47" i="21" s="1"/>
  <c r="CC45" i="20"/>
  <c r="G45" i="21" s="1"/>
  <c r="CC50" i="20"/>
  <c r="G50" i="21" s="1"/>
  <c r="CC44" i="20"/>
  <c r="G44" i="21" s="1"/>
  <c r="B184" i="20"/>
  <c r="B184" i="21" s="1"/>
  <c r="CC48" i="20"/>
  <c r="G48" i="21" s="1"/>
  <c r="CC189" i="20"/>
  <c r="G189" i="21" s="1"/>
  <c r="CC49" i="20"/>
  <c r="G49" i="21" s="1"/>
  <c r="CC46" i="20"/>
  <c r="G46" i="21" s="1"/>
  <c r="CC186" i="20"/>
  <c r="G186" i="21" s="1"/>
  <c r="CC190" i="20"/>
  <c r="G190" i="21" s="1"/>
  <c r="CC183" i="20"/>
  <c r="G183" i="21" s="1"/>
  <c r="CC184" i="20"/>
  <c r="G184" i="21" s="1"/>
  <c r="CC182" i="20"/>
  <c r="G182" i="21" s="1"/>
  <c r="CB191" i="20"/>
  <c r="F191" i="21" s="1"/>
  <c r="CF173" i="20"/>
  <c r="J173" i="21" s="1"/>
  <c r="CE173" i="20"/>
  <c r="I173" i="21" s="1"/>
  <c r="CA173" i="20"/>
  <c r="E173" i="21" s="1"/>
  <c r="BZ173" i="20"/>
  <c r="D173" i="21" s="1"/>
  <c r="CC172" i="20"/>
  <c r="G172" i="21" s="1"/>
  <c r="F172" i="20"/>
  <c r="CC171" i="20"/>
  <c r="G171" i="21" s="1"/>
  <c r="F171" i="20"/>
  <c r="CC170" i="20"/>
  <c r="G170" i="21" s="1"/>
  <c r="F170" i="20"/>
  <c r="F169" i="20"/>
  <c r="CC168" i="20"/>
  <c r="G168" i="21" s="1"/>
  <c r="F168" i="20"/>
  <c r="F167" i="20"/>
  <c r="CC166" i="20"/>
  <c r="G166" i="21" s="1"/>
  <c r="F166" i="20"/>
  <c r="F165" i="20"/>
  <c r="CC164" i="20"/>
  <c r="G164" i="21" s="1"/>
  <c r="F164" i="20"/>
  <c r="F163" i="20"/>
  <c r="B164" i="20"/>
  <c r="B164" i="21" s="1"/>
  <c r="CF137" i="20"/>
  <c r="J137" i="21" s="1"/>
  <c r="CE137" i="20"/>
  <c r="I137" i="21" s="1"/>
  <c r="CA137" i="20"/>
  <c r="E137" i="21" s="1"/>
  <c r="BZ137" i="20"/>
  <c r="D137" i="21" s="1"/>
  <c r="BY137" i="20"/>
  <c r="C137" i="21" s="1"/>
  <c r="CH136" i="20"/>
  <c r="L136" i="21" s="1"/>
  <c r="BT136" i="20"/>
  <c r="BQ118" i="20"/>
  <c r="BR118" i="20" s="1"/>
  <c r="BS118" i="20" s="1"/>
  <c r="BT118" i="20"/>
  <c r="BT120" i="20"/>
  <c r="BQ121" i="20"/>
  <c r="BR121" i="20" s="1"/>
  <c r="BS121" i="20" s="1"/>
  <c r="BT121" i="20"/>
  <c r="BQ122" i="20"/>
  <c r="BR122" i="20" s="1"/>
  <c r="BS122" i="20" s="1"/>
  <c r="BT122" i="20"/>
  <c r="BQ123" i="20"/>
  <c r="BR123" i="20" s="1"/>
  <c r="BS123" i="20" s="1"/>
  <c r="BT123" i="20"/>
  <c r="BQ124" i="20"/>
  <c r="BR124" i="20" s="1"/>
  <c r="BS124" i="20" s="1"/>
  <c r="BT124" i="20"/>
  <c r="BQ125" i="20"/>
  <c r="BR125" i="20" s="1"/>
  <c r="BS125" i="20" s="1"/>
  <c r="BT125" i="20"/>
  <c r="BQ126" i="20"/>
  <c r="BR126" i="20" s="1"/>
  <c r="BS126" i="20" s="1"/>
  <c r="BT126" i="20"/>
  <c r="BQ127" i="20"/>
  <c r="BR127" i="20" s="1"/>
  <c r="BS127" i="20" s="1"/>
  <c r="BT127" i="20"/>
  <c r="BT119" i="20"/>
  <c r="BQ119" i="20"/>
  <c r="BR119" i="20" s="1"/>
  <c r="BS119" i="20" s="1"/>
  <c r="B185" i="20" l="1"/>
  <c r="B185" i="21" s="1"/>
  <c r="CC191" i="20"/>
  <c r="G191" i="21" s="1"/>
  <c r="CB125" i="20"/>
  <c r="F125" i="21" s="1"/>
  <c r="CB121" i="20"/>
  <c r="F121" i="21" s="1"/>
  <c r="B165" i="20"/>
  <c r="B165" i="21" s="1"/>
  <c r="CB122" i="20"/>
  <c r="F122" i="21" s="1"/>
  <c r="CB126" i="20"/>
  <c r="F126" i="21" s="1"/>
  <c r="CB124" i="20"/>
  <c r="F124" i="21" s="1"/>
  <c r="CH173" i="20"/>
  <c r="L173" i="21" s="1"/>
  <c r="CC167" i="20"/>
  <c r="G167" i="21" s="1"/>
  <c r="CC169" i="20"/>
  <c r="G169" i="21" s="1"/>
  <c r="CC163" i="20"/>
  <c r="G163" i="21" s="1"/>
  <c r="CH137" i="20"/>
  <c r="L137" i="21" s="1"/>
  <c r="CB127" i="20"/>
  <c r="F127" i="21" s="1"/>
  <c r="CB123" i="20"/>
  <c r="F123" i="21" s="1"/>
  <c r="CB118" i="20"/>
  <c r="F118" i="21" s="1"/>
  <c r="CB119" i="20"/>
  <c r="F119" i="21" s="1"/>
  <c r="B186" i="20" l="1"/>
  <c r="B186" i="21" s="1"/>
  <c r="B166" i="20"/>
  <c r="B166" i="21" s="1"/>
  <c r="B187" i="20" l="1"/>
  <c r="B187" i="21" s="1"/>
  <c r="B167" i="20"/>
  <c r="B167" i="21" s="1"/>
  <c r="B188" i="20" l="1"/>
  <c r="B188" i="21" s="1"/>
  <c r="B168" i="20"/>
  <c r="B168" i="21" s="1"/>
  <c r="CF128" i="20"/>
  <c r="J128" i="21" s="1"/>
  <c r="CE128" i="20"/>
  <c r="I128" i="21" s="1"/>
  <c r="F127" i="20"/>
  <c r="F126" i="20"/>
  <c r="F125" i="20"/>
  <c r="F124" i="20"/>
  <c r="F123" i="20"/>
  <c r="F122" i="20"/>
  <c r="F121" i="20"/>
  <c r="F120" i="20"/>
  <c r="F119" i="20"/>
  <c r="F118" i="20"/>
  <c r="B119" i="20"/>
  <c r="B119" i="21" s="1"/>
  <c r="I21" i="7"/>
  <c r="B198" i="3"/>
  <c r="M198" i="3" s="1"/>
  <c r="B197" i="3"/>
  <c r="M197" i="3" s="1"/>
  <c r="B196" i="3"/>
  <c r="B195" i="3"/>
  <c r="M195" i="3" s="1"/>
  <c r="B194" i="3"/>
  <c r="B193" i="3"/>
  <c r="M193" i="3" s="1"/>
  <c r="B192" i="3"/>
  <c r="B191" i="3"/>
  <c r="B190" i="3"/>
  <c r="B189" i="3"/>
  <c r="Q199" i="3"/>
  <c r="B189" i="20" l="1"/>
  <c r="B189" i="21" s="1"/>
  <c r="B169" i="20"/>
  <c r="B169" i="21" s="1"/>
  <c r="B120" i="20"/>
  <c r="B120" i="21" s="1"/>
  <c r="J191" i="3"/>
  <c r="M191" i="3"/>
  <c r="J192" i="3"/>
  <c r="M192" i="3"/>
  <c r="J194" i="3"/>
  <c r="M194" i="3"/>
  <c r="K196" i="3"/>
  <c r="M196" i="3"/>
  <c r="CH125" i="20"/>
  <c r="L125" i="21" s="1"/>
  <c r="L192" i="3"/>
  <c r="J193" i="3"/>
  <c r="K194" i="3"/>
  <c r="L194" i="3"/>
  <c r="J195" i="3"/>
  <c r="K192" i="3"/>
  <c r="L196" i="3"/>
  <c r="J197" i="3"/>
  <c r="L198" i="3"/>
  <c r="K191" i="3"/>
  <c r="K193" i="3"/>
  <c r="K195" i="3"/>
  <c r="K197" i="3"/>
  <c r="L191" i="3"/>
  <c r="L193" i="3"/>
  <c r="L195" i="3"/>
  <c r="L197" i="3"/>
  <c r="J196" i="3"/>
  <c r="J198" i="3"/>
  <c r="K198" i="3"/>
  <c r="B190" i="20" l="1"/>
  <c r="B190" i="21" s="1"/>
  <c r="B121" i="20"/>
  <c r="B121" i="21" s="1"/>
  <c r="B170" i="20"/>
  <c r="B170" i="21" s="1"/>
  <c r="CH119" i="20"/>
  <c r="L119" i="21" s="1"/>
  <c r="CH121" i="20"/>
  <c r="L121" i="21" s="1"/>
  <c r="CH122" i="20"/>
  <c r="L122" i="21" s="1"/>
  <c r="CH123" i="20"/>
  <c r="L123" i="21" s="1"/>
  <c r="CH124" i="20"/>
  <c r="L124" i="21" s="1"/>
  <c r="CH127" i="20"/>
  <c r="L127" i="21" s="1"/>
  <c r="CH126" i="20"/>
  <c r="L126" i="21" s="1"/>
  <c r="CH120" i="20"/>
  <c r="L120" i="21" s="1"/>
  <c r="CH118" i="20"/>
  <c r="L118" i="21" s="1"/>
  <c r="B122" i="20" l="1"/>
  <c r="B122" i="21" s="1"/>
  <c r="B171" i="20"/>
  <c r="B171" i="21" s="1"/>
  <c r="CC125" i="20"/>
  <c r="G125" i="21" s="1"/>
  <c r="CH128" i="20"/>
  <c r="L128" i="21" s="1"/>
  <c r="CC127" i="20"/>
  <c r="G127" i="21" s="1"/>
  <c r="CC126" i="20"/>
  <c r="G126" i="21" s="1"/>
  <c r="CC124" i="20"/>
  <c r="G124" i="21" s="1"/>
  <c r="BY128" i="20"/>
  <c r="C128" i="21" s="1"/>
  <c r="CC119" i="20"/>
  <c r="G119" i="21" s="1"/>
  <c r="BZ128" i="20"/>
  <c r="D128" i="21" s="1"/>
  <c r="CC123" i="20"/>
  <c r="G123" i="21" s="1"/>
  <c r="CC122" i="20"/>
  <c r="G122" i="21" s="1"/>
  <c r="CA128" i="20"/>
  <c r="E128" i="21" s="1"/>
  <c r="CC121" i="20"/>
  <c r="G121" i="21" s="1"/>
  <c r="B101" i="20"/>
  <c r="B101" i="21" s="1"/>
  <c r="B83" i="20"/>
  <c r="B83" i="21" s="1"/>
  <c r="B40" i="20"/>
  <c r="B40" i="21" s="1"/>
  <c r="J11" i="10"/>
  <c r="J12" i="10"/>
  <c r="J13" i="10"/>
  <c r="J14" i="10"/>
  <c r="J15" i="10"/>
  <c r="J16" i="10"/>
  <c r="J17" i="10"/>
  <c r="J18" i="10"/>
  <c r="J19" i="10"/>
  <c r="K21" i="10"/>
  <c r="H20" i="10"/>
  <c r="B20" i="10"/>
  <c r="N92" i="20"/>
  <c r="T74" i="20"/>
  <c r="CF110" i="20"/>
  <c r="J110" i="21" s="1"/>
  <c r="CE110" i="20"/>
  <c r="I110" i="21" s="1"/>
  <c r="T110" i="20"/>
  <c r="AA109" i="20"/>
  <c r="F109" i="20"/>
  <c r="AA108" i="20"/>
  <c r="F108" i="20"/>
  <c r="AA107" i="20"/>
  <c r="F107" i="20"/>
  <c r="AA106" i="20"/>
  <c r="F106" i="20"/>
  <c r="AA105" i="20"/>
  <c r="F105" i="20"/>
  <c r="W104" i="20"/>
  <c r="F104" i="20"/>
  <c r="W103" i="20"/>
  <c r="F103" i="20"/>
  <c r="F102" i="20"/>
  <c r="F101" i="20"/>
  <c r="F100" i="20"/>
  <c r="CF92" i="20"/>
  <c r="J92" i="21" s="1"/>
  <c r="CE92" i="20"/>
  <c r="I92" i="21" s="1"/>
  <c r="CA91" i="20"/>
  <c r="E91" i="21" s="1"/>
  <c r="BZ91" i="20"/>
  <c r="D91" i="21" s="1"/>
  <c r="BY91" i="20"/>
  <c r="C91" i="21" s="1"/>
  <c r="W91" i="20"/>
  <c r="CH91" i="20" s="1"/>
  <c r="L91" i="21" s="1"/>
  <c r="F91" i="20"/>
  <c r="CA90" i="20"/>
  <c r="E90" i="21" s="1"/>
  <c r="BZ90" i="20"/>
  <c r="D90" i="21" s="1"/>
  <c r="BY90" i="20"/>
  <c r="C90" i="21" s="1"/>
  <c r="W90" i="20"/>
  <c r="CH90" i="20" s="1"/>
  <c r="L90" i="21" s="1"/>
  <c r="F90" i="20"/>
  <c r="CA89" i="20"/>
  <c r="E89" i="21" s="1"/>
  <c r="BZ89" i="20"/>
  <c r="D89" i="21" s="1"/>
  <c r="BY89" i="20"/>
  <c r="C89" i="21" s="1"/>
  <c r="W89" i="20"/>
  <c r="CH89" i="20" s="1"/>
  <c r="L89" i="21" s="1"/>
  <c r="F89" i="20"/>
  <c r="CA88" i="20"/>
  <c r="E88" i="21" s="1"/>
  <c r="BZ88" i="20"/>
  <c r="D88" i="21" s="1"/>
  <c r="BY88" i="20"/>
  <c r="C88" i="21" s="1"/>
  <c r="W88" i="20"/>
  <c r="CH88" i="20" s="1"/>
  <c r="L88" i="21" s="1"/>
  <c r="F88" i="20"/>
  <c r="CA87" i="20"/>
  <c r="E87" i="21" s="1"/>
  <c r="BZ87" i="20"/>
  <c r="D87" i="21" s="1"/>
  <c r="BY87" i="20"/>
  <c r="C87" i="21" s="1"/>
  <c r="W87" i="20"/>
  <c r="CH87" i="20" s="1"/>
  <c r="L87" i="21" s="1"/>
  <c r="F87" i="20"/>
  <c r="CA86" i="20"/>
  <c r="E86" i="21" s="1"/>
  <c r="BZ86" i="20"/>
  <c r="D86" i="21" s="1"/>
  <c r="BY86" i="20"/>
  <c r="C86" i="21" s="1"/>
  <c r="W86" i="20"/>
  <c r="CH86" i="20" s="1"/>
  <c r="L86" i="21" s="1"/>
  <c r="F86" i="20"/>
  <c r="CA85" i="20"/>
  <c r="E85" i="21" s="1"/>
  <c r="BZ85" i="20"/>
  <c r="D85" i="21" s="1"/>
  <c r="BY85" i="20"/>
  <c r="C85" i="21" s="1"/>
  <c r="W85" i="20"/>
  <c r="CH85" i="20" s="1"/>
  <c r="L85" i="21" s="1"/>
  <c r="F85" i="20"/>
  <c r="W84" i="20"/>
  <c r="F84" i="20"/>
  <c r="W83" i="20"/>
  <c r="F83" i="20"/>
  <c r="CA82" i="20"/>
  <c r="E82" i="21" s="1"/>
  <c r="BZ82" i="20"/>
  <c r="D82" i="21" s="1"/>
  <c r="BY82" i="20"/>
  <c r="C82" i="21" s="1"/>
  <c r="W82" i="20"/>
  <c r="F82" i="20"/>
  <c r="B65" i="20"/>
  <c r="B65" i="21" s="1"/>
  <c r="CF74" i="20"/>
  <c r="J74" i="21" s="1"/>
  <c r="CE74" i="20"/>
  <c r="I74" i="21" s="1"/>
  <c r="CA73" i="20"/>
  <c r="E73" i="21" s="1"/>
  <c r="BZ73" i="20"/>
  <c r="D73" i="21" s="1"/>
  <c r="BY73" i="20"/>
  <c r="C73" i="21" s="1"/>
  <c r="W73" i="20"/>
  <c r="CH73" i="20" s="1"/>
  <c r="L73" i="21" s="1"/>
  <c r="F73" i="20"/>
  <c r="CA72" i="20"/>
  <c r="E72" i="21" s="1"/>
  <c r="BZ72" i="20"/>
  <c r="D72" i="21" s="1"/>
  <c r="BY72" i="20"/>
  <c r="C72" i="21" s="1"/>
  <c r="W72" i="20"/>
  <c r="CH72" i="20" s="1"/>
  <c r="L72" i="21" s="1"/>
  <c r="F72" i="20"/>
  <c r="CA71" i="20"/>
  <c r="E71" i="21" s="1"/>
  <c r="BZ71" i="20"/>
  <c r="D71" i="21" s="1"/>
  <c r="BY71" i="20"/>
  <c r="C71" i="21" s="1"/>
  <c r="W71" i="20"/>
  <c r="CH71" i="20" s="1"/>
  <c r="L71" i="21" s="1"/>
  <c r="F71" i="20"/>
  <c r="CA70" i="20"/>
  <c r="E70" i="21" s="1"/>
  <c r="BZ70" i="20"/>
  <c r="D70" i="21" s="1"/>
  <c r="BY70" i="20"/>
  <c r="C70" i="21" s="1"/>
  <c r="W70" i="20"/>
  <c r="CH70" i="20" s="1"/>
  <c r="L70" i="21" s="1"/>
  <c r="F70" i="20"/>
  <c r="CA69" i="20"/>
  <c r="E69" i="21" s="1"/>
  <c r="BZ69" i="20"/>
  <c r="D69" i="21" s="1"/>
  <c r="BY69" i="20"/>
  <c r="C69" i="21" s="1"/>
  <c r="W69" i="20"/>
  <c r="CH69" i="20" s="1"/>
  <c r="L69" i="21" s="1"/>
  <c r="F69" i="20"/>
  <c r="CA68" i="20"/>
  <c r="E68" i="21" s="1"/>
  <c r="BZ68" i="20"/>
  <c r="D68" i="21" s="1"/>
  <c r="BY68" i="20"/>
  <c r="C68" i="21" s="1"/>
  <c r="W68" i="20"/>
  <c r="CH68" i="20" s="1"/>
  <c r="L68" i="21" s="1"/>
  <c r="F68" i="20"/>
  <c r="CA67" i="20"/>
  <c r="E67" i="21" s="1"/>
  <c r="BZ67" i="20"/>
  <c r="D67" i="21" s="1"/>
  <c r="BY67" i="20"/>
  <c r="C67" i="21" s="1"/>
  <c r="W67" i="20"/>
  <c r="CH67" i="20" s="1"/>
  <c r="L67" i="21" s="1"/>
  <c r="F67" i="20"/>
  <c r="W66" i="20"/>
  <c r="F66" i="20"/>
  <c r="W65" i="20"/>
  <c r="F65" i="20"/>
  <c r="CA64" i="20"/>
  <c r="E64" i="21" s="1"/>
  <c r="BZ64" i="20"/>
  <c r="D64" i="21" s="1"/>
  <c r="BY64" i="20"/>
  <c r="C64" i="21" s="1"/>
  <c r="W64" i="20"/>
  <c r="F64" i="20"/>
  <c r="CF56" i="20"/>
  <c r="J56" i="21" s="1"/>
  <c r="CE56" i="20"/>
  <c r="I56" i="21" s="1"/>
  <c r="W56" i="20"/>
  <c r="CH55" i="20"/>
  <c r="L55" i="21" s="1"/>
  <c r="CA55" i="20"/>
  <c r="E55" i="21" s="1"/>
  <c r="BZ55" i="20"/>
  <c r="D55" i="21" s="1"/>
  <c r="BY55" i="20"/>
  <c r="C55" i="21" s="1"/>
  <c r="F55" i="20"/>
  <c r="CH54" i="20"/>
  <c r="L54" i="21" s="1"/>
  <c r="CA54" i="20"/>
  <c r="E54" i="21" s="1"/>
  <c r="BZ54" i="20"/>
  <c r="D54" i="21" s="1"/>
  <c r="BY54" i="20"/>
  <c r="C54" i="21" s="1"/>
  <c r="F54" i="20"/>
  <c r="CH53" i="20"/>
  <c r="L53" i="21" s="1"/>
  <c r="CA53" i="20"/>
  <c r="E53" i="21" s="1"/>
  <c r="BZ53" i="20"/>
  <c r="D53" i="21" s="1"/>
  <c r="BY53" i="20"/>
  <c r="C53" i="21" s="1"/>
  <c r="F53" i="20"/>
  <c r="CH52" i="20"/>
  <c r="L52" i="21" s="1"/>
  <c r="CA52" i="20"/>
  <c r="E52" i="21" s="1"/>
  <c r="BZ52" i="20"/>
  <c r="D52" i="21" s="1"/>
  <c r="BY52" i="20"/>
  <c r="C52" i="21" s="1"/>
  <c r="F52" i="20"/>
  <c r="CH51" i="20"/>
  <c r="L51" i="21" s="1"/>
  <c r="CA51" i="20"/>
  <c r="E51" i="21" s="1"/>
  <c r="BZ51" i="20"/>
  <c r="D51" i="21" s="1"/>
  <c r="BY51" i="20"/>
  <c r="C51" i="21" s="1"/>
  <c r="F51" i="20"/>
  <c r="CH43" i="20"/>
  <c r="L43" i="21" s="1"/>
  <c r="CA43" i="20"/>
  <c r="E43" i="21" s="1"/>
  <c r="BZ43" i="20"/>
  <c r="D43" i="21" s="1"/>
  <c r="BY43" i="20"/>
  <c r="C43" i="21" s="1"/>
  <c r="F43" i="20"/>
  <c r="CH42" i="20"/>
  <c r="L42" i="21" s="1"/>
  <c r="CA42" i="20"/>
  <c r="E42" i="21" s="1"/>
  <c r="BZ42" i="20"/>
  <c r="D42" i="21" s="1"/>
  <c r="BY42" i="20"/>
  <c r="C42" i="21" s="1"/>
  <c r="F42" i="20"/>
  <c r="F41" i="20"/>
  <c r="F40" i="20"/>
  <c r="CH39" i="20"/>
  <c r="L39" i="21" s="1"/>
  <c r="CA39" i="20"/>
  <c r="E39" i="21" s="1"/>
  <c r="BZ39" i="20"/>
  <c r="D39" i="21" s="1"/>
  <c r="BY39" i="20"/>
  <c r="C39" i="21" s="1"/>
  <c r="F39" i="20"/>
  <c r="K31" i="20"/>
  <c r="F30" i="20"/>
  <c r="F29" i="20"/>
  <c r="F28" i="20"/>
  <c r="F27" i="20"/>
  <c r="F26" i="20"/>
  <c r="F15" i="20"/>
  <c r="F14" i="20"/>
  <c r="F13" i="20"/>
  <c r="F12" i="20"/>
  <c r="F11" i="20"/>
  <c r="B180" i="3"/>
  <c r="B181" i="3"/>
  <c r="B182" i="3"/>
  <c r="B183" i="3"/>
  <c r="B184" i="3"/>
  <c r="B123" i="20" l="1"/>
  <c r="B123" i="21" s="1"/>
  <c r="B84" i="20"/>
  <c r="B84" i="21" s="1"/>
  <c r="B102" i="20"/>
  <c r="B102" i="21" s="1"/>
  <c r="B66" i="20"/>
  <c r="B66" i="21" s="1"/>
  <c r="B172" i="20"/>
  <c r="B172" i="21" s="1"/>
  <c r="J180" i="3"/>
  <c r="M180" i="3"/>
  <c r="L184" i="3"/>
  <c r="M184" i="3"/>
  <c r="L183" i="3"/>
  <c r="M183" i="3"/>
  <c r="J182" i="3"/>
  <c r="M182" i="3"/>
  <c r="J181" i="3"/>
  <c r="M181" i="3"/>
  <c r="B41" i="20"/>
  <c r="B41" i="21" s="1"/>
  <c r="B12" i="20"/>
  <c r="B12" i="21" s="1"/>
  <c r="W102" i="20"/>
  <c r="W101" i="20"/>
  <c r="CC118" i="20"/>
  <c r="G118" i="21" s="1"/>
  <c r="J183" i="3"/>
  <c r="K183" i="3"/>
  <c r="K184" i="3"/>
  <c r="L181" i="3"/>
  <c r="J184" i="3"/>
  <c r="K181" i="3"/>
  <c r="L180" i="3"/>
  <c r="K180" i="3"/>
  <c r="L182" i="3"/>
  <c r="K182" i="3"/>
  <c r="W108" i="20"/>
  <c r="AA101" i="20"/>
  <c r="AA104" i="20"/>
  <c r="AA102" i="20"/>
  <c r="W109" i="20"/>
  <c r="W100" i="20"/>
  <c r="AA103" i="20"/>
  <c r="W107" i="20"/>
  <c r="AA100" i="20"/>
  <c r="W106" i="20"/>
  <c r="W105" i="20"/>
  <c r="W92" i="20"/>
  <c r="CB87" i="20"/>
  <c r="F87" i="21" s="1"/>
  <c r="CB90" i="20"/>
  <c r="F90" i="21" s="1"/>
  <c r="CB85" i="20"/>
  <c r="F85" i="21" s="1"/>
  <c r="CB91" i="20"/>
  <c r="F91" i="21" s="1"/>
  <c r="CB82" i="20"/>
  <c r="F82" i="21" s="1"/>
  <c r="CB86" i="20"/>
  <c r="F86" i="21" s="1"/>
  <c r="CB89" i="20"/>
  <c r="F89" i="21" s="1"/>
  <c r="CB88" i="20"/>
  <c r="F88" i="21" s="1"/>
  <c r="CH82" i="20"/>
  <c r="L82" i="21" s="1"/>
  <c r="CB69" i="20"/>
  <c r="F69" i="21" s="1"/>
  <c r="CB72" i="20"/>
  <c r="F72" i="21" s="1"/>
  <c r="CB73" i="20"/>
  <c r="F73" i="21" s="1"/>
  <c r="CB42" i="20"/>
  <c r="F42" i="21" s="1"/>
  <c r="CB53" i="20"/>
  <c r="F53" i="21" s="1"/>
  <c r="CB68" i="20"/>
  <c r="F68" i="21" s="1"/>
  <c r="CB71" i="20"/>
  <c r="F71" i="21" s="1"/>
  <c r="W74" i="20"/>
  <c r="CB70" i="20"/>
  <c r="F70" i="21" s="1"/>
  <c r="CB39" i="20"/>
  <c r="F39" i="21" s="1"/>
  <c r="CB43" i="20"/>
  <c r="F43" i="21" s="1"/>
  <c r="CB54" i="20"/>
  <c r="F54" i="21" s="1"/>
  <c r="CB64" i="20"/>
  <c r="F64" i="21" s="1"/>
  <c r="CB67" i="20"/>
  <c r="F67" i="21" s="1"/>
  <c r="CH64" i="20"/>
  <c r="L64" i="21" s="1"/>
  <c r="CB52" i="20"/>
  <c r="F52" i="21" s="1"/>
  <c r="CB51" i="20"/>
  <c r="F51" i="21" s="1"/>
  <c r="CB55" i="20"/>
  <c r="F55" i="21" s="1"/>
  <c r="B124" i="20" l="1"/>
  <c r="B124" i="21" s="1"/>
  <c r="B103" i="20"/>
  <c r="B103" i="21" s="1"/>
  <c r="B67" i="20"/>
  <c r="B67" i="21" s="1"/>
  <c r="B85" i="20"/>
  <c r="B85" i="21" s="1"/>
  <c r="CC87" i="20"/>
  <c r="G87" i="21" s="1"/>
  <c r="CC39" i="20"/>
  <c r="G39" i="21" s="1"/>
  <c r="CC85" i="20"/>
  <c r="G85" i="21" s="1"/>
  <c r="CC69" i="20"/>
  <c r="G69" i="21" s="1"/>
  <c r="CC88" i="20"/>
  <c r="G88" i="21" s="1"/>
  <c r="CC70" i="20"/>
  <c r="G70" i="21" s="1"/>
  <c r="CC51" i="20"/>
  <c r="G51" i="21" s="1"/>
  <c r="CC71" i="20"/>
  <c r="G71" i="21" s="1"/>
  <c r="CC52" i="20"/>
  <c r="G52" i="21" s="1"/>
  <c r="CC67" i="20"/>
  <c r="G67" i="21" s="1"/>
  <c r="CC68" i="20"/>
  <c r="G68" i="21" s="1"/>
  <c r="CC89" i="20"/>
  <c r="G89" i="21" s="1"/>
  <c r="CC90" i="20"/>
  <c r="G90" i="21" s="1"/>
  <c r="CC72" i="20"/>
  <c r="G72" i="21" s="1"/>
  <c r="CC53" i="20"/>
  <c r="G53" i="21" s="1"/>
  <c r="CC86" i="20"/>
  <c r="G86" i="21" s="1"/>
  <c r="CC82" i="20"/>
  <c r="G82" i="21" s="1"/>
  <c r="CC55" i="20"/>
  <c r="G55" i="21" s="1"/>
  <c r="CC64" i="20"/>
  <c r="G64" i="21" s="1"/>
  <c r="CC54" i="20"/>
  <c r="G54" i="21" s="1"/>
  <c r="CC42" i="20"/>
  <c r="G42" i="21" s="1"/>
  <c r="CC43" i="20"/>
  <c r="G43" i="21" s="1"/>
  <c r="CC73" i="20"/>
  <c r="G73" i="21" s="1"/>
  <c r="CC91" i="20"/>
  <c r="G91" i="21" s="1"/>
  <c r="B42" i="20"/>
  <c r="B42" i="21" s="1"/>
  <c r="B13" i="20"/>
  <c r="B13" i="21" s="1"/>
  <c r="CH107" i="20"/>
  <c r="L107" i="21" s="1"/>
  <c r="M15" i="10"/>
  <c r="M13" i="10"/>
  <c r="M16" i="10"/>
  <c r="M17" i="10"/>
  <c r="M18" i="10"/>
  <c r="M12" i="10"/>
  <c r="M14" i="10"/>
  <c r="M11" i="10"/>
  <c r="M19" i="10"/>
  <c r="E14" i="10"/>
  <c r="E15" i="10"/>
  <c r="E16" i="10"/>
  <c r="E13" i="10"/>
  <c r="E17" i="10"/>
  <c r="E18" i="10"/>
  <c r="E19" i="10"/>
  <c r="CH102" i="20"/>
  <c r="L102" i="21" s="1"/>
  <c r="AA110" i="20"/>
  <c r="CH101" i="20"/>
  <c r="L101" i="21" s="1"/>
  <c r="CH106" i="20"/>
  <c r="L106" i="21" s="1"/>
  <c r="CH108" i="20"/>
  <c r="L108" i="21" s="1"/>
  <c r="CH103" i="20"/>
  <c r="L103" i="21" s="1"/>
  <c r="CH104" i="20"/>
  <c r="L104" i="21" s="1"/>
  <c r="CH109" i="20"/>
  <c r="L109" i="21" s="1"/>
  <c r="CH105" i="20"/>
  <c r="L105" i="21" s="1"/>
  <c r="W110" i="20"/>
  <c r="CH100" i="20"/>
  <c r="L100" i="21" s="1"/>
  <c r="B125" i="20" l="1"/>
  <c r="B125" i="21" s="1"/>
  <c r="B86" i="20"/>
  <c r="B86" i="21" s="1"/>
  <c r="B68" i="20"/>
  <c r="B68" i="21" s="1"/>
  <c r="B104" i="20"/>
  <c r="B104" i="21" s="1"/>
  <c r="B43" i="20"/>
  <c r="B43" i="21" s="1"/>
  <c r="B14" i="20"/>
  <c r="B14" i="21" s="1"/>
  <c r="CH110" i="20"/>
  <c r="L110" i="21" s="1"/>
  <c r="B175" i="3"/>
  <c r="B176" i="3"/>
  <c r="B177" i="3"/>
  <c r="B178" i="3"/>
  <c r="B179" i="3"/>
  <c r="M179" i="3" s="1"/>
  <c r="E6" i="16" a="1"/>
  <c r="E6" i="16" s="1"/>
  <c r="C6" i="16" a="1"/>
  <c r="C6" i="16" s="1"/>
  <c r="C42" i="3"/>
  <c r="C66" i="3"/>
  <c r="C67" i="3" s="1"/>
  <c r="B126" i="20" l="1"/>
  <c r="B126" i="21" s="1"/>
  <c r="C69" i="3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68" i="3"/>
  <c r="B44" i="20"/>
  <c r="B44" i="21" s="1"/>
  <c r="B69" i="20"/>
  <c r="B69" i="21" s="1"/>
  <c r="B51" i="20"/>
  <c r="B51" i="21" s="1"/>
  <c r="B105" i="20"/>
  <c r="B105" i="21" s="1"/>
  <c r="B87" i="20"/>
  <c r="B87" i="21" s="1"/>
  <c r="B15" i="20"/>
  <c r="B15" i="21" s="1"/>
  <c r="K179" i="3"/>
  <c r="L179" i="3"/>
  <c r="J179" i="3"/>
  <c r="C43" i="3"/>
  <c r="B127" i="20" l="1"/>
  <c r="B127" i="21" s="1"/>
  <c r="C125" i="3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19" i="3"/>
  <c r="C120" i="3" s="1"/>
  <c r="C121" i="3" s="1"/>
  <c r="C122" i="3" s="1"/>
  <c r="B45" i="20"/>
  <c r="B45" i="21" s="1"/>
  <c r="B88" i="20"/>
  <c r="B88" i="21" s="1"/>
  <c r="B52" i="20"/>
  <c r="B52" i="21" s="1"/>
  <c r="B106" i="20"/>
  <c r="B106" i="21" s="1"/>
  <c r="B16" i="20"/>
  <c r="B16" i="21" s="1"/>
  <c r="B70" i="20"/>
  <c r="B70" i="21" s="1"/>
  <c r="C44" i="3"/>
  <c r="L763" i="11"/>
  <c r="L764" i="11"/>
  <c r="L765" i="11"/>
  <c r="L766" i="11"/>
  <c r="L767" i="11"/>
  <c r="L768" i="11"/>
  <c r="L769" i="11"/>
  <c r="L770" i="11"/>
  <c r="L771" i="11"/>
  <c r="L772" i="11"/>
  <c r="L773" i="11"/>
  <c r="L774" i="11"/>
  <c r="L775" i="11"/>
  <c r="L776" i="11"/>
  <c r="L777" i="11"/>
  <c r="L778" i="11"/>
  <c r="L779" i="11"/>
  <c r="L780" i="11"/>
  <c r="L781" i="11"/>
  <c r="L782" i="11"/>
  <c r="L783" i="11"/>
  <c r="L784" i="11"/>
  <c r="L785" i="11"/>
  <c r="L786" i="11"/>
  <c r="L787" i="11"/>
  <c r="L788" i="11"/>
  <c r="L789" i="11"/>
  <c r="L790" i="11"/>
  <c r="L791" i="11"/>
  <c r="L792" i="11"/>
  <c r="L793" i="11"/>
  <c r="L794" i="11"/>
  <c r="L795" i="11"/>
  <c r="L796" i="11"/>
  <c r="L797" i="11"/>
  <c r="L798" i="11"/>
  <c r="L799" i="11"/>
  <c r="L800" i="11"/>
  <c r="L801" i="11"/>
  <c r="L802" i="11"/>
  <c r="L803" i="11"/>
  <c r="L804" i="11"/>
  <c r="L805" i="11"/>
  <c r="L806" i="11"/>
  <c r="L807" i="11"/>
  <c r="L808" i="11"/>
  <c r="L809" i="11"/>
  <c r="L810" i="11"/>
  <c r="L811" i="11"/>
  <c r="L812" i="11"/>
  <c r="L813" i="11"/>
  <c r="L814" i="11"/>
  <c r="L815" i="11"/>
  <c r="L762" i="11"/>
  <c r="L968" i="11"/>
  <c r="L967" i="11"/>
  <c r="L966" i="11"/>
  <c r="L959" i="11"/>
  <c r="L958" i="11"/>
  <c r="L957" i="11"/>
  <c r="L956" i="11"/>
  <c r="L955" i="11"/>
  <c r="L954" i="11"/>
  <c r="L948" i="11"/>
  <c r="L908" i="11"/>
  <c r="L876" i="11"/>
  <c r="L875" i="11"/>
  <c r="L873" i="11"/>
  <c r="L872" i="11"/>
  <c r="L871" i="11"/>
  <c r="L870" i="11"/>
  <c r="L869" i="11"/>
  <c r="L868" i="11"/>
  <c r="L867" i="11"/>
  <c r="L866" i="11"/>
  <c r="L865" i="11"/>
  <c r="L864" i="11"/>
  <c r="L863" i="11"/>
  <c r="L862" i="11"/>
  <c r="L861" i="11"/>
  <c r="L860" i="11"/>
  <c r="L859" i="11"/>
  <c r="L858" i="11"/>
  <c r="L857" i="11"/>
  <c r="L856" i="11"/>
  <c r="L855" i="11"/>
  <c r="L854" i="11"/>
  <c r="L853" i="11"/>
  <c r="L852" i="11"/>
  <c r="L851" i="11"/>
  <c r="L850" i="11"/>
  <c r="L849" i="11"/>
  <c r="L848" i="11"/>
  <c r="L843" i="11"/>
  <c r="L842" i="11"/>
  <c r="L841" i="11"/>
  <c r="L840" i="11"/>
  <c r="L839" i="11"/>
  <c r="L838" i="11"/>
  <c r="L837" i="11"/>
  <c r="L836" i="11"/>
  <c r="L755" i="11"/>
  <c r="L754" i="11"/>
  <c r="L753" i="11"/>
  <c r="L752" i="11"/>
  <c r="L751" i="11"/>
  <c r="L750" i="11"/>
  <c r="L749" i="11"/>
  <c r="L728" i="11"/>
  <c r="L727" i="11"/>
  <c r="L726" i="11"/>
  <c r="L725" i="11"/>
  <c r="L724" i="11"/>
  <c r="L723" i="11"/>
  <c r="L481" i="11"/>
  <c r="L480" i="11"/>
  <c r="L479" i="11"/>
  <c r="L478" i="11"/>
  <c r="L477" i="11"/>
  <c r="L476" i="11"/>
  <c r="L475" i="11"/>
  <c r="L474" i="11"/>
  <c r="L473" i="11"/>
  <c r="L472" i="11"/>
  <c r="L471" i="11"/>
  <c r="L470" i="11"/>
  <c r="L469" i="11"/>
  <c r="L468" i="11"/>
  <c r="L467" i="11"/>
  <c r="L466" i="11"/>
  <c r="L465" i="11"/>
  <c r="L464" i="11"/>
  <c r="L463" i="11"/>
  <c r="L462" i="11"/>
  <c r="L461" i="11"/>
  <c r="L460" i="11"/>
  <c r="L459" i="11"/>
  <c r="L458" i="11"/>
  <c r="L457" i="11"/>
  <c r="L456" i="11"/>
  <c r="L455" i="11"/>
  <c r="L454" i="11"/>
  <c r="L453" i="11"/>
  <c r="L452" i="11"/>
  <c r="L451" i="11"/>
  <c r="L450" i="11"/>
  <c r="L449" i="11"/>
  <c r="L448" i="11"/>
  <c r="L447" i="11"/>
  <c r="L445" i="11"/>
  <c r="L444" i="11"/>
  <c r="L443" i="11"/>
  <c r="L442" i="11"/>
  <c r="L440" i="11"/>
  <c r="L437" i="11"/>
  <c r="L436" i="11"/>
  <c r="C703" i="11" s="1"/>
  <c r="L435" i="11"/>
  <c r="L434" i="11"/>
  <c r="L433" i="11"/>
  <c r="C704" i="11" s="1"/>
  <c r="L432" i="11"/>
  <c r="L431" i="11"/>
  <c r="L430" i="11"/>
  <c r="C696" i="11" s="1"/>
  <c r="L429" i="11"/>
  <c r="L428" i="11"/>
  <c r="L427" i="11"/>
  <c r="L426" i="11"/>
  <c r="L425" i="11"/>
  <c r="L424" i="11"/>
  <c r="L423" i="11"/>
  <c r="L422" i="11"/>
  <c r="L421" i="11"/>
  <c r="L420" i="11"/>
  <c r="L419" i="11"/>
  <c r="L418" i="11"/>
  <c r="L417" i="11"/>
  <c r="L416" i="11"/>
  <c r="L415" i="11"/>
  <c r="L414" i="11"/>
  <c r="L413" i="11"/>
  <c r="L412" i="11"/>
  <c r="L411" i="11"/>
  <c r="L410" i="11"/>
  <c r="L409" i="11"/>
  <c r="L408" i="11"/>
  <c r="L407" i="11"/>
  <c r="L406" i="11"/>
  <c r="L405" i="11"/>
  <c r="L404" i="11"/>
  <c r="L403" i="11"/>
  <c r="L402" i="11"/>
  <c r="L401" i="11"/>
  <c r="L400" i="11"/>
  <c r="L398" i="11"/>
  <c r="L397" i="11"/>
  <c r="L396" i="11"/>
  <c r="L395" i="11"/>
  <c r="L394" i="11"/>
  <c r="L393" i="11"/>
  <c r="L392" i="11"/>
  <c r="L390" i="11"/>
  <c r="L389" i="11"/>
  <c r="L388" i="11"/>
  <c r="L387" i="11"/>
  <c r="L385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L70" i="11"/>
  <c r="L69" i="11"/>
  <c r="L68" i="11"/>
  <c r="L66" i="11"/>
  <c r="L65" i="11"/>
  <c r="L64" i="11"/>
  <c r="L59" i="11"/>
  <c r="L58" i="11"/>
  <c r="L54" i="11"/>
  <c r="L53" i="11"/>
  <c r="E353" i="11" s="1"/>
  <c r="L52" i="11"/>
  <c r="L51" i="11"/>
  <c r="L50" i="11"/>
  <c r="L49" i="11"/>
  <c r="E352" i="11" s="1"/>
  <c r="L48" i="11"/>
  <c r="L47" i="11"/>
  <c r="L46" i="11"/>
  <c r="L45" i="11"/>
  <c r="L44" i="11"/>
  <c r="L43" i="11"/>
  <c r="L42" i="11"/>
  <c r="L41" i="11"/>
  <c r="L19" i="11"/>
  <c r="L18" i="11"/>
  <c r="L15" i="11"/>
  <c r="L12" i="11"/>
  <c r="L11" i="11"/>
  <c r="L10" i="11"/>
  <c r="L9" i="11"/>
  <c r="F44" i="3"/>
  <c r="F45" i="3" s="1"/>
  <c r="F46" i="3" s="1"/>
  <c r="F47" i="3" s="1"/>
  <c r="F48" i="3"/>
  <c r="F49" i="3" s="1"/>
  <c r="F50" i="3" s="1"/>
  <c r="F51" i="3" s="1"/>
  <c r="F52" i="3" s="1"/>
  <c r="F53" i="3"/>
  <c r="F54" i="3" s="1"/>
  <c r="F55" i="3" s="1"/>
  <c r="F56" i="3" s="1"/>
  <c r="F57" i="3" s="1"/>
  <c r="F58" i="3" s="1"/>
  <c r="F59" i="3" s="1"/>
  <c r="F60" i="3" s="1"/>
  <c r="F62" i="3"/>
  <c r="F63" i="3" s="1"/>
  <c r="F64" i="3" s="1"/>
  <c r="F65" i="3" s="1"/>
  <c r="F66" i="3"/>
  <c r="F67" i="3" s="1"/>
  <c r="F68" i="3" s="1"/>
  <c r="F69" i="3"/>
  <c r="F70" i="3" s="1"/>
  <c r="F71" i="3" s="1"/>
  <c r="F72" i="3" s="1"/>
  <c r="F42" i="3"/>
  <c r="J33" i="12"/>
  <c r="J32" i="12"/>
  <c r="J31" i="12"/>
  <c r="J30" i="12"/>
  <c r="J29" i="12"/>
  <c r="J28" i="12"/>
  <c r="J27" i="12"/>
  <c r="J26" i="12"/>
  <c r="C1082" i="11"/>
  <c r="J506" i="11" s="1"/>
  <c r="L506" i="11" s="1"/>
  <c r="C1080" i="11"/>
  <c r="J745" i="11" s="1"/>
  <c r="L745" i="11" s="1"/>
  <c r="C1079" i="11"/>
  <c r="I998" i="11" s="1"/>
  <c r="L998" i="11" s="1"/>
  <c r="F1052" i="11"/>
  <c r="N1052" i="11" s="1"/>
  <c r="F1051" i="11"/>
  <c r="K1051" i="11" s="1"/>
  <c r="F1050" i="11"/>
  <c r="I1050" i="11" s="1"/>
  <c r="F1049" i="11"/>
  <c r="N1049" i="11" s="1"/>
  <c r="F1048" i="11"/>
  <c r="N1048" i="11" s="1"/>
  <c r="F1047" i="11"/>
  <c r="K1047" i="11" s="1"/>
  <c r="F1046" i="11"/>
  <c r="I1046" i="11" s="1"/>
  <c r="F1045" i="11"/>
  <c r="N1045" i="11" s="1"/>
  <c r="F1044" i="11"/>
  <c r="N1044" i="11" s="1"/>
  <c r="F1043" i="11"/>
  <c r="K1043" i="11" s="1"/>
  <c r="L1042" i="11"/>
  <c r="K1042" i="11"/>
  <c r="F1042" i="11"/>
  <c r="I1042" i="11" s="1"/>
  <c r="F1040" i="11"/>
  <c r="N1040" i="11" s="1"/>
  <c r="F1039" i="11"/>
  <c r="N1039" i="11" s="1"/>
  <c r="F1038" i="11"/>
  <c r="K1038" i="11" s="1"/>
  <c r="F1037" i="11"/>
  <c r="I1037" i="11" s="1"/>
  <c r="F1036" i="11"/>
  <c r="L1036" i="11" s="1"/>
  <c r="F1035" i="11"/>
  <c r="L1035" i="11" s="1"/>
  <c r="F1034" i="11"/>
  <c r="L1034" i="11" s="1"/>
  <c r="F1033" i="11"/>
  <c r="L1033" i="11" s="1"/>
  <c r="F1032" i="11"/>
  <c r="L1032" i="11" s="1"/>
  <c r="F1031" i="11"/>
  <c r="I1031" i="11" s="1"/>
  <c r="F1030" i="11"/>
  <c r="L1030" i="11" s="1"/>
  <c r="F1029" i="11"/>
  <c r="I1029" i="11" s="1"/>
  <c r="F1027" i="11"/>
  <c r="L1027" i="11" s="1"/>
  <c r="F1026" i="11"/>
  <c r="L1026" i="11" s="1"/>
  <c r="F1025" i="11"/>
  <c r="L1025" i="11" s="1"/>
  <c r="F1024" i="11"/>
  <c r="L1024" i="11" s="1"/>
  <c r="F1022" i="11"/>
  <c r="F1021" i="11"/>
  <c r="I1021" i="11" s="1"/>
  <c r="F1019" i="11"/>
  <c r="L1019" i="11" s="1"/>
  <c r="F1018" i="11"/>
  <c r="I1018" i="11" s="1"/>
  <c r="F1017" i="11"/>
  <c r="L1017" i="11" s="1"/>
  <c r="L1016" i="11"/>
  <c r="I1016" i="11"/>
  <c r="F1016" i="11"/>
  <c r="F1015" i="11"/>
  <c r="L1015" i="11" s="1"/>
  <c r="F1014" i="11"/>
  <c r="L1014" i="11" s="1"/>
  <c r="F1013" i="11"/>
  <c r="L1013" i="11" s="1"/>
  <c r="F1012" i="11"/>
  <c r="I1012" i="11" s="1"/>
  <c r="F1011" i="11"/>
  <c r="L1011" i="11" s="1"/>
  <c r="F1010" i="11"/>
  <c r="I1010" i="11" s="1"/>
  <c r="F1009" i="11"/>
  <c r="L1009" i="11" s="1"/>
  <c r="F1003" i="11"/>
  <c r="E1003" i="11"/>
  <c r="F1002" i="11"/>
  <c r="E1002" i="11"/>
  <c r="E1001" i="11"/>
  <c r="E1000" i="11"/>
  <c r="F999" i="11"/>
  <c r="E999" i="11"/>
  <c r="F990" i="11"/>
  <c r="E990" i="11"/>
  <c r="F989" i="11"/>
  <c r="E989" i="11"/>
  <c r="F982" i="11"/>
  <c r="E982" i="11"/>
  <c r="F981" i="11"/>
  <c r="E981" i="11"/>
  <c r="F974" i="11"/>
  <c r="E968" i="11"/>
  <c r="K934" i="11"/>
  <c r="L934" i="11" s="1"/>
  <c r="K933" i="11"/>
  <c r="L933" i="11" s="1"/>
  <c r="K932" i="11"/>
  <c r="L932" i="11" s="1"/>
  <c r="K931" i="11"/>
  <c r="L931" i="11" s="1"/>
  <c r="K924" i="11"/>
  <c r="L924" i="11" s="1"/>
  <c r="K923" i="11"/>
  <c r="L923" i="11" s="1"/>
  <c r="K922" i="11"/>
  <c r="J922" i="11"/>
  <c r="L922" i="11" s="1"/>
  <c r="K921" i="11"/>
  <c r="L921" i="11" s="1"/>
  <c r="K920" i="11"/>
  <c r="L920" i="11" s="1"/>
  <c r="K919" i="11"/>
  <c r="L919" i="11" s="1"/>
  <c r="K918" i="11"/>
  <c r="L918" i="11" s="1"/>
  <c r="K917" i="11"/>
  <c r="L917" i="11" s="1"/>
  <c r="K916" i="11"/>
  <c r="L916" i="11" s="1"/>
  <c r="E915" i="11"/>
  <c r="K915" i="11" s="1"/>
  <c r="L915" i="11" s="1"/>
  <c r="K914" i="11"/>
  <c r="J914" i="11"/>
  <c r="L914" i="11" s="1"/>
  <c r="K913" i="11"/>
  <c r="L913" i="11" s="1"/>
  <c r="K912" i="11"/>
  <c r="L912" i="11" s="1"/>
  <c r="K911" i="11"/>
  <c r="L911" i="11" s="1"/>
  <c r="K910" i="11"/>
  <c r="L910" i="11" s="1"/>
  <c r="K909" i="11"/>
  <c r="L909" i="11" s="1"/>
  <c r="K908" i="11"/>
  <c r="K907" i="11"/>
  <c r="L907" i="11" s="1"/>
  <c r="K906" i="11"/>
  <c r="L906" i="11" s="1"/>
  <c r="K905" i="11"/>
  <c r="L905" i="11" s="1"/>
  <c r="K904" i="11"/>
  <c r="L904" i="11" s="1"/>
  <c r="K903" i="11"/>
  <c r="L903" i="11" s="1"/>
  <c r="K902" i="11"/>
  <c r="L902" i="11" s="1"/>
  <c r="K901" i="11"/>
  <c r="L901" i="11" s="1"/>
  <c r="K900" i="11"/>
  <c r="L900" i="11" s="1"/>
  <c r="K899" i="11"/>
  <c r="L899" i="11" s="1"/>
  <c r="K898" i="11"/>
  <c r="L898" i="11" s="1"/>
  <c r="K897" i="11"/>
  <c r="L897" i="11" s="1"/>
  <c r="K896" i="11"/>
  <c r="L896" i="11" s="1"/>
  <c r="J890" i="11"/>
  <c r="L890" i="11" s="1"/>
  <c r="J889" i="11"/>
  <c r="L889" i="11" s="1"/>
  <c r="J888" i="11"/>
  <c r="L888" i="11" s="1"/>
  <c r="J887" i="11"/>
  <c r="L887" i="11" s="1"/>
  <c r="J886" i="11"/>
  <c r="L886" i="11" s="1"/>
  <c r="J885" i="11"/>
  <c r="L885" i="11" s="1"/>
  <c r="J884" i="11"/>
  <c r="L884" i="11" s="1"/>
  <c r="J883" i="11"/>
  <c r="L883" i="11" s="1"/>
  <c r="J882" i="11"/>
  <c r="L882" i="11" s="1"/>
  <c r="J874" i="11"/>
  <c r="L874" i="11" s="1"/>
  <c r="I835" i="11"/>
  <c r="L835" i="11" s="1"/>
  <c r="I832" i="11"/>
  <c r="L832" i="11" s="1"/>
  <c r="I831" i="11"/>
  <c r="L831" i="11" s="1"/>
  <c r="I830" i="11"/>
  <c r="L830" i="11" s="1"/>
  <c r="I829" i="11"/>
  <c r="L829" i="11" s="1"/>
  <c r="I828" i="11"/>
  <c r="L828" i="11" s="1"/>
  <c r="I824" i="11"/>
  <c r="L824" i="11" s="1"/>
  <c r="I823" i="11"/>
  <c r="L823" i="11" s="1"/>
  <c r="I822" i="11"/>
  <c r="L822" i="11" s="1"/>
  <c r="I821" i="11"/>
  <c r="L821" i="11" s="1"/>
  <c r="I820" i="11"/>
  <c r="L820" i="11" s="1"/>
  <c r="B757" i="11"/>
  <c r="B756" i="11"/>
  <c r="B755" i="11"/>
  <c r="B754" i="11"/>
  <c r="B753" i="11"/>
  <c r="B752" i="11"/>
  <c r="B751" i="11"/>
  <c r="B750" i="11"/>
  <c r="B749" i="11"/>
  <c r="B748" i="11"/>
  <c r="J747" i="11"/>
  <c r="L747" i="11" s="1"/>
  <c r="B747" i="11"/>
  <c r="B746" i="11"/>
  <c r="B745" i="11"/>
  <c r="B744" i="11"/>
  <c r="J743" i="11"/>
  <c r="L743" i="11" s="1"/>
  <c r="B743" i="11"/>
  <c r="B742" i="11"/>
  <c r="B741" i="11"/>
  <c r="B740" i="11"/>
  <c r="J739" i="11"/>
  <c r="L739" i="11" s="1"/>
  <c r="B739" i="11"/>
  <c r="B738" i="11"/>
  <c r="B737" i="11"/>
  <c r="B736" i="11"/>
  <c r="B735" i="11"/>
  <c r="L718" i="11"/>
  <c r="J713" i="11"/>
  <c r="L713" i="11" s="1"/>
  <c r="J712" i="11"/>
  <c r="L712" i="11" s="1"/>
  <c r="E694" i="11"/>
  <c r="L684" i="11"/>
  <c r="L683" i="11"/>
  <c r="L682" i="11"/>
  <c r="L681" i="11"/>
  <c r="L680" i="11"/>
  <c r="L679" i="11"/>
  <c r="L678" i="11"/>
  <c r="L675" i="11"/>
  <c r="L669" i="11"/>
  <c r="L685" i="11" s="1"/>
  <c r="L659" i="11"/>
  <c r="L666" i="11" s="1"/>
  <c r="C653" i="11"/>
  <c r="C652" i="11"/>
  <c r="C651" i="11"/>
  <c r="L619" i="11"/>
  <c r="D611" i="11"/>
  <c r="E611" i="11" s="1"/>
  <c r="L611" i="11" s="1"/>
  <c r="D610" i="11"/>
  <c r="E610" i="11" s="1"/>
  <c r="D609" i="11"/>
  <c r="E609" i="11" s="1"/>
  <c r="L609" i="11" s="1"/>
  <c r="D608" i="11"/>
  <c r="E608" i="11" s="1"/>
  <c r="D607" i="11"/>
  <c r="E607" i="11" s="1"/>
  <c r="L607" i="11" s="1"/>
  <c r="F606" i="11"/>
  <c r="D606" i="11"/>
  <c r="E606" i="11" s="1"/>
  <c r="G606" i="11" s="1"/>
  <c r="F605" i="11"/>
  <c r="D605" i="11"/>
  <c r="E605" i="11" s="1"/>
  <c r="G605" i="11" s="1"/>
  <c r="F604" i="11"/>
  <c r="D604" i="11"/>
  <c r="E604" i="11" s="1"/>
  <c r="F603" i="11"/>
  <c r="D603" i="11"/>
  <c r="E603" i="11" s="1"/>
  <c r="G603" i="11" s="1"/>
  <c r="F602" i="11"/>
  <c r="D602" i="11"/>
  <c r="E602" i="11" s="1"/>
  <c r="G602" i="11" s="1"/>
  <c r="F601" i="11"/>
  <c r="D601" i="11"/>
  <c r="E601" i="11" s="1"/>
  <c r="G601" i="11" s="1"/>
  <c r="F600" i="11"/>
  <c r="D600" i="11"/>
  <c r="E600" i="11" s="1"/>
  <c r="G600" i="11" s="1"/>
  <c r="F599" i="11"/>
  <c r="D599" i="11"/>
  <c r="E599" i="11" s="1"/>
  <c r="G599" i="11" s="1"/>
  <c r="F598" i="11"/>
  <c r="D598" i="11"/>
  <c r="E598" i="11" s="1"/>
  <c r="G598" i="11" s="1"/>
  <c r="F597" i="11"/>
  <c r="D597" i="11"/>
  <c r="E597" i="11" s="1"/>
  <c r="G597" i="11" s="1"/>
  <c r="L578" i="11"/>
  <c r="E578" i="11"/>
  <c r="D578" i="11"/>
  <c r="L577" i="11"/>
  <c r="E577" i="11"/>
  <c r="D577" i="11"/>
  <c r="U550" i="11"/>
  <c r="U549" i="11"/>
  <c r="U548" i="11"/>
  <c r="L532" i="11"/>
  <c r="L520" i="11"/>
  <c r="J520" i="11"/>
  <c r="I520" i="11"/>
  <c r="L508" i="11"/>
  <c r="J508" i="11"/>
  <c r="L507" i="11"/>
  <c r="L505" i="11"/>
  <c r="L504" i="11"/>
  <c r="L503" i="11"/>
  <c r="J502" i="11"/>
  <c r="I502" i="11"/>
  <c r="J500" i="11"/>
  <c r="L500" i="11" s="1"/>
  <c r="L499" i="11"/>
  <c r="L498" i="11"/>
  <c r="L497" i="11"/>
  <c r="I446" i="11"/>
  <c r="L446" i="11" s="1"/>
  <c r="C698" i="11"/>
  <c r="C697" i="11"/>
  <c r="C700" i="11"/>
  <c r="K399" i="11"/>
  <c r="J399" i="11"/>
  <c r="I399" i="11"/>
  <c r="L399" i="11" s="1"/>
  <c r="I391" i="11"/>
  <c r="L391" i="11" s="1"/>
  <c r="C372" i="11"/>
  <c r="C371" i="11"/>
  <c r="C370" i="11"/>
  <c r="C369" i="11"/>
  <c r="C368" i="11"/>
  <c r="K360" i="11"/>
  <c r="J360" i="11"/>
  <c r="I360" i="11"/>
  <c r="L360" i="11" s="1"/>
  <c r="H360" i="11"/>
  <c r="D360" i="11"/>
  <c r="K359" i="11"/>
  <c r="J359" i="11"/>
  <c r="L359" i="11" s="1"/>
  <c r="I359" i="11"/>
  <c r="D359" i="11"/>
  <c r="K358" i="11"/>
  <c r="J358" i="11"/>
  <c r="I358" i="11"/>
  <c r="L358" i="11" s="1"/>
  <c r="H358" i="11"/>
  <c r="K357" i="11"/>
  <c r="J357" i="11"/>
  <c r="L357" i="11" s="1"/>
  <c r="I357" i="11"/>
  <c r="H357" i="11"/>
  <c r="H355" i="11"/>
  <c r="H354" i="11"/>
  <c r="H353" i="11"/>
  <c r="D352" i="11"/>
  <c r="H351" i="11"/>
  <c r="D351" i="11"/>
  <c r="H331" i="11"/>
  <c r="H330" i="11"/>
  <c r="L328" i="11"/>
  <c r="H328" i="11"/>
  <c r="Q323" i="11"/>
  <c r="D323" i="11" s="1"/>
  <c r="Q322" i="11"/>
  <c r="D322" i="11" s="1"/>
  <c r="Q321" i="11"/>
  <c r="D321" i="11" s="1"/>
  <c r="Q320" i="11"/>
  <c r="D320" i="11" s="1"/>
  <c r="Q319" i="11"/>
  <c r="D319" i="11" s="1"/>
  <c r="Q318" i="11"/>
  <c r="D318" i="11" s="1"/>
  <c r="I318" i="11" s="1"/>
  <c r="Q317" i="11"/>
  <c r="D317" i="11" s="1"/>
  <c r="Q316" i="11"/>
  <c r="D316" i="11" s="1"/>
  <c r="Q315" i="11"/>
  <c r="D315" i="11" s="1"/>
  <c r="Q314" i="11"/>
  <c r="D314" i="11" s="1"/>
  <c r="Q313" i="11"/>
  <c r="D313" i="11" s="1"/>
  <c r="Q312" i="11"/>
  <c r="D312" i="11" s="1"/>
  <c r="K312" i="11" s="1"/>
  <c r="Q311" i="11"/>
  <c r="D311" i="11" s="1"/>
  <c r="Q310" i="11"/>
  <c r="D310" i="11" s="1"/>
  <c r="I310" i="11" s="1"/>
  <c r="Q309" i="11"/>
  <c r="D309" i="11" s="1"/>
  <c r="Q308" i="11"/>
  <c r="D308" i="11" s="1"/>
  <c r="K308" i="11" s="1"/>
  <c r="Q307" i="11"/>
  <c r="D307" i="11" s="1"/>
  <c r="Q306" i="11"/>
  <c r="D306" i="11" s="1"/>
  <c r="Q305" i="11"/>
  <c r="D305" i="11" s="1"/>
  <c r="Q304" i="11"/>
  <c r="D304" i="11" s="1"/>
  <c r="Q303" i="11"/>
  <c r="D303" i="11" s="1"/>
  <c r="Q302" i="11"/>
  <c r="D302" i="11" s="1"/>
  <c r="I302" i="11" s="1"/>
  <c r="Q301" i="11"/>
  <c r="D301" i="11" s="1"/>
  <c r="K301" i="11" s="1"/>
  <c r="Q300" i="11"/>
  <c r="D300" i="11" s="1"/>
  <c r="J300" i="11" s="1"/>
  <c r="Q299" i="11"/>
  <c r="D299" i="11" s="1"/>
  <c r="Q298" i="11"/>
  <c r="D298" i="11" s="1"/>
  <c r="Q297" i="11"/>
  <c r="D297" i="11" s="1"/>
  <c r="Q296" i="11"/>
  <c r="D296" i="11" s="1"/>
  <c r="K296" i="11" s="1"/>
  <c r="Q295" i="11"/>
  <c r="D295" i="11" s="1"/>
  <c r="J295" i="11" s="1"/>
  <c r="Q294" i="11"/>
  <c r="D294" i="11" s="1"/>
  <c r="I294" i="11" s="1"/>
  <c r="Q293" i="11"/>
  <c r="D293" i="11" s="1"/>
  <c r="K293" i="11" s="1"/>
  <c r="Q292" i="11"/>
  <c r="D292" i="11" s="1"/>
  <c r="K292" i="11" s="1"/>
  <c r="Q291" i="11"/>
  <c r="D291" i="11" s="1"/>
  <c r="Q290" i="11"/>
  <c r="D290" i="11" s="1"/>
  <c r="J290" i="11" s="1"/>
  <c r="Q289" i="11"/>
  <c r="D289" i="11" s="1"/>
  <c r="Q288" i="11"/>
  <c r="D288" i="11" s="1"/>
  <c r="K288" i="11" s="1"/>
  <c r="Q287" i="11"/>
  <c r="D287" i="11" s="1"/>
  <c r="Q286" i="11"/>
  <c r="D286" i="11" s="1"/>
  <c r="K286" i="11" s="1"/>
  <c r="Q285" i="11"/>
  <c r="D285" i="11" s="1"/>
  <c r="J285" i="11" s="1"/>
  <c r="Q284" i="11"/>
  <c r="D284" i="11" s="1"/>
  <c r="K284" i="11" s="1"/>
  <c r="Q283" i="11"/>
  <c r="D283" i="11" s="1"/>
  <c r="Q282" i="11"/>
  <c r="D282" i="11" s="1"/>
  <c r="Q281" i="11"/>
  <c r="D281" i="11" s="1"/>
  <c r="I281" i="11" s="1"/>
  <c r="Q280" i="11"/>
  <c r="D280" i="11" s="1"/>
  <c r="Q279" i="11"/>
  <c r="D279" i="11" s="1"/>
  <c r="Q278" i="11"/>
  <c r="D278" i="11" s="1"/>
  <c r="K278" i="11" s="1"/>
  <c r="Q277" i="11"/>
  <c r="D277" i="11" s="1"/>
  <c r="K277" i="11" s="1"/>
  <c r="Q276" i="11"/>
  <c r="D276" i="11" s="1"/>
  <c r="Q275" i="11"/>
  <c r="D275" i="11" s="1"/>
  <c r="Q274" i="11"/>
  <c r="D274" i="11" s="1"/>
  <c r="J274" i="11" s="1"/>
  <c r="Q273" i="11"/>
  <c r="D273" i="11" s="1"/>
  <c r="Q272" i="11"/>
  <c r="D272" i="11" s="1"/>
  <c r="Q271" i="11"/>
  <c r="D271" i="11" s="1"/>
  <c r="K271" i="11" s="1"/>
  <c r="Q270" i="11"/>
  <c r="D270" i="11" s="1"/>
  <c r="Q269" i="11"/>
  <c r="D269" i="11" s="1"/>
  <c r="J269" i="11" s="1"/>
  <c r="Q268" i="11"/>
  <c r="D268" i="11" s="1"/>
  <c r="Q267" i="11"/>
  <c r="D267" i="11" s="1"/>
  <c r="Q266" i="11"/>
  <c r="D266" i="11" s="1"/>
  <c r="I266" i="11" s="1"/>
  <c r="Q265" i="11"/>
  <c r="D265" i="11" s="1"/>
  <c r="Q264" i="11"/>
  <c r="D264" i="11" s="1"/>
  <c r="K264" i="11" s="1"/>
  <c r="Q263" i="11"/>
  <c r="D263" i="11" s="1"/>
  <c r="Q262" i="11"/>
  <c r="D262" i="11" s="1"/>
  <c r="Q261" i="11"/>
  <c r="D261" i="11" s="1"/>
  <c r="K261" i="11" s="1"/>
  <c r="Q260" i="11"/>
  <c r="D260" i="11" s="1"/>
  <c r="K260" i="11" s="1"/>
  <c r="Q259" i="11"/>
  <c r="D259" i="11" s="1"/>
  <c r="J259" i="11" s="1"/>
  <c r="Q258" i="11"/>
  <c r="D258" i="11" s="1"/>
  <c r="Q257" i="11"/>
  <c r="D257" i="11" s="1"/>
  <c r="Q256" i="11"/>
  <c r="D256" i="11" s="1"/>
  <c r="I256" i="11" s="1"/>
  <c r="Q255" i="11"/>
  <c r="D255" i="11" s="1"/>
  <c r="Q254" i="11"/>
  <c r="D254" i="11" s="1"/>
  <c r="I254" i="11" s="1"/>
  <c r="Q253" i="11"/>
  <c r="D253" i="11" s="1"/>
  <c r="Q252" i="11"/>
  <c r="D252" i="11" s="1"/>
  <c r="K252" i="11" s="1"/>
  <c r="Q251" i="11"/>
  <c r="D251" i="11" s="1"/>
  <c r="I251" i="11" s="1"/>
  <c r="Q250" i="11"/>
  <c r="D250" i="11" s="1"/>
  <c r="Q249" i="11"/>
  <c r="D249" i="11" s="1"/>
  <c r="Q248" i="11"/>
  <c r="D248" i="11" s="1"/>
  <c r="J248" i="11" s="1"/>
  <c r="Q247" i="11"/>
  <c r="D247" i="11" s="1"/>
  <c r="Q246" i="11"/>
  <c r="D246" i="11" s="1"/>
  <c r="K246" i="11" s="1"/>
  <c r="Q245" i="11"/>
  <c r="D245" i="11" s="1"/>
  <c r="I245" i="11"/>
  <c r="Q244" i="11"/>
  <c r="D244" i="11" s="1"/>
  <c r="Q243" i="11"/>
  <c r="D243" i="11" s="1"/>
  <c r="Q242" i="11"/>
  <c r="D242" i="11" s="1"/>
  <c r="Q241" i="11"/>
  <c r="D241" i="11" s="1"/>
  <c r="Q240" i="11"/>
  <c r="D240" i="11" s="1"/>
  <c r="Q239" i="11"/>
  <c r="D239" i="11" s="1"/>
  <c r="I239" i="11" s="1"/>
  <c r="Q238" i="11"/>
  <c r="D238" i="11" s="1"/>
  <c r="K238" i="11" s="1"/>
  <c r="Q237" i="11"/>
  <c r="D237" i="11" s="1"/>
  <c r="Q236" i="11"/>
  <c r="D236" i="11" s="1"/>
  <c r="Q235" i="11"/>
  <c r="D235" i="11" s="1"/>
  <c r="K235" i="11" s="1"/>
  <c r="Q234" i="11"/>
  <c r="D234" i="11" s="1"/>
  <c r="I234" i="11" s="1"/>
  <c r="Q233" i="11"/>
  <c r="D233" i="11" s="1"/>
  <c r="Q232" i="11"/>
  <c r="D232" i="11" s="1"/>
  <c r="Q231" i="11"/>
  <c r="D231" i="11" s="1"/>
  <c r="I231" i="11" s="1"/>
  <c r="Q230" i="11"/>
  <c r="D230" i="11" s="1"/>
  <c r="K230" i="11" s="1"/>
  <c r="Q229" i="11"/>
  <c r="D229" i="11" s="1"/>
  <c r="Q228" i="11"/>
  <c r="D228" i="11" s="1"/>
  <c r="Q227" i="11"/>
  <c r="D227" i="11" s="1"/>
  <c r="K227" i="11" s="1"/>
  <c r="Q226" i="11"/>
  <c r="D226" i="11" s="1"/>
  <c r="I226" i="11" s="1"/>
  <c r="Q225" i="11"/>
  <c r="D225" i="11" s="1"/>
  <c r="Q224" i="11"/>
  <c r="D224" i="11" s="1"/>
  <c r="Q223" i="11"/>
  <c r="D223" i="11" s="1"/>
  <c r="I223" i="11" s="1"/>
  <c r="Q222" i="11"/>
  <c r="D222" i="11" s="1"/>
  <c r="K222" i="11" s="1"/>
  <c r="Q221" i="11"/>
  <c r="D221" i="11" s="1"/>
  <c r="Q220" i="11"/>
  <c r="D220" i="11" s="1"/>
  <c r="Q219" i="11"/>
  <c r="D219" i="11" s="1"/>
  <c r="K219" i="11" s="1"/>
  <c r="Q218" i="11"/>
  <c r="D218" i="11" s="1"/>
  <c r="I218" i="11" s="1"/>
  <c r="Q217" i="11"/>
  <c r="D217" i="11" s="1"/>
  <c r="Q216" i="11"/>
  <c r="D216" i="11" s="1"/>
  <c r="I216" i="11" s="1"/>
  <c r="Q215" i="11"/>
  <c r="D215" i="11" s="1"/>
  <c r="K215" i="11" s="1"/>
  <c r="Q214" i="11"/>
  <c r="D214" i="11" s="1"/>
  <c r="J214" i="11" s="1"/>
  <c r="Q213" i="11"/>
  <c r="D213" i="11" s="1"/>
  <c r="Q212" i="11"/>
  <c r="D212" i="11" s="1"/>
  <c r="Q211" i="11"/>
  <c r="D211" i="11" s="1"/>
  <c r="K211" i="11" s="1"/>
  <c r="Q210" i="11"/>
  <c r="D210" i="11" s="1"/>
  <c r="Q209" i="11"/>
  <c r="D209" i="11" s="1"/>
  <c r="Q208" i="11"/>
  <c r="D208" i="11" s="1"/>
  <c r="K208" i="11" s="1"/>
  <c r="Q207" i="11"/>
  <c r="D207" i="11" s="1"/>
  <c r="K207" i="11" s="1"/>
  <c r="Q206" i="11"/>
  <c r="D206" i="11" s="1"/>
  <c r="J206" i="11" s="1"/>
  <c r="Q205" i="11"/>
  <c r="D205" i="11" s="1"/>
  <c r="Q204" i="11"/>
  <c r="D204" i="11" s="1"/>
  <c r="K204" i="11" s="1"/>
  <c r="Q203" i="11"/>
  <c r="D203" i="11" s="1"/>
  <c r="K203" i="11" s="1"/>
  <c r="Q202" i="11"/>
  <c r="D202" i="11" s="1"/>
  <c r="I202" i="11" s="1"/>
  <c r="Q201" i="11"/>
  <c r="D201" i="11" s="1"/>
  <c r="K201" i="11" s="1"/>
  <c r="Q200" i="11"/>
  <c r="D200" i="11" s="1"/>
  <c r="Q199" i="11"/>
  <c r="D199" i="11" s="1"/>
  <c r="K199" i="11" s="1"/>
  <c r="Q198" i="11"/>
  <c r="D198" i="11" s="1"/>
  <c r="I198" i="11" s="1"/>
  <c r="Q197" i="11"/>
  <c r="D197" i="11" s="1"/>
  <c r="I197" i="11" s="1"/>
  <c r="Q196" i="11"/>
  <c r="D196" i="11" s="1"/>
  <c r="I196" i="11" s="1"/>
  <c r="Q195" i="11"/>
  <c r="D195" i="11" s="1"/>
  <c r="Q194" i="11"/>
  <c r="D194" i="11" s="1"/>
  <c r="Q193" i="11"/>
  <c r="D193" i="11" s="1"/>
  <c r="K193" i="11" s="1"/>
  <c r="Q192" i="11"/>
  <c r="D192" i="11" s="1"/>
  <c r="Q191" i="11"/>
  <c r="D191" i="11" s="1"/>
  <c r="K191" i="11" s="1"/>
  <c r="Q190" i="11"/>
  <c r="D190" i="11" s="1"/>
  <c r="J190" i="11" s="1"/>
  <c r="Q189" i="11"/>
  <c r="D189" i="11" s="1"/>
  <c r="Q188" i="11"/>
  <c r="D188" i="11" s="1"/>
  <c r="Q187" i="11"/>
  <c r="D187" i="11" s="1"/>
  <c r="Q186" i="11"/>
  <c r="D186" i="11" s="1"/>
  <c r="Q185" i="11"/>
  <c r="D185" i="11" s="1"/>
  <c r="K185" i="11" s="1"/>
  <c r="Q184" i="11"/>
  <c r="D184" i="11" s="1"/>
  <c r="Q183" i="11"/>
  <c r="D183" i="11" s="1"/>
  <c r="K183" i="11" s="1"/>
  <c r="Q182" i="11"/>
  <c r="D182" i="11" s="1"/>
  <c r="J182" i="11" s="1"/>
  <c r="Q181" i="11"/>
  <c r="D181" i="11" s="1"/>
  <c r="Q180" i="11"/>
  <c r="D180" i="11" s="1"/>
  <c r="Q179" i="11"/>
  <c r="D179" i="11" s="1"/>
  <c r="Q178" i="11"/>
  <c r="D178" i="11" s="1"/>
  <c r="K178" i="11" s="1"/>
  <c r="Q177" i="11"/>
  <c r="D177" i="11" s="1"/>
  <c r="J177" i="11" s="1"/>
  <c r="Q176" i="11"/>
  <c r="D176" i="11" s="1"/>
  <c r="I176" i="11" s="1"/>
  <c r="Q175" i="11"/>
  <c r="D175" i="11" s="1"/>
  <c r="K175" i="11" s="1"/>
  <c r="Q174" i="11"/>
  <c r="D174" i="11" s="1"/>
  <c r="J174" i="11" s="1"/>
  <c r="Q173" i="11"/>
  <c r="D173" i="11" s="1"/>
  <c r="Q172" i="11"/>
  <c r="D172" i="11" s="1"/>
  <c r="Q171" i="11"/>
  <c r="D171" i="11" s="1"/>
  <c r="Q170" i="11"/>
  <c r="D170" i="11" s="1"/>
  <c r="K170" i="11" s="1"/>
  <c r="Q169" i="11"/>
  <c r="D169" i="11" s="1"/>
  <c r="J169" i="11" s="1"/>
  <c r="Q168" i="11"/>
  <c r="D168" i="11" s="1"/>
  <c r="Q167" i="11"/>
  <c r="D167" i="11" s="1"/>
  <c r="K167" i="11" s="1"/>
  <c r="Q166" i="11"/>
  <c r="D166" i="11" s="1"/>
  <c r="J166" i="11" s="1"/>
  <c r="Q165" i="11"/>
  <c r="D165" i="11" s="1"/>
  <c r="K165" i="11" s="1"/>
  <c r="Q164" i="11"/>
  <c r="D164" i="11" s="1"/>
  <c r="Q163" i="11"/>
  <c r="D163" i="11" s="1"/>
  <c r="Q162" i="11"/>
  <c r="D162" i="11" s="1"/>
  <c r="K162" i="11" s="1"/>
  <c r="Q161" i="11"/>
  <c r="D161" i="11" s="1"/>
  <c r="J161" i="11" s="1"/>
  <c r="Q160" i="11"/>
  <c r="D160" i="11" s="1"/>
  <c r="I160" i="11" s="1"/>
  <c r="Q159" i="11"/>
  <c r="D159" i="11" s="1"/>
  <c r="Q158" i="11"/>
  <c r="D158" i="11" s="1"/>
  <c r="J158" i="11" s="1"/>
  <c r="Q157" i="11"/>
  <c r="D157" i="11" s="1"/>
  <c r="K157" i="11" s="1"/>
  <c r="Q156" i="11"/>
  <c r="D156" i="11" s="1"/>
  <c r="Q155" i="11"/>
  <c r="D155" i="11" s="1"/>
  <c r="Q154" i="11"/>
  <c r="D154" i="11" s="1"/>
  <c r="Q153" i="11"/>
  <c r="D153" i="11" s="1"/>
  <c r="Q152" i="11"/>
  <c r="D152" i="11" s="1"/>
  <c r="I152" i="11" s="1"/>
  <c r="Q151" i="11"/>
  <c r="D151" i="11" s="1"/>
  <c r="K151" i="11" s="1"/>
  <c r="Q150" i="11"/>
  <c r="D150" i="11" s="1"/>
  <c r="Q149" i="11"/>
  <c r="D149" i="11" s="1"/>
  <c r="Q148" i="11"/>
  <c r="D148" i="11" s="1"/>
  <c r="Q147" i="11"/>
  <c r="D147" i="11" s="1"/>
  <c r="Q146" i="11"/>
  <c r="D146" i="11" s="1"/>
  <c r="K146" i="11" s="1"/>
  <c r="Q145" i="11"/>
  <c r="D145" i="11" s="1"/>
  <c r="J145" i="11" s="1"/>
  <c r="Q144" i="11"/>
  <c r="D144" i="11" s="1"/>
  <c r="Q143" i="11"/>
  <c r="D143" i="11" s="1"/>
  <c r="I143" i="11" s="1"/>
  <c r="Q142" i="11"/>
  <c r="D142" i="11" s="1"/>
  <c r="Q141" i="11"/>
  <c r="D141" i="11" s="1"/>
  <c r="K141" i="11" s="1"/>
  <c r="Q140" i="11"/>
  <c r="D140" i="11" s="1"/>
  <c r="Q139" i="11"/>
  <c r="D139" i="11" s="1"/>
  <c r="Q138" i="11"/>
  <c r="D138" i="11" s="1"/>
  <c r="K138" i="11" s="1"/>
  <c r="Q137" i="11"/>
  <c r="D137" i="11" s="1"/>
  <c r="I137" i="11" s="1"/>
  <c r="Q136" i="11"/>
  <c r="D136" i="11" s="1"/>
  <c r="J136" i="11" s="1"/>
  <c r="Q135" i="11"/>
  <c r="D135" i="11" s="1"/>
  <c r="J135" i="11" s="1"/>
  <c r="Q134" i="11"/>
  <c r="D134" i="11" s="1"/>
  <c r="Q133" i="11"/>
  <c r="D133" i="11" s="1"/>
  <c r="Q132" i="11"/>
  <c r="D132" i="11" s="1"/>
  <c r="Q131" i="11"/>
  <c r="D131" i="11" s="1"/>
  <c r="Q130" i="11"/>
  <c r="D130" i="11" s="1"/>
  <c r="K130" i="11" s="1"/>
  <c r="Q129" i="11"/>
  <c r="D129" i="11" s="1"/>
  <c r="I129" i="11" s="1"/>
  <c r="Q128" i="11"/>
  <c r="D128" i="11" s="1"/>
  <c r="J128" i="11" s="1"/>
  <c r="Q127" i="11"/>
  <c r="D127" i="11" s="1"/>
  <c r="J127" i="11" s="1"/>
  <c r="Q126" i="11"/>
  <c r="D126" i="11" s="1"/>
  <c r="Q125" i="11"/>
  <c r="D125" i="11" s="1"/>
  <c r="Q124" i="11"/>
  <c r="D124" i="11" s="1"/>
  <c r="Q123" i="11"/>
  <c r="D123" i="11" s="1"/>
  <c r="Q122" i="11"/>
  <c r="D122" i="11" s="1"/>
  <c r="K122" i="11" s="1"/>
  <c r="Q121" i="11"/>
  <c r="D121" i="11" s="1"/>
  <c r="Q120" i="11"/>
  <c r="D120" i="11" s="1"/>
  <c r="Q119" i="11"/>
  <c r="D119" i="11" s="1"/>
  <c r="Q118" i="11"/>
  <c r="D118" i="11" s="1"/>
  <c r="K118" i="11" s="1"/>
  <c r="Q117" i="11"/>
  <c r="D117" i="11" s="1"/>
  <c r="K117" i="11" s="1"/>
  <c r="Q116" i="11"/>
  <c r="D116" i="11" s="1"/>
  <c r="Q115" i="11"/>
  <c r="D115" i="11" s="1"/>
  <c r="Q114" i="11"/>
  <c r="D114" i="11" s="1"/>
  <c r="Q113" i="11"/>
  <c r="D113" i="11" s="1"/>
  <c r="Q104" i="11"/>
  <c r="L104" i="11"/>
  <c r="Q103" i="11"/>
  <c r="L103" i="11"/>
  <c r="Q102" i="11"/>
  <c r="L102" i="11"/>
  <c r="Q101" i="11"/>
  <c r="L101" i="11"/>
  <c r="Q100" i="11"/>
  <c r="L100" i="11"/>
  <c r="Q99" i="11"/>
  <c r="L99" i="11"/>
  <c r="Q98" i="11"/>
  <c r="L98" i="11"/>
  <c r="Q97" i="11"/>
  <c r="L97" i="11"/>
  <c r="Q96" i="11"/>
  <c r="L96" i="11"/>
  <c r="Q95" i="11"/>
  <c r="L95" i="11"/>
  <c r="Q94" i="11"/>
  <c r="L94" i="11"/>
  <c r="Q93" i="11"/>
  <c r="L93" i="11"/>
  <c r="K89" i="11"/>
  <c r="J89" i="11"/>
  <c r="I89" i="11"/>
  <c r="L89" i="11" s="1"/>
  <c r="D89" i="11"/>
  <c r="K88" i="11"/>
  <c r="J88" i="11"/>
  <c r="L88" i="11" s="1"/>
  <c r="I88" i="11"/>
  <c r="E88" i="11"/>
  <c r="D88" i="11"/>
  <c r="K87" i="11"/>
  <c r="J87" i="11"/>
  <c r="I87" i="11"/>
  <c r="L87" i="11" s="1"/>
  <c r="E87" i="11"/>
  <c r="K83" i="11"/>
  <c r="J83" i="11"/>
  <c r="I83" i="11"/>
  <c r="L83" i="11" s="1"/>
  <c r="H83" i="11"/>
  <c r="K82" i="11"/>
  <c r="J82" i="11"/>
  <c r="I82" i="11"/>
  <c r="L82" i="11" s="1"/>
  <c r="K81" i="11"/>
  <c r="J81" i="11"/>
  <c r="I81" i="11"/>
  <c r="H81" i="11"/>
  <c r="H80" i="11"/>
  <c r="G80" i="11"/>
  <c r="F80" i="11"/>
  <c r="K79" i="11"/>
  <c r="J79" i="11"/>
  <c r="I79" i="11"/>
  <c r="H79" i="11"/>
  <c r="H71" i="11"/>
  <c r="H70" i="11"/>
  <c r="E70" i="11"/>
  <c r="H69" i="11"/>
  <c r="H68" i="11"/>
  <c r="I67" i="11"/>
  <c r="L67" i="11" s="1"/>
  <c r="H66" i="11"/>
  <c r="H65" i="11"/>
  <c r="H64" i="11"/>
  <c r="B59" i="11"/>
  <c r="E351" i="11"/>
  <c r="K351" i="11" s="1"/>
  <c r="B58" i="11"/>
  <c r="I57" i="11"/>
  <c r="L57" i="11" s="1"/>
  <c r="B57" i="11"/>
  <c r="G56" i="11"/>
  <c r="J501" i="11" s="1"/>
  <c r="L501" i="11" s="1"/>
  <c r="B56" i="11"/>
  <c r="K55" i="11"/>
  <c r="J55" i="11"/>
  <c r="I55" i="11"/>
  <c r="L55" i="11" s="1"/>
  <c r="B55" i="11"/>
  <c r="H54" i="11"/>
  <c r="H55" i="11" s="1"/>
  <c r="B54" i="11"/>
  <c r="B53" i="11"/>
  <c r="B52" i="11"/>
  <c r="B51" i="11"/>
  <c r="B50" i="11"/>
  <c r="H49" i="11"/>
  <c r="H249" i="11" s="1"/>
  <c r="B49" i="11"/>
  <c r="H48" i="11"/>
  <c r="H52" i="11" s="1"/>
  <c r="B48" i="11"/>
  <c r="B47" i="11"/>
  <c r="B46" i="11"/>
  <c r="B45" i="11"/>
  <c r="B44" i="11"/>
  <c r="B43" i="11"/>
  <c r="B42" i="11"/>
  <c r="H41" i="11"/>
  <c r="H45" i="11" s="1"/>
  <c r="B41" i="11"/>
  <c r="F36" i="11"/>
  <c r="F35" i="11"/>
  <c r="F34" i="11"/>
  <c r="F33" i="11"/>
  <c r="F32" i="11"/>
  <c r="F31" i="11"/>
  <c r="F30" i="11"/>
  <c r="F29" i="11"/>
  <c r="F28" i="11"/>
  <c r="F27" i="11"/>
  <c r="F26" i="11"/>
  <c r="G21" i="11"/>
  <c r="B21" i="11"/>
  <c r="K20" i="11"/>
  <c r="J20" i="11"/>
  <c r="I20" i="11"/>
  <c r="B20" i="11"/>
  <c r="H19" i="11"/>
  <c r="H20" i="11" s="1"/>
  <c r="B19" i="11"/>
  <c r="H18" i="11"/>
  <c r="B18" i="11"/>
  <c r="I17" i="11"/>
  <c r="L17" i="11" s="1"/>
  <c r="B17" i="11"/>
  <c r="B16" i="11"/>
  <c r="H15" i="11"/>
  <c r="B15" i="11"/>
  <c r="S14" i="11"/>
  <c r="K14" i="11"/>
  <c r="J14" i="11"/>
  <c r="I14" i="11"/>
  <c r="L14" i="11" s="1"/>
  <c r="B14" i="11"/>
  <c r="S13" i="11"/>
  <c r="K13" i="11"/>
  <c r="J13" i="11"/>
  <c r="I13" i="11"/>
  <c r="B13" i="11"/>
  <c r="B12" i="11"/>
  <c r="B11" i="11"/>
  <c r="B10" i="11"/>
  <c r="B9" i="11"/>
  <c r="BQ149" i="20" l="1"/>
  <c r="BR149" i="20" s="1"/>
  <c r="BS149" i="20" s="1"/>
  <c r="CB149" i="20" s="1"/>
  <c r="F149" i="21" s="1"/>
  <c r="BQ152" i="20"/>
  <c r="BR152" i="20" s="1"/>
  <c r="BS152" i="20" s="1"/>
  <c r="CB152" i="20" s="1"/>
  <c r="F152" i="21" s="1"/>
  <c r="BQ148" i="20"/>
  <c r="BR148" i="20" s="1"/>
  <c r="BS148" i="20" s="1"/>
  <c r="CB148" i="20" s="1"/>
  <c r="F148" i="21" s="1"/>
  <c r="BQ153" i="20"/>
  <c r="BR153" i="20" s="1"/>
  <c r="BS153" i="20" s="1"/>
  <c r="CB153" i="20" s="1"/>
  <c r="F153" i="21" s="1"/>
  <c r="BQ154" i="20"/>
  <c r="BR154" i="20" s="1"/>
  <c r="BS154" i="20" s="1"/>
  <c r="CB154" i="20" s="1"/>
  <c r="F154" i="21" s="1"/>
  <c r="BQ150" i="20"/>
  <c r="BR150" i="20" s="1"/>
  <c r="BS150" i="20" s="1"/>
  <c r="CB150" i="20" s="1"/>
  <c r="F150" i="21" s="1"/>
  <c r="BQ146" i="20"/>
  <c r="BR146" i="20" s="1"/>
  <c r="BS146" i="20" s="1"/>
  <c r="CB146" i="20" s="1"/>
  <c r="F146" i="21" s="1"/>
  <c r="BQ151" i="20"/>
  <c r="BR151" i="20" s="1"/>
  <c r="BS151" i="20" s="1"/>
  <c r="CB151" i="20" s="1"/>
  <c r="F151" i="21" s="1"/>
  <c r="BQ147" i="20"/>
  <c r="BR147" i="20" s="1"/>
  <c r="BS147" i="20" s="1"/>
  <c r="CB147" i="20" s="1"/>
  <c r="F147" i="21" s="1"/>
  <c r="BQ145" i="20"/>
  <c r="BR145" i="20" s="1"/>
  <c r="BS145" i="20" s="1"/>
  <c r="CB145" i="20" s="1"/>
  <c r="F145" i="21" s="1"/>
  <c r="BQ136" i="20"/>
  <c r="BR136" i="20" s="1"/>
  <c r="BS136" i="20" s="1"/>
  <c r="CB136" i="20" s="1"/>
  <c r="F136" i="21" s="1"/>
  <c r="J6" i="16" a="1"/>
  <c r="J6" i="16" s="1"/>
  <c r="BQ120" i="20"/>
  <c r="BR120" i="20" s="1"/>
  <c r="BS120" i="20" s="1"/>
  <c r="CB120" i="20" s="1"/>
  <c r="F120" i="21" s="1"/>
  <c r="CE27" i="20"/>
  <c r="CE19" i="20"/>
  <c r="I19" i="21" s="1"/>
  <c r="CE11" i="20"/>
  <c r="CE203" i="20"/>
  <c r="CE30" i="20"/>
  <c r="CE22" i="20"/>
  <c r="I22" i="21" s="1"/>
  <c r="CE14" i="20"/>
  <c r="CE206" i="20"/>
  <c r="CE16" i="20"/>
  <c r="I16" i="21" s="1"/>
  <c r="CE25" i="20"/>
  <c r="I25" i="21" s="1"/>
  <c r="CE17" i="20"/>
  <c r="I17" i="21" s="1"/>
  <c r="CE199" i="20"/>
  <c r="I199" i="21" s="1"/>
  <c r="CE28" i="20"/>
  <c r="CE20" i="20"/>
  <c r="I20" i="21" s="1"/>
  <c r="CE12" i="20"/>
  <c r="CE207" i="20"/>
  <c r="CE204" i="20"/>
  <c r="CE23" i="20"/>
  <c r="I23" i="21" s="1"/>
  <c r="CE15" i="20"/>
  <c r="CE208" i="20"/>
  <c r="CE26" i="20"/>
  <c r="CE18" i="20"/>
  <c r="I18" i="21" s="1"/>
  <c r="CE202" i="20"/>
  <c r="CE201" i="20"/>
  <c r="CE29" i="20"/>
  <c r="CE21" i="20"/>
  <c r="I21" i="21" s="1"/>
  <c r="CE13" i="20"/>
  <c r="CE205" i="20"/>
  <c r="CE200" i="20"/>
  <c r="CE24" i="20"/>
  <c r="I24" i="21" s="1"/>
  <c r="L13" i="11"/>
  <c r="L79" i="11"/>
  <c r="L201" i="20"/>
  <c r="L206" i="20"/>
  <c r="L200" i="20"/>
  <c r="L202" i="20"/>
  <c r="L207" i="20"/>
  <c r="L199" i="20"/>
  <c r="L208" i="20"/>
  <c r="L205" i="20"/>
  <c r="L204" i="20"/>
  <c r="L203" i="20"/>
  <c r="L18" i="20"/>
  <c r="L19" i="20"/>
  <c r="L20" i="20"/>
  <c r="L21" i="20"/>
  <c r="L22" i="20"/>
  <c r="L16" i="20"/>
  <c r="L23" i="20"/>
  <c r="L24" i="20"/>
  <c r="L25" i="20"/>
  <c r="L17" i="20"/>
  <c r="CH14" i="20"/>
  <c r="L14" i="21" s="1"/>
  <c r="BZ13" i="20"/>
  <c r="D13" i="21" s="1"/>
  <c r="BY13" i="20"/>
  <c r="C13" i="21" s="1"/>
  <c r="CA14" i="20"/>
  <c r="E14" i="21" s="1"/>
  <c r="CH12" i="20"/>
  <c r="L12" i="21" s="1"/>
  <c r="CA200" i="20"/>
  <c r="CA13" i="20"/>
  <c r="E13" i="21" s="1"/>
  <c r="BZ14" i="20"/>
  <c r="D14" i="21" s="1"/>
  <c r="CH200" i="20"/>
  <c r="BZ200" i="20"/>
  <c r="BY14" i="20"/>
  <c r="C14" i="21" s="1"/>
  <c r="CA12" i="20"/>
  <c r="E12" i="21" s="1"/>
  <c r="BY200" i="20"/>
  <c r="C200" i="21" s="1"/>
  <c r="CH13" i="20"/>
  <c r="L13" i="21" s="1"/>
  <c r="BZ12" i="20"/>
  <c r="D12" i="21" s="1"/>
  <c r="BY12" i="20"/>
  <c r="C12" i="21" s="1"/>
  <c r="L20" i="11"/>
  <c r="BY465" i="20"/>
  <c r="C393" i="21" s="1"/>
  <c r="CA463" i="20"/>
  <c r="E391" i="21" s="1"/>
  <c r="BZ460" i="20"/>
  <c r="D388" i="21" s="1"/>
  <c r="BY457" i="20"/>
  <c r="C385" i="21" s="1"/>
  <c r="CA465" i="20"/>
  <c r="E393" i="21" s="1"/>
  <c r="BZ463" i="20"/>
  <c r="D391" i="21" s="1"/>
  <c r="BY460" i="20"/>
  <c r="C388" i="21" s="1"/>
  <c r="CA458" i="20"/>
  <c r="E386" i="21" s="1"/>
  <c r="BY463" i="20"/>
  <c r="C391" i="21" s="1"/>
  <c r="CA461" i="20"/>
  <c r="E389" i="21" s="1"/>
  <c r="BZ458" i="20"/>
  <c r="D386" i="21" s="1"/>
  <c r="BZ462" i="20"/>
  <c r="D390" i="21" s="1"/>
  <c r="CA457" i="20"/>
  <c r="E385" i="21" s="1"/>
  <c r="CA464" i="20"/>
  <c r="E392" i="21" s="1"/>
  <c r="BZ461" i="20"/>
  <c r="D389" i="21" s="1"/>
  <c r="BY458" i="20"/>
  <c r="C386" i="21" s="1"/>
  <c r="CA456" i="20"/>
  <c r="E384" i="21" s="1"/>
  <c r="BY459" i="20"/>
  <c r="C387" i="21" s="1"/>
  <c r="BZ464" i="20"/>
  <c r="D392" i="21" s="1"/>
  <c r="BY461" i="20"/>
  <c r="C389" i="21" s="1"/>
  <c r="CA459" i="20"/>
  <c r="E387" i="21" s="1"/>
  <c r="BZ456" i="20"/>
  <c r="D384" i="21" s="1"/>
  <c r="BY464" i="20"/>
  <c r="C392" i="21" s="1"/>
  <c r="CA462" i="20"/>
  <c r="E390" i="21" s="1"/>
  <c r="BZ459" i="20"/>
  <c r="D387" i="21" s="1"/>
  <c r="BZ465" i="20"/>
  <c r="D393" i="21" s="1"/>
  <c r="BY462" i="20"/>
  <c r="C390" i="21" s="1"/>
  <c r="CA460" i="20"/>
  <c r="E388" i="21" s="1"/>
  <c r="BZ457" i="20"/>
  <c r="D385" i="21" s="1"/>
  <c r="BY456" i="20"/>
  <c r="C384" i="21" s="1"/>
  <c r="X50" i="20"/>
  <c r="X46" i="20"/>
  <c r="X47" i="20"/>
  <c r="X45" i="20"/>
  <c r="X48" i="20"/>
  <c r="X44" i="20"/>
  <c r="X49" i="20"/>
  <c r="BY101" i="20"/>
  <c r="C101" i="21" s="1"/>
  <c r="I981" i="11"/>
  <c r="L981" i="11" s="1"/>
  <c r="I993" i="11"/>
  <c r="L993" i="11" s="1"/>
  <c r="I940" i="11"/>
  <c r="L940" i="11" s="1"/>
  <c r="I997" i="11"/>
  <c r="L997" i="11" s="1"/>
  <c r="N1003" i="11"/>
  <c r="Q1003" i="11" s="1"/>
  <c r="I999" i="11"/>
  <c r="L999" i="11" s="1"/>
  <c r="I6" i="16" a="1"/>
  <c r="I6" i="16" s="1"/>
  <c r="I985" i="11"/>
  <c r="L985" i="11" s="1"/>
  <c r="I975" i="11"/>
  <c r="L975" i="11" s="1"/>
  <c r="I989" i="11"/>
  <c r="L989" i="11" s="1"/>
  <c r="L1050" i="11"/>
  <c r="E80" i="11"/>
  <c r="I80" i="11" s="1"/>
  <c r="I978" i="11"/>
  <c r="L978" i="11" s="1"/>
  <c r="I1001" i="11"/>
  <c r="L1001" i="11" s="1"/>
  <c r="C124" i="3"/>
  <c r="C123" i="3"/>
  <c r="C142" i="3"/>
  <c r="C143" i="3" s="1"/>
  <c r="C146" i="3" s="1"/>
  <c r="C141" i="3"/>
  <c r="B46" i="20"/>
  <c r="B46" i="21" s="1"/>
  <c r="B71" i="20"/>
  <c r="B71" i="21" s="1"/>
  <c r="B107" i="20"/>
  <c r="B107" i="21" s="1"/>
  <c r="B17" i="20"/>
  <c r="B17" i="21" s="1"/>
  <c r="B53" i="20"/>
  <c r="B53" i="21" s="1"/>
  <c r="B89" i="20"/>
  <c r="B89" i="21" s="1"/>
  <c r="I253" i="11"/>
  <c r="J253" i="11"/>
  <c r="K253" i="11"/>
  <c r="L160" i="11"/>
  <c r="L81" i="11"/>
  <c r="L30" i="20"/>
  <c r="L12" i="20"/>
  <c r="L14" i="20"/>
  <c r="L26" i="20"/>
  <c r="L27" i="20"/>
  <c r="L28" i="20"/>
  <c r="L15" i="20"/>
  <c r="L29" i="20"/>
  <c r="L11" i="20"/>
  <c r="L13" i="20"/>
  <c r="CA101" i="20"/>
  <c r="E101" i="21" s="1"/>
  <c r="BZ101" i="20"/>
  <c r="D101" i="21" s="1"/>
  <c r="BY102" i="20"/>
  <c r="C102" i="21" s="1"/>
  <c r="BZ108" i="20"/>
  <c r="D108" i="21" s="1"/>
  <c r="BZ107" i="20"/>
  <c r="D107" i="21" s="1"/>
  <c r="CA107" i="20"/>
  <c r="E107" i="21" s="1"/>
  <c r="CA100" i="20"/>
  <c r="E100" i="21" s="1"/>
  <c r="BZ102" i="20"/>
  <c r="D102" i="21" s="1"/>
  <c r="BZ106" i="20"/>
  <c r="D106" i="21" s="1"/>
  <c r="BZ103" i="20"/>
  <c r="D103" i="21" s="1"/>
  <c r="CA108" i="20"/>
  <c r="E108" i="21" s="1"/>
  <c r="BY105" i="20"/>
  <c r="C105" i="21" s="1"/>
  <c r="BY104" i="20"/>
  <c r="C104" i="21" s="1"/>
  <c r="BZ105" i="20"/>
  <c r="D105" i="21" s="1"/>
  <c r="BY106" i="20"/>
  <c r="C106" i="21" s="1"/>
  <c r="BY103" i="20"/>
  <c r="C103" i="21" s="1"/>
  <c r="CA104" i="20"/>
  <c r="E104" i="21" s="1"/>
  <c r="CA105" i="20"/>
  <c r="E105" i="21" s="1"/>
  <c r="BZ100" i="20"/>
  <c r="D100" i="21" s="1"/>
  <c r="BZ104" i="20"/>
  <c r="D104" i="21" s="1"/>
  <c r="CA109" i="20"/>
  <c r="E109" i="21" s="1"/>
  <c r="BY100" i="20"/>
  <c r="C100" i="21" s="1"/>
  <c r="CA106" i="20"/>
  <c r="E106" i="21" s="1"/>
  <c r="CA103" i="20"/>
  <c r="E103" i="21" s="1"/>
  <c r="BY109" i="20"/>
  <c r="C109" i="21" s="1"/>
  <c r="CA102" i="20"/>
  <c r="E102" i="21" s="1"/>
  <c r="BY108" i="20"/>
  <c r="C108" i="21" s="1"/>
  <c r="BZ109" i="20"/>
  <c r="D109" i="21" s="1"/>
  <c r="BY107" i="20"/>
  <c r="C107" i="21" s="1"/>
  <c r="L1022" i="11"/>
  <c r="I1022" i="11"/>
  <c r="L226" i="11"/>
  <c r="B6" i="16" a="1"/>
  <c r="B6" i="16" s="1"/>
  <c r="X73" i="20"/>
  <c r="X69" i="20"/>
  <c r="X64" i="20"/>
  <c r="X54" i="20"/>
  <c r="X43" i="20"/>
  <c r="BZ40" i="20"/>
  <c r="D40" i="21" s="1"/>
  <c r="X39" i="20"/>
  <c r="X70" i="20"/>
  <c r="X65" i="20"/>
  <c r="X55" i="20"/>
  <c r="X51" i="20"/>
  <c r="X40" i="20"/>
  <c r="X90" i="20"/>
  <c r="X86" i="20"/>
  <c r="X84" i="20"/>
  <c r="X71" i="20"/>
  <c r="X67" i="20"/>
  <c r="X52" i="20"/>
  <c r="X41" i="20"/>
  <c r="X91" i="20"/>
  <c r="X87" i="20"/>
  <c r="X82" i="20"/>
  <c r="X85" i="20"/>
  <c r="X72" i="20"/>
  <c r="X68" i="20"/>
  <c r="X53" i="20"/>
  <c r="X42" i="20"/>
  <c r="CH40" i="20"/>
  <c r="L40" i="21" s="1"/>
  <c r="X89" i="20"/>
  <c r="X88" i="20"/>
  <c r="X83" i="20"/>
  <c r="X66" i="20"/>
  <c r="CA40" i="20"/>
  <c r="E40" i="21" s="1"/>
  <c r="BY40" i="20"/>
  <c r="C40" i="21" s="1"/>
  <c r="CA83" i="20"/>
  <c r="E83" i="21" s="1"/>
  <c r="CH65" i="20"/>
  <c r="L65" i="21" s="1"/>
  <c r="BZ83" i="20"/>
  <c r="D83" i="21" s="1"/>
  <c r="BY83" i="20"/>
  <c r="C83" i="21" s="1"/>
  <c r="BY65" i="20"/>
  <c r="C65" i="21" s="1"/>
  <c r="CA65" i="20"/>
  <c r="E65" i="21" s="1"/>
  <c r="BZ65" i="20"/>
  <c r="D65" i="21" s="1"/>
  <c r="CH83" i="20"/>
  <c r="L83" i="21" s="1"/>
  <c r="D6" i="16" a="1"/>
  <c r="D6" i="16" s="1"/>
  <c r="I508" i="11"/>
  <c r="J95" i="11"/>
  <c r="K269" i="11"/>
  <c r="J1042" i="11"/>
  <c r="C45" i="3"/>
  <c r="F43" i="3"/>
  <c r="C705" i="11"/>
  <c r="J740" i="11"/>
  <c r="L740" i="11" s="1"/>
  <c r="J744" i="11"/>
  <c r="L744" i="11" s="1"/>
  <c r="J748" i="11"/>
  <c r="L748" i="11" s="1"/>
  <c r="J756" i="11"/>
  <c r="L756" i="11" s="1"/>
  <c r="I1032" i="11"/>
  <c r="J1038" i="11"/>
  <c r="J1049" i="11"/>
  <c r="L1012" i="11"/>
  <c r="N1038" i="11"/>
  <c r="J757" i="11"/>
  <c r="L757" i="11" s="1"/>
  <c r="I1019" i="11"/>
  <c r="J1045" i="11"/>
  <c r="J741" i="11"/>
  <c r="L741" i="11" s="1"/>
  <c r="I190" i="11"/>
  <c r="L676" i="11"/>
  <c r="L686" i="11"/>
  <c r="J738" i="11"/>
  <c r="L738" i="11" s="1"/>
  <c r="J742" i="11"/>
  <c r="L742" i="11" s="1"/>
  <c r="J746" i="11"/>
  <c r="L746" i="11" s="1"/>
  <c r="J737" i="11"/>
  <c r="L737" i="11" s="1"/>
  <c r="J294" i="11"/>
  <c r="I301" i="11"/>
  <c r="O94" i="11"/>
  <c r="L650" i="11"/>
  <c r="I120" i="11"/>
  <c r="J120" i="11"/>
  <c r="L661" i="11"/>
  <c r="N978" i="11"/>
  <c r="Q978" i="11" s="1"/>
  <c r="I982" i="11"/>
  <c r="L982" i="11" s="1"/>
  <c r="I986" i="11"/>
  <c r="L986" i="11" s="1"/>
  <c r="N989" i="11"/>
  <c r="Q989" i="11" s="1"/>
  <c r="N997" i="11"/>
  <c r="Q997" i="11" s="1"/>
  <c r="N1001" i="11"/>
  <c r="Q1001" i="11" s="1"/>
  <c r="L1021" i="11"/>
  <c r="I1026" i="11"/>
  <c r="N95" i="11"/>
  <c r="L663" i="11"/>
  <c r="L688" i="11"/>
  <c r="I942" i="11"/>
  <c r="L942" i="11" s="1"/>
  <c r="N975" i="11"/>
  <c r="Q975" i="11" s="1"/>
  <c r="I979" i="11"/>
  <c r="L979" i="11" s="1"/>
  <c r="N993" i="11"/>
  <c r="Q993" i="11" s="1"/>
  <c r="N998" i="11"/>
  <c r="Q998" i="11" s="1"/>
  <c r="I976" i="11"/>
  <c r="L976" i="11" s="1"/>
  <c r="N979" i="11"/>
  <c r="Q979" i="11" s="1"/>
  <c r="I983" i="11"/>
  <c r="L983" i="11" s="1"/>
  <c r="N986" i="11"/>
  <c r="Q986" i="11" s="1"/>
  <c r="I990" i="11"/>
  <c r="L990" i="11" s="1"/>
  <c r="N994" i="11"/>
  <c r="Q994" i="11" s="1"/>
  <c r="N1002" i="11"/>
  <c r="Q1002" i="11" s="1"/>
  <c r="L602" i="11"/>
  <c r="L667" i="11"/>
  <c r="N976" i="11"/>
  <c r="Q976" i="11" s="1"/>
  <c r="I980" i="11"/>
  <c r="L980" i="11" s="1"/>
  <c r="N983" i="11"/>
  <c r="Q983" i="11" s="1"/>
  <c r="N990" i="11"/>
  <c r="Q990" i="11" s="1"/>
  <c r="N995" i="11"/>
  <c r="Q995" i="11" s="1"/>
  <c r="N999" i="11"/>
  <c r="Q999" i="11" s="1"/>
  <c r="I1003" i="11"/>
  <c r="L1003" i="11" s="1"/>
  <c r="J1040" i="11"/>
  <c r="I1045" i="11"/>
  <c r="J1050" i="11"/>
  <c r="J97" i="11"/>
  <c r="K107" i="11"/>
  <c r="J199" i="11"/>
  <c r="I977" i="11"/>
  <c r="L977" i="11" s="1"/>
  <c r="N980" i="11"/>
  <c r="Q980" i="11" s="1"/>
  <c r="I984" i="11"/>
  <c r="L984" i="11" s="1"/>
  <c r="I987" i="11"/>
  <c r="L987" i="11" s="1"/>
  <c r="I991" i="11"/>
  <c r="L991" i="11" s="1"/>
  <c r="I1013" i="11"/>
  <c r="I16" i="11"/>
  <c r="L16" i="11" s="1"/>
  <c r="K94" i="11"/>
  <c r="P101" i="11"/>
  <c r="I269" i="11"/>
  <c r="L269" i="11" s="1"/>
  <c r="L649" i="11"/>
  <c r="L586" i="11" s="1"/>
  <c r="L672" i="11"/>
  <c r="N977" i="11"/>
  <c r="Q977" i="11" s="1"/>
  <c r="N987" i="11"/>
  <c r="Q987" i="11" s="1"/>
  <c r="N991" i="11"/>
  <c r="Q991" i="11" s="1"/>
  <c r="N996" i="11"/>
  <c r="Q996" i="11" s="1"/>
  <c r="I1000" i="11"/>
  <c r="L1000" i="11" s="1"/>
  <c r="L664" i="11"/>
  <c r="P94" i="11"/>
  <c r="K98" i="11"/>
  <c r="K102" i="11"/>
  <c r="L673" i="11"/>
  <c r="N974" i="11"/>
  <c r="Q974" i="11" s="1"/>
  <c r="N981" i="11"/>
  <c r="Q981" i="11" s="1"/>
  <c r="N984" i="11"/>
  <c r="Q984" i="11" s="1"/>
  <c r="I988" i="11"/>
  <c r="L988" i="11" s="1"/>
  <c r="N992" i="11"/>
  <c r="Q992" i="11" s="1"/>
  <c r="N1000" i="11"/>
  <c r="Q1000" i="11" s="1"/>
  <c r="I1025" i="11"/>
  <c r="J291" i="11"/>
  <c r="K291" i="11"/>
  <c r="I291" i="11"/>
  <c r="L291" i="11" s="1"/>
  <c r="I237" i="11"/>
  <c r="J237" i="11"/>
  <c r="K237" i="11"/>
  <c r="I136" i="11"/>
  <c r="I215" i="11"/>
  <c r="J143" i="11"/>
  <c r="C701" i="11"/>
  <c r="F701" i="11" s="1"/>
  <c r="I1030" i="11"/>
  <c r="I1034" i="11"/>
  <c r="L1038" i="11"/>
  <c r="J1047" i="11"/>
  <c r="K1050" i="11"/>
  <c r="H21" i="11"/>
  <c r="H46" i="11"/>
  <c r="J99" i="11"/>
  <c r="J103" i="11"/>
  <c r="K120" i="11"/>
  <c r="K190" i="11"/>
  <c r="J235" i="11"/>
  <c r="L651" i="11"/>
  <c r="I941" i="11"/>
  <c r="L941" i="11" s="1"/>
  <c r="I974" i="11"/>
  <c r="L974" i="11" s="1"/>
  <c r="N982" i="11"/>
  <c r="Q982" i="11" s="1"/>
  <c r="N985" i="11"/>
  <c r="Q985" i="11" s="1"/>
  <c r="N988" i="11"/>
  <c r="Q988" i="11" s="1"/>
  <c r="I995" i="11"/>
  <c r="L995" i="11" s="1"/>
  <c r="I1002" i="11"/>
  <c r="L1002" i="11" s="1"/>
  <c r="I1011" i="11"/>
  <c r="I1015" i="11"/>
  <c r="L1031" i="11"/>
  <c r="I1035" i="11"/>
  <c r="N1047" i="11"/>
  <c r="L1047" i="11"/>
  <c r="E83" i="11"/>
  <c r="O95" i="11"/>
  <c r="O99" i="11"/>
  <c r="O103" i="11"/>
  <c r="L653" i="11"/>
  <c r="E81" i="11"/>
  <c r="I96" i="11"/>
  <c r="K100" i="11"/>
  <c r="I104" i="11"/>
  <c r="I128" i="11"/>
  <c r="I214" i="11"/>
  <c r="P93" i="11"/>
  <c r="P96" i="11"/>
  <c r="P104" i="11"/>
  <c r="K266" i="11"/>
  <c r="I278" i="11"/>
  <c r="L278" i="11" s="1"/>
  <c r="K119" i="11"/>
  <c r="I119" i="11"/>
  <c r="K142" i="11"/>
  <c r="J142" i="11"/>
  <c r="I142" i="11"/>
  <c r="K149" i="11"/>
  <c r="I149" i="11"/>
  <c r="K188" i="11"/>
  <c r="J188" i="11"/>
  <c r="I188" i="11"/>
  <c r="K243" i="11"/>
  <c r="J243" i="11"/>
  <c r="I243" i="11"/>
  <c r="I267" i="11"/>
  <c r="K267" i="11"/>
  <c r="I279" i="11"/>
  <c r="K279" i="11"/>
  <c r="J279" i="11"/>
  <c r="J307" i="11"/>
  <c r="I307" i="11"/>
  <c r="I221" i="11"/>
  <c r="J221" i="11"/>
  <c r="K221" i="11"/>
  <c r="I244" i="11"/>
  <c r="J244" i="11"/>
  <c r="L599" i="11"/>
  <c r="K126" i="11"/>
  <c r="I126" i="11"/>
  <c r="I229" i="11"/>
  <c r="J229" i="11"/>
  <c r="K229" i="11"/>
  <c r="J275" i="11"/>
  <c r="I275" i="11"/>
  <c r="I213" i="11"/>
  <c r="K213" i="11"/>
  <c r="J213" i="11"/>
  <c r="K276" i="11"/>
  <c r="I276" i="11"/>
  <c r="K134" i="11"/>
  <c r="I134" i="11"/>
  <c r="K173" i="11"/>
  <c r="I173" i="11"/>
  <c r="I311" i="11"/>
  <c r="K311" i="11"/>
  <c r="J311" i="11"/>
  <c r="I192" i="11"/>
  <c r="J192" i="11"/>
  <c r="I205" i="11"/>
  <c r="K205" i="11"/>
  <c r="J205" i="11"/>
  <c r="K181" i="11"/>
  <c r="I181" i="11"/>
  <c r="K187" i="11"/>
  <c r="I187" i="11"/>
  <c r="I319" i="11"/>
  <c r="K319" i="11"/>
  <c r="J319" i="11"/>
  <c r="I165" i="11"/>
  <c r="L601" i="11"/>
  <c r="H43" i="11"/>
  <c r="J98" i="11"/>
  <c r="H100" i="11"/>
  <c r="O102" i="11"/>
  <c r="K128" i="11"/>
  <c r="K136" i="11"/>
  <c r="I141" i="11"/>
  <c r="I204" i="11"/>
  <c r="I207" i="11"/>
  <c r="I219" i="11"/>
  <c r="I227" i="11"/>
  <c r="J278" i="11"/>
  <c r="I284" i="11"/>
  <c r="K294" i="11"/>
  <c r="J301" i="11"/>
  <c r="E357" i="11"/>
  <c r="E360" i="11"/>
  <c r="L652" i="11"/>
  <c r="C699" i="11"/>
  <c r="L1010" i="11"/>
  <c r="L1018" i="11"/>
  <c r="L1029" i="11"/>
  <c r="J1037" i="11"/>
  <c r="J1043" i="11"/>
  <c r="J1046" i="11"/>
  <c r="L1051" i="11"/>
  <c r="O93" i="11"/>
  <c r="I100" i="11"/>
  <c r="P102" i="11"/>
  <c r="J207" i="11"/>
  <c r="J219" i="11"/>
  <c r="J227" i="11"/>
  <c r="I235" i="11"/>
  <c r="L235" i="11" s="1"/>
  <c r="J284" i="11"/>
  <c r="L670" i="11"/>
  <c r="K1037" i="11"/>
  <c r="I1040" i="11"/>
  <c r="L1043" i="11"/>
  <c r="K1046" i="11"/>
  <c r="I1049" i="11"/>
  <c r="N1051" i="11"/>
  <c r="H124" i="11"/>
  <c r="H50" i="11"/>
  <c r="H53" i="11" s="1"/>
  <c r="H122" i="11"/>
  <c r="L1037" i="11"/>
  <c r="N1043" i="11"/>
  <c r="L1046" i="11"/>
  <c r="I386" i="11"/>
  <c r="BY165" i="20" s="1"/>
  <c r="C165" i="21" s="1"/>
  <c r="N96" i="11"/>
  <c r="P98" i="11"/>
  <c r="N100" i="11"/>
  <c r="N103" i="11"/>
  <c r="I199" i="11"/>
  <c r="L199" i="11" s="1"/>
  <c r="I285" i="11"/>
  <c r="I293" i="11"/>
  <c r="L293" i="11" s="1"/>
  <c r="L502" i="11"/>
  <c r="L606" i="11"/>
  <c r="I157" i="11"/>
  <c r="I308" i="11"/>
  <c r="J293" i="11"/>
  <c r="E358" i="11"/>
  <c r="H118" i="11"/>
  <c r="H132" i="11"/>
  <c r="J197" i="11"/>
  <c r="I99" i="11"/>
  <c r="H51" i="11"/>
  <c r="K97" i="11"/>
  <c r="J203" i="11"/>
  <c r="L604" i="11"/>
  <c r="L722" i="11"/>
  <c r="I114" i="11"/>
  <c r="K114" i="11"/>
  <c r="J114" i="11"/>
  <c r="J140" i="11"/>
  <c r="I140" i="11"/>
  <c r="K140" i="11"/>
  <c r="J115" i="11"/>
  <c r="I115" i="11"/>
  <c r="K115" i="11"/>
  <c r="I121" i="11"/>
  <c r="K121" i="11"/>
  <c r="J121" i="11"/>
  <c r="K116" i="11"/>
  <c r="J116" i="11"/>
  <c r="I116" i="11"/>
  <c r="L116" i="11" s="1"/>
  <c r="K113" i="11"/>
  <c r="J113" i="11"/>
  <c r="I113" i="11"/>
  <c r="K186" i="11"/>
  <c r="I186" i="11"/>
  <c r="J186" i="11"/>
  <c r="I123" i="11"/>
  <c r="K123" i="11"/>
  <c r="J123" i="11"/>
  <c r="I131" i="11"/>
  <c r="K131" i="11"/>
  <c r="J131" i="11"/>
  <c r="J154" i="11"/>
  <c r="I154" i="11"/>
  <c r="K184" i="11"/>
  <c r="J184" i="11"/>
  <c r="I200" i="11"/>
  <c r="K200" i="11"/>
  <c r="J200" i="11"/>
  <c r="I21" i="11"/>
  <c r="H42" i="11"/>
  <c r="J56" i="11"/>
  <c r="K353" i="11"/>
  <c r="J353" i="11"/>
  <c r="I353" i="11"/>
  <c r="J80" i="11"/>
  <c r="N93" i="11"/>
  <c r="K95" i="11"/>
  <c r="J96" i="11"/>
  <c r="I97" i="11"/>
  <c r="H98" i="11"/>
  <c r="P99" i="11"/>
  <c r="O100" i="11"/>
  <c r="N101" i="11"/>
  <c r="K103" i="11"/>
  <c r="J104" i="11"/>
  <c r="I107" i="11"/>
  <c r="K127" i="11"/>
  <c r="K129" i="11"/>
  <c r="K135" i="11"/>
  <c r="K137" i="11"/>
  <c r="K153" i="11"/>
  <c r="I153" i="11"/>
  <c r="J159" i="11"/>
  <c r="I159" i="11"/>
  <c r="I163" i="11"/>
  <c r="K163" i="11"/>
  <c r="J163" i="11"/>
  <c r="K166" i="11"/>
  <c r="I166" i="11"/>
  <c r="K168" i="11"/>
  <c r="J168" i="11"/>
  <c r="H172" i="11"/>
  <c r="H175" i="11"/>
  <c r="I184" i="11"/>
  <c r="K212" i="11"/>
  <c r="J212" i="11"/>
  <c r="I212" i="11"/>
  <c r="J241" i="11"/>
  <c r="I241" i="11"/>
  <c r="K241" i="11"/>
  <c r="K270" i="11"/>
  <c r="J270" i="11"/>
  <c r="I270" i="11"/>
  <c r="K80" i="11"/>
  <c r="N94" i="11"/>
  <c r="K96" i="11"/>
  <c r="I98" i="11"/>
  <c r="H99" i="11"/>
  <c r="P100" i="11"/>
  <c r="O101" i="11"/>
  <c r="N102" i="11"/>
  <c r="K104" i="11"/>
  <c r="J107" i="11"/>
  <c r="H119" i="11"/>
  <c r="J124" i="11"/>
  <c r="I124" i="11"/>
  <c r="K124" i="11"/>
  <c r="H126" i="11"/>
  <c r="J132" i="11"/>
  <c r="I132" i="11"/>
  <c r="K132" i="11"/>
  <c r="H134" i="11"/>
  <c r="H140" i="11"/>
  <c r="K144" i="11"/>
  <c r="J144" i="11"/>
  <c r="H148" i="11"/>
  <c r="H151" i="11"/>
  <c r="K154" i="11"/>
  <c r="J172" i="11"/>
  <c r="I172" i="11"/>
  <c r="K172" i="11"/>
  <c r="J178" i="11"/>
  <c r="I178" i="11"/>
  <c r="I247" i="11"/>
  <c r="K247" i="11"/>
  <c r="J247" i="11"/>
  <c r="I263" i="11"/>
  <c r="J263" i="11"/>
  <c r="K263" i="11"/>
  <c r="K309" i="11"/>
  <c r="J309" i="11"/>
  <c r="I309" i="11"/>
  <c r="J175" i="11"/>
  <c r="I175" i="11"/>
  <c r="I179" i="11"/>
  <c r="K179" i="11"/>
  <c r="J179" i="11"/>
  <c r="I208" i="11"/>
  <c r="L208" i="11" s="1"/>
  <c r="J208" i="11"/>
  <c r="K242" i="11"/>
  <c r="J242" i="11"/>
  <c r="I242" i="11"/>
  <c r="H93" i="11"/>
  <c r="H101" i="11"/>
  <c r="N104" i="11"/>
  <c r="N107" i="11"/>
  <c r="H117" i="11"/>
  <c r="I118" i="11"/>
  <c r="J119" i="11"/>
  <c r="J126" i="11"/>
  <c r="J134" i="11"/>
  <c r="H143" i="11"/>
  <c r="K145" i="11"/>
  <c r="I145" i="11"/>
  <c r="J151" i="11"/>
  <c r="I151" i="11"/>
  <c r="I155" i="11"/>
  <c r="K155" i="11"/>
  <c r="J155" i="11"/>
  <c r="K158" i="11"/>
  <c r="I158" i="11"/>
  <c r="K160" i="11"/>
  <c r="J160" i="11"/>
  <c r="H164" i="11"/>
  <c r="H167" i="11"/>
  <c r="I220" i="11"/>
  <c r="K220" i="11"/>
  <c r="J220" i="11"/>
  <c r="J268" i="11"/>
  <c r="K268" i="11"/>
  <c r="I268" i="11"/>
  <c r="J21" i="11"/>
  <c r="H44" i="11"/>
  <c r="J352" i="11"/>
  <c r="I352" i="11"/>
  <c r="K352" i="11"/>
  <c r="H56" i="11"/>
  <c r="I93" i="11"/>
  <c r="H94" i="11"/>
  <c r="P95" i="11"/>
  <c r="O96" i="11"/>
  <c r="N97" i="11"/>
  <c r="K99" i="11"/>
  <c r="J100" i="11"/>
  <c r="I101" i="11"/>
  <c r="H102" i="11"/>
  <c r="P103" i="11"/>
  <c r="O104" i="11"/>
  <c r="O107" i="11"/>
  <c r="H116" i="11"/>
  <c r="I117" i="11"/>
  <c r="J118" i="11"/>
  <c r="K125" i="11"/>
  <c r="J125" i="11"/>
  <c r="K133" i="11"/>
  <c r="J133" i="11"/>
  <c r="J138" i="11"/>
  <c r="I138" i="11"/>
  <c r="H141" i="11"/>
  <c r="J164" i="11"/>
  <c r="I164" i="11"/>
  <c r="K164" i="11"/>
  <c r="J170" i="11"/>
  <c r="I170" i="11"/>
  <c r="J185" i="11"/>
  <c r="I185" i="11"/>
  <c r="K194" i="11"/>
  <c r="J194" i="11"/>
  <c r="I194" i="11"/>
  <c r="J217" i="11"/>
  <c r="I217" i="11"/>
  <c r="K217" i="11"/>
  <c r="K224" i="11"/>
  <c r="I224" i="11"/>
  <c r="J224" i="11"/>
  <c r="I228" i="11"/>
  <c r="K228" i="11"/>
  <c r="J228" i="11"/>
  <c r="K169" i="11"/>
  <c r="I169" i="11"/>
  <c r="K306" i="11"/>
  <c r="I306" i="11"/>
  <c r="J306" i="11"/>
  <c r="H318" i="11"/>
  <c r="H310" i="11"/>
  <c r="H302" i="11"/>
  <c r="H294" i="11"/>
  <c r="H286" i="11"/>
  <c r="H278" i="11"/>
  <c r="H270" i="11"/>
  <c r="H262" i="11"/>
  <c r="H254" i="11"/>
  <c r="H246" i="11"/>
  <c r="H359" i="11"/>
  <c r="H319" i="11"/>
  <c r="H311" i="11"/>
  <c r="H303" i="11"/>
  <c r="H295" i="11"/>
  <c r="H287" i="11"/>
  <c r="H279" i="11"/>
  <c r="H352" i="11"/>
  <c r="H320" i="11"/>
  <c r="H321" i="11"/>
  <c r="H313" i="11"/>
  <c r="H305" i="11"/>
  <c r="H297" i="11"/>
  <c r="H289" i="11"/>
  <c r="H281" i="11"/>
  <c r="H273" i="11"/>
  <c r="H322" i="11"/>
  <c r="H314" i="11"/>
  <c r="H317" i="11"/>
  <c r="H315" i="11"/>
  <c r="H309" i="11"/>
  <c r="H299" i="11"/>
  <c r="H282" i="11"/>
  <c r="H277" i="11"/>
  <c r="H253" i="11"/>
  <c r="H244" i="11"/>
  <c r="H237" i="11"/>
  <c r="H229" i="11"/>
  <c r="H221" i="11"/>
  <c r="H307" i="11"/>
  <c r="H290" i="11"/>
  <c r="H285" i="11"/>
  <c r="H275" i="11"/>
  <c r="H268" i="11"/>
  <c r="H245" i="11"/>
  <c r="H239" i="11"/>
  <c r="H231" i="11"/>
  <c r="H223" i="11"/>
  <c r="H215" i="11"/>
  <c r="H207" i="11"/>
  <c r="H199" i="11"/>
  <c r="H191" i="11"/>
  <c r="H323" i="11"/>
  <c r="H312" i="11"/>
  <c r="H300" i="11"/>
  <c r="H288" i="11"/>
  <c r="H264" i="11"/>
  <c r="H259" i="11"/>
  <c r="H255" i="11"/>
  <c r="H250" i="11"/>
  <c r="H240" i="11"/>
  <c r="H232" i="11"/>
  <c r="H224" i="11"/>
  <c r="H216" i="11"/>
  <c r="H208" i="11"/>
  <c r="H200" i="11"/>
  <c r="H192" i="11"/>
  <c r="H306" i="11"/>
  <c r="H301" i="11"/>
  <c r="H291" i="11"/>
  <c r="H274" i="11"/>
  <c r="H261" i="11"/>
  <c r="H304" i="11"/>
  <c r="H284" i="11"/>
  <c r="H271" i="11"/>
  <c r="H266" i="11"/>
  <c r="H257" i="11"/>
  <c r="H248" i="11"/>
  <c r="H243" i="11"/>
  <c r="H236" i="11"/>
  <c r="H228" i="11"/>
  <c r="H220" i="11"/>
  <c r="H212" i="11"/>
  <c r="H204" i="11"/>
  <c r="H196" i="11"/>
  <c r="H188" i="11"/>
  <c r="H308" i="11"/>
  <c r="H242" i="11"/>
  <c r="H234" i="11"/>
  <c r="H226" i="11"/>
  <c r="H218" i="11"/>
  <c r="H206" i="11"/>
  <c r="H201" i="11"/>
  <c r="H178" i="11"/>
  <c r="H170" i="11"/>
  <c r="H162" i="11"/>
  <c r="H154" i="11"/>
  <c r="H146" i="11"/>
  <c r="H138" i="11"/>
  <c r="H130" i="11"/>
  <c r="H296" i="11"/>
  <c r="H283" i="11"/>
  <c r="H280" i="11"/>
  <c r="H272" i="11"/>
  <c r="H265" i="11"/>
  <c r="H211" i="11"/>
  <c r="H194" i="11"/>
  <c r="H189" i="11"/>
  <c r="H186" i="11"/>
  <c r="H179" i="11"/>
  <c r="H171" i="11"/>
  <c r="H163" i="11"/>
  <c r="H155" i="11"/>
  <c r="H147" i="11"/>
  <c r="H139" i="11"/>
  <c r="H131" i="11"/>
  <c r="H123" i="11"/>
  <c r="H267" i="11"/>
  <c r="H252" i="11"/>
  <c r="H214" i="11"/>
  <c r="H209" i="11"/>
  <c r="H298" i="11"/>
  <c r="H256" i="11"/>
  <c r="H202" i="11"/>
  <c r="H197" i="11"/>
  <c r="H187" i="11"/>
  <c r="H181" i="11"/>
  <c r="H173" i="11"/>
  <c r="H165" i="11"/>
  <c r="H157" i="11"/>
  <c r="H149" i="11"/>
  <c r="H316" i="11"/>
  <c r="H293" i="11"/>
  <c r="H269" i="11"/>
  <c r="H247" i="11"/>
  <c r="H241" i="11"/>
  <c r="H235" i="11"/>
  <c r="H233" i="11"/>
  <c r="H227" i="11"/>
  <c r="H225" i="11"/>
  <c r="H219" i="11"/>
  <c r="H217" i="11"/>
  <c r="H190" i="11"/>
  <c r="H182" i="11"/>
  <c r="H174" i="11"/>
  <c r="H166" i="11"/>
  <c r="H158" i="11"/>
  <c r="H150" i="11"/>
  <c r="H142" i="11"/>
  <c r="H292" i="11"/>
  <c r="H276" i="11"/>
  <c r="H263" i="11"/>
  <c r="H251" i="11"/>
  <c r="H198" i="11"/>
  <c r="H193" i="11"/>
  <c r="H184" i="11"/>
  <c r="H176" i="11"/>
  <c r="H168" i="11"/>
  <c r="H160" i="11"/>
  <c r="H152" i="11"/>
  <c r="H144" i="11"/>
  <c r="H136" i="11"/>
  <c r="H128" i="11"/>
  <c r="H260" i="11"/>
  <c r="H238" i="11"/>
  <c r="H230" i="11"/>
  <c r="H222" i="11"/>
  <c r="H213" i="11"/>
  <c r="H203" i="11"/>
  <c r="H185" i="11"/>
  <c r="H177" i="11"/>
  <c r="H169" i="11"/>
  <c r="H161" i="11"/>
  <c r="H153" i="11"/>
  <c r="H145" i="11"/>
  <c r="H137" i="11"/>
  <c r="H129" i="11"/>
  <c r="H121" i="11"/>
  <c r="K21" i="11"/>
  <c r="H47" i="11"/>
  <c r="E354" i="11"/>
  <c r="E330" i="11"/>
  <c r="E355" i="11"/>
  <c r="E331" i="11"/>
  <c r="I56" i="11"/>
  <c r="J351" i="11"/>
  <c r="I351" i="11"/>
  <c r="J93" i="11"/>
  <c r="I94" i="11"/>
  <c r="H95" i="11"/>
  <c r="O97" i="11"/>
  <c r="N98" i="11"/>
  <c r="J101" i="11"/>
  <c r="I102" i="11"/>
  <c r="H103" i="11"/>
  <c r="P107" i="11"/>
  <c r="H115" i="11"/>
  <c r="J117" i="11"/>
  <c r="J122" i="11"/>
  <c r="I122" i="11"/>
  <c r="H125" i="11"/>
  <c r="H127" i="11"/>
  <c r="J130" i="11"/>
  <c r="I130" i="11"/>
  <c r="H133" i="11"/>
  <c r="H135" i="11"/>
  <c r="I139" i="11"/>
  <c r="K139" i="11"/>
  <c r="J139" i="11"/>
  <c r="K143" i="11"/>
  <c r="J146" i="11"/>
  <c r="I146" i="11"/>
  <c r="K161" i="11"/>
  <c r="I161" i="11"/>
  <c r="L161" i="11" s="1"/>
  <c r="J167" i="11"/>
  <c r="I167" i="11"/>
  <c r="I171" i="11"/>
  <c r="K171" i="11"/>
  <c r="J171" i="11"/>
  <c r="K174" i="11"/>
  <c r="I174" i="11"/>
  <c r="K176" i="11"/>
  <c r="J176" i="11"/>
  <c r="L176" i="11" s="1"/>
  <c r="H180" i="11"/>
  <c r="H183" i="11"/>
  <c r="H210" i="11"/>
  <c r="J225" i="11"/>
  <c r="I225" i="11"/>
  <c r="K225" i="11"/>
  <c r="K232" i="11"/>
  <c r="I232" i="11"/>
  <c r="J232" i="11"/>
  <c r="E328" i="11"/>
  <c r="K93" i="11"/>
  <c r="J94" i="11"/>
  <c r="I95" i="11"/>
  <c r="H96" i="11"/>
  <c r="P97" i="11"/>
  <c r="O98" i="11"/>
  <c r="N99" i="11"/>
  <c r="K101" i="11"/>
  <c r="J102" i="11"/>
  <c r="I103" i="11"/>
  <c r="H104" i="11"/>
  <c r="H114" i="11"/>
  <c r="I125" i="11"/>
  <c r="I127" i="11"/>
  <c r="L127" i="11" s="1"/>
  <c r="I133" i="11"/>
  <c r="L133" i="11" s="1"/>
  <c r="I135" i="11"/>
  <c r="I147" i="11"/>
  <c r="L147" i="11" s="1"/>
  <c r="K147" i="11"/>
  <c r="J147" i="11"/>
  <c r="K150" i="11"/>
  <c r="I150" i="11"/>
  <c r="K152" i="11"/>
  <c r="J152" i="11"/>
  <c r="H156" i="11"/>
  <c r="H159" i="11"/>
  <c r="I168" i="11"/>
  <c r="J180" i="11"/>
  <c r="I180" i="11"/>
  <c r="K180" i="11"/>
  <c r="H195" i="11"/>
  <c r="J198" i="11"/>
  <c r="K198" i="11"/>
  <c r="K210" i="11"/>
  <c r="J210" i="11"/>
  <c r="I210" i="11"/>
  <c r="J233" i="11"/>
  <c r="I233" i="11"/>
  <c r="K233" i="11"/>
  <c r="I236" i="11"/>
  <c r="K236" i="11"/>
  <c r="J236" i="11"/>
  <c r="J148" i="11"/>
  <c r="I148" i="11"/>
  <c r="K148" i="11"/>
  <c r="K182" i="11"/>
  <c r="I182" i="11"/>
  <c r="K56" i="11"/>
  <c r="H97" i="11"/>
  <c r="H107" i="11"/>
  <c r="H113" i="11"/>
  <c r="H120" i="11"/>
  <c r="J129" i="11"/>
  <c r="L129" i="11" s="1"/>
  <c r="J137" i="11"/>
  <c r="L137" i="11" s="1"/>
  <c r="I144" i="11"/>
  <c r="J150" i="11"/>
  <c r="J153" i="11"/>
  <c r="J156" i="11"/>
  <c r="I156" i="11"/>
  <c r="K156" i="11"/>
  <c r="K159" i="11"/>
  <c r="J162" i="11"/>
  <c r="I162" i="11"/>
  <c r="K177" i="11"/>
  <c r="I177" i="11"/>
  <c r="J183" i="11"/>
  <c r="I183" i="11"/>
  <c r="I189" i="11"/>
  <c r="J189" i="11"/>
  <c r="K189" i="11"/>
  <c r="K195" i="11"/>
  <c r="J195" i="11"/>
  <c r="I195" i="11"/>
  <c r="H205" i="11"/>
  <c r="K240" i="11"/>
  <c r="I240" i="11"/>
  <c r="J240" i="11"/>
  <c r="H258" i="11"/>
  <c r="K316" i="11"/>
  <c r="J316" i="11"/>
  <c r="I316" i="11"/>
  <c r="I191" i="11"/>
  <c r="L191" i="11" s="1"/>
  <c r="J193" i="11"/>
  <c r="I193" i="11"/>
  <c r="J196" i="11"/>
  <c r="I206" i="11"/>
  <c r="J211" i="11"/>
  <c r="K216" i="11"/>
  <c r="K251" i="11"/>
  <c r="J251" i="11"/>
  <c r="I255" i="11"/>
  <c r="J255" i="11"/>
  <c r="J262" i="11"/>
  <c r="I262" i="11"/>
  <c r="K265" i="11"/>
  <c r="J265" i="11"/>
  <c r="K273" i="11"/>
  <c r="J273" i="11"/>
  <c r="I273" i="11"/>
  <c r="K281" i="11"/>
  <c r="J281" i="11"/>
  <c r="L281" i="11" s="1"/>
  <c r="J286" i="11"/>
  <c r="K289" i="11"/>
  <c r="J289" i="11"/>
  <c r="I289" i="11"/>
  <c r="K300" i="11"/>
  <c r="I300" i="11"/>
  <c r="J302" i="11"/>
  <c r="K302" i="11"/>
  <c r="J315" i="11"/>
  <c r="I315" i="11"/>
  <c r="K315" i="11"/>
  <c r="K323" i="11"/>
  <c r="J323" i="11"/>
  <c r="I323" i="11"/>
  <c r="J191" i="11"/>
  <c r="K196" i="11"/>
  <c r="I203" i="11"/>
  <c r="L203" i="11" s="1"/>
  <c r="K206" i="11"/>
  <c r="K244" i="11"/>
  <c r="K255" i="11"/>
  <c r="K257" i="11"/>
  <c r="I257" i="11"/>
  <c r="J266" i="11"/>
  <c r="L266" i="11" s="1"/>
  <c r="K297" i="11"/>
  <c r="J297" i="11"/>
  <c r="I297" i="11"/>
  <c r="L297" i="11" s="1"/>
  <c r="I303" i="11"/>
  <c r="K303" i="11"/>
  <c r="J303" i="11"/>
  <c r="L608" i="11"/>
  <c r="G608" i="11"/>
  <c r="K202" i="11"/>
  <c r="J202" i="11"/>
  <c r="L202" i="11" s="1"/>
  <c r="J215" i="11"/>
  <c r="I222" i="11"/>
  <c r="J222" i="11"/>
  <c r="I230" i="11"/>
  <c r="L230" i="11" s="1"/>
  <c r="J230" i="11"/>
  <c r="I238" i="11"/>
  <c r="J238" i="11"/>
  <c r="J256" i="11"/>
  <c r="L256" i="11" s="1"/>
  <c r="K256" i="11"/>
  <c r="I258" i="11"/>
  <c r="K258" i="11"/>
  <c r="J258" i="11"/>
  <c r="I261" i="11"/>
  <c r="J264" i="11"/>
  <c r="I264" i="11"/>
  <c r="K282" i="11"/>
  <c r="I282" i="11"/>
  <c r="J282" i="11"/>
  <c r="I287" i="11"/>
  <c r="K287" i="11"/>
  <c r="J287" i="11"/>
  <c r="K298" i="11"/>
  <c r="I298" i="11"/>
  <c r="J298" i="11"/>
  <c r="J209" i="11"/>
  <c r="I209" i="11"/>
  <c r="K249" i="11"/>
  <c r="I249" i="11"/>
  <c r="J249" i="11"/>
  <c r="K259" i="11"/>
  <c r="I259" i="11"/>
  <c r="J261" i="11"/>
  <c r="K274" i="11"/>
  <c r="I274" i="11"/>
  <c r="K310" i="11"/>
  <c r="J310" i="11"/>
  <c r="F696" i="11"/>
  <c r="E696" i="11"/>
  <c r="C702" i="11"/>
  <c r="L610" i="11"/>
  <c r="G610" i="11"/>
  <c r="K250" i="11"/>
  <c r="I250" i="11"/>
  <c r="I271" i="11"/>
  <c r="L271" i="11" s="1"/>
  <c r="J271" i="11"/>
  <c r="J277" i="11"/>
  <c r="I277" i="11"/>
  <c r="L277" i="11" s="1"/>
  <c r="J283" i="11"/>
  <c r="K283" i="11"/>
  <c r="I283" i="11"/>
  <c r="I295" i="11"/>
  <c r="K295" i="11"/>
  <c r="J304" i="11"/>
  <c r="I304" i="11"/>
  <c r="K304" i="11"/>
  <c r="K313" i="11"/>
  <c r="J313" i="11"/>
  <c r="I313" i="11"/>
  <c r="K317" i="11"/>
  <c r="J317" i="11"/>
  <c r="I317" i="11"/>
  <c r="J320" i="11"/>
  <c r="I320" i="11"/>
  <c r="K320" i="11"/>
  <c r="F705" i="11"/>
  <c r="E705" i="11"/>
  <c r="F697" i="11"/>
  <c r="E697" i="11"/>
  <c r="J141" i="11"/>
  <c r="J149" i="11"/>
  <c r="J157" i="11"/>
  <c r="J165" i="11"/>
  <c r="J173" i="11"/>
  <c r="J181" i="11"/>
  <c r="J187" i="11"/>
  <c r="K192" i="11"/>
  <c r="K197" i="11"/>
  <c r="J201" i="11"/>
  <c r="I201" i="11"/>
  <c r="L201" i="11" s="1"/>
  <c r="J204" i="11"/>
  <c r="K209" i="11"/>
  <c r="K218" i="11"/>
  <c r="J218" i="11"/>
  <c r="L218" i="11" s="1"/>
  <c r="J223" i="11"/>
  <c r="L223" i="11" s="1"/>
  <c r="K223" i="11"/>
  <c r="K226" i="11"/>
  <c r="J226" i="11"/>
  <c r="J231" i="11"/>
  <c r="K231" i="11"/>
  <c r="K234" i="11"/>
  <c r="J234" i="11"/>
  <c r="L234" i="11" s="1"/>
  <c r="J239" i="11"/>
  <c r="L239" i="11" s="1"/>
  <c r="K239" i="11"/>
  <c r="J245" i="11"/>
  <c r="K245" i="11"/>
  <c r="I248" i="11"/>
  <c r="L248" i="11" s="1"/>
  <c r="J250" i="11"/>
  <c r="I252" i="11"/>
  <c r="K262" i="11"/>
  <c r="J299" i="11"/>
  <c r="K299" i="11"/>
  <c r="I299" i="11"/>
  <c r="K314" i="11"/>
  <c r="I314" i="11"/>
  <c r="J314" i="11"/>
  <c r="I211" i="11"/>
  <c r="K214" i="11"/>
  <c r="J216" i="11"/>
  <c r="L216" i="11" s="1"/>
  <c r="J246" i="11"/>
  <c r="I246" i="11"/>
  <c r="K248" i="11"/>
  <c r="J252" i="11"/>
  <c r="J254" i="11"/>
  <c r="L254" i="11" s="1"/>
  <c r="K254" i="11"/>
  <c r="J257" i="11"/>
  <c r="J260" i="11"/>
  <c r="I260" i="11"/>
  <c r="I265" i="11"/>
  <c r="J272" i="11"/>
  <c r="I272" i="11"/>
  <c r="K272" i="11"/>
  <c r="I286" i="11"/>
  <c r="K318" i="11"/>
  <c r="J318" i="11"/>
  <c r="K322" i="11"/>
  <c r="J322" i="11"/>
  <c r="I322" i="11"/>
  <c r="J267" i="11"/>
  <c r="K285" i="11"/>
  <c r="J292" i="11"/>
  <c r="K321" i="11"/>
  <c r="J321" i="11"/>
  <c r="I321" i="11"/>
  <c r="F703" i="11"/>
  <c r="E703" i="11"/>
  <c r="L703" i="11" s="1"/>
  <c r="L603" i="11"/>
  <c r="J280" i="11"/>
  <c r="I280" i="11"/>
  <c r="E359" i="11"/>
  <c r="F700" i="11"/>
  <c r="E700" i="11"/>
  <c r="G604" i="11"/>
  <c r="J276" i="11"/>
  <c r="K290" i="11"/>
  <c r="I290" i="11"/>
  <c r="L290" i="11" s="1"/>
  <c r="K305" i="11"/>
  <c r="J305" i="11"/>
  <c r="J308" i="11"/>
  <c r="L597" i="11"/>
  <c r="J296" i="11"/>
  <c r="I296" i="11"/>
  <c r="L296" i="11" s="1"/>
  <c r="I305" i="11"/>
  <c r="F704" i="11"/>
  <c r="E704" i="11"/>
  <c r="F698" i="11"/>
  <c r="E698" i="11"/>
  <c r="L605" i="11"/>
  <c r="K275" i="11"/>
  <c r="K280" i="11"/>
  <c r="J288" i="11"/>
  <c r="I288" i="11"/>
  <c r="L288" i="11" s="1"/>
  <c r="I292" i="11"/>
  <c r="L292" i="11" s="1"/>
  <c r="K307" i="11"/>
  <c r="J312" i="11"/>
  <c r="I312" i="11"/>
  <c r="L598" i="11"/>
  <c r="L600" i="11"/>
  <c r="I992" i="11"/>
  <c r="L992" i="11" s="1"/>
  <c r="I994" i="11"/>
  <c r="L994" i="11" s="1"/>
  <c r="I996" i="11"/>
  <c r="L996" i="11" s="1"/>
  <c r="I1014" i="11"/>
  <c r="I1024" i="11"/>
  <c r="I1033" i="11"/>
  <c r="N1037" i="11"/>
  <c r="I1039" i="11"/>
  <c r="K1040" i="11"/>
  <c r="N1042" i="11"/>
  <c r="I1044" i="11"/>
  <c r="K1045" i="11"/>
  <c r="N1046" i="11"/>
  <c r="I1048" i="11"/>
  <c r="K1049" i="11"/>
  <c r="N1050" i="11"/>
  <c r="I1052" i="11"/>
  <c r="L662" i="11"/>
  <c r="L671" i="11"/>
  <c r="L687" i="11"/>
  <c r="I1009" i="11"/>
  <c r="I1017" i="11"/>
  <c r="I1027" i="11"/>
  <c r="I1036" i="11"/>
  <c r="J1039" i="11"/>
  <c r="L1040" i="11"/>
  <c r="J1044" i="11"/>
  <c r="L1045" i="11"/>
  <c r="J1048" i="11"/>
  <c r="L1049" i="11"/>
  <c r="J1052" i="11"/>
  <c r="I1038" i="11"/>
  <c r="K1039" i="11"/>
  <c r="I1043" i="11"/>
  <c r="K1044" i="11"/>
  <c r="I1047" i="11"/>
  <c r="K1048" i="11"/>
  <c r="I1051" i="11"/>
  <c r="K1052" i="11"/>
  <c r="L1039" i="11"/>
  <c r="L1044" i="11"/>
  <c r="L1048" i="11"/>
  <c r="J1051" i="11"/>
  <c r="L1052" i="11"/>
  <c r="G607" i="11"/>
  <c r="G609" i="11"/>
  <c r="G611" i="11"/>
  <c r="L665" i="11"/>
  <c r="L674" i="11"/>
  <c r="L677" i="11"/>
  <c r="CF13" i="20" l="1"/>
  <c r="J13" i="21" s="1"/>
  <c r="I13" i="21"/>
  <c r="CF15" i="20"/>
  <c r="J15" i="21" s="1"/>
  <c r="I15" i="21"/>
  <c r="CF11" i="20"/>
  <c r="J11" i="21" s="1"/>
  <c r="I11" i="21"/>
  <c r="CA209" i="20"/>
  <c r="E209" i="21" s="1"/>
  <c r="E200" i="21"/>
  <c r="CF29" i="20"/>
  <c r="J29" i="21" s="1"/>
  <c r="I29" i="21"/>
  <c r="CF204" i="20"/>
  <c r="J204" i="21" s="1"/>
  <c r="I204" i="21"/>
  <c r="CF27" i="20"/>
  <c r="J27" i="21" s="1"/>
  <c r="I27" i="21"/>
  <c r="CF201" i="20"/>
  <c r="J201" i="21" s="1"/>
  <c r="I201" i="21"/>
  <c r="CF207" i="20"/>
  <c r="J207" i="21" s="1"/>
  <c r="I207" i="21"/>
  <c r="CF206" i="20"/>
  <c r="J206" i="21" s="1"/>
  <c r="I206" i="21"/>
  <c r="CF202" i="20"/>
  <c r="J202" i="21" s="1"/>
  <c r="I202" i="21"/>
  <c r="CF12" i="20"/>
  <c r="J12" i="21" s="1"/>
  <c r="I12" i="21"/>
  <c r="CF14" i="20"/>
  <c r="J14" i="21" s="1"/>
  <c r="I14" i="21"/>
  <c r="CF200" i="20"/>
  <c r="J200" i="21" s="1"/>
  <c r="I200" i="21"/>
  <c r="BZ209" i="20"/>
  <c r="D209" i="21" s="1"/>
  <c r="D200" i="21"/>
  <c r="CH209" i="20"/>
  <c r="L209" i="21" s="1"/>
  <c r="L200" i="21"/>
  <c r="CF26" i="20"/>
  <c r="J26" i="21" s="1"/>
  <c r="I26" i="21"/>
  <c r="CF28" i="20"/>
  <c r="J28" i="21" s="1"/>
  <c r="I28" i="21"/>
  <c r="CF30" i="20"/>
  <c r="J30" i="21" s="1"/>
  <c r="I30" i="21"/>
  <c r="CF205" i="20"/>
  <c r="J205" i="21" s="1"/>
  <c r="I205" i="21"/>
  <c r="CF208" i="20"/>
  <c r="J208" i="21" s="1"/>
  <c r="I208" i="21"/>
  <c r="CF203" i="20"/>
  <c r="J203" i="21" s="1"/>
  <c r="I203" i="21"/>
  <c r="CB13" i="20"/>
  <c r="CB461" i="20"/>
  <c r="F389" i="21" s="1"/>
  <c r="CB457" i="20"/>
  <c r="F385" i="21" s="1"/>
  <c r="CB200" i="20"/>
  <c r="F200" i="21" s="1"/>
  <c r="BY209" i="20"/>
  <c r="C209" i="21" s="1"/>
  <c r="CF16" i="20"/>
  <c r="J16" i="21" s="1"/>
  <c r="CC150" i="20"/>
  <c r="G150" i="21" s="1"/>
  <c r="CC120" i="20"/>
  <c r="G120" i="21" s="1"/>
  <c r="CB128" i="20"/>
  <c r="F128" i="21" s="1"/>
  <c r="CB459" i="20"/>
  <c r="F387" i="21" s="1"/>
  <c r="CB14" i="20"/>
  <c r="CC153" i="20"/>
  <c r="G153" i="21" s="1"/>
  <c r="CB462" i="20"/>
  <c r="F390" i="21" s="1"/>
  <c r="CC154" i="20"/>
  <c r="G154" i="21" s="1"/>
  <c r="L245" i="11"/>
  <c r="L238" i="11"/>
  <c r="L302" i="11"/>
  <c r="L189" i="11"/>
  <c r="L163" i="11"/>
  <c r="CA466" i="20"/>
  <c r="E394" i="21" s="1"/>
  <c r="CB463" i="20"/>
  <c r="F391" i="21" s="1"/>
  <c r="CB465" i="20"/>
  <c r="F393" i="21" s="1"/>
  <c r="CF24" i="20"/>
  <c r="J24" i="21" s="1"/>
  <c r="CF18" i="20"/>
  <c r="J18" i="21" s="1"/>
  <c r="CF20" i="20"/>
  <c r="J20" i="21" s="1"/>
  <c r="CF22" i="20"/>
  <c r="J22" i="21" s="1"/>
  <c r="CC136" i="20"/>
  <c r="G136" i="21" s="1"/>
  <c r="CB137" i="20"/>
  <c r="F137" i="21" s="1"/>
  <c r="CC148" i="20"/>
  <c r="G148" i="21" s="1"/>
  <c r="L261" i="11"/>
  <c r="L255" i="11"/>
  <c r="L157" i="11"/>
  <c r="L219" i="11"/>
  <c r="L229" i="11"/>
  <c r="L221" i="11"/>
  <c r="L243" i="11"/>
  <c r="L142" i="11"/>
  <c r="CB458" i="20"/>
  <c r="F386" i="21" s="1"/>
  <c r="CC145" i="20"/>
  <c r="G145" i="21" s="1"/>
  <c r="CB155" i="20"/>
  <c r="F155" i="21" s="1"/>
  <c r="CC152" i="20"/>
  <c r="G152" i="21" s="1"/>
  <c r="L310" i="11"/>
  <c r="L249" i="11"/>
  <c r="L251" i="11"/>
  <c r="L194" i="11"/>
  <c r="L164" i="11"/>
  <c r="L158" i="11"/>
  <c r="L241" i="11"/>
  <c r="L21" i="11"/>
  <c r="CB464" i="20"/>
  <c r="F392" i="21" s="1"/>
  <c r="CB460" i="20"/>
  <c r="F388" i="21" s="1"/>
  <c r="CB12" i="20"/>
  <c r="CF199" i="20"/>
  <c r="CE209" i="20"/>
  <c r="I209" i="21" s="1"/>
  <c r="CC147" i="20"/>
  <c r="G147" i="21" s="1"/>
  <c r="CC149" i="20"/>
  <c r="G149" i="21" s="1"/>
  <c r="L197" i="11"/>
  <c r="CB165" i="20"/>
  <c r="F165" i="21" s="1"/>
  <c r="BY173" i="20"/>
  <c r="C173" i="21" s="1"/>
  <c r="L204" i="11"/>
  <c r="BY466" i="20"/>
  <c r="C394" i="21" s="1"/>
  <c r="CB456" i="20"/>
  <c r="F384" i="21" s="1"/>
  <c r="BZ466" i="20"/>
  <c r="D394" i="21" s="1"/>
  <c r="CF17" i="20"/>
  <c r="J17" i="21" s="1"/>
  <c r="CC151" i="20"/>
  <c r="G151" i="21" s="1"/>
  <c r="L231" i="11"/>
  <c r="L233" i="11"/>
  <c r="L295" i="11"/>
  <c r="L250" i="11"/>
  <c r="L135" i="11"/>
  <c r="L286" i="11"/>
  <c r="L211" i="11"/>
  <c r="L274" i="11"/>
  <c r="L222" i="11"/>
  <c r="L198" i="11"/>
  <c r="L152" i="11"/>
  <c r="L167" i="11"/>
  <c r="L122" i="11"/>
  <c r="L117" i="11"/>
  <c r="L212" i="11"/>
  <c r="L166" i="11"/>
  <c r="L80" i="11"/>
  <c r="L128" i="11"/>
  <c r="CF21" i="20"/>
  <c r="J21" i="21" s="1"/>
  <c r="CF23" i="20"/>
  <c r="J23" i="21" s="1"/>
  <c r="CF25" i="20"/>
  <c r="J25" i="21" s="1"/>
  <c r="CF19" i="20"/>
  <c r="J19" i="21" s="1"/>
  <c r="CC146" i="20"/>
  <c r="G146" i="21" s="1"/>
  <c r="L227" i="21"/>
  <c r="Q26" i="3"/>
  <c r="Q28" i="3"/>
  <c r="Q23" i="3"/>
  <c r="Q30" i="3"/>
  <c r="Q31" i="3"/>
  <c r="Q25" i="3"/>
  <c r="Q35" i="3"/>
  <c r="Q29" i="3"/>
  <c r="Q22" i="3"/>
  <c r="Q32" i="3"/>
  <c r="Q21" i="3"/>
  <c r="Q34" i="3"/>
  <c r="Q27" i="3"/>
  <c r="Q33" i="3"/>
  <c r="Q24" i="3"/>
  <c r="B47" i="20"/>
  <c r="B47" i="21" s="1"/>
  <c r="B90" i="20"/>
  <c r="B90" i="21" s="1"/>
  <c r="B18" i="20"/>
  <c r="B18" i="21" s="1"/>
  <c r="B108" i="20"/>
  <c r="B108" i="21" s="1"/>
  <c r="B54" i="20"/>
  <c r="B54" i="21" s="1"/>
  <c r="B72" i="20"/>
  <c r="B72" i="21" s="1"/>
  <c r="J176" i="3"/>
  <c r="CB107" i="20"/>
  <c r="F107" i="21" s="1"/>
  <c r="CB109" i="20"/>
  <c r="F109" i="21" s="1"/>
  <c r="CH84" i="20"/>
  <c r="L84" i="21" s="1"/>
  <c r="CB83" i="20"/>
  <c r="F83" i="21" s="1"/>
  <c r="CB40" i="20"/>
  <c r="F40" i="21" s="1"/>
  <c r="CH41" i="20"/>
  <c r="L41" i="21" s="1"/>
  <c r="CB101" i="20"/>
  <c r="F101" i="21" s="1"/>
  <c r="L280" i="11"/>
  <c r="L252" i="11"/>
  <c r="L313" i="11"/>
  <c r="L283" i="11"/>
  <c r="L287" i="11"/>
  <c r="L289" i="11"/>
  <c r="L316" i="11"/>
  <c r="L195" i="11"/>
  <c r="L177" i="11"/>
  <c r="L171" i="11"/>
  <c r="L56" i="11"/>
  <c r="L228" i="11"/>
  <c r="L172" i="11"/>
  <c r="L153" i="11"/>
  <c r="L113" i="11"/>
  <c r="L121" i="11"/>
  <c r="L207" i="11"/>
  <c r="L181" i="11"/>
  <c r="L126" i="11"/>
  <c r="L307" i="11"/>
  <c r="L214" i="11"/>
  <c r="L143" i="11"/>
  <c r="L237" i="11"/>
  <c r="L190" i="11"/>
  <c r="BY84" i="20"/>
  <c r="C84" i="21" s="1"/>
  <c r="BZ41" i="20"/>
  <c r="D41" i="21" s="1"/>
  <c r="L209" i="11"/>
  <c r="L303" i="11"/>
  <c r="L263" i="11"/>
  <c r="CB103" i="20"/>
  <c r="F103" i="21" s="1"/>
  <c r="L314" i="11"/>
  <c r="L282" i="11"/>
  <c r="L315" i="11"/>
  <c r="L162" i="11"/>
  <c r="L144" i="11"/>
  <c r="L182" i="11"/>
  <c r="L232" i="11"/>
  <c r="L139" i="11"/>
  <c r="L306" i="11"/>
  <c r="L224" i="11"/>
  <c r="L185" i="11"/>
  <c r="L138" i="11"/>
  <c r="L220" i="11"/>
  <c r="L242" i="11"/>
  <c r="L175" i="11"/>
  <c r="L132" i="11"/>
  <c r="L200" i="11"/>
  <c r="L115" i="11"/>
  <c r="L285" i="11"/>
  <c r="L141" i="11"/>
  <c r="L165" i="11"/>
  <c r="L173" i="11"/>
  <c r="L213" i="11"/>
  <c r="L188" i="11"/>
  <c r="L119" i="11"/>
  <c r="L301" i="11"/>
  <c r="CE31" i="20"/>
  <c r="I31" i="21" s="1"/>
  <c r="CA84" i="20"/>
  <c r="E84" i="21" s="1"/>
  <c r="CH66" i="20"/>
  <c r="L66" i="21" s="1"/>
  <c r="CB106" i="20"/>
  <c r="F106" i="21" s="1"/>
  <c r="CA110" i="20"/>
  <c r="E110" i="21" s="1"/>
  <c r="L175" i="3"/>
  <c r="CH31" i="20"/>
  <c r="L31" i="21" s="1"/>
  <c r="L236" i="11"/>
  <c r="L320" i="11"/>
  <c r="L262" i="11"/>
  <c r="L125" i="11"/>
  <c r="L155" i="11"/>
  <c r="L270" i="11"/>
  <c r="L275" i="11"/>
  <c r="L294" i="11"/>
  <c r="BY110" i="20"/>
  <c r="C110" i="21" s="1"/>
  <c r="CB100" i="20"/>
  <c r="F100" i="21" s="1"/>
  <c r="BY31" i="20"/>
  <c r="C31" i="21" s="1"/>
  <c r="L258" i="11"/>
  <c r="CA66" i="20"/>
  <c r="E66" i="21" s="1"/>
  <c r="BZ31" i="20"/>
  <c r="D31" i="21" s="1"/>
  <c r="K176" i="3"/>
  <c r="L305" i="11"/>
  <c r="L272" i="11"/>
  <c r="L322" i="11"/>
  <c r="L206" i="11"/>
  <c r="L150" i="11"/>
  <c r="L265" i="11"/>
  <c r="L246" i="11"/>
  <c r="L299" i="11"/>
  <c r="L304" i="11"/>
  <c r="L259" i="11"/>
  <c r="L298" i="11"/>
  <c r="L264" i="11"/>
  <c r="L196" i="11"/>
  <c r="L180" i="11"/>
  <c r="L174" i="11"/>
  <c r="L169" i="11"/>
  <c r="L170" i="11"/>
  <c r="L151" i="11"/>
  <c r="L118" i="11"/>
  <c r="L309" i="11"/>
  <c r="L247" i="11"/>
  <c r="L184" i="11"/>
  <c r="L123" i="11"/>
  <c r="L284" i="11"/>
  <c r="L205" i="11"/>
  <c r="L134" i="11"/>
  <c r="L244" i="11"/>
  <c r="L279" i="11"/>
  <c r="L215" i="11"/>
  <c r="L120" i="11"/>
  <c r="BZ84" i="20"/>
  <c r="D84" i="21" s="1"/>
  <c r="BZ66" i="20"/>
  <c r="D66" i="21" s="1"/>
  <c r="CA41" i="20"/>
  <c r="E41" i="21" s="1"/>
  <c r="BY41" i="20"/>
  <c r="C41" i="21" s="1"/>
  <c r="CB104" i="20"/>
  <c r="F104" i="21" s="1"/>
  <c r="K175" i="3"/>
  <c r="CA31" i="20"/>
  <c r="E31" i="21" s="1"/>
  <c r="L176" i="3"/>
  <c r="J175" i="3"/>
  <c r="L312" i="11"/>
  <c r="L321" i="11"/>
  <c r="L260" i="11"/>
  <c r="L317" i="11"/>
  <c r="L193" i="11"/>
  <c r="L240" i="11"/>
  <c r="L148" i="11"/>
  <c r="L210" i="11"/>
  <c r="L225" i="11"/>
  <c r="L146" i="11"/>
  <c r="L130" i="11"/>
  <c r="L217" i="11"/>
  <c r="L268" i="11"/>
  <c r="L178" i="11"/>
  <c r="L154" i="11"/>
  <c r="L140" i="11"/>
  <c r="L308" i="11"/>
  <c r="J736" i="11"/>
  <c r="L736" i="11" s="1"/>
  <c r="L319" i="11"/>
  <c r="L149" i="11"/>
  <c r="J735" i="11"/>
  <c r="L735" i="11" s="1"/>
  <c r="L136" i="11"/>
  <c r="CB105" i="20"/>
  <c r="F105" i="21" s="1"/>
  <c r="L253" i="11"/>
  <c r="L179" i="11"/>
  <c r="L131" i="11"/>
  <c r="L114" i="11"/>
  <c r="L311" i="11"/>
  <c r="L318" i="11"/>
  <c r="E701" i="11"/>
  <c r="L257" i="11"/>
  <c r="L323" i="11"/>
  <c r="L300" i="11"/>
  <c r="L273" i="11"/>
  <c r="L183" i="11"/>
  <c r="L156" i="11"/>
  <c r="L168" i="11"/>
  <c r="L145" i="11"/>
  <c r="L124" i="11"/>
  <c r="L159" i="11"/>
  <c r="L186" i="11"/>
  <c r="L227" i="11"/>
  <c r="L187" i="11"/>
  <c r="L192" i="11"/>
  <c r="L276" i="11"/>
  <c r="L267" i="11"/>
  <c r="CB65" i="20"/>
  <c r="F65" i="21" s="1"/>
  <c r="BY66" i="20"/>
  <c r="C66" i="21" s="1"/>
  <c r="CB108" i="20"/>
  <c r="F108" i="21" s="1"/>
  <c r="BZ110" i="20"/>
  <c r="D110" i="21" s="1"/>
  <c r="CB102" i="20"/>
  <c r="F102" i="21" s="1"/>
  <c r="C46" i="3"/>
  <c r="Q17" i="3"/>
  <c r="Q15" i="3"/>
  <c r="Q18" i="3"/>
  <c r="Q20" i="3"/>
  <c r="Q16" i="3"/>
  <c r="Q19" i="3"/>
  <c r="L386" i="11"/>
  <c r="G386" i="11" s="1"/>
  <c r="L698" i="11"/>
  <c r="L700" i="11"/>
  <c r="E699" i="11"/>
  <c r="F699" i="11"/>
  <c r="F702" i="11"/>
  <c r="E702" i="11"/>
  <c r="K331" i="11"/>
  <c r="J331" i="11"/>
  <c r="I331" i="11"/>
  <c r="L705" i="11"/>
  <c r="L696" i="11"/>
  <c r="K355" i="11"/>
  <c r="J355" i="11"/>
  <c r="I355" i="11"/>
  <c r="L701" i="11"/>
  <c r="J354" i="11"/>
  <c r="I354" i="11"/>
  <c r="K354" i="11"/>
  <c r="L704" i="11"/>
  <c r="K328" i="11"/>
  <c r="J328" i="11"/>
  <c r="I328" i="11"/>
  <c r="E71" i="11"/>
  <c r="J71" i="11"/>
  <c r="K71" i="11"/>
  <c r="I71" i="11"/>
  <c r="L697" i="11"/>
  <c r="CC12" i="20" l="1"/>
  <c r="G12" i="21" s="1"/>
  <c r="F12" i="21"/>
  <c r="CC14" i="20"/>
  <c r="G14" i="21" s="1"/>
  <c r="F14" i="21"/>
  <c r="CC13" i="20"/>
  <c r="G13" i="21" s="1"/>
  <c r="F13" i="21"/>
  <c r="CF209" i="20"/>
  <c r="J209" i="21" s="1"/>
  <c r="J199" i="21"/>
  <c r="CC456" i="20"/>
  <c r="G384" i="21" s="1"/>
  <c r="CB466" i="20"/>
  <c r="F394" i="21" s="1"/>
  <c r="CC458" i="20"/>
  <c r="G386" i="21" s="1"/>
  <c r="CC464" i="20"/>
  <c r="G392" i="21" s="1"/>
  <c r="CC463" i="20"/>
  <c r="G391" i="21" s="1"/>
  <c r="CC459" i="20"/>
  <c r="G387" i="21" s="1"/>
  <c r="CC200" i="20"/>
  <c r="CB209" i="20"/>
  <c r="F209" i="21" s="1"/>
  <c r="CC462" i="20"/>
  <c r="G390" i="21" s="1"/>
  <c r="CC128" i="20"/>
  <c r="G128" i="21" s="1"/>
  <c r="CC457" i="20"/>
  <c r="G385" i="21" s="1"/>
  <c r="CC165" i="20"/>
  <c r="CB173" i="20"/>
  <c r="F173" i="21" s="1"/>
  <c r="CC137" i="20"/>
  <c r="G137" i="21" s="1"/>
  <c r="CC155" i="20"/>
  <c r="G155" i="21" s="1"/>
  <c r="CC461" i="20"/>
  <c r="G389" i="21" s="1"/>
  <c r="CC460" i="20"/>
  <c r="G388" i="21" s="1"/>
  <c r="CC465" i="20"/>
  <c r="G393" i="21" s="1"/>
  <c r="B48" i="20"/>
  <c r="B48" i="21" s="1"/>
  <c r="B55" i="20"/>
  <c r="B55" i="21" s="1"/>
  <c r="B109" i="20"/>
  <c r="B109" i="21" s="1"/>
  <c r="B19" i="20"/>
  <c r="B19" i="21" s="1"/>
  <c r="B73" i="20"/>
  <c r="B73" i="21" s="1"/>
  <c r="B91" i="20"/>
  <c r="B91" i="21" s="1"/>
  <c r="CC104" i="20"/>
  <c r="G104" i="21" s="1"/>
  <c r="CH92" i="20"/>
  <c r="L92" i="21" s="1"/>
  <c r="CC108" i="20"/>
  <c r="G108" i="21" s="1"/>
  <c r="CF31" i="20"/>
  <c r="J31" i="21" s="1"/>
  <c r="CC109" i="20"/>
  <c r="G109" i="21" s="1"/>
  <c r="CC107" i="20"/>
  <c r="G107" i="21" s="1"/>
  <c r="BY92" i="20"/>
  <c r="C92" i="21" s="1"/>
  <c r="CA92" i="20"/>
  <c r="E92" i="21" s="1"/>
  <c r="BZ92" i="20"/>
  <c r="D92" i="21" s="1"/>
  <c r="CA74" i="20"/>
  <c r="E74" i="21" s="1"/>
  <c r="CC103" i="20"/>
  <c r="G103" i="21" s="1"/>
  <c r="CH56" i="20"/>
  <c r="L56" i="21" s="1"/>
  <c r="CC105" i="20"/>
  <c r="G105" i="21" s="1"/>
  <c r="CC106" i="20"/>
  <c r="G106" i="21" s="1"/>
  <c r="CH74" i="20"/>
  <c r="L74" i="21" s="1"/>
  <c r="CC102" i="20"/>
  <c r="G102" i="21" s="1"/>
  <c r="M175" i="3"/>
  <c r="CC101" i="20"/>
  <c r="G101" i="21" s="1"/>
  <c r="M176" i="3"/>
  <c r="BZ56" i="20"/>
  <c r="D56" i="21" s="1"/>
  <c r="K190" i="3"/>
  <c r="J166" i="3"/>
  <c r="J169" i="3"/>
  <c r="J168" i="3"/>
  <c r="L178" i="3"/>
  <c r="L190" i="3"/>
  <c r="J162" i="3"/>
  <c r="K169" i="3"/>
  <c r="J190" i="3"/>
  <c r="L189" i="3"/>
  <c r="J189" i="3"/>
  <c r="J160" i="3"/>
  <c r="K189" i="3"/>
  <c r="J167" i="3"/>
  <c r="K161" i="3"/>
  <c r="K167" i="3"/>
  <c r="J165" i="3"/>
  <c r="K160" i="3"/>
  <c r="K166" i="3"/>
  <c r="K170" i="3"/>
  <c r="K164" i="3"/>
  <c r="K165" i="3"/>
  <c r="K163" i="3"/>
  <c r="L177" i="3"/>
  <c r="K178" i="3"/>
  <c r="J164" i="3"/>
  <c r="J163" i="3"/>
  <c r="J170" i="3"/>
  <c r="CC65" i="20"/>
  <c r="G65" i="21" s="1"/>
  <c r="BZ74" i="20"/>
  <c r="D74" i="21" s="1"/>
  <c r="L159" i="3"/>
  <c r="K159" i="3"/>
  <c r="CB31" i="20"/>
  <c r="F31" i="21" s="1"/>
  <c r="L168" i="3"/>
  <c r="CB84" i="20"/>
  <c r="F84" i="21" s="1"/>
  <c r="CC100" i="20"/>
  <c r="G100" i="21" s="1"/>
  <c r="CB110" i="20"/>
  <c r="F110" i="21" s="1"/>
  <c r="L167" i="3"/>
  <c r="L170" i="3"/>
  <c r="CC83" i="20"/>
  <c r="G83" i="21" s="1"/>
  <c r="L164" i="3"/>
  <c r="L161" i="3"/>
  <c r="K177" i="3"/>
  <c r="L169" i="3"/>
  <c r="L163" i="3"/>
  <c r="CA56" i="20"/>
  <c r="E56" i="21" s="1"/>
  <c r="L162" i="3"/>
  <c r="CB66" i="20"/>
  <c r="F66" i="21" s="1"/>
  <c r="J161" i="3"/>
  <c r="BY74" i="20"/>
  <c r="C74" i="21" s="1"/>
  <c r="L165" i="3"/>
  <c r="K168" i="3"/>
  <c r="CB41" i="20"/>
  <c r="F41" i="21" s="1"/>
  <c r="J177" i="3"/>
  <c r="J159" i="3"/>
  <c r="J178" i="3"/>
  <c r="L166" i="3"/>
  <c r="CC40" i="20"/>
  <c r="G40" i="21" s="1"/>
  <c r="L160" i="3"/>
  <c r="K162" i="3"/>
  <c r="BY56" i="20"/>
  <c r="C56" i="21" s="1"/>
  <c r="C47" i="3"/>
  <c r="L71" i="11"/>
  <c r="L699" i="11"/>
  <c r="L702" i="11"/>
  <c r="CC209" i="20" l="1"/>
  <c r="G209" i="21" s="1"/>
  <c r="G200" i="21"/>
  <c r="M9" i="10"/>
  <c r="J9" i="10" s="1"/>
  <c r="G165" i="21"/>
  <c r="CC173" i="20"/>
  <c r="G173" i="21" s="1"/>
  <c r="CC466" i="20"/>
  <c r="G394" i="21" s="1"/>
  <c r="B49" i="20"/>
  <c r="B49" i="21" s="1"/>
  <c r="B20" i="20"/>
  <c r="B20" i="21" s="1"/>
  <c r="Q42" i="3"/>
  <c r="M170" i="3"/>
  <c r="K199" i="3"/>
  <c r="M169" i="3"/>
  <c r="M166" i="3"/>
  <c r="M178" i="3"/>
  <c r="M161" i="3"/>
  <c r="M162" i="3"/>
  <c r="M163" i="3"/>
  <c r="M165" i="3"/>
  <c r="CC41" i="20"/>
  <c r="G41" i="21" s="1"/>
  <c r="M177" i="3"/>
  <c r="M189" i="3"/>
  <c r="M159" i="3"/>
  <c r="M164" i="3"/>
  <c r="M160" i="3"/>
  <c r="CC84" i="20"/>
  <c r="G84" i="21" s="1"/>
  <c r="M190" i="3"/>
  <c r="M167" i="3"/>
  <c r="M168" i="3"/>
  <c r="CB92" i="20"/>
  <c r="F92" i="21" s="1"/>
  <c r="L199" i="3"/>
  <c r="J199" i="3"/>
  <c r="CC66" i="20"/>
  <c r="G66" i="21" s="1"/>
  <c r="CB56" i="20"/>
  <c r="F56" i="21" s="1"/>
  <c r="CC110" i="20"/>
  <c r="G110" i="21" s="1"/>
  <c r="E9" i="10"/>
  <c r="CB74" i="20"/>
  <c r="F74" i="21" s="1"/>
  <c r="J171" i="3"/>
  <c r="E10" i="10"/>
  <c r="CC31" i="20"/>
  <c r="G31" i="21" s="1"/>
  <c r="M10" i="10"/>
  <c r="J10" i="10" s="1"/>
  <c r="E20" i="10"/>
  <c r="K171" i="3"/>
  <c r="L171" i="3"/>
  <c r="C48" i="3"/>
  <c r="B50" i="20" l="1"/>
  <c r="B50" i="21" s="1"/>
  <c r="E12" i="10"/>
  <c r="CC74" i="20"/>
  <c r="G74" i="21" s="1"/>
  <c r="CC56" i="20"/>
  <c r="G56" i="21" s="1"/>
  <c r="B21" i="20"/>
  <c r="B21" i="21" s="1"/>
  <c r="E11" i="10"/>
  <c r="CC92" i="20"/>
  <c r="G92" i="21" s="1"/>
  <c r="M20" i="10"/>
  <c r="M21" i="10" s="1"/>
  <c r="M199" i="3"/>
  <c r="C49" i="3"/>
  <c r="E21" i="10" l="1"/>
  <c r="B22" i="20"/>
  <c r="B22" i="21" s="1"/>
  <c r="C50" i="3"/>
  <c r="Q155" i="3"/>
  <c r="Q14" i="3"/>
  <c r="Q36" i="3" s="1"/>
  <c r="B23" i="20" l="1"/>
  <c r="B23" i="21" s="1"/>
  <c r="C51" i="3"/>
  <c r="B24" i="20" l="1"/>
  <c r="B24" i="21" s="1"/>
  <c r="C52" i="3"/>
  <c r="B25" i="20" l="1"/>
  <c r="B25" i="21" s="1"/>
  <c r="K185" i="3"/>
  <c r="L185" i="3"/>
  <c r="C53" i="3"/>
  <c r="M171" i="3"/>
  <c r="B26" i="20" l="1"/>
  <c r="B26" i="21" s="1"/>
  <c r="C54" i="3"/>
  <c r="Q171" i="3"/>
  <c r="Q185" i="3"/>
  <c r="M185" i="3"/>
  <c r="J185" i="3"/>
  <c r="B27" i="20" l="1"/>
  <c r="B27" i="21" s="1"/>
  <c r="C55" i="3"/>
  <c r="C56" i="3" s="1"/>
  <c r="C57" i="3" s="1"/>
  <c r="C58" i="3" s="1"/>
  <c r="C59" i="3" s="1"/>
  <c r="C60" i="3" s="1"/>
  <c r="B28" i="20" l="1"/>
  <c r="B28" i="21" s="1"/>
  <c r="C61" i="3"/>
  <c r="B29" i="20" l="1"/>
  <c r="B29" i="21" s="1"/>
  <c r="C62" i="3"/>
  <c r="B30" i="20" l="1"/>
  <c r="W46" i="3"/>
  <c r="J45" i="3"/>
  <c r="C63" i="3"/>
  <c r="J70" i="3" l="1"/>
  <c r="B30" i="21"/>
  <c r="L150" i="3"/>
  <c r="K141" i="3"/>
  <c r="K146" i="3"/>
  <c r="M142" i="3"/>
  <c r="M153" i="3"/>
  <c r="M152" i="3"/>
  <c r="J143" i="3"/>
  <c r="L141" i="3"/>
  <c r="W141" i="3"/>
  <c r="L142" i="3"/>
  <c r="J147" i="3"/>
  <c r="K143" i="3"/>
  <c r="J141" i="3"/>
  <c r="W146" i="3"/>
  <c r="L151" i="3"/>
  <c r="K149" i="3"/>
  <c r="M146" i="3"/>
  <c r="J153" i="3"/>
  <c r="W149" i="3"/>
  <c r="L153" i="3"/>
  <c r="L147" i="3"/>
  <c r="L31" i="3" s="1"/>
  <c r="J142" i="3"/>
  <c r="J151" i="3"/>
  <c r="L152" i="3"/>
  <c r="K142" i="3"/>
  <c r="K152" i="3"/>
  <c r="K148" i="3"/>
  <c r="K32" i="3" s="1"/>
  <c r="J149" i="3"/>
  <c r="J146" i="3"/>
  <c r="W148" i="3"/>
  <c r="M149" i="3"/>
  <c r="W151" i="3"/>
  <c r="M147" i="3"/>
  <c r="M31" i="3" s="1"/>
  <c r="W147" i="3"/>
  <c r="J150" i="3"/>
  <c r="K150" i="3"/>
  <c r="M150" i="3"/>
  <c r="W142" i="3"/>
  <c r="L148" i="3"/>
  <c r="L32" i="3" s="1"/>
  <c r="J152" i="3"/>
  <c r="W143" i="3"/>
  <c r="M141" i="3"/>
  <c r="L143" i="3"/>
  <c r="J148" i="3"/>
  <c r="J32" i="3" s="1"/>
  <c r="K151" i="3"/>
  <c r="L149" i="3"/>
  <c r="W152" i="3"/>
  <c r="K147" i="3"/>
  <c r="K31" i="3" s="1"/>
  <c r="W153" i="3"/>
  <c r="W150" i="3"/>
  <c r="L146" i="3"/>
  <c r="M151" i="3"/>
  <c r="K153" i="3"/>
  <c r="M143" i="3"/>
  <c r="M148" i="3"/>
  <c r="M32" i="3" s="1"/>
  <c r="M60" i="3"/>
  <c r="M120" i="3"/>
  <c r="W123" i="3"/>
  <c r="K58" i="3"/>
  <c r="J121" i="3"/>
  <c r="W122" i="3"/>
  <c r="L59" i="3"/>
  <c r="J122" i="3"/>
  <c r="J119" i="3"/>
  <c r="K60" i="3"/>
  <c r="M58" i="3"/>
  <c r="L60" i="3"/>
  <c r="M121" i="3"/>
  <c r="J124" i="3"/>
  <c r="W121" i="3"/>
  <c r="K124" i="3"/>
  <c r="K59" i="3"/>
  <c r="L124" i="3"/>
  <c r="K119" i="3"/>
  <c r="M59" i="3"/>
  <c r="M123" i="3"/>
  <c r="M57" i="3"/>
  <c r="L120" i="3"/>
  <c r="J60" i="3"/>
  <c r="L119" i="3"/>
  <c r="L57" i="3"/>
  <c r="W57" i="3"/>
  <c r="W60" i="3"/>
  <c r="W120" i="3"/>
  <c r="J58" i="3"/>
  <c r="L123" i="3"/>
  <c r="K121" i="3"/>
  <c r="J120" i="3"/>
  <c r="L122" i="3"/>
  <c r="M124" i="3"/>
  <c r="W59" i="3"/>
  <c r="M122" i="3"/>
  <c r="W119" i="3"/>
  <c r="K123" i="3"/>
  <c r="M119" i="3"/>
  <c r="K120" i="3"/>
  <c r="L121" i="3"/>
  <c r="J123" i="3"/>
  <c r="W124" i="3"/>
  <c r="J57" i="3"/>
  <c r="K57" i="3"/>
  <c r="W58" i="3"/>
  <c r="K122" i="3"/>
  <c r="J59" i="3"/>
  <c r="L58" i="3"/>
  <c r="J154" i="3"/>
  <c r="J35" i="3" s="1"/>
  <c r="M79" i="3"/>
  <c r="W105" i="3"/>
  <c r="M139" i="3"/>
  <c r="L109" i="3"/>
  <c r="W127" i="3"/>
  <c r="L134" i="3"/>
  <c r="W138" i="3"/>
  <c r="K89" i="3"/>
  <c r="M98" i="3"/>
  <c r="K92" i="3"/>
  <c r="K129" i="3"/>
  <c r="J85" i="3"/>
  <c r="W79" i="3"/>
  <c r="W135" i="3"/>
  <c r="W109" i="3"/>
  <c r="M88" i="3"/>
  <c r="K81" i="3"/>
  <c r="J89" i="3"/>
  <c r="M82" i="3"/>
  <c r="L92" i="3"/>
  <c r="M138" i="3"/>
  <c r="W93" i="3"/>
  <c r="W87" i="3"/>
  <c r="L81" i="3"/>
  <c r="L112" i="3"/>
  <c r="K103" i="3"/>
  <c r="M130" i="3"/>
  <c r="M115" i="3"/>
  <c r="J95" i="3"/>
  <c r="M112" i="3"/>
  <c r="M102" i="3"/>
  <c r="W77" i="3"/>
  <c r="K127" i="3"/>
  <c r="M95" i="3"/>
  <c r="W112" i="3"/>
  <c r="M89" i="3"/>
  <c r="K100" i="3"/>
  <c r="W126" i="3"/>
  <c r="K78" i="3"/>
  <c r="L103" i="3"/>
  <c r="J132" i="3"/>
  <c r="L138" i="3"/>
  <c r="J108" i="3"/>
  <c r="J92" i="3"/>
  <c r="M133" i="3"/>
  <c r="K80" i="3"/>
  <c r="W133" i="3"/>
  <c r="M101" i="3"/>
  <c r="W116" i="3"/>
  <c r="M126" i="3"/>
  <c r="K85" i="3"/>
  <c r="J127" i="3"/>
  <c r="M94" i="3"/>
  <c r="M117" i="3"/>
  <c r="L140" i="3"/>
  <c r="J129" i="3"/>
  <c r="W106" i="3"/>
  <c r="K107" i="3"/>
  <c r="M125" i="3"/>
  <c r="J90" i="3"/>
  <c r="W103" i="3"/>
  <c r="M83" i="3"/>
  <c r="L105" i="3"/>
  <c r="K118" i="3"/>
  <c r="L111" i="3"/>
  <c r="M99" i="3"/>
  <c r="K102" i="3"/>
  <c r="K110" i="3"/>
  <c r="M109" i="3"/>
  <c r="L91" i="3"/>
  <c r="L88" i="3"/>
  <c r="W129" i="3"/>
  <c r="M74" i="3"/>
  <c r="K99" i="3"/>
  <c r="M73" i="3"/>
  <c r="M90" i="3"/>
  <c r="L106" i="3"/>
  <c r="J76" i="3"/>
  <c r="L99" i="3"/>
  <c r="W111" i="3"/>
  <c r="L83" i="3"/>
  <c r="W100" i="3"/>
  <c r="J74" i="3"/>
  <c r="K133" i="3"/>
  <c r="K111" i="3"/>
  <c r="M75" i="3"/>
  <c r="W108" i="3"/>
  <c r="J88" i="3"/>
  <c r="K154" i="3"/>
  <c r="K35" i="3" s="1"/>
  <c r="W99" i="3"/>
  <c r="K104" i="3"/>
  <c r="L132" i="3"/>
  <c r="J138" i="3"/>
  <c r="L100" i="3"/>
  <c r="J140" i="3"/>
  <c r="L154" i="3"/>
  <c r="L35" i="3" s="1"/>
  <c r="W125" i="3"/>
  <c r="L101" i="3"/>
  <c r="L117" i="3"/>
  <c r="L98" i="3"/>
  <c r="L82" i="3"/>
  <c r="L139" i="3"/>
  <c r="W96" i="3"/>
  <c r="M78" i="3"/>
  <c r="K128" i="3"/>
  <c r="K115" i="3"/>
  <c r="W130" i="3"/>
  <c r="W76" i="3"/>
  <c r="K117" i="3"/>
  <c r="J134" i="3"/>
  <c r="L89" i="3"/>
  <c r="W74" i="3"/>
  <c r="L126" i="3"/>
  <c r="L84" i="3"/>
  <c r="W117" i="3"/>
  <c r="K113" i="3"/>
  <c r="J114" i="3"/>
  <c r="M110" i="3"/>
  <c r="M135" i="3"/>
  <c r="L115" i="3"/>
  <c r="J113" i="3"/>
  <c r="L133" i="3"/>
  <c r="J117" i="3"/>
  <c r="K109" i="3"/>
  <c r="J135" i="3"/>
  <c r="W104" i="3"/>
  <c r="L96" i="3"/>
  <c r="L93" i="3"/>
  <c r="M80" i="3"/>
  <c r="W118" i="3"/>
  <c r="L94" i="3"/>
  <c r="J93" i="3"/>
  <c r="M106" i="3"/>
  <c r="K131" i="3"/>
  <c r="K97" i="3"/>
  <c r="M92" i="3"/>
  <c r="J105" i="3"/>
  <c r="J78" i="3"/>
  <c r="W98" i="3"/>
  <c r="W83" i="3"/>
  <c r="W97" i="3"/>
  <c r="W91" i="3"/>
  <c r="K114" i="3"/>
  <c r="M140" i="3"/>
  <c r="L78" i="3"/>
  <c r="J104" i="3"/>
  <c r="M85" i="3"/>
  <c r="M137" i="3"/>
  <c r="M129" i="3"/>
  <c r="K132" i="3"/>
  <c r="K75" i="3"/>
  <c r="J111" i="3"/>
  <c r="J103" i="3"/>
  <c r="L127" i="3"/>
  <c r="J107" i="3"/>
  <c r="M134" i="3"/>
  <c r="K95" i="3"/>
  <c r="J75" i="3"/>
  <c r="M84" i="3"/>
  <c r="J130" i="3"/>
  <c r="K76" i="3"/>
  <c r="L76" i="3"/>
  <c r="K140" i="3"/>
  <c r="K135" i="3"/>
  <c r="L113" i="3"/>
  <c r="M104" i="3"/>
  <c r="J99" i="3"/>
  <c r="W136" i="3"/>
  <c r="L118" i="3"/>
  <c r="M113" i="3"/>
  <c r="J115" i="3"/>
  <c r="K98" i="3"/>
  <c r="J97" i="3"/>
  <c r="K84" i="3"/>
  <c r="W75" i="3"/>
  <c r="J101" i="3"/>
  <c r="L85" i="3"/>
  <c r="J137" i="3"/>
  <c r="J125" i="3"/>
  <c r="K86" i="3"/>
  <c r="L135" i="3"/>
  <c r="M86" i="3"/>
  <c r="J106" i="3"/>
  <c r="W110" i="3"/>
  <c r="L87" i="3"/>
  <c r="K112" i="3"/>
  <c r="W132" i="3"/>
  <c r="L104" i="3"/>
  <c r="J86" i="3"/>
  <c r="K105" i="3"/>
  <c r="W73" i="3"/>
  <c r="J73" i="3"/>
  <c r="W84" i="3"/>
  <c r="J87" i="3"/>
  <c r="K134" i="3"/>
  <c r="J91" i="3"/>
  <c r="W85" i="3"/>
  <c r="K126" i="3"/>
  <c r="K106" i="3"/>
  <c r="K137" i="3"/>
  <c r="L110" i="3"/>
  <c r="W86" i="3"/>
  <c r="L74" i="3"/>
  <c r="K116" i="3"/>
  <c r="K125" i="3"/>
  <c r="J98" i="3"/>
  <c r="W78" i="3"/>
  <c r="M131" i="3"/>
  <c r="M96" i="3"/>
  <c r="L73" i="3"/>
  <c r="M127" i="3"/>
  <c r="W90" i="3"/>
  <c r="M132" i="3"/>
  <c r="M105" i="3"/>
  <c r="L128" i="3"/>
  <c r="W131" i="3"/>
  <c r="L102" i="3"/>
  <c r="J80" i="3"/>
  <c r="L97" i="3"/>
  <c r="K90" i="3"/>
  <c r="W88" i="3"/>
  <c r="K91" i="3"/>
  <c r="W102" i="3"/>
  <c r="J136" i="3"/>
  <c r="J128" i="3"/>
  <c r="J84" i="3"/>
  <c r="K87" i="3"/>
  <c r="W140" i="3"/>
  <c r="J79" i="3"/>
  <c r="K130" i="3"/>
  <c r="M91" i="3"/>
  <c r="M93" i="3"/>
  <c r="W137" i="3"/>
  <c r="M128" i="3"/>
  <c r="M107" i="3"/>
  <c r="M136" i="3"/>
  <c r="M118" i="3"/>
  <c r="L137" i="3"/>
  <c r="L75" i="3"/>
  <c r="M108" i="3"/>
  <c r="K138" i="3"/>
  <c r="W128" i="3"/>
  <c r="W101" i="3"/>
  <c r="J112" i="3"/>
  <c r="M103" i="3"/>
  <c r="W92" i="3"/>
  <c r="W80" i="3"/>
  <c r="K94" i="3"/>
  <c r="M114" i="3"/>
  <c r="M111" i="3"/>
  <c r="W95" i="3"/>
  <c r="J100" i="3"/>
  <c r="W134" i="3"/>
  <c r="L136" i="3"/>
  <c r="J81" i="3"/>
  <c r="K74" i="3"/>
  <c r="L116" i="3"/>
  <c r="W107" i="3"/>
  <c r="K88" i="3"/>
  <c r="L90" i="3"/>
  <c r="K96" i="3"/>
  <c r="J133" i="3"/>
  <c r="J110" i="3"/>
  <c r="J139" i="3"/>
  <c r="W154" i="3"/>
  <c r="K108" i="3"/>
  <c r="M87" i="3"/>
  <c r="M76" i="3"/>
  <c r="L131" i="3"/>
  <c r="J116" i="3"/>
  <c r="K93" i="3"/>
  <c r="K101" i="3"/>
  <c r="W113" i="3"/>
  <c r="K136" i="3"/>
  <c r="M97" i="3"/>
  <c r="L86" i="3"/>
  <c r="L95" i="3"/>
  <c r="L114" i="3"/>
  <c r="L108" i="3"/>
  <c r="L107" i="3"/>
  <c r="M100" i="3"/>
  <c r="L129" i="3"/>
  <c r="K79" i="3"/>
  <c r="K139" i="3"/>
  <c r="W82" i="3"/>
  <c r="J83" i="3"/>
  <c r="J94" i="3"/>
  <c r="W89" i="3"/>
  <c r="M116" i="3"/>
  <c r="L80" i="3"/>
  <c r="J109" i="3"/>
  <c r="W114" i="3"/>
  <c r="W81" i="3"/>
  <c r="K82" i="3"/>
  <c r="J131" i="3"/>
  <c r="J31" i="3"/>
  <c r="W139" i="3"/>
  <c r="J96" i="3"/>
  <c r="W94" i="3"/>
  <c r="K73" i="3"/>
  <c r="M81" i="3"/>
  <c r="L130" i="3"/>
  <c r="K83" i="3"/>
  <c r="W115" i="3"/>
  <c r="J118" i="3"/>
  <c r="M154" i="3"/>
  <c r="M35" i="3" s="1"/>
  <c r="J126" i="3"/>
  <c r="J102" i="3"/>
  <c r="L125" i="3"/>
  <c r="L79" i="3"/>
  <c r="W53" i="3"/>
  <c r="M56" i="3"/>
  <c r="K56" i="3"/>
  <c r="J55" i="3"/>
  <c r="L56" i="3"/>
  <c r="W56" i="3"/>
  <c r="J56" i="3"/>
  <c r="M53" i="3"/>
  <c r="M52" i="3"/>
  <c r="L69" i="3"/>
  <c r="J67" i="3"/>
  <c r="J42" i="3"/>
  <c r="W44" i="3"/>
  <c r="L55" i="3"/>
  <c r="M61" i="3"/>
  <c r="L53" i="3"/>
  <c r="K70" i="3"/>
  <c r="L42" i="3"/>
  <c r="M51" i="3"/>
  <c r="J64" i="3"/>
  <c r="K61" i="3"/>
  <c r="M45" i="3"/>
  <c r="M43" i="3"/>
  <c r="M67" i="3"/>
  <c r="M72" i="3"/>
  <c r="M46" i="3"/>
  <c r="M50" i="3"/>
  <c r="M54" i="3"/>
  <c r="K50" i="3"/>
  <c r="M62" i="3"/>
  <c r="J66" i="3"/>
  <c r="L47" i="3"/>
  <c r="M64" i="3"/>
  <c r="W45" i="3"/>
  <c r="M70" i="3"/>
  <c r="K44" i="3"/>
  <c r="K42" i="3"/>
  <c r="M55" i="3"/>
  <c r="M66" i="3"/>
  <c r="J47" i="3"/>
  <c r="L66" i="3"/>
  <c r="M69" i="3"/>
  <c r="M48" i="3"/>
  <c r="K47" i="3"/>
  <c r="W43" i="3"/>
  <c r="M49" i="3"/>
  <c r="J53" i="3"/>
  <c r="K48" i="3"/>
  <c r="J63" i="3"/>
  <c r="J51" i="3"/>
  <c r="M65" i="3"/>
  <c r="W66" i="3"/>
  <c r="M71" i="3"/>
  <c r="M44" i="3"/>
  <c r="J69" i="3"/>
  <c r="K68" i="3"/>
  <c r="M68" i="3"/>
  <c r="W68" i="3"/>
  <c r="J68" i="3"/>
  <c r="J65" i="3"/>
  <c r="L68" i="3"/>
  <c r="J48" i="3"/>
  <c r="W69" i="3"/>
  <c r="J44" i="3"/>
  <c r="J49" i="3"/>
  <c r="L48" i="3"/>
  <c r="K43" i="3"/>
  <c r="J61" i="3"/>
  <c r="K66" i="3"/>
  <c r="L52" i="3"/>
  <c r="W65" i="3"/>
  <c r="W49" i="3"/>
  <c r="W67" i="3"/>
  <c r="L64" i="3"/>
  <c r="L71" i="3"/>
  <c r="W64" i="3"/>
  <c r="J62" i="3"/>
  <c r="L46" i="3"/>
  <c r="L67" i="3"/>
  <c r="L54" i="3"/>
  <c r="L49" i="3"/>
  <c r="W72" i="3"/>
  <c r="L61" i="3"/>
  <c r="J50" i="3"/>
  <c r="W54" i="3"/>
  <c r="W70" i="3"/>
  <c r="L45" i="3"/>
  <c r="L43" i="3"/>
  <c r="L63" i="3"/>
  <c r="L51" i="3"/>
  <c r="L65" i="3"/>
  <c r="K69" i="3"/>
  <c r="K72" i="3"/>
  <c r="W47" i="3"/>
  <c r="W63" i="3"/>
  <c r="W52" i="3"/>
  <c r="J43" i="3"/>
  <c r="W71" i="3"/>
  <c r="W51" i="3"/>
  <c r="K64" i="3"/>
  <c r="L50" i="3"/>
  <c r="L62" i="3"/>
  <c r="K71" i="3"/>
  <c r="W61" i="3"/>
  <c r="W62" i="3"/>
  <c r="K52" i="3"/>
  <c r="K46" i="3"/>
  <c r="K65" i="3"/>
  <c r="W48" i="3"/>
  <c r="W50" i="3"/>
  <c r="M63" i="3"/>
  <c r="L72" i="3"/>
  <c r="K67" i="3"/>
  <c r="W55" i="3"/>
  <c r="K55" i="3"/>
  <c r="J71" i="3"/>
  <c r="J72" i="3"/>
  <c r="M42" i="3"/>
  <c r="K45" i="3"/>
  <c r="K51" i="3"/>
  <c r="L70" i="3"/>
  <c r="K53" i="3"/>
  <c r="K63" i="3"/>
  <c r="L44" i="3"/>
  <c r="M47" i="3"/>
  <c r="J46" i="3"/>
  <c r="K54" i="3"/>
  <c r="J54" i="3"/>
  <c r="J52" i="3"/>
  <c r="K62" i="3"/>
  <c r="W42" i="3"/>
  <c r="K49" i="3"/>
  <c r="C64" i="3"/>
  <c r="L34" i="3" l="1"/>
  <c r="J34" i="3"/>
  <c r="M34" i="3"/>
  <c r="J21" i="3"/>
  <c r="K33" i="3"/>
  <c r="M33" i="3"/>
  <c r="J33" i="3"/>
  <c r="L33" i="3"/>
  <c r="K34" i="3"/>
  <c r="K21" i="3"/>
  <c r="L22" i="3"/>
  <c r="M28" i="3"/>
  <c r="M21" i="3"/>
  <c r="K22" i="3"/>
  <c r="M23" i="3"/>
  <c r="J28" i="3"/>
  <c r="L25" i="3"/>
  <c r="J26" i="3"/>
  <c r="L29" i="3"/>
  <c r="L30" i="3"/>
  <c r="M30" i="3"/>
  <c r="M22" i="3"/>
  <c r="M26" i="3"/>
  <c r="L27" i="3"/>
  <c r="J27" i="3"/>
  <c r="J24" i="3"/>
  <c r="J22" i="3"/>
  <c r="M29" i="3"/>
  <c r="M24" i="3"/>
  <c r="L21" i="3"/>
  <c r="K24" i="3"/>
  <c r="K25" i="3"/>
  <c r="K29" i="3"/>
  <c r="J29" i="3"/>
  <c r="J23" i="3"/>
  <c r="K30" i="3"/>
  <c r="L23" i="3"/>
  <c r="M27" i="3"/>
  <c r="K26" i="3"/>
  <c r="K27" i="3"/>
  <c r="K23" i="3"/>
  <c r="M25" i="3"/>
  <c r="K28" i="3"/>
  <c r="J30" i="3"/>
  <c r="L28" i="3"/>
  <c r="J25" i="3"/>
  <c r="L26" i="3"/>
  <c r="L24" i="3"/>
  <c r="J20" i="3"/>
  <c r="J14" i="3"/>
  <c r="K14" i="3"/>
  <c r="M19" i="3"/>
  <c r="L19" i="3"/>
  <c r="J19" i="3"/>
  <c r="L17" i="3"/>
  <c r="J17" i="3"/>
  <c r="L14" i="3"/>
  <c r="M17" i="3"/>
  <c r="M20" i="3"/>
  <c r="M16" i="3"/>
  <c r="K15" i="3"/>
  <c r="K18" i="3"/>
  <c r="L20" i="3"/>
  <c r="K155" i="3"/>
  <c r="K20" i="3"/>
  <c r="K19" i="3"/>
  <c r="L15" i="3"/>
  <c r="K16" i="3"/>
  <c r="L16" i="3"/>
  <c r="W155" i="3"/>
  <c r="M15" i="3"/>
  <c r="J18" i="3"/>
  <c r="J15" i="3"/>
  <c r="L155" i="3"/>
  <c r="M14" i="3"/>
  <c r="M155" i="3"/>
  <c r="M18" i="3"/>
  <c r="L18" i="3"/>
  <c r="J155" i="3"/>
  <c r="J16" i="3"/>
  <c r="K17" i="3"/>
  <c r="C65" i="3"/>
  <c r="J6" i="3" s="1"/>
  <c r="X152" i="3" l="1"/>
  <c r="X146" i="3"/>
  <c r="X150" i="3"/>
  <c r="N147" i="3"/>
  <c r="N151" i="3"/>
  <c r="N152" i="3"/>
  <c r="N149" i="3"/>
  <c r="X147" i="3"/>
  <c r="X151" i="3"/>
  <c r="X141" i="3"/>
  <c r="X149" i="3"/>
  <c r="X148" i="3"/>
  <c r="X142" i="3"/>
  <c r="N142" i="3"/>
  <c r="X143" i="3"/>
  <c r="X153" i="3"/>
  <c r="N146" i="3"/>
  <c r="N148" i="3"/>
  <c r="N150" i="3"/>
  <c r="N143" i="3"/>
  <c r="N141" i="3"/>
  <c r="N153" i="3"/>
  <c r="N122" i="3"/>
  <c r="X122" i="3"/>
  <c r="N121" i="3"/>
  <c r="N124" i="3"/>
  <c r="X123" i="3"/>
  <c r="N120" i="3"/>
  <c r="X120" i="3"/>
  <c r="X121" i="3"/>
  <c r="N123" i="3"/>
  <c r="X124" i="3"/>
  <c r="N119" i="3"/>
  <c r="X119" i="3"/>
  <c r="X58" i="3"/>
  <c r="N58" i="3"/>
  <c r="X57" i="3"/>
  <c r="X59" i="3"/>
  <c r="N59" i="3"/>
  <c r="N60" i="3"/>
  <c r="X60" i="3"/>
  <c r="N57" i="3"/>
  <c r="K6" i="3"/>
  <c r="Q8" i="3"/>
  <c r="K7" i="3"/>
  <c r="Q9" i="3"/>
  <c r="N154" i="3"/>
  <c r="X154" i="3"/>
  <c r="K5" i="3"/>
  <c r="K8" i="3"/>
  <c r="N117" i="3"/>
  <c r="N115" i="3"/>
  <c r="X108" i="3"/>
  <c r="X116" i="3"/>
  <c r="X114" i="3"/>
  <c r="X110" i="3"/>
  <c r="X109" i="3"/>
  <c r="N108" i="3"/>
  <c r="X117" i="3"/>
  <c r="N111" i="3"/>
  <c r="N107" i="3"/>
  <c r="X112" i="3"/>
  <c r="X115" i="3"/>
  <c r="X113" i="3"/>
  <c r="N116" i="3"/>
  <c r="N114" i="3"/>
  <c r="N112" i="3"/>
  <c r="N110" i="3"/>
  <c r="X111" i="3"/>
  <c r="X107" i="3"/>
  <c r="N109" i="3"/>
  <c r="N113" i="3"/>
  <c r="X136" i="3"/>
  <c r="X137" i="3"/>
  <c r="X138" i="3"/>
  <c r="X139" i="3"/>
  <c r="X140" i="3"/>
  <c r="N138" i="3"/>
  <c r="N137" i="3"/>
  <c r="N140" i="3"/>
  <c r="N136" i="3"/>
  <c r="N139" i="3"/>
  <c r="Q4" i="3"/>
  <c r="L8" i="3"/>
  <c r="Q7" i="3"/>
  <c r="J5" i="3"/>
  <c r="Q5" i="3"/>
  <c r="J7" i="3"/>
  <c r="J8" i="3"/>
  <c r="K4" i="3"/>
  <c r="L5" i="3"/>
  <c r="Q6" i="3"/>
  <c r="X126" i="3"/>
  <c r="N130" i="3"/>
  <c r="X129" i="3"/>
  <c r="N98" i="3"/>
  <c r="N106" i="3"/>
  <c r="X135" i="3"/>
  <c r="X98" i="3"/>
  <c r="N101" i="3"/>
  <c r="X106" i="3"/>
  <c r="N125" i="3"/>
  <c r="X130" i="3"/>
  <c r="N133" i="3"/>
  <c r="X102" i="3"/>
  <c r="N102" i="3"/>
  <c r="N126" i="3"/>
  <c r="N134" i="3"/>
  <c r="N97" i="3"/>
  <c r="N105" i="3"/>
  <c r="X134" i="3"/>
  <c r="X103" i="3"/>
  <c r="N103" i="3"/>
  <c r="N127" i="3"/>
  <c r="X132" i="3"/>
  <c r="X95" i="3"/>
  <c r="N129" i="3"/>
  <c r="X127" i="3"/>
  <c r="X131" i="3"/>
  <c r="N118" i="3"/>
  <c r="X133" i="3"/>
  <c r="N128" i="3"/>
  <c r="N96" i="3"/>
  <c r="N95" i="3"/>
  <c r="X125" i="3"/>
  <c r="X97" i="3"/>
  <c r="X101" i="3"/>
  <c r="X100" i="3"/>
  <c r="X118" i="3"/>
  <c r="N135" i="3"/>
  <c r="X104" i="3"/>
  <c r="X105" i="3"/>
  <c r="N104" i="3"/>
  <c r="X99" i="3"/>
  <c r="N99" i="3"/>
  <c r="N132" i="3"/>
  <c r="N131" i="3"/>
  <c r="X128" i="3"/>
  <c r="N100" i="3"/>
  <c r="X96" i="3"/>
  <c r="L4" i="3"/>
  <c r="L7" i="3"/>
  <c r="J9" i="3"/>
  <c r="L6" i="3"/>
  <c r="N90" i="3"/>
  <c r="N88" i="3"/>
  <c r="X87" i="3"/>
  <c r="N92" i="3"/>
  <c r="N89" i="3"/>
  <c r="X88" i="3"/>
  <c r="X94" i="3"/>
  <c r="X91" i="3"/>
  <c r="N93" i="3"/>
  <c r="X86" i="3"/>
  <c r="X93" i="3"/>
  <c r="X89" i="3"/>
  <c r="N91" i="3"/>
  <c r="N94" i="3"/>
  <c r="N87" i="3"/>
  <c r="N86" i="3"/>
  <c r="X90" i="3"/>
  <c r="X92" i="3"/>
  <c r="N83" i="3"/>
  <c r="X84" i="3"/>
  <c r="X83" i="3"/>
  <c r="N82" i="3"/>
  <c r="N85" i="3"/>
  <c r="N84" i="3"/>
  <c r="X82" i="3"/>
  <c r="X85" i="3"/>
  <c r="N77" i="3"/>
  <c r="N79" i="3"/>
  <c r="X79" i="3"/>
  <c r="N78" i="3"/>
  <c r="N81" i="3"/>
  <c r="X78" i="3"/>
  <c r="N80" i="3"/>
  <c r="X77" i="3"/>
  <c r="X80" i="3"/>
  <c r="X81" i="3"/>
  <c r="N75" i="3"/>
  <c r="X75" i="3"/>
  <c r="N76" i="3"/>
  <c r="X76" i="3"/>
  <c r="N73" i="3"/>
  <c r="X73" i="3"/>
  <c r="N74" i="3"/>
  <c r="X74" i="3"/>
  <c r="K36" i="3"/>
  <c r="X56" i="3"/>
  <c r="N56" i="3"/>
  <c r="X65" i="3"/>
  <c r="N68" i="3"/>
  <c r="X49" i="3"/>
  <c r="N42" i="3"/>
  <c r="X47" i="3"/>
  <c r="X67" i="3"/>
  <c r="J36" i="3"/>
  <c r="X62" i="3"/>
  <c r="L36" i="3"/>
  <c r="X50" i="3"/>
  <c r="X68" i="3"/>
  <c r="X52" i="3"/>
  <c r="M36" i="3"/>
  <c r="N47" i="3"/>
  <c r="X54" i="3"/>
  <c r="X69" i="3"/>
  <c r="N61" i="3"/>
  <c r="N51" i="3"/>
  <c r="N44" i="3"/>
  <c r="N50" i="3"/>
  <c r="N70" i="3"/>
  <c r="N65" i="3"/>
  <c r="N71" i="3"/>
  <c r="N54" i="3"/>
  <c r="X43" i="3"/>
  <c r="N55" i="3"/>
  <c r="N48" i="3"/>
  <c r="X44" i="3"/>
  <c r="N67" i="3"/>
  <c r="N62" i="3"/>
  <c r="N66" i="3"/>
  <c r="N53" i="3"/>
  <c r="N52" i="3"/>
  <c r="N72" i="3"/>
  <c r="X46" i="3"/>
  <c r="X66" i="3"/>
  <c r="X53" i="3"/>
  <c r="N64" i="3"/>
  <c r="N43" i="3"/>
  <c r="X45" i="3"/>
  <c r="N69" i="3"/>
  <c r="N45" i="3"/>
  <c r="N46" i="3"/>
  <c r="N49" i="3"/>
  <c r="X70" i="3"/>
  <c r="X71" i="3"/>
  <c r="X64" i="3"/>
  <c r="X63" i="3"/>
  <c r="X51" i="3"/>
  <c r="X61" i="3"/>
  <c r="X42" i="3"/>
  <c r="X48" i="3"/>
  <c r="N63" i="3"/>
  <c r="X55" i="3"/>
  <c r="X72" i="3"/>
  <c r="M5" i="3"/>
  <c r="M9" i="3"/>
  <c r="M6" i="3"/>
  <c r="M4" i="3"/>
  <c r="K9" i="3"/>
  <c r="L9" i="3"/>
  <c r="M8" i="3"/>
  <c r="M7" i="3"/>
  <c r="J4" i="3"/>
  <c r="K10" i="3" l="1"/>
  <c r="Q10" i="3"/>
  <c r="J10" i="3"/>
  <c r="L10" i="3"/>
  <c r="N14" i="3"/>
  <c r="N33" i="3"/>
  <c r="N25" i="3"/>
  <c r="N28" i="3"/>
  <c r="N31" i="3"/>
  <c r="N32" i="3"/>
  <c r="N24" i="3"/>
  <c r="N23" i="3"/>
  <c r="N34" i="3"/>
  <c r="N29" i="3"/>
  <c r="N30" i="3"/>
  <c r="N22" i="3"/>
  <c r="N27" i="3"/>
  <c r="N26" i="3"/>
  <c r="N35" i="3"/>
  <c r="N15" i="3"/>
  <c r="N18" i="3"/>
  <c r="N21" i="3"/>
  <c r="N16" i="3"/>
  <c r="N20" i="3"/>
  <c r="N19" i="3"/>
  <c r="N17" i="3"/>
  <c r="M10" i="3"/>
  <c r="N9" i="3" s="1"/>
  <c r="O153" i="3" l="1"/>
  <c r="O150" i="3"/>
  <c r="O149" i="3"/>
  <c r="O147" i="3"/>
  <c r="O151" i="3"/>
  <c r="O141" i="3"/>
  <c r="O143" i="3"/>
  <c r="O152" i="3"/>
  <c r="O146" i="3"/>
  <c r="O142" i="3"/>
  <c r="O148" i="3"/>
  <c r="Y124" i="3"/>
  <c r="O123" i="3"/>
  <c r="Y120" i="3"/>
  <c r="O121" i="3"/>
  <c r="O124" i="3"/>
  <c r="Y123" i="3"/>
  <c r="Y122" i="3"/>
  <c r="O120" i="3"/>
  <c r="O122" i="3"/>
  <c r="Y121" i="3"/>
  <c r="Y119" i="3"/>
  <c r="O60" i="3"/>
  <c r="Y57" i="3"/>
  <c r="O119" i="3"/>
  <c r="Y59" i="3"/>
  <c r="Y58" i="3"/>
  <c r="Y60" i="3"/>
  <c r="O58" i="3"/>
  <c r="O59" i="3"/>
  <c r="O57" i="3"/>
  <c r="Y154" i="3"/>
  <c r="O154" i="3"/>
  <c r="O114" i="3"/>
  <c r="O110" i="3"/>
  <c r="O107" i="3"/>
  <c r="O111" i="3"/>
  <c r="O109" i="3"/>
  <c r="O116" i="3"/>
  <c r="O113" i="3"/>
  <c r="O112" i="3"/>
  <c r="O108" i="3"/>
  <c r="O117" i="3"/>
  <c r="O115" i="3"/>
  <c r="O136" i="3"/>
  <c r="O138" i="3"/>
  <c r="O139" i="3"/>
  <c r="O137" i="3"/>
  <c r="O140" i="3"/>
  <c r="Y105" i="3"/>
  <c r="O132" i="3"/>
  <c r="O135" i="3"/>
  <c r="O96" i="3"/>
  <c r="Y131" i="3"/>
  <c r="O131" i="3"/>
  <c r="Y104" i="3"/>
  <c r="O100" i="3"/>
  <c r="O104" i="3"/>
  <c r="Y98" i="3"/>
  <c r="Y103" i="3"/>
  <c r="Y135" i="3"/>
  <c r="Y128" i="3"/>
  <c r="O102" i="3"/>
  <c r="Y96" i="3"/>
  <c r="Y99" i="3"/>
  <c r="O126" i="3"/>
  <c r="Y95" i="3"/>
  <c r="O95" i="3"/>
  <c r="Y126" i="3"/>
  <c r="O99" i="3"/>
  <c r="Y100" i="3"/>
  <c r="O106" i="3"/>
  <c r="O127" i="3"/>
  <c r="Y127" i="3"/>
  <c r="Y101" i="3"/>
  <c r="O101" i="3"/>
  <c r="O130" i="3"/>
  <c r="O125" i="3"/>
  <c r="Y129" i="3"/>
  <c r="Y133" i="3"/>
  <c r="Y102" i="3"/>
  <c r="O128" i="3"/>
  <c r="Y97" i="3"/>
  <c r="O134" i="3"/>
  <c r="Y106" i="3"/>
  <c r="O105" i="3"/>
  <c r="Y130" i="3"/>
  <c r="O98" i="3"/>
  <c r="O103" i="3"/>
  <c r="Y118" i="3"/>
  <c r="Y125" i="3"/>
  <c r="Y132" i="3"/>
  <c r="O97" i="3"/>
  <c r="O129" i="3"/>
  <c r="Y134" i="3"/>
  <c r="O133" i="3"/>
  <c r="O118" i="3"/>
  <c r="Y89" i="3"/>
  <c r="O86" i="3"/>
  <c r="O88" i="3"/>
  <c r="Y87" i="3"/>
  <c r="O89" i="3"/>
  <c r="Y92" i="3"/>
  <c r="Y88" i="3"/>
  <c r="Y86" i="3"/>
  <c r="Y94" i="3"/>
  <c r="O94" i="3"/>
  <c r="O87" i="3"/>
  <c r="Y90" i="3"/>
  <c r="O91" i="3"/>
  <c r="O90" i="3"/>
  <c r="Y93" i="3"/>
  <c r="Y91" i="3"/>
  <c r="O93" i="3"/>
  <c r="O92" i="3"/>
  <c r="Y82" i="3"/>
  <c r="O85" i="3"/>
  <c r="O81" i="3"/>
  <c r="Y85" i="3"/>
  <c r="O83" i="3"/>
  <c r="Y84" i="3"/>
  <c r="O84" i="3"/>
  <c r="Y83" i="3"/>
  <c r="O76" i="3"/>
  <c r="O82" i="3"/>
  <c r="O79" i="3"/>
  <c r="Y78" i="3"/>
  <c r="Y81" i="3"/>
  <c r="Y79" i="3"/>
  <c r="O78" i="3"/>
  <c r="Y77" i="3"/>
  <c r="O80" i="3"/>
  <c r="O77" i="3"/>
  <c r="Y80" i="3"/>
  <c r="Y75" i="3"/>
  <c r="Y76" i="3"/>
  <c r="O75" i="3"/>
  <c r="Y74" i="3"/>
  <c r="O74" i="3"/>
  <c r="O73" i="3"/>
  <c r="Y73" i="3"/>
  <c r="O34" i="3"/>
  <c r="O24" i="3"/>
  <c r="O26" i="3"/>
  <c r="O32" i="3"/>
  <c r="O35" i="3"/>
  <c r="O27" i="3"/>
  <c r="O22" i="3"/>
  <c r="O30" i="3"/>
  <c r="O25" i="3"/>
  <c r="O23" i="3"/>
  <c r="O31" i="3"/>
  <c r="O28" i="3"/>
  <c r="O29" i="3"/>
  <c r="O33" i="3"/>
  <c r="Y56" i="3"/>
  <c r="O56" i="3"/>
  <c r="N4" i="3"/>
  <c r="O19" i="3"/>
  <c r="O20" i="3"/>
  <c r="O70" i="3"/>
  <c r="O46" i="3"/>
  <c r="Y55" i="3"/>
  <c r="O61" i="3"/>
  <c r="Y61" i="3"/>
  <c r="O15" i="3"/>
  <c r="N8" i="3"/>
  <c r="O17" i="3"/>
  <c r="O53" i="3"/>
  <c r="Y63" i="3"/>
  <c r="O47" i="3"/>
  <c r="O66" i="3"/>
  <c r="Y52" i="3"/>
  <c r="Y66" i="3"/>
  <c r="Y48" i="3"/>
  <c r="Y67" i="3"/>
  <c r="Y71" i="3"/>
  <c r="O21" i="3"/>
  <c r="O62" i="3"/>
  <c r="O52" i="3"/>
  <c r="Y44" i="3"/>
  <c r="O44" i="3"/>
  <c r="O64" i="3"/>
  <c r="O55" i="3"/>
  <c r="O42" i="3"/>
  <c r="Y69" i="3"/>
  <c r="Y50" i="3"/>
  <c r="O16" i="3"/>
  <c r="N7" i="3"/>
  <c r="Y64" i="3"/>
  <c r="O71" i="3"/>
  <c r="O72" i="3"/>
  <c r="O51" i="3"/>
  <c r="N6" i="3"/>
  <c r="Y46" i="3"/>
  <c r="O65" i="3"/>
  <c r="O49" i="3"/>
  <c r="Y45" i="3"/>
  <c r="Y51" i="3"/>
  <c r="Y47" i="3"/>
  <c r="O68" i="3"/>
  <c r="N5" i="3"/>
  <c r="Y42" i="3"/>
  <c r="O18" i="3"/>
  <c r="O69" i="3"/>
  <c r="O50" i="3"/>
  <c r="Y68" i="3"/>
  <c r="Y49" i="3"/>
  <c r="O54" i="3"/>
  <c r="O63" i="3"/>
  <c r="O48" i="3"/>
  <c r="Y53" i="3"/>
  <c r="O67" i="3"/>
  <c r="O45" i="3"/>
  <c r="Y65" i="3"/>
  <c r="Y72" i="3"/>
  <c r="Y43" i="3"/>
  <c r="Y70" i="3"/>
  <c r="Y54" i="3"/>
  <c r="O43" i="3"/>
  <c r="Y62" i="3"/>
  <c r="O14" i="3"/>
  <c r="N190" i="3"/>
  <c r="N168" i="3"/>
  <c r="N198" i="3"/>
  <c r="N181" i="3"/>
  <c r="N179" i="3"/>
  <c r="N182" i="3"/>
  <c r="N192" i="3"/>
  <c r="N189" i="3"/>
  <c r="N161" i="3"/>
  <c r="N162" i="3"/>
  <c r="N193" i="3"/>
  <c r="N164" i="3"/>
  <c r="N169" i="3"/>
  <c r="N170" i="3"/>
  <c r="N175" i="3"/>
  <c r="N195" i="3"/>
  <c r="N167" i="3"/>
  <c r="N178" i="3"/>
  <c r="N183" i="3"/>
  <c r="N197" i="3"/>
  <c r="N176" i="3"/>
  <c r="N184" i="3"/>
  <c r="N180" i="3"/>
  <c r="N165" i="3"/>
  <c r="N177" i="3"/>
  <c r="N191" i="3"/>
  <c r="N196" i="3"/>
  <c r="N166" i="3"/>
  <c r="N160" i="3"/>
  <c r="N159" i="3"/>
  <c r="N194" i="3"/>
  <c r="N163" i="3"/>
  <c r="O4" i="3" l="1"/>
  <c r="O163" i="3"/>
  <c r="O165" i="3"/>
  <c r="O195" i="3"/>
  <c r="O189" i="3"/>
  <c r="O9" i="3"/>
  <c r="O184" i="3"/>
  <c r="O176" i="3"/>
  <c r="O5" i="3"/>
  <c r="O175" i="3"/>
  <c r="O6" i="3"/>
  <c r="O182" i="3"/>
  <c r="O160" i="3"/>
  <c r="O169" i="3"/>
  <c r="O179" i="3"/>
  <c r="O166" i="3"/>
  <c r="O197" i="3"/>
  <c r="O164" i="3"/>
  <c r="O181" i="3"/>
  <c r="O7" i="3"/>
  <c r="O170" i="3"/>
  <c r="O183" i="3"/>
  <c r="O193" i="3"/>
  <c r="O198" i="3"/>
  <c r="O180" i="3"/>
  <c r="O178" i="3"/>
  <c r="O194" i="3"/>
  <c r="O192" i="3"/>
  <c r="O159" i="3"/>
  <c r="O196" i="3"/>
  <c r="O191" i="3"/>
  <c r="O162" i="3"/>
  <c r="O168" i="3"/>
  <c r="O177" i="3"/>
  <c r="O167" i="3"/>
  <c r="O161" i="3"/>
  <c r="O190" i="3"/>
  <c r="O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Pierre-Émile</author>
  </authors>
  <commentList>
    <comment ref="C100" authorId="0" shapeId="0" xr:uid="{FECB8FDD-4115-4C4F-A2F0-1ABBCB01484D}">
      <text>
        <r>
          <rPr>
            <b/>
            <sz val="9"/>
            <color indexed="81"/>
            <rFont val="Tahoma"/>
            <family val="2"/>
          </rPr>
          <t>Pierre-Émile:</t>
        </r>
        <r>
          <rPr>
            <sz val="9"/>
            <color indexed="81"/>
            <rFont val="Tahoma"/>
            <family val="2"/>
          </rPr>
          <t xml:space="preserve">
Devrait-on l'automatiser avec l'onglet "Détails Entreprise" ???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Pierre-Émile</author>
  </authors>
  <commentList>
    <comment ref="I12" authorId="0" shapeId="0" xr:uid="{373387FD-87FE-4CC1-AAE9-EC0B9E18C4EA}">
      <text>
        <r>
          <rPr>
            <b/>
            <sz val="9"/>
            <color indexed="81"/>
            <rFont val="Tahoma"/>
            <family val="2"/>
          </rPr>
          <t>Le bois est une source biogénique, donc ses émissions de CO2 sont comptabilisées séparément en conformité avec la norme ISO 14064-1.</t>
        </r>
      </text>
    </comment>
    <comment ref="S68" authorId="0" shapeId="0" xr:uid="{0142F94C-9600-457D-8370-FDE3E481282F}">
      <text>
        <r>
          <rPr>
            <sz val="9"/>
            <color indexed="81"/>
            <rFont val="Tahoma"/>
            <family val="2"/>
          </rPr>
          <t xml:space="preserve">Référence discutable. En recherche d'autres références de facteurs d'émissions.
</t>
        </r>
      </text>
    </comment>
    <comment ref="S69" authorId="0" shapeId="0" xr:uid="{4B901142-92F4-46F1-8553-10F7692F6B8B}">
      <text>
        <r>
          <rPr>
            <sz val="9"/>
            <color indexed="81"/>
            <rFont val="Tahoma"/>
            <family val="2"/>
          </rPr>
          <t xml:space="preserve">Référence discutable. En recherche d'autres références de facteurs d'émissions.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<sst xmlns="http://schemas.openxmlformats.org/spreadsheetml/2006/main" count="10649" uniqueCount="6659">
  <si>
    <t>Liste des méthodologies de calculs</t>
  </si>
  <si>
    <t>Catégorie</t>
  </si>
  <si>
    <t>Postes d'émissions</t>
  </si>
  <si>
    <t>Sources d'émissions</t>
  </si>
  <si>
    <t>Méthodologies</t>
  </si>
  <si>
    <t>[1@6]</t>
  </si>
  <si>
    <t>[1@22]</t>
  </si>
  <si>
    <t>Description</t>
  </si>
  <si>
    <t>[lettre]</t>
  </si>
  <si>
    <t>[no.]</t>
  </si>
  <si>
    <t>Code</t>
  </si>
  <si>
    <t>Notes</t>
  </si>
  <si>
    <t>Catégorie 1</t>
  </si>
  <si>
    <t>Émissions directes des sources de combustions fixes</t>
  </si>
  <si>
    <t>A</t>
  </si>
  <si>
    <t>Équipement fixe</t>
  </si>
  <si>
    <t>Quantité de combustible comptabilisé à partir des factures</t>
  </si>
  <si>
    <t>Quantité de combustible estimé à partir de la moyenne de l'industrie</t>
  </si>
  <si>
    <t>1A2</t>
  </si>
  <si>
    <t>Émissions directes des sources de combustions mobiles</t>
  </si>
  <si>
    <t>Équipement mobile</t>
  </si>
  <si>
    <t>Liée à 10A1</t>
  </si>
  <si>
    <t>Par la distance parcourue (Consommation d'essence connue)</t>
  </si>
  <si>
    <t>À partir des coûts d'essence</t>
  </si>
  <si>
    <t>B</t>
  </si>
  <si>
    <t>Véhicule</t>
  </si>
  <si>
    <t>Par la distance parcourue (Consommation inconnue; Marque, modèle et année connus)</t>
  </si>
  <si>
    <t>Liée à 10A3</t>
  </si>
  <si>
    <t>Émissions directes provenant des procédés et élevages d'animaux</t>
  </si>
  <si>
    <t>Digestion entérique</t>
  </si>
  <si>
    <t>Par tête</t>
  </si>
  <si>
    <t>Liée à 3B2</t>
  </si>
  <si>
    <t>Gestion du fumier</t>
  </si>
  <si>
    <t>En kg par type d'élevage</t>
  </si>
  <si>
    <t>Liée à 3A1 (Nécessite 3A1)</t>
  </si>
  <si>
    <t>C</t>
  </si>
  <si>
    <t>Engrais azoté</t>
  </si>
  <si>
    <t>Par quantité [kg] et % d'azote</t>
  </si>
  <si>
    <t>Liée à 9F4</t>
  </si>
  <si>
    <t>D</t>
  </si>
  <si>
    <t>Procécéder</t>
  </si>
  <si>
    <t>Nettoyage cryogénique</t>
  </si>
  <si>
    <t>Liée à 9J1</t>
  </si>
  <si>
    <t>Émissions fugitives directes (Réfrigérants)</t>
  </si>
  <si>
    <t>Équipement fixe de climatisation et de réfrigération</t>
  </si>
  <si>
    <t>Quantité rapporté par le frigoriste</t>
  </si>
  <si>
    <t>Moyenne de l'industrie</t>
  </si>
  <si>
    <t>Système de climatisation des véhicules</t>
  </si>
  <si>
    <t>Émissions directes provenant de l'usage des sols (incluant agricoles) et de la foresterie</t>
  </si>
  <si>
    <t>Déforestation</t>
  </si>
  <si>
    <t>Par la surface et par le type de forêt</t>
  </si>
  <si>
    <t>Liée à 5B1</t>
  </si>
  <si>
    <t>Perte de séquestration</t>
  </si>
  <si>
    <t>Par la surface et par le type de forêt (sur 100 ans)</t>
  </si>
  <si>
    <t>Liée à 5A1 (Nécessite 5A1)</t>
  </si>
  <si>
    <t>Par la surface et par le type de forêt (par année)</t>
  </si>
  <si>
    <t>Plantation d'arbre</t>
  </si>
  <si>
    <t>Nb d'arbres et année de plantation [kgCO2e capté/an]</t>
  </si>
  <si>
    <t>Captation estimé sur X années</t>
  </si>
  <si>
    <t>Catégorie 2</t>
  </si>
  <si>
    <t>Émissions indirectes provenant de la consommation d'électricité</t>
  </si>
  <si>
    <t>Quantité d'électricité comptabilisé à partir des factures</t>
  </si>
  <si>
    <t>Estimation à partir de la moyenne de l'industrie</t>
  </si>
  <si>
    <t>Émissions indirectes provenant de la consommation d'un réseau d'énergie (exclut l'électricité)</t>
  </si>
  <si>
    <t>Importation d'énergie sous forme de chaleur</t>
  </si>
  <si>
    <t>Quantité d'énergie produite et quantité d'énergie importée toutes deux connues</t>
  </si>
  <si>
    <t>Quantité de combustible attribuable à l'énergie importée</t>
  </si>
  <si>
    <t>Quantité d'énergie produite ESTIMÉE et quantité d'énergie importée connue</t>
  </si>
  <si>
    <t>Importation d'énergie sous forme d'air comprimé</t>
  </si>
  <si>
    <t>Quantité d'air comprimé acheté</t>
  </si>
  <si>
    <t>Catégorie 4</t>
  </si>
  <si>
    <t>E</t>
  </si>
  <si>
    <t>F</t>
  </si>
  <si>
    <t>Matériaux</t>
  </si>
  <si>
    <t>Aluminium primaire</t>
  </si>
  <si>
    <t>G</t>
  </si>
  <si>
    <t>H</t>
  </si>
  <si>
    <t>L</t>
  </si>
  <si>
    <t>Biens immobiliers</t>
  </si>
  <si>
    <t>Déchets</t>
  </si>
  <si>
    <t>Traitement des eaux usées</t>
  </si>
  <si>
    <t>Catégorie 3</t>
  </si>
  <si>
    <t>Transport et distribution en amont</t>
  </si>
  <si>
    <t>Déplacements d'affaires</t>
  </si>
  <si>
    <t>Traversier</t>
  </si>
  <si>
    <t>Repas</t>
  </si>
  <si>
    <t>Location d'actifs en amont</t>
  </si>
  <si>
    <t>Catégorie 5</t>
  </si>
  <si>
    <t>Investissement</t>
  </si>
  <si>
    <t>Déplacements des clients et des visiteurs</t>
  </si>
  <si>
    <t>Transport et distribution des produits en aval</t>
  </si>
  <si>
    <t>Utilisation des produits vendus</t>
  </si>
  <si>
    <t>Fin de vie des produits</t>
  </si>
  <si>
    <t>Location d'actif en aval</t>
  </si>
  <si>
    <t>Navettage des employés</t>
  </si>
  <si>
    <t>Télétravail</t>
  </si>
  <si>
    <t>Catégorie 6</t>
  </si>
  <si>
    <t>Autres sources d'émissions indirectes</t>
  </si>
  <si>
    <t>Sherbrooke, Qc</t>
  </si>
  <si>
    <t>Pierre-Emile Leblanc Comtois</t>
  </si>
  <si>
    <t>pe.leblanc-comtois@i-ges.ca</t>
  </si>
  <si>
    <t>Ce calculateur permet de se conformer à la norme ISO 14064-1.</t>
  </si>
  <si>
    <t>Tous droits réservés 2025</t>
  </si>
  <si>
    <t>Contact i-GES</t>
  </si>
  <si>
    <t>Back-end du logiciel d'inventaire GES</t>
  </si>
  <si>
    <t>Logiciel co-produit par la collaboration de Carbone Québec et i-GES</t>
  </si>
  <si>
    <r>
      <t>CO</t>
    </r>
    <r>
      <rPr>
        <b/>
        <vertAlign val="subscript"/>
        <sz val="11"/>
        <color theme="1"/>
        <rFont val="Aptos Narrow"/>
        <family val="2"/>
        <scheme val="minor"/>
      </rPr>
      <t>2</t>
    </r>
  </si>
  <si>
    <r>
      <t>CH</t>
    </r>
    <r>
      <rPr>
        <b/>
        <vertAlign val="subscript"/>
        <sz val="11"/>
        <color theme="1"/>
        <rFont val="Aptos Narrow"/>
        <family val="2"/>
        <scheme val="minor"/>
      </rPr>
      <t>4</t>
    </r>
  </si>
  <si>
    <r>
      <t>N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O</t>
    </r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</si>
  <si>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e]</t>
    </r>
  </si>
  <si>
    <r>
      <t>[tCO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e]</t>
    </r>
  </si>
  <si>
    <r>
      <t>[gCO</t>
    </r>
    <r>
      <rPr>
        <b/>
        <i/>
        <vertAlign val="subscript"/>
        <sz val="11"/>
        <color theme="1"/>
        <rFont val="Calibri (Corps)"/>
      </rPr>
      <t>2</t>
    </r>
    <r>
      <rPr>
        <b/>
        <i/>
        <sz val="11"/>
        <color theme="1"/>
        <rFont val="Aptos Narrow"/>
        <family val="2"/>
        <scheme val="minor"/>
      </rPr>
      <t>e]</t>
    </r>
  </si>
  <si>
    <r>
      <t>[tCO</t>
    </r>
    <r>
      <rPr>
        <b/>
        <i/>
        <vertAlign val="subscript"/>
        <sz val="11"/>
        <color theme="1"/>
        <rFont val="Calibri"/>
        <family val="2"/>
      </rPr>
      <t>2</t>
    </r>
    <r>
      <rPr>
        <b/>
        <i/>
        <sz val="11"/>
        <color theme="1"/>
        <rFont val="Calibri"/>
        <family val="2"/>
      </rPr>
      <t>e]</t>
    </r>
  </si>
  <si>
    <t>[kWh/unité]</t>
  </si>
  <si>
    <t>[kWh]</t>
  </si>
  <si>
    <t>Données d'activité</t>
  </si>
  <si>
    <t>Liste d'équipements 
ou de groupes d'équipements fixes</t>
  </si>
  <si>
    <t>Utilisation et Combustible</t>
  </si>
  <si>
    <t>Quantité Totale</t>
  </si>
  <si>
    <t>(Sélectionner)</t>
  </si>
  <si>
    <t>Qte</t>
  </si>
  <si>
    <t>Calculs et résultats</t>
  </si>
  <si>
    <t>Émissions GES</t>
  </si>
  <si>
    <t>Total GES :</t>
  </si>
  <si>
    <t>Total CO2 Biogénique :</t>
  </si>
  <si>
    <t>Énergie équivalente</t>
  </si>
  <si>
    <t>Totaux :</t>
  </si>
  <si>
    <t>Date</t>
  </si>
  <si>
    <t>Produit</t>
  </si>
  <si>
    <t>Nom de l'entreprise :</t>
  </si>
  <si>
    <t>EntrepTest</t>
  </si>
  <si>
    <t>Adresse de la maison mère :</t>
  </si>
  <si>
    <t>1234 St-Montréal road, Saguenay</t>
  </si>
  <si>
    <t>Liste des lieux de production</t>
  </si>
  <si>
    <t>Nom du lieu</t>
  </si>
  <si>
    <t>Adresse</t>
  </si>
  <si>
    <t>Bureau</t>
  </si>
  <si>
    <t>Usine #1</t>
  </si>
  <si>
    <t>555 boul. industriel</t>
  </si>
  <si>
    <t>Usine #2</t>
  </si>
  <si>
    <t>556 boul. Industriel</t>
  </si>
  <si>
    <t>Shop</t>
  </si>
  <si>
    <t>111 rue principale</t>
  </si>
  <si>
    <t>Produits et services</t>
  </si>
  <si>
    <t>Nom du produit ou service</t>
  </si>
  <si>
    <t>Nettoyage</t>
  </si>
  <si>
    <t>Service de nettoyage</t>
  </si>
  <si>
    <t>Balais</t>
  </si>
  <si>
    <t>Fabrication de balais</t>
  </si>
  <si>
    <t>Lieu de production</t>
  </si>
  <si>
    <t>Facteurs d'émissions</t>
  </si>
  <si>
    <t>1 - Équipements fixes et Chauffage</t>
  </si>
  <si>
    <t>(Référence E)</t>
  </si>
  <si>
    <t>(Référence A)</t>
  </si>
  <si>
    <t> </t>
  </si>
  <si>
    <t>Total</t>
  </si>
  <si>
    <t>Références</t>
  </si>
  <si>
    <t xml:space="preserve">Conversion </t>
  </si>
  <si>
    <t>Conversion énergie</t>
  </si>
  <si>
    <r>
      <t>CO</t>
    </r>
    <r>
      <rPr>
        <b/>
        <vertAlign val="subscript"/>
        <sz val="11"/>
        <color theme="1"/>
        <rFont val="Calibri"/>
        <family val="2"/>
      </rPr>
      <t>2</t>
    </r>
  </si>
  <si>
    <r>
      <t>CH</t>
    </r>
    <r>
      <rPr>
        <b/>
        <vertAlign val="subscript"/>
        <sz val="11"/>
        <color theme="1"/>
        <rFont val="Calibri"/>
        <family val="2"/>
      </rPr>
      <t>4</t>
    </r>
  </si>
  <si>
    <r>
      <t>N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O</t>
    </r>
  </si>
  <si>
    <r>
      <t>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éq</t>
    </r>
  </si>
  <si>
    <r>
      <t>CO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 xml:space="preserve"> Biogénique Anthropique</t>
    </r>
  </si>
  <si>
    <t>Liste</t>
  </si>
  <si>
    <t>Utilisation</t>
  </si>
  <si>
    <t>Carburant</t>
  </si>
  <si>
    <t>Unité</t>
  </si>
  <si>
    <t>[kg/L]</t>
  </si>
  <si>
    <t>[kWh/L]</t>
  </si>
  <si>
    <r>
      <t>[gCO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/unité]</t>
    </r>
  </si>
  <si>
    <r>
      <t>[gCH</t>
    </r>
    <r>
      <rPr>
        <b/>
        <vertAlign val="subscript"/>
        <sz val="11"/>
        <color theme="1"/>
        <rFont val="Aptos Narrow"/>
        <family val="2"/>
        <scheme val="minor"/>
      </rPr>
      <t>4</t>
    </r>
    <r>
      <rPr>
        <b/>
        <sz val="11"/>
        <color theme="1"/>
        <rFont val="Aptos Narrow"/>
        <family val="2"/>
        <scheme val="minor"/>
      </rPr>
      <t>/unité]</t>
    </r>
  </si>
  <si>
    <r>
      <t>[gN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O/unité]</t>
    </r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</si>
  <si>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eq/unité]</t>
    </r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</si>
  <si>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eq/kg]</t>
    </r>
  </si>
  <si>
    <t>Chauffage</t>
  </si>
  <si>
    <r>
      <t>Gaz naturel [m</t>
    </r>
    <r>
      <rPr>
        <vertAlign val="super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]</t>
    </r>
  </si>
  <si>
    <r>
      <t>m</t>
    </r>
    <r>
      <rPr>
        <vertAlign val="superscript"/>
        <sz val="11"/>
        <color theme="1"/>
        <rFont val="Calibri"/>
        <family val="2"/>
      </rPr>
      <t>3</t>
    </r>
  </si>
  <si>
    <t>Transition Énergie Québec (2019) Facteurs d'émission et de conversion.  https://transitionenergetique.gouv.qc.ca/fileadmin/medias/pdf/FacteursEmission.pdf</t>
  </si>
  <si>
    <t>Propane [L]</t>
  </si>
  <si>
    <t>NIR2023, PT2, annexe A6, tableau A6.1-4, p.259</t>
  </si>
  <si>
    <t>Mazout [L]</t>
  </si>
  <si>
    <t>NIR2023, PT2, annexe A6, tableau A6.1-5, p.260</t>
  </si>
  <si>
    <t>Bois [kg]</t>
  </si>
  <si>
    <t>kg</t>
  </si>
  <si>
    <t>Génératrice</t>
  </si>
  <si>
    <t>Essence [L]</t>
  </si>
  <si>
    <t>Diesel [L]</t>
  </si>
  <si>
    <t>Soudure</t>
  </si>
  <si>
    <t>Acétylène [kg]</t>
  </si>
  <si>
    <t>CNESST, Fiche technique de l'acétylène - https://reptox.cnesst.gouv.qc.ca/pages/fiche-complete.aspx?no_produit=497</t>
  </si>
  <si>
    <t>Argoshield [kg]</t>
  </si>
  <si>
    <t>Linde, Composition de l'Argoshield - https://www.boc.com.au/shop/en/au/gases/welding-gas-mixtures/argoshield-universal</t>
  </si>
  <si>
    <t>Autre</t>
  </si>
  <si>
    <t>Propane [kg]</t>
  </si>
  <si>
    <t>Propane [lbs]</t>
  </si>
  <si>
    <t>lbs</t>
  </si>
  <si>
    <t>2 - Intensité énergétique moyenne des bâtiments</t>
  </si>
  <si>
    <t>Intensité énergétique moyen</t>
  </si>
  <si>
    <t>Type de bâtiment</t>
  </si>
  <si>
    <r>
      <t> [Gj/m</t>
    </r>
    <r>
      <rPr>
        <b/>
        <vertAlign val="super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]</t>
    </r>
  </si>
  <si>
    <r>
      <t> [kWh/m</t>
    </r>
    <r>
      <rPr>
        <b/>
        <vertAlign val="super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]</t>
    </r>
  </si>
  <si>
    <t>Moyenne canadienne</t>
  </si>
  <si>
    <r>
      <t xml:space="preserve">Statistique Canada. (2016c, 16 septembre). </t>
    </r>
    <r>
      <rPr>
        <i/>
        <sz val="11"/>
        <color theme="1"/>
        <rFont val="Aptos Narrow"/>
        <family val="2"/>
        <scheme val="minor"/>
      </rPr>
      <t>Le Quotidien — Enquête sur la consommation d’énergie des secteurs commercial et institutionnel, 2014</t>
    </r>
    <r>
      <rPr>
        <sz val="11"/>
        <color theme="1"/>
        <rFont val="Aptos Narrow"/>
        <family val="2"/>
        <scheme val="minor"/>
      </rPr>
      <t>. https://www150.statcan.gc.ca/n1/daily-quotidien/160916/dq160916c-fra.htm</t>
    </r>
  </si>
  <si>
    <t>Hôpitaux</t>
  </si>
  <si>
    <t>Établissements de soins infirmiers</t>
  </si>
  <si>
    <t>Immeubles à bureaux (services médicaux)</t>
  </si>
  <si>
    <t>Immeubles à bureaux (services non médicaux)</t>
  </si>
  <si>
    <t>Magasins d'alimentation (sauf les restaurants et les bars)</t>
  </si>
  <si>
    <t>Magasins de détail (sauf les magasins d'alimentation)</t>
  </si>
  <si>
    <t>École primaires ou secondaires</t>
  </si>
  <si>
    <t>Hôtels, motels et/ou auberges</t>
  </si>
  <si>
    <t>Entrepôts</t>
  </si>
  <si>
    <t>Autres activités ou fonctions</t>
  </si>
  <si>
    <t>3 - Équipements mobiles</t>
  </si>
  <si>
    <r>
      <t>CO</t>
    </r>
    <r>
      <rPr>
        <b/>
        <vertAlign val="subscript"/>
        <sz val="11"/>
        <color theme="1"/>
        <rFont val="Calibri (Corps)"/>
      </rPr>
      <t>2</t>
    </r>
  </si>
  <si>
    <r>
      <t>CH</t>
    </r>
    <r>
      <rPr>
        <b/>
        <vertAlign val="subscript"/>
        <sz val="11"/>
        <color theme="1"/>
        <rFont val="Calibri (Corps)"/>
      </rPr>
      <t>4</t>
    </r>
  </si>
  <si>
    <r>
      <t>N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O</t>
    </r>
  </si>
  <si>
    <t>Liste de type de véhicule</t>
  </si>
  <si>
    <t>Grosseur</t>
  </si>
  <si>
    <t>[unité/L]</t>
  </si>
  <si>
    <r>
      <t>[gCO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/L]</t>
    </r>
  </si>
  <si>
    <r>
      <t>[gCH</t>
    </r>
    <r>
      <rPr>
        <b/>
        <vertAlign val="subscript"/>
        <sz val="11"/>
        <color theme="1"/>
        <rFont val="Aptos Narrow"/>
        <family val="2"/>
        <scheme val="minor"/>
      </rPr>
      <t>4</t>
    </r>
    <r>
      <rPr>
        <b/>
        <sz val="11"/>
        <color theme="1"/>
        <rFont val="Aptos Narrow"/>
        <family val="2"/>
        <scheme val="minor"/>
      </rPr>
      <t>/L]</t>
    </r>
  </si>
  <si>
    <r>
      <t>[gN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O/L]</t>
    </r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</si>
  <si>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eq/L]</t>
    </r>
  </si>
  <si>
    <t>Voiture</t>
  </si>
  <si>
    <t>légère</t>
  </si>
  <si>
    <t>NIR2023, PT2, annexe A6, tableau A6.1-14, p.266</t>
  </si>
  <si>
    <t>Camion</t>
  </si>
  <si>
    <t>léger</t>
  </si>
  <si>
    <t>lourd</t>
  </si>
  <si>
    <t>NIR2023, PT2, annexe A6, tableau A6.1-14, p.267</t>
  </si>
  <si>
    <t>Motocyclette</t>
  </si>
  <si>
    <t>NIR2023, PT2, annexe A6, tableau A6.1-14, p.268</t>
  </si>
  <si>
    <t>Hors route</t>
  </si>
  <si>
    <t>2 temps</t>
  </si>
  <si>
    <t>NIR2023, PT2, annexe A6, tableau A6.1-14, p.269</t>
  </si>
  <si>
    <t>4 temps</t>
  </si>
  <si>
    <t>NIR2023, PT2, annexe A6, tableau A6.1-14, p.270</t>
  </si>
  <si>
    <t>Bateau</t>
  </si>
  <si>
    <t>NIR2023, PT2, annexe A6, tableau A6.1-14, p.271</t>
  </si>
  <si>
    <t>NIR2023, PT2, annexe A6, tableau A6.1-14, p.272</t>
  </si>
  <si>
    <t>Cargo</t>
  </si>
  <si>
    <t>NIR2023, PT2, annexe A6, tableau A6.1-14, p.273</t>
  </si>
  <si>
    <t>NIR2023, PT2, annexe A6, tableau A6.1-14, p.274</t>
  </si>
  <si>
    <t>NIR2023, PT2, annexe A6, tableau A6.1-14, p.275</t>
  </si>
  <si>
    <t>NIR2023, PT2, annexe A6, tableau A6.1-14, p.276</t>
  </si>
  <si>
    <t>Train</t>
  </si>
  <si>
    <t>NIR2023, PT2, annexe A6, tableau A6.1-14, p.277</t>
  </si>
  <si>
    <t>NIR2023, PT2, annexe A6, tableau A6.1-14, p.278</t>
  </si>
  <si>
    <t>Électrique [kWh]</t>
  </si>
  <si>
    <t>kWh</t>
  </si>
  <si>
    <t>Aviation</t>
  </si>
  <si>
    <t>Kérosène [L]</t>
  </si>
  <si>
    <t>4 - Déplacements par km</t>
  </si>
  <si>
    <t>Liste de moyens de transport</t>
  </si>
  <si>
    <t>[L/100km.passager]</t>
  </si>
  <si>
    <t>Transport Canada, 2014, Niveau d'Aggrégation: Véhicule Ratios. https://tc.canada.ca/fr/services-generaux/politiques/annuel-2014</t>
  </si>
  <si>
    <t>Moto (600cc)</t>
  </si>
  <si>
    <t>Les furets (2022),Consommation d'essence d'une moto : ces gestes qui augmentent les dépenses - https://www.lesfurets.com/assurance-moto/guide/les-astuces-pour-diminuer-votre-consommation-de-carburant-a-moto</t>
  </si>
  <si>
    <t>Mobilette (125cc)</t>
  </si>
  <si>
    <t>(Valeur de la Voiture divisée par 2)</t>
  </si>
  <si>
    <t>Greenhouse Gas Protocole, Caculation Tools, version 2.6, 2015</t>
  </si>
  <si>
    <t>Autres transports en commun</t>
  </si>
  <si>
    <t>Marche ou vélo</t>
  </si>
  <si>
    <t>5 - Transports de passagers</t>
  </si>
  <si>
    <t>Type</t>
  </si>
  <si>
    <t>[Litre / km.passager]</t>
  </si>
  <si>
    <t>km.passager en 2024</t>
  </si>
  <si>
    <t>Carburant total 2024</t>
  </si>
  <si>
    <r>
      <t>[gCO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/km.passager]</t>
    </r>
  </si>
  <si>
    <r>
      <t>[gCH</t>
    </r>
    <r>
      <rPr>
        <b/>
        <vertAlign val="subscript"/>
        <sz val="11"/>
        <color theme="1"/>
        <rFont val="Aptos Narrow"/>
        <family val="2"/>
        <scheme val="minor"/>
      </rPr>
      <t>4</t>
    </r>
    <r>
      <rPr>
        <b/>
        <sz val="11"/>
        <color theme="1"/>
        <rFont val="Aptos Narrow"/>
        <family val="2"/>
        <scheme val="minor"/>
      </rPr>
      <t>/km.passager]</t>
    </r>
  </si>
  <si>
    <r>
      <t>[gN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O/km.passager]</t>
    </r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</si>
  <si>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eq/km.passager]</t>
    </r>
  </si>
  <si>
    <t>Intercity Rail</t>
  </si>
  <si>
    <t>(US)</t>
  </si>
  <si>
    <t>Emission Factors for Greenhouse Gas Inventories, US EPA, 2014 - https://www.epa.gov/sites/default/files/2015-07/documents/emission-factors_2014.pdf</t>
  </si>
  <si>
    <t>Train voyageur</t>
  </si>
  <si>
    <t>VIA RAIL</t>
  </si>
  <si>
    <t>VIA-RAIL Rapport Annuel 2024 (VIA-RAIL, 2025) - https://media.viarail.ca/sites/default/files/publications/VIA-Rail_Rapport-Annuel_2024.pdf</t>
  </si>
  <si>
    <t>Commuter rail</t>
  </si>
  <si>
    <t>Transit - Subway / tram</t>
  </si>
  <si>
    <t>Autobus</t>
  </si>
  <si>
    <t>Distance min</t>
  </si>
  <si>
    <t>Distance max</t>
  </si>
  <si>
    <t>[km]</t>
  </si>
  <si>
    <t>Avion</t>
  </si>
  <si>
    <t>et plus</t>
  </si>
  <si>
    <t>Distance</t>
  </si>
  <si>
    <t>Traverse</t>
  </si>
  <si>
    <r>
      <t>[gCO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/traverse.passager]</t>
    </r>
  </si>
  <si>
    <r>
      <t>[gCH</t>
    </r>
    <r>
      <rPr>
        <b/>
        <vertAlign val="subscript"/>
        <sz val="11"/>
        <color theme="1"/>
        <rFont val="Aptos Narrow"/>
        <family val="2"/>
        <scheme val="minor"/>
      </rPr>
      <t>4</t>
    </r>
    <r>
      <rPr>
        <b/>
        <sz val="11"/>
        <color theme="1"/>
        <rFont val="Aptos Narrow"/>
        <family val="2"/>
        <scheme val="minor"/>
      </rPr>
      <t>/traverse.passager]</t>
    </r>
  </si>
  <si>
    <r>
      <t>[gN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O/traverse.passager]</t>
    </r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</si>
  <si>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eq/traverse.passager]</t>
    </r>
  </si>
  <si>
    <r>
      <t>[gCO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/traverse.véhicule]</t>
    </r>
  </si>
  <si>
    <r>
      <t>[gCH</t>
    </r>
    <r>
      <rPr>
        <b/>
        <vertAlign val="subscript"/>
        <sz val="11"/>
        <color theme="1"/>
        <rFont val="Aptos Narrow"/>
        <family val="2"/>
        <scheme val="minor"/>
      </rPr>
      <t>4</t>
    </r>
    <r>
      <rPr>
        <b/>
        <sz val="11"/>
        <color theme="1"/>
        <rFont val="Aptos Narrow"/>
        <family val="2"/>
        <scheme val="minor"/>
      </rPr>
      <t>/traverse.véhicule]</t>
    </r>
  </si>
  <si>
    <r>
      <t>[gN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O/traverse.véhicule]</t>
    </r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</si>
  <si>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eq/traverse.véhicule]</t>
    </r>
  </si>
  <si>
    <t>Sorel-Tracy @ Saint-Ignace-de-Loyola</t>
  </si>
  <si>
    <t>Facteurs calculés à partir de : STQ (2023) Rapport annuel de gestion 2022-2023, page 13, 23 et 77. + Régie de l'énergie (2023) Mazout Léger - Relevé Hebdomadaire des prix.</t>
  </si>
  <si>
    <t>Québec @ Lévis</t>
  </si>
  <si>
    <t>L'Isle-aux-Grues @ Montmagny</t>
  </si>
  <si>
    <t>L'Isle-aux-Coudes @ Saint-Joseph-de-la-Rive</t>
  </si>
  <si>
    <t>Tadoussac @ Baie-Sainte-Catherine</t>
  </si>
  <si>
    <t>L'Île-Verte</t>
  </si>
  <si>
    <t>Matane @ Baie-Comeau</t>
  </si>
  <si>
    <t>Matane @ Godbout</t>
  </si>
  <si>
    <t>Harrington Harbour @ Chevery</t>
  </si>
  <si>
    <t>Pakuashipi @ Saint-Augustin</t>
  </si>
  <si>
    <t>Souris (Î-P-É) @ Cap-aux-Meules (Îles de la Madeleine)</t>
  </si>
  <si>
    <t>Rivière-du-Loup @ Saint-Siméon</t>
  </si>
  <si>
    <r>
      <t>[gCO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/km.véhicule]</t>
    </r>
  </si>
  <si>
    <r>
      <t>[gCH</t>
    </r>
    <r>
      <rPr>
        <b/>
        <vertAlign val="subscript"/>
        <sz val="11"/>
        <color theme="1"/>
        <rFont val="Aptos Narrow"/>
        <family val="2"/>
        <scheme val="minor"/>
      </rPr>
      <t>4</t>
    </r>
    <r>
      <rPr>
        <b/>
        <sz val="11"/>
        <color theme="1"/>
        <rFont val="Aptos Narrow"/>
        <family val="2"/>
        <scheme val="minor"/>
      </rPr>
      <t>/km.véhicule]</t>
    </r>
  </si>
  <si>
    <r>
      <t>[gN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O/km.véhicule]</t>
    </r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</si>
  <si>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eq/km.véhicule]</t>
    </r>
  </si>
  <si>
    <t>Autres</t>
  </si>
  <si>
    <t>5.3 - Bateau de Croisière</t>
  </si>
  <si>
    <t>Consommation par personne</t>
  </si>
  <si>
    <t>Nombre de passager</t>
  </si>
  <si>
    <t>Tonnage du navire</t>
  </si>
  <si>
    <t>Consommation par jour</t>
  </si>
  <si>
    <t>Nom du bateau de croisière</t>
  </si>
  <si>
    <t>[L/jour.passager]</t>
  </si>
  <si>
    <r>
      <t>[gCO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/jour.passager]</t>
    </r>
  </si>
  <si>
    <r>
      <t>[gCH</t>
    </r>
    <r>
      <rPr>
        <b/>
        <vertAlign val="subscript"/>
        <sz val="11"/>
        <color theme="1"/>
        <rFont val="Aptos Narrow"/>
        <family val="2"/>
        <scheme val="minor"/>
      </rPr>
      <t>4</t>
    </r>
    <r>
      <rPr>
        <b/>
        <sz val="11"/>
        <color theme="1"/>
        <rFont val="Aptos Narrow"/>
        <family val="2"/>
        <scheme val="minor"/>
      </rPr>
      <t>/jour.passager]</t>
    </r>
  </si>
  <si>
    <r>
      <t>[gN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O/jour.passager]</t>
    </r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</si>
  <si>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eq/jour.passager]</t>
    </r>
  </si>
  <si>
    <t>[passager]</t>
  </si>
  <si>
    <t>[tonnage]</t>
  </si>
  <si>
    <t>[L/jour]</t>
  </si>
  <si>
    <t>Bateau de croisière</t>
  </si>
  <si>
    <t>Azamara Journey</t>
  </si>
  <si>
    <t>Star Croisière (consulté le 13 juin 2024) Capacité en nombre de passager. https://www.starcroisieres.com/bateaux-de-croisiere + IPCC Volume 2, Chapitre 3, Tableau 3.5.6. https://www.ipcc-nggip.iges.or.jp/public/2006gl/french/pdf/2_Volume2/V2_3_Ch3_Mobile_Combustion.pdf + Conversion de Tonnes de mazout en litres (consulté le 13 juin 2024). https://www.thecalculatorsite.com/conversions/common/liters-to-metric-tons.php</t>
  </si>
  <si>
    <t>Azamara Onward</t>
  </si>
  <si>
    <t>Azamara Pursuit</t>
  </si>
  <si>
    <t>Azamara Quest</t>
  </si>
  <si>
    <t>Carnival Breeze</t>
  </si>
  <si>
    <t>Carnival Celebration</t>
  </si>
  <si>
    <t>Carnival Conquest</t>
  </si>
  <si>
    <t>Carnival Dream</t>
  </si>
  <si>
    <t>Carnival Elation</t>
  </si>
  <si>
    <t>Carnival Freedom</t>
  </si>
  <si>
    <t>Carnival Glory</t>
  </si>
  <si>
    <t>Carnival Horizon</t>
  </si>
  <si>
    <t>Carnival Jubilee</t>
  </si>
  <si>
    <t>Carnival Legend</t>
  </si>
  <si>
    <t>Carnival Liberty</t>
  </si>
  <si>
    <t>Carnival Luminosa</t>
  </si>
  <si>
    <t>Carnival Magic</t>
  </si>
  <si>
    <t>Marnival Mardi Gras</t>
  </si>
  <si>
    <t>Carnival Miracle</t>
  </si>
  <si>
    <t>Carnival Panorama</t>
  </si>
  <si>
    <t>Carnival Paradise</t>
  </si>
  <si>
    <t>Carnival Pride</t>
  </si>
  <si>
    <t>Carnival Radiance</t>
  </si>
  <si>
    <t>Carnival Splendor</t>
  </si>
  <si>
    <t>Carnival Sunrise</t>
  </si>
  <si>
    <t>Carnival (consulté le 17 juin 2024) https://www.carnival.com/cruise-ships/carnival-sunrise + IPCC Volume 2, Chapitre 3, Tableau 3.5.6. https://www.ipcc-nggip.iges.or.jp/public/2006gl/french/pdf/2_Volume2/V2_3_Ch3_Mobile_Combustion.pdf + Conversion de Tonnes de mazout en litres (consulté le 13 juin 2024). https://www.thecalculatorsite.com/conversions/common/liters-to-metric-tons.php</t>
  </si>
  <si>
    <t>Carnival Sunshine</t>
  </si>
  <si>
    <t>Carnival Valor</t>
  </si>
  <si>
    <t>Carnival Vista</t>
  </si>
  <si>
    <t>Celebrity Apex</t>
  </si>
  <si>
    <t>Celebrity Ascent</t>
  </si>
  <si>
    <t>Celebrity Beyond</t>
  </si>
  <si>
    <t>Celebrity Constellation</t>
  </si>
  <si>
    <t>Celebrity Eclipse</t>
  </si>
  <si>
    <t>Celebrity Edge</t>
  </si>
  <si>
    <t>Celebrity Equinox</t>
  </si>
  <si>
    <t>Celebrity Flora</t>
  </si>
  <si>
    <t>Celebrity Infinity</t>
  </si>
  <si>
    <t>Celebrity Reflection</t>
  </si>
  <si>
    <t>Celebrity Silhouette</t>
  </si>
  <si>
    <t>Celebrity Solstice</t>
  </si>
  <si>
    <t>Celebrity Summit</t>
  </si>
  <si>
    <t>Celebrity Xpedition</t>
  </si>
  <si>
    <t>Celebrity Xploration</t>
  </si>
  <si>
    <t>Celestyal Discovery</t>
  </si>
  <si>
    <t>Celestyal Journey</t>
  </si>
  <si>
    <t>Renaissance</t>
  </si>
  <si>
    <t>Costa Deliziosa</t>
  </si>
  <si>
    <t>Costa Diadema</t>
  </si>
  <si>
    <t>Costa Fascinosa</t>
  </si>
  <si>
    <t>Costa Favolosa</t>
  </si>
  <si>
    <t>Costa Fortuna</t>
  </si>
  <si>
    <t>Costa Pacifica</t>
  </si>
  <si>
    <t>Costa Smeralda</t>
  </si>
  <si>
    <t>Costa Toscana</t>
  </si>
  <si>
    <t>CroisiMer La Belle des Océans</t>
  </si>
  <si>
    <t>CroisiMer La Belle de l'Adriatique</t>
  </si>
  <si>
    <t>Queen Anne</t>
  </si>
  <si>
    <t>Queen Elizabeth</t>
  </si>
  <si>
    <t>Queen Mary 2</t>
  </si>
  <si>
    <t>Queen Victoria</t>
  </si>
  <si>
    <t>Explora I</t>
  </si>
  <si>
    <t>Explora II</t>
  </si>
  <si>
    <t>ms Eurodam</t>
  </si>
  <si>
    <t>ms Koningsdam</t>
  </si>
  <si>
    <t>ms Nieuw Amsterdam</t>
  </si>
  <si>
    <t>ms Nieuw Statendam</t>
  </si>
  <si>
    <t>ms Noordam</t>
  </si>
  <si>
    <t>ms Oosterdam</t>
  </si>
  <si>
    <t>ms Rotterdam</t>
  </si>
  <si>
    <t>ms Volendam</t>
  </si>
  <si>
    <t>ms Westerdam</t>
  </si>
  <si>
    <t>ms Zaandam</t>
  </si>
  <si>
    <t>ms Zuiderdam</t>
  </si>
  <si>
    <t>MSC Armonia</t>
  </si>
  <si>
    <t>MSC Bellissima</t>
  </si>
  <si>
    <t>MSC Divina</t>
  </si>
  <si>
    <t>MSC Euribia</t>
  </si>
  <si>
    <t>MSC Fantasia</t>
  </si>
  <si>
    <t>MSC Grandiosa</t>
  </si>
  <si>
    <t>MSC Lirica</t>
  </si>
  <si>
    <t>MSC Magnifica</t>
  </si>
  <si>
    <t>MSC Meraviglia</t>
  </si>
  <si>
    <t>MSC Musica</t>
  </si>
  <si>
    <t>MSC Opera</t>
  </si>
  <si>
    <t>MSC Orchestra</t>
  </si>
  <si>
    <t>MSC Poesia</t>
  </si>
  <si>
    <t>MSC Preziosa</t>
  </si>
  <si>
    <t>MSC Seascape</t>
  </si>
  <si>
    <t>MSC Seashore</t>
  </si>
  <si>
    <t>MSC Seaside</t>
  </si>
  <si>
    <t>MSC Seaview</t>
  </si>
  <si>
    <t>MSC Sinfonia</t>
  </si>
  <si>
    <t>MSC Splendida</t>
  </si>
  <si>
    <t>MSC Virtuosa</t>
  </si>
  <si>
    <t>MSC World America</t>
  </si>
  <si>
    <t>MSC World Europa</t>
  </si>
  <si>
    <t>Norwegian Aqua</t>
  </si>
  <si>
    <t>Norwegian Bliss</t>
  </si>
  <si>
    <t>Norwegian Breakaway</t>
  </si>
  <si>
    <t>Norwegian Dawn</t>
  </si>
  <si>
    <t>Norwegian Encore</t>
  </si>
  <si>
    <t>Norwegian Epic</t>
  </si>
  <si>
    <t>Norwegian Escape</t>
  </si>
  <si>
    <t>Norwegian Gem</t>
  </si>
  <si>
    <t>Norwegian Getaway</t>
  </si>
  <si>
    <t>Norwegian Jade</t>
  </si>
  <si>
    <t>Norwegian Jewel</t>
  </si>
  <si>
    <t>Norwegian Joy</t>
  </si>
  <si>
    <t>Norwegian Pearl</t>
  </si>
  <si>
    <t>Norwegian Prima</t>
  </si>
  <si>
    <t>Norwegian Sky</t>
  </si>
  <si>
    <t>Norwegian Spirit</t>
  </si>
  <si>
    <t>Norwegian Star</t>
  </si>
  <si>
    <t>Norwegian Sun</t>
  </si>
  <si>
    <t>Norwegian Viva</t>
  </si>
  <si>
    <t>Norwegian - Pride of America</t>
  </si>
  <si>
    <t>Oceania Cruises - Insignia</t>
  </si>
  <si>
    <t>Oceania Cruises - Marina</t>
  </si>
  <si>
    <t>Oceania Cruises - Nautica</t>
  </si>
  <si>
    <t>Oceania Cruises - Regatta</t>
  </si>
  <si>
    <t>Oceania Cruises - Riviera</t>
  </si>
  <si>
    <t>Oceania Cruises - Sirena</t>
  </si>
  <si>
    <t>Oceania Cruises - Vista</t>
  </si>
  <si>
    <t>Paul Gauguin</t>
  </si>
  <si>
    <t>Ponant - L'Austral</t>
  </si>
  <si>
    <t>Ponant - Le Bellot</t>
  </si>
  <si>
    <t>Ponant - Le Boréal</t>
  </si>
  <si>
    <t>Ponant -  Le Bougainville</t>
  </si>
  <si>
    <t>Ponant - Le Champlain</t>
  </si>
  <si>
    <t>Ponant - Le Commandant Charcot</t>
  </si>
  <si>
    <t>Ponant - Le Dumont d'Urville</t>
  </si>
  <si>
    <t>Ponant - Le Jacques Cartier</t>
  </si>
  <si>
    <t>Ponant - Le Lapérouse</t>
  </si>
  <si>
    <t>Ponant - Le Lyrial</t>
  </si>
  <si>
    <t>Ponant - Le Ponant</t>
  </si>
  <si>
    <t>Voilier</t>
  </si>
  <si>
    <t>Ponant - Le Soléal</t>
  </si>
  <si>
    <t>Caribbean Princess</t>
  </si>
  <si>
    <t>Coral Princess</t>
  </si>
  <si>
    <t>Crown Princess</t>
  </si>
  <si>
    <t>Diamond Princess</t>
  </si>
  <si>
    <t>Discovery Pincess</t>
  </si>
  <si>
    <t>Emerald Princess</t>
  </si>
  <si>
    <t>Enchanted Princess</t>
  </si>
  <si>
    <t>Grand Princess</t>
  </si>
  <si>
    <t>Island Princess</t>
  </si>
  <si>
    <t>Majestic Princess</t>
  </si>
  <si>
    <t>Regal Princess</t>
  </si>
  <si>
    <t>Royal Princess</t>
  </si>
  <si>
    <t>Ruby Princess</t>
  </si>
  <si>
    <t>Sapphire Princess</t>
  </si>
  <si>
    <t>Sky Princess</t>
  </si>
  <si>
    <t>Star Princess</t>
  </si>
  <si>
    <t>Sun Princess</t>
  </si>
  <si>
    <t>Seven Seas Explorer</t>
  </si>
  <si>
    <t>Seven Seas Grandeur</t>
  </si>
  <si>
    <t>Seven Seas Mariner</t>
  </si>
  <si>
    <t>Seven Seas Navigator</t>
  </si>
  <si>
    <t>Seven Seas Splendor</t>
  </si>
  <si>
    <t>Seven Seas Voyager</t>
  </si>
  <si>
    <t>Rivages du Monde - MS World Explorer</t>
  </si>
  <si>
    <t>Adventure of the Seas</t>
  </si>
  <si>
    <t>Allure of the Seas</t>
  </si>
  <si>
    <t>Anthem of the Seas</t>
  </si>
  <si>
    <t>Brilliance of the Seas</t>
  </si>
  <si>
    <t>Enchantment of the Seas</t>
  </si>
  <si>
    <t>Explorer of the Seas</t>
  </si>
  <si>
    <t>Freedom of the Seas</t>
  </si>
  <si>
    <t>Grandeur of the Seas</t>
  </si>
  <si>
    <t>Harmony of the Seas</t>
  </si>
  <si>
    <t>Icon of the Seas</t>
  </si>
  <si>
    <t>Independence of the Seas</t>
  </si>
  <si>
    <t>Jewel of the Seas</t>
  </si>
  <si>
    <t>Liberty of the Seas</t>
  </si>
  <si>
    <t>Mariner of the Seas</t>
  </si>
  <si>
    <t>Navigator of the Seas</t>
  </si>
  <si>
    <t>Oasis of the Seas</t>
  </si>
  <si>
    <t>Odyssey of the Seas</t>
  </si>
  <si>
    <t>Ovation of the Seas</t>
  </si>
  <si>
    <t>Quantum of the Seas</t>
  </si>
  <si>
    <t>Radiance of the Seas</t>
  </si>
  <si>
    <t>Rhapsody of the Seas</t>
  </si>
  <si>
    <t>Serenade of the Seas</t>
  </si>
  <si>
    <t>Spectrum of the Seas</t>
  </si>
  <si>
    <t>Star of the Seas</t>
  </si>
  <si>
    <t>Symphony of the Seas</t>
  </si>
  <si>
    <t>Utopia of the Seas</t>
  </si>
  <si>
    <t>Vision of the Seas</t>
  </si>
  <si>
    <t>Voyager of the Seas</t>
  </si>
  <si>
    <t>Wonder of the Seas</t>
  </si>
  <si>
    <t>Seabourn Encore</t>
  </si>
  <si>
    <t>Seaborn Odyssey</t>
  </si>
  <si>
    <t>Seabourn Ovation</t>
  </si>
  <si>
    <t>Seabourn Pursuit</t>
  </si>
  <si>
    <t>Seabourn Quest</t>
  </si>
  <si>
    <t>Seabourn Sojourn</t>
  </si>
  <si>
    <t>Seabourn Venture</t>
  </si>
  <si>
    <t>Silver Cloud Expedition</t>
  </si>
  <si>
    <t>Silver Dawn</t>
  </si>
  <si>
    <t>Silver Endeavour</t>
  </si>
  <si>
    <t>Silver Moon</t>
  </si>
  <si>
    <t>Silver Muse</t>
  </si>
  <si>
    <t>Silver Nova</t>
  </si>
  <si>
    <t>Silver Origin</t>
  </si>
  <si>
    <t>Silver Ray</t>
  </si>
  <si>
    <t>Silver Shadow</t>
  </si>
  <si>
    <t>Silver Spirit</t>
  </si>
  <si>
    <t>Silver Whisper</t>
  </si>
  <si>
    <t>Silver Wind</t>
  </si>
  <si>
    <t>Royal Clipper</t>
  </si>
  <si>
    <t>Star Clipper</t>
  </si>
  <si>
    <t>Star Flyer</t>
  </si>
  <si>
    <t>Greenhouse Gas Protocole, Calculation Tools, version 2.6, 2015</t>
  </si>
  <si>
    <t>Métro / REM</t>
  </si>
  <si>
    <t>[kWh / km.passager]</t>
  </si>
  <si>
    <t>Électrique</t>
  </si>
  <si>
    <t>Train de Banlieue</t>
  </si>
  <si>
    <t>Train Via Rail</t>
  </si>
  <si>
    <t>Via Rail Canada, Tables de données, 2022 - https://corpo.viarail.ca/sites/default/files/media/pdf/Sustainability/VIA%20Rail_Tables%20de%20donn%C3%A9es%20D%C3%A9v.%20Durable%202022%20-%20%202022%20Sustainability%20Data%20Tables.pdf</t>
  </si>
  <si>
    <t>Information GES des prestations de transport, Ministère de la transition écologique et solidère, France, (2018)</t>
  </si>
  <si>
    <t>6 - Transport de marchandise</t>
  </si>
  <si>
    <t>Type de transport</t>
  </si>
  <si>
    <t>Critère de sélection</t>
  </si>
  <si>
    <t>[L/t.km]</t>
  </si>
  <si>
    <r>
      <t>[gCO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/t.km]</t>
    </r>
  </si>
  <si>
    <r>
      <t>[gCH</t>
    </r>
    <r>
      <rPr>
        <b/>
        <vertAlign val="subscript"/>
        <sz val="11"/>
        <color theme="1"/>
        <rFont val="Aptos Narrow"/>
        <family val="2"/>
        <scheme val="minor"/>
      </rPr>
      <t>4</t>
    </r>
    <r>
      <rPr>
        <b/>
        <sz val="11"/>
        <color theme="1"/>
        <rFont val="Aptos Narrow"/>
        <family val="2"/>
        <scheme val="minor"/>
      </rPr>
      <t>/t.km]</t>
    </r>
  </si>
  <si>
    <r>
      <t>[gN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O/t.km]</t>
    </r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</si>
  <si>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eq/t.km]</t>
    </r>
  </si>
  <si>
    <t>Long courrier (plus de 7000km)</t>
  </si>
  <si>
    <t>Information GES des prestations de transport, Ministère de la transition écologique et solidère, France, (2018) P.40</t>
  </si>
  <si>
    <t>Plus de 7500 Conteneur de 20'</t>
  </si>
  <si>
    <t>Information GES des prestations de transport, Ministère de la transition écologique et solidère, France, (2018) P.63</t>
  </si>
  <si>
    <t>Densité de 250 à 399 kg/m3</t>
  </si>
  <si>
    <t>Information GES des prestations de transport, Ministère de la transition écologique et solidère, France, (2018) P.46</t>
  </si>
  <si>
    <t>Articulé 40' porte conteneur</t>
  </si>
  <si>
    <t>Information GES des prestations de transport, Ministère de la transition écologique et solidère, France, (2018) P.79</t>
  </si>
  <si>
    <t>Camion de déchet</t>
  </si>
  <si>
    <t>Environnement et changement climatique Canada, 2022. Calculatrice de gaz à effet de serre pour la gestion des déchets organiques : Rapport de méthodologie, page 23 - https://publications.gc.ca/collections/collection_2022/eccc/En14-493-1-2022-fra.pdf</t>
  </si>
  <si>
    <t>7 - Réfrigérant</t>
  </si>
  <si>
    <t>Probabilité de fuite</t>
  </si>
  <si>
    <t>Liste des réfrigérants</t>
  </si>
  <si>
    <t>Liste des utilisations</t>
  </si>
  <si>
    <t>[%/an]</t>
  </si>
  <si>
    <t>NIR2023, PT2, annexe A6, tableau A6.2-11, p.271</t>
  </si>
  <si>
    <t>Climatisation commerciale/industrielle</t>
  </si>
  <si>
    <t>Commerciale / industriel</t>
  </si>
  <si>
    <t>Climatisation</t>
  </si>
  <si>
    <t>Réfrigération</t>
  </si>
  <si>
    <t>Résidentiel</t>
  </si>
  <si>
    <t>Transport commercial</t>
  </si>
  <si>
    <t>Automobile</t>
  </si>
  <si>
    <t>R-600a</t>
  </si>
  <si>
    <r>
      <t>CO</t>
    </r>
    <r>
      <rPr>
        <vertAlign val="subscript"/>
        <sz val="11"/>
        <color theme="1"/>
        <rFont val="Calibri"/>
        <family val="2"/>
      </rPr>
      <t>2</t>
    </r>
  </si>
  <si>
    <r>
      <t>NH</t>
    </r>
    <r>
      <rPr>
        <vertAlign val="subscript"/>
        <sz val="11"/>
        <color theme="1"/>
        <rFont val="Calibri"/>
        <family val="2"/>
      </rPr>
      <t>3</t>
    </r>
  </si>
  <si>
    <t>8 - Électricité</t>
  </si>
  <si>
    <t>Production</t>
  </si>
  <si>
    <t>Pays / Province</t>
  </si>
  <si>
    <t>Producteur</t>
  </si>
  <si>
    <t>[L/kWh]</t>
  </si>
  <si>
    <r>
      <t>[gCO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/kWh]</t>
    </r>
  </si>
  <si>
    <r>
      <t>[gCH</t>
    </r>
    <r>
      <rPr>
        <b/>
        <vertAlign val="subscript"/>
        <sz val="11"/>
        <color theme="1"/>
        <rFont val="Aptos Narrow"/>
        <family val="2"/>
        <scheme val="minor"/>
      </rPr>
      <t>4</t>
    </r>
    <r>
      <rPr>
        <b/>
        <sz val="11"/>
        <color theme="1"/>
        <rFont val="Aptos Narrow"/>
        <family val="2"/>
        <scheme val="minor"/>
      </rPr>
      <t>/kWh]</t>
    </r>
  </si>
  <si>
    <r>
      <t>[gN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O/kWh]</t>
    </r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</si>
  <si>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eq/kWh]</t>
    </r>
  </si>
  <si>
    <t>Québec</t>
  </si>
  <si>
    <t>Hydro-Québec</t>
  </si>
  <si>
    <t>NIR2023, PT3, annexe A13, tableau A13-6, p.66</t>
  </si>
  <si>
    <t>Québec (Îles de la Madeleine)</t>
  </si>
  <si>
    <t>CERMIM (2020), Bilan énergétique des Îles-de-la-Madeleine, Données tirées de la figure 24 à la page 86 - https://www.cermim.ca/wp-content/uploads/2020/09/2020-06-09_Bilan-GES_Rapport-final.pdf</t>
  </si>
  <si>
    <t>Ontario</t>
  </si>
  <si>
    <t>NIR2023, PT3, annexe A13, tableau A13-7, p.67</t>
  </si>
  <si>
    <t>Terre-Neuve Labrador</t>
  </si>
  <si>
    <t>NIR2023, PT3, annexe A13, tableau A13-2, p.62</t>
  </si>
  <si>
    <t>Nouvelle Écosse</t>
  </si>
  <si>
    <t>NIR2023, PT3, annexe A13, tableau A13-4, p.64</t>
  </si>
  <si>
    <t>Nouveau Brunswick</t>
  </si>
  <si>
    <t>NIR2023, PT3, annexe A13, tableau A13-5, p.65</t>
  </si>
  <si>
    <t>île du Prince Édouard</t>
  </si>
  <si>
    <t>NIR2023, PT3, annexe A13, tableau A13-3, p.63</t>
  </si>
  <si>
    <t>Manitoba</t>
  </si>
  <si>
    <t>NIR2023, PT3, annexe A13, tableau A13-8, p.68</t>
  </si>
  <si>
    <t>Saskatchewan</t>
  </si>
  <si>
    <t>NIR2023, PT3, annexe A13, tableau A13-9, p.69</t>
  </si>
  <si>
    <t>Alberta</t>
  </si>
  <si>
    <t>NIR2023, PT3, annexe A13, tableau A13-10, p.70</t>
  </si>
  <si>
    <t>Colombie-Britanique</t>
  </si>
  <si>
    <t>NIR2023, PT3, annexe A13, tableau A13-11, p.71</t>
  </si>
  <si>
    <t>Yukon</t>
  </si>
  <si>
    <t>NIR2023, PT3, annexe A13, tableau A13-12, p.72</t>
  </si>
  <si>
    <t>Territoires du Nord-Ouest</t>
  </si>
  <si>
    <t>NIR2023, PT3, annexe A13, tableau A13-13, p.73</t>
  </si>
  <si>
    <t>Nunavut</t>
  </si>
  <si>
    <t>NIR2023, PT3, annexe A13, tableau A13-14, p.74</t>
  </si>
  <si>
    <t>États-Unis (Moyenne)</t>
  </si>
  <si>
    <t>Greenhouse Gas Protocol (2024). Emission Factors from Cross-Sector Tools.</t>
  </si>
  <si>
    <t>États-Unis - ASCC Alaska Grid</t>
  </si>
  <si>
    <t>États-Unis - ASCC Miscellaneous</t>
  </si>
  <si>
    <t>États-Unis - WECC Southwest</t>
  </si>
  <si>
    <t>États-Unis - WECC California</t>
  </si>
  <si>
    <t>États-Unis - ERCOT All</t>
  </si>
  <si>
    <t>États-Unis - FRCC All</t>
  </si>
  <si>
    <t>États-Unis - HICC Miscellaneous</t>
  </si>
  <si>
    <t>États-Unis - HICC Oahu</t>
  </si>
  <si>
    <t>États-Unis - MRO East</t>
  </si>
  <si>
    <t>États-Unis - MRO West</t>
  </si>
  <si>
    <t>États-Unis - NPCC New England</t>
  </si>
  <si>
    <t>États-Unis - WECC Northwest</t>
  </si>
  <si>
    <t>États-Unis - NPCC NYC/Westchester</t>
  </si>
  <si>
    <t>États-Unis - NPCC Long Island</t>
  </si>
  <si>
    <t>États-Unis - NPCC Upstate NY</t>
  </si>
  <si>
    <t>États-Unis - Puerto Rico Miscellaneous</t>
  </si>
  <si>
    <t>États-Unis - RFC East</t>
  </si>
  <si>
    <t>États-Unis - RFC Michigan</t>
  </si>
  <si>
    <t>États-Unis - RFC West</t>
  </si>
  <si>
    <t>États-Unis - WECC Rockies</t>
  </si>
  <si>
    <t>États-Unis - SPP North</t>
  </si>
  <si>
    <t>États-Unis - SPP South</t>
  </si>
  <si>
    <t>États-Unis - SERC Mississippi Valley</t>
  </si>
  <si>
    <t>États-Unis - SERC Midwest</t>
  </si>
  <si>
    <t>États-Unis - SERC South</t>
  </si>
  <si>
    <t>États-Unis - SERC Tennessee Valley</t>
  </si>
  <si>
    <t>États-Unis - SERC Virginia/Carolina</t>
  </si>
  <si>
    <t>Australie</t>
  </si>
  <si>
    <t>(Our Wolrd in Data, 2024) https://ourworldindata.org/grapher/carbon-intensity-electricity?tab=chart&amp;country=CHN~CAN~AZE~IDN~AUS~SVN</t>
  </si>
  <si>
    <t>Azerbaïdjan</t>
  </si>
  <si>
    <t>(Our Wolrd in Data, 2022) https://ourworldindata.org/grapher/carbon-intensity-electricity?tab=chart&amp;country=CHN~CAN~AZE~IDN</t>
  </si>
  <si>
    <t>Bangladesh</t>
  </si>
  <si>
    <t>(Our Wolrd in Data, 2021) https://ourworldindata.org/grapher/carbon-intensity-electricity?tab=chart&amp;country=CHN~BGD~CAN~IND~PAK</t>
  </si>
  <si>
    <t>Chine</t>
  </si>
  <si>
    <t>Zhang &amp; al. (2023)</t>
  </si>
  <si>
    <t>Inde</t>
  </si>
  <si>
    <t>Indonésie</t>
  </si>
  <si>
    <t>Mexique</t>
  </si>
  <si>
    <t>Low Carbon Power (2023) Électricité en Mexique 2023 - https://lowcarbonpower.org/fr/region/Mexique</t>
  </si>
  <si>
    <t>Pakistan</t>
  </si>
  <si>
    <t>Sénégal</t>
  </si>
  <si>
    <t>Low Carbon Power (2021) Électricité en Sénégal 2021 - https://lowcarbonpower.org/fr/region/S%C3%A9n%C3%A9gal</t>
  </si>
  <si>
    <t>Slovanie</t>
  </si>
  <si>
    <t>Taiwan</t>
  </si>
  <si>
    <t>Greenhouse Gas Protocol (2017). Emission Factors from Cross-Sector Tools. Wooksheet version March 2017. (Taiwan 2010)  https://ghgprotocol.org/calculation-tools</t>
  </si>
  <si>
    <t>Distribution</t>
  </si>
  <si>
    <t>Distributeur</t>
  </si>
  <si>
    <t>Territoire du Nord-Ouest</t>
  </si>
  <si>
    <t>9 - Extraction, production et transport des combustibles fossiles</t>
  </si>
  <si>
    <t>(Référence A et F)</t>
  </si>
  <si>
    <t>GES par unité d'Énergie</t>
  </si>
  <si>
    <t>Énergie par Qte</t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</si>
  <si>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eq/GJ]</t>
    </r>
  </si>
  <si>
    <t>[MJ/unité]</t>
  </si>
  <si>
    <t>GHGenius 5.02a (2022) - https://www.ghgenius.ca/index.php/downloads</t>
  </si>
  <si>
    <t>Lbs</t>
  </si>
  <si>
    <r>
      <t>m</t>
    </r>
    <r>
      <rPr>
        <vertAlign val="superscript"/>
        <sz val="11"/>
        <color theme="1"/>
        <rFont val="Aptos Narrow"/>
        <family val="2"/>
        <scheme val="minor"/>
      </rPr>
      <t>3</t>
    </r>
  </si>
  <si>
    <t>10 - Émissions du numérique - Production</t>
  </si>
  <si>
    <t>Durée de vie moyenne</t>
  </si>
  <si>
    <t>Consommation à l'usage professionnel</t>
  </si>
  <si>
    <t>Fabrication</t>
  </si>
  <si>
    <t>Appareil</t>
  </si>
  <si>
    <t>[années]</t>
  </si>
  <si>
    <t>[kWh/an]</t>
  </si>
  <si>
    <r>
      <t>[kgCO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eq/unité]</t>
    </r>
  </si>
  <si>
    <t>Poste de travail complet</t>
  </si>
  <si>
    <t>Bordage, F. (2011, 10 février). Quelle est l’empreinte carbone d’un ordinateur ? Green IT. https://www.greenit.fr/2011/02/10/quelle-est-l-empreinte-carbone-d-un-ordinateur/</t>
  </si>
  <si>
    <t>Tablettes</t>
  </si>
  <si>
    <t>Perasso, E. L., Corbet, L., Drapeau, P., Ollion, L., Vigneron, V., Prunel, D., Orgelet, J. et Bordage, F. (2022). Rapport 2/3 - Evaluation de l’impact environnemental du numérique en France et analyse prospective - Evaluation environnementale des équipemetns et infrastructures numériques en France. https://librairie.ademe.fr/consommer-autrement/5226-evaluation-de-l-impact-environnemental-du-numerique-en-france-et-analyse-prospective.html</t>
  </si>
  <si>
    <t>Ordinateur portable</t>
  </si>
  <si>
    <t>Station d'accueil pour portable</t>
  </si>
  <si>
    <t>Ordinateur fixe</t>
  </si>
  <si>
    <t>Écran d'ordinateur (20 pouces)</t>
  </si>
  <si>
    <t>Téléviseurs (46 pouces)</t>
  </si>
  <si>
    <t>Téléviseurs (92 pouces)</t>
  </si>
  <si>
    <t>Hypothèse : Un télévieur émettra des GES à sa fabrication proportionnellement à la surface d'écran comparé à la donnée de Perasso, E. L. &amp; al (2022).</t>
  </si>
  <si>
    <t>Projecteur</t>
  </si>
  <si>
    <t>Imprimante</t>
  </si>
  <si>
    <t>Téléphone portable</t>
  </si>
  <si>
    <t>Téléphone fixe</t>
  </si>
  <si>
    <t>11 - Émissions du numérique - Réseaux</t>
  </si>
  <si>
    <t>Réseaux</t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</si>
  <si>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eq/Go]</t>
    </r>
  </si>
  <si>
    <t>Réseau fixe</t>
  </si>
  <si>
    <t>Réseau mobile</t>
  </si>
  <si>
    <t>12 - Émissions du numérique - Salles de serveurs</t>
  </si>
  <si>
    <t xml:space="preserve">Émissions des Centres de données (salles de serveurs) par la superficie des salles </t>
  </si>
  <si>
    <r>
      <t>[kgCO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.an]</t>
    </r>
  </si>
  <si>
    <t>Salle de serveurs public local</t>
  </si>
  <si>
    <t>Salle de serveurs public national</t>
  </si>
  <si>
    <t>Salle de serveurs entreprises</t>
  </si>
  <si>
    <t>Salle de serveurs de colocation</t>
  </si>
  <si>
    <t>Salle de serveurs HPC</t>
  </si>
  <si>
    <t>13 - Production du papier</t>
  </si>
  <si>
    <t>Quantité</t>
  </si>
  <si>
    <t>Taille des feuilles</t>
  </si>
  <si>
    <t>% Recyclé</t>
  </si>
  <si>
    <r>
      <t>[kgCO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eq/paquet]</t>
    </r>
  </si>
  <si>
    <t>8"½x11"</t>
  </si>
  <si>
    <t>0%</t>
  </si>
  <si>
    <t>Ministry of Environment, 2012. 2012 B.C. Practices Methodology for Quantifying Greenhouse Gas Emissions - Including Guidance for Public Sector Organizations, Local Governments and Community Emissions.</t>
  </si>
  <si>
    <t>8"½x14"</t>
  </si>
  <si>
    <t>11"x17"</t>
  </si>
  <si>
    <t>13.2 - Production du papier</t>
  </si>
  <si>
    <t>Type de papier</t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</si>
  <si>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eq/kg de papier]</t>
    </r>
  </si>
  <si>
    <t>Papier Hygénique</t>
  </si>
  <si>
    <t>Kruger (2020). Rapport sur le développement durable 2020. https://www.krugerproducts.ca/sites/default/files/2023-11/reportof2020_fr.pdf</t>
  </si>
  <si>
    <t>14 - Production des équipements mobiles</t>
  </si>
  <si>
    <t>Masse moyenne</t>
  </si>
  <si>
    <t>fin de vie</t>
  </si>
  <si>
    <t>Total production</t>
  </si>
  <si>
    <t>Type de véhicule</t>
  </si>
  <si>
    <t> [kg]</t>
  </si>
  <si>
    <r>
      <t>[kgCO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eq/kg]</t>
    </r>
  </si>
  <si>
    <r>
      <t>[kgCO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eq/véhicule]</t>
    </r>
  </si>
  <si>
    <t>Véhicule motorisé</t>
  </si>
  <si>
    <t>Hydro-Québec (2016). Analyse du cycle de vie comparative des impacts environnementaux potentiels du véhicule électrique et du véhicule conventionnel dans un context d'utilisation Québécois, Tableau 2-3, Annexe E : Résultats bruts</t>
  </si>
  <si>
    <t>Véhicule électrique</t>
  </si>
  <si>
    <t>Hydro-Québec (2016). Analyse du cycle de vie comparative des impacts environnementaux potentiels du véhicule électrique et du véhicule conventionnel dans un context d'utilisation Québécois, Tableau 2-4, Annexe E : Résultats bruts</t>
  </si>
  <si>
    <t>15 - Production de matériaux</t>
  </si>
  <si>
    <t>Sous-Catégorie</t>
  </si>
  <si>
    <r>
      <t>[gCO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/kg]</t>
    </r>
  </si>
  <si>
    <r>
      <t>[gCH</t>
    </r>
    <r>
      <rPr>
        <b/>
        <vertAlign val="subscript"/>
        <sz val="11"/>
        <color theme="1"/>
        <rFont val="Aptos Narrow"/>
        <family val="2"/>
        <scheme val="minor"/>
      </rPr>
      <t>4</t>
    </r>
    <r>
      <rPr>
        <b/>
        <sz val="11"/>
        <color theme="1"/>
        <rFont val="Aptos Narrow"/>
        <family val="2"/>
        <scheme val="minor"/>
      </rPr>
      <t>/kg]</t>
    </r>
  </si>
  <si>
    <r>
      <t>[gN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O/kg]</t>
    </r>
  </si>
  <si>
    <t>Acier</t>
  </si>
  <si>
    <t>Métaux</t>
  </si>
  <si>
    <t>Hydro-Québec (2016). Analyse du cycle de vie comparative des impacts environnementaux potentiels du véhicule électrique et du véhicule conventionnel dans un context d'utilisation Québécois, Tableau 5.1</t>
  </si>
  <si>
    <t>Fer</t>
  </si>
  <si>
    <t>Cuivre</t>
  </si>
  <si>
    <t>Hydro-Québec (2016). Analyse du cycle de vie comparative des impacts environnementaux potentiels du véhicule électrique et du véhicule conventionnel dans un context d'utilisation Québécois, Tableau 5.2</t>
  </si>
  <si>
    <t>Aluminium</t>
  </si>
  <si>
    <t>Titane</t>
  </si>
  <si>
    <t>Brique Réfractaire</t>
  </si>
  <si>
    <t>RHI Magnesita (2023). Product Carbon Footprint of Refractory Products, Case Study - Basic Mix. https://www.rhimagnesita.com/the-bulletin-blog/product-carbon-footprint-of-refractory-products/</t>
  </si>
  <si>
    <t>Cire de moulage</t>
  </si>
  <si>
    <t>(À confirmer)</t>
  </si>
  <si>
    <t>Vessie de moulage</t>
  </si>
  <si>
    <t>Fibre de céramic (isolation)</t>
  </si>
  <si>
    <t>Carton</t>
  </si>
  <si>
    <t>Volume [pi3]</t>
  </si>
  <si>
    <t>Volume [m3]</t>
  </si>
  <si>
    <t>Intensité [kg CO2e/m3]</t>
  </si>
  <si>
    <t>Kruger (2020) Rapport sur le développement durable 2020, p.20. https://www.krugerproducts.ca/sites/default/files/2023-11/reportof2020_fr.pdf</t>
  </si>
  <si>
    <t>Produits_du_bois</t>
  </si>
  <si>
    <t>Poids unitaire [kg/unité]</t>
  </si>
  <si>
    <t>Panneau TFL 4' x 8' x 1/4"</t>
  </si>
  <si>
    <t>Uniboard (2023) Déclaration environnementale de produit. https://uniboard.com/images/centre-de-documentation/ENG/Panels/Environment/2024/Password_Protected_Uniboard_PB_et_TFL_Translation_EPD_FR.pdf</t>
  </si>
  <si>
    <t>Panneau TFL 4' x 8' x 3/8"</t>
  </si>
  <si>
    <t>Panneau TFL 4' x 8' x 1/2"</t>
  </si>
  <si>
    <t>Panneau TFL 4' x 8' x 5/8"</t>
  </si>
  <si>
    <t>Panneau TFL 4' x 8' x 3/4"</t>
  </si>
  <si>
    <t xml:space="preserve">Panneau de particules agglomérés 4' x 8' x 1/4" </t>
  </si>
  <si>
    <t xml:space="preserve">Panneau de particules agglomérés 4' x 8' x 3/8" </t>
  </si>
  <si>
    <t xml:space="preserve">Panneau de particules agglomérés 4' x 8' x 1/2" </t>
  </si>
  <si>
    <t xml:space="preserve">Panneau de particules agglomérés 4' x 8' x 5/8" </t>
  </si>
  <si>
    <t xml:space="preserve">Panneau de particules agglomérés 4' x 8' x 3/4" </t>
  </si>
  <si>
    <t>Contre-plaqué 4' x 8' x 1/4"</t>
  </si>
  <si>
    <t>Garnica (s.d.) Your Carbon Footprint in the Plywood Industry. https://www.garnica.one/en-us/blog/carbon-footprint.html</t>
  </si>
  <si>
    <t>Contre-plaqué 4' x 8' x 3/8"</t>
  </si>
  <si>
    <t>Contre-plaqué 4' x 8' x 1/2"</t>
  </si>
  <si>
    <t>Contre-plaqué 4' x 8' x 5/8"</t>
  </si>
  <si>
    <t>Contre-plaqué 4' x 8' x 3/4"</t>
  </si>
  <si>
    <t>Matériaux_composite</t>
  </si>
  <si>
    <t>Fibre de carbone</t>
  </si>
  <si>
    <t>Kawajiri K. (2022). Cradle-to-Gate life cycle assessment of recycling processes for carbon fibers: A case study of ex-ante life cycle assessment for commercially feasible pyrolysis and solvolysis approaches. https://www.sciencedirect.com/science/article/abs/pii/S0959652622041531?via%3Dihub</t>
  </si>
  <si>
    <t>Résine époxy</t>
  </si>
  <si>
    <t>Caoutchouc_et_Plastique</t>
  </si>
  <si>
    <t>Incertitude</t>
  </si>
  <si>
    <t>Polystyrène - Primaire ou vierge</t>
  </si>
  <si>
    <t>ADEME, (s.d.) Produits en caoutchouc et en plastique. https://prod-basecarbonesolo.ademe-dri.fr/documentation/UPLOAD_DOC_FR/index.htm?produits_en_caoutchouc_et_en_p.htm</t>
  </si>
  <si>
    <t>Polystyrène thermoformé</t>
  </si>
  <si>
    <t>Polystyrène recyclé</t>
  </si>
  <si>
    <t>Hypothèse : Le recyclage émet autant que le thermoformage</t>
  </si>
  <si>
    <t>Polychlorure de Vinyle (PVC) - Primaire Supension</t>
  </si>
  <si>
    <t>Polychlorure de Vinyle (PVC) - Primaire Emulsion</t>
  </si>
  <si>
    <t>Polychlorure de Vinyle (PVC) - Primaire Bulk</t>
  </si>
  <si>
    <t>Polychlorure de Vinyle (PVC) - moulé par injection</t>
  </si>
  <si>
    <t>Polychlorure de Vinyle (PVC) - Tuyaux en PVC</t>
  </si>
  <si>
    <t>Polychlorure de Vinyle (PVC) - Feuilles rigides</t>
  </si>
  <si>
    <t>Polychlorure de Vinyle (PVC) - Films souples</t>
  </si>
  <si>
    <t>Polyéthylène haute densité (HDPE)</t>
  </si>
  <si>
    <t>Polyéthylène haute densité (LDPE)</t>
  </si>
  <si>
    <t>Polyéthylène haute densité (LDPE) - recyclé</t>
  </si>
  <si>
    <t>Polyéthylène terephtalate (PET) - Primaire</t>
  </si>
  <si>
    <t>Polyéthylène terephtalate (PET) - Primaire amorphe</t>
  </si>
  <si>
    <t>Polyéthylène terephtalate (PET) - Primaire qualité bouteille</t>
  </si>
  <si>
    <t>Polyéthylène terephtalate (PET) - Primaire en film</t>
  </si>
  <si>
    <t>Polyéthylène terephtalate (PET) - 100% recyclé qualité bouteille</t>
  </si>
  <si>
    <t>Polyéthylène terephtalate (PET) - recyclé en film</t>
  </si>
  <si>
    <t>Nylon</t>
  </si>
  <si>
    <t>Produits_chimiques</t>
  </si>
  <si>
    <t>Huile minéral</t>
  </si>
  <si>
    <t>Données tirées de Climatiq. ID : bececad9-3447-4db5-b8ac-a7d5666bdd80 - https://www.climatiq.io/data/explorer?search=bececad9-3447-4db5-b8ac-a7d5666bdd80&amp;data_version=%5E22</t>
  </si>
  <si>
    <t>15.1 - Production de l'aluminium primaire</t>
  </si>
  <si>
    <t>Extraction + Traitement de la bauxite en alumine</t>
  </si>
  <si>
    <t>Production des anodes</t>
  </si>
  <si>
    <t>Électrolise / fonderie (Énergie)</t>
  </si>
  <si>
    <t>Électrolise / fonderie (Réduction du minerais)</t>
  </si>
  <si>
    <t>[tCO2e/t aluminium]</t>
  </si>
  <si>
    <t>[MWh/t aluminium]</t>
  </si>
  <si>
    <t>[tCO2/t aluminium]</t>
  </si>
  <si>
    <t>Amira S. (s.d.) L'industrie de l'aluminium primaire face au défi de la décarbonation.</t>
  </si>
  <si>
    <t>16.1 - Production de fibres textiles</t>
  </si>
  <si>
    <t>Type de fibre</t>
  </si>
  <si>
    <t>Fibre organique ou synthétique</t>
  </si>
  <si>
    <t>Réduction GES</t>
  </si>
  <si>
    <t>Coton conventionnel</t>
  </si>
  <si>
    <t>Organique</t>
  </si>
  <si>
    <t>Textile Exchange. (2014). Life Cycle Assessment (LCA) of Organic Cotton - A global average. https://store.textileexchange.org/wp-content/uploads/woocommerce_uploads/2019/04/LCA_of_Organic_Cotton-Fiber-Full_Report.pdf</t>
  </si>
  <si>
    <t>Coton biologique</t>
  </si>
  <si>
    <t>Laine (Wool)</t>
  </si>
  <si>
    <r>
      <t xml:space="preserve">Hypothèse : les autres matières premières textile organique émettent environ autant que le </t>
    </r>
    <r>
      <rPr>
        <b/>
        <i/>
        <sz val="11"/>
        <color theme="1"/>
        <rFont val="Aptos Narrow"/>
        <family val="2"/>
        <scheme val="minor"/>
      </rPr>
      <t>coton</t>
    </r>
    <r>
      <rPr>
        <i/>
        <sz val="11"/>
        <color theme="1"/>
        <rFont val="Aptos Narrow"/>
        <family val="2"/>
        <scheme val="minor"/>
      </rPr>
      <t xml:space="preserve"> pour leur extraction et transformation en fil.</t>
    </r>
  </si>
  <si>
    <t>Laine de Mérino</t>
  </si>
  <si>
    <t>Rayon de bambou</t>
  </si>
  <si>
    <t>Perlite rayon</t>
  </si>
  <si>
    <t>Viscose</t>
  </si>
  <si>
    <t>Modal</t>
  </si>
  <si>
    <t>Autres matières organiques</t>
  </si>
  <si>
    <t>Polyéthylène</t>
  </si>
  <si>
    <t>Synthétique</t>
  </si>
  <si>
    <t>Polyamide</t>
  </si>
  <si>
    <r>
      <t xml:space="preserve">Hypothèse : les autres matières premières plastique émettent environ autant que le </t>
    </r>
    <r>
      <rPr>
        <b/>
        <i/>
        <sz val="11"/>
        <color theme="1"/>
        <rFont val="Aptos Narrow"/>
        <family val="2"/>
        <scheme val="minor"/>
      </rPr>
      <t>polyéthylène</t>
    </r>
    <r>
      <rPr>
        <i/>
        <sz val="11"/>
        <color theme="1"/>
        <rFont val="Aptos Narrow"/>
        <family val="2"/>
        <scheme val="minor"/>
      </rPr>
      <t xml:space="preserve"> pour leur extraction et transformation en fil.</t>
    </r>
  </si>
  <si>
    <t>Polyester</t>
  </si>
  <si>
    <t>MicroX-Odor Polyester</t>
  </si>
  <si>
    <t>CoolMax Polyester</t>
  </si>
  <si>
    <t>Cationic Polyester</t>
  </si>
  <si>
    <t>Recycled Polyester</t>
  </si>
  <si>
    <r>
      <t xml:space="preserve">Hypothèse : les autres matières premières plastique émettent environ autant que le </t>
    </r>
    <r>
      <rPr>
        <b/>
        <i/>
        <sz val="11"/>
        <color theme="1"/>
        <rFont val="Aptos Narrow"/>
        <family val="2"/>
        <scheme val="minor"/>
      </rPr>
      <t>polyéthylène recyclé</t>
    </r>
    <r>
      <rPr>
        <i/>
        <sz val="11"/>
        <color theme="1"/>
        <rFont val="Aptos Narrow"/>
        <family val="2"/>
        <scheme val="minor"/>
      </rPr>
      <t xml:space="preserve"> pour leur extraction et transformation en fil.</t>
    </r>
  </si>
  <si>
    <t>DopeDye Polyester</t>
  </si>
  <si>
    <t>Polytam</t>
  </si>
  <si>
    <t>Spandex</t>
  </si>
  <si>
    <r>
      <t xml:space="preserve">Hypothèse : les autres matières premières plastique émettent environ autant que le </t>
    </r>
    <r>
      <rPr>
        <b/>
        <i/>
        <sz val="11"/>
        <color theme="1"/>
        <rFont val="Aptos Narrow"/>
        <family val="2"/>
        <scheme val="minor"/>
      </rPr>
      <t>polychlorure de vinyle</t>
    </r>
    <r>
      <rPr>
        <i/>
        <sz val="11"/>
        <color theme="1"/>
        <rFont val="Aptos Narrow"/>
        <family val="2"/>
        <scheme val="minor"/>
      </rPr>
      <t xml:space="preserve"> pour leur extraction et transformation en fil.</t>
    </r>
  </si>
  <si>
    <t>Lurex</t>
  </si>
  <si>
    <t>Elastane</t>
  </si>
  <si>
    <t>Lyocell</t>
  </si>
  <si>
    <t>Rubber</t>
  </si>
  <si>
    <t>Polyoléfine (Olefin)</t>
  </si>
  <si>
    <t>Acrylic</t>
  </si>
  <si>
    <t>Micro Acrylic</t>
  </si>
  <si>
    <t>Thorwick Acrylic</t>
  </si>
  <si>
    <t>Autres plastiques</t>
  </si>
  <si>
    <t>16.2 - Confection de vêtement</t>
  </si>
  <si>
    <t>Trico et teinture</t>
  </si>
  <si>
    <t>Assemblage</t>
  </si>
  <si>
    <t>Gaz naturel</t>
  </si>
  <si>
    <t>Électricité</t>
  </si>
  <si>
    <t>kWh/kg</t>
  </si>
  <si>
    <t>Par pays</t>
  </si>
  <si>
    <t>[gCO2e/kWh]</t>
  </si>
  <si>
    <t>[gCO2e/kg]</t>
  </si>
  <si>
    <t>Intensité carbone de la confection tiré de l'inventaire des émissions de gaz à effet de serre de Attraction Inc.</t>
  </si>
  <si>
    <t>Cambodge</t>
  </si>
  <si>
    <t>Canada (Québec)</t>
  </si>
  <si>
    <t>Hong Kong (Chine)</t>
  </si>
  <si>
    <t>États-Unis</t>
  </si>
  <si>
    <t>17 - Facteur d'émission du textile au site d'enfouissement</t>
  </si>
  <si>
    <t>Type de textile</t>
  </si>
  <si>
    <r>
      <t>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 xml:space="preserve"> CH4 / t</t>
    </r>
  </si>
  <si>
    <r>
      <t>[g CO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 xml:space="preserve"> / kg déchet]</t>
    </r>
  </si>
  <si>
    <r>
      <t>[g CH</t>
    </r>
    <r>
      <rPr>
        <b/>
        <vertAlign val="subscript"/>
        <sz val="11"/>
        <color theme="1"/>
        <rFont val="Calibri"/>
        <family val="2"/>
      </rPr>
      <t>4</t>
    </r>
    <r>
      <rPr>
        <b/>
        <sz val="11"/>
        <color theme="1"/>
        <rFont val="Calibri"/>
        <family val="2"/>
      </rPr>
      <t xml:space="preserve"> / kg déchet]</t>
    </r>
  </si>
  <si>
    <r>
      <t>[g N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O / kg déchet]</t>
    </r>
  </si>
  <si>
    <t>Coton (biologique)</t>
  </si>
  <si>
    <t xml:space="preserve">British Columbia Ministry of Environment (MOE). (2009). Landfill Gas Generation Assessment Procedure Guidelines. Waterloo, ON : Conestoga Rovers &amp; Associates. ; Bastien-Beaudoin, N. (2020), Analyse d'un vêtement issu de l'industrie de la mode québécoise dans une optique de décarbonisation (mémoire de maîtrise), Université de Sherbrooke, Sherbrooke, QC, Canada, p. 53. </t>
  </si>
  <si>
    <t>Polycoton</t>
  </si>
  <si>
    <t>18 - Traitement des eaux</t>
  </si>
  <si>
    <t>(Référence D)</t>
  </si>
  <si>
    <t>CH4 des eaux traitées</t>
  </si>
  <si>
    <t>Fraction organique retirée lors du traitement</t>
  </si>
  <si>
    <t>CH4 des rejets direct d'eaux usées</t>
  </si>
  <si>
    <t>Charge organique moyenne à l'affluent</t>
  </si>
  <si>
    <t>Charge organique moyenne à l'effluent</t>
  </si>
  <si>
    <t>Production de l'eau potable</t>
  </si>
  <si>
    <r>
      <t>[kg CH</t>
    </r>
    <r>
      <rPr>
        <b/>
        <vertAlign val="subscript"/>
        <sz val="11"/>
        <color theme="1"/>
        <rFont val="Calibri"/>
        <family val="2"/>
      </rPr>
      <t>4</t>
    </r>
    <r>
      <rPr>
        <b/>
        <sz val="11"/>
        <color theme="1"/>
        <rFont val="Calibri"/>
        <family val="2"/>
      </rPr>
      <t xml:space="preserve"> / kg DBO]</t>
    </r>
  </si>
  <si>
    <t>%</t>
  </si>
  <si>
    <r>
      <t> [kg DBO/t H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O]</t>
    </r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</si>
  <si>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eq/t H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O]</t>
    </r>
  </si>
  <si>
    <t>Traitement de l'eau potable</t>
  </si>
  <si>
    <t>Écohabitation, Rapport DÉFI JE CONSOMME MOINS D’EAU, 2020</t>
  </si>
  <si>
    <t>Tratement des eaux usées</t>
  </si>
  <si>
    <t>Type de traitement inconnu</t>
  </si>
  <si>
    <t>Traitement primaire</t>
  </si>
  <si>
    <t>MELCC (2022). Guide de quantification des émissions de gaz à effet de serre, p.64-65</t>
  </si>
  <si>
    <t>Traitement secondaire anaérobie</t>
  </si>
  <si>
    <t>Traitement secondaire par boues activées</t>
  </si>
  <si>
    <t>Traitement secondaire par biofiltration</t>
  </si>
  <si>
    <t>Traitement secondaire avec élimination biologique des éléments nutritifs</t>
  </si>
  <si>
    <t>Fosse septique</t>
  </si>
  <si>
    <t>19 - Traitement des déchets</t>
  </si>
  <si>
    <t>(Référence C)</t>
  </si>
  <si>
    <t>Proportion de carbone dans le déchet</t>
  </si>
  <si>
    <t>Proportion du carbone qui se décompose</t>
  </si>
  <si>
    <t xml:space="preserve">Porportion de gaz capté dans les site d'enfouissement </t>
  </si>
  <si>
    <t>Type de déchet</t>
  </si>
  <si>
    <t>Type de traitement</t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</si>
  <si>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eq/kg déchet]</t>
    </r>
  </si>
  <si>
    <t>Municipal (mixte)</t>
  </si>
  <si>
    <r>
      <t>Enfouissement avec captation de CH</t>
    </r>
    <r>
      <rPr>
        <vertAlign val="subscript"/>
        <sz val="11"/>
        <color theme="1"/>
        <rFont val="Calibri"/>
        <family val="2"/>
      </rPr>
      <t>4</t>
    </r>
  </si>
  <si>
    <t>-</t>
  </si>
  <si>
    <t>NIR2023, PT2, annexe 3, Tableau A3.6-3, p.211</t>
  </si>
  <si>
    <r>
      <t>Enfouissement sans captation de CH</t>
    </r>
    <r>
      <rPr>
        <vertAlign val="subscript"/>
        <sz val="11"/>
        <color theme="1"/>
        <rFont val="Calibri"/>
        <family val="2"/>
      </rPr>
      <t>4</t>
    </r>
  </si>
  <si>
    <t>Alimentaires</t>
  </si>
  <si>
    <t>NIR2023, PT2, annexe 3, Tableau A3.6-1, p.208</t>
  </si>
  <si>
    <t>Papier</t>
  </si>
  <si>
    <t>Bois</t>
  </si>
  <si>
    <t>Organiques (autres)</t>
  </si>
  <si>
    <t>Textile mixte</t>
  </si>
  <si>
    <t>Textile naturel</t>
  </si>
  <si>
    <t>Compostage</t>
  </si>
  <si>
    <t>NIR2023, PT2, annexe 6, Tableau A6.7-4, p.297</t>
  </si>
  <si>
    <t>Incinération</t>
  </si>
  <si>
    <t>NIR2023, PT2, annexe 6, Tableau A6.7-3, p.296</t>
  </si>
  <si>
    <t>Industriel</t>
  </si>
  <si>
    <t>Recyclage</t>
  </si>
  <si>
    <t>deuxième vie</t>
  </si>
  <si>
    <t>Hypothèse : les déchets recyclés sont exclus, puisqu'ils auront une deuxième vie et ne seront pas disposé dans le cadre de cet inventaire GES.</t>
  </si>
  <si>
    <t>Myriophylle à épi</t>
  </si>
  <si>
    <t>20 - Production alimentaire</t>
  </si>
  <si>
    <t>Type d'aliments</t>
  </si>
  <si>
    <t>Aliments</t>
  </si>
  <si>
    <t>Colonne1</t>
  </si>
  <si>
    <t>Colonne2</t>
  </si>
  <si>
    <t>Colonne3</t>
  </si>
  <si>
    <t>Colonne4</t>
  </si>
  <si>
    <r>
      <t>[g CO</t>
    </r>
    <r>
      <rPr>
        <b/>
        <vertAlign val="subscript"/>
        <sz val="11"/>
        <rFont val="Calibri"/>
        <family val="2"/>
      </rPr>
      <t>2</t>
    </r>
    <r>
      <rPr>
        <b/>
        <sz val="11"/>
        <rFont val="Calibri"/>
        <family val="2"/>
      </rPr>
      <t xml:space="preserve"> / kg]</t>
    </r>
  </si>
  <si>
    <r>
      <t>[g CH</t>
    </r>
    <r>
      <rPr>
        <b/>
        <vertAlign val="subscript"/>
        <sz val="11"/>
        <rFont val="Calibri"/>
        <family val="2"/>
      </rPr>
      <t>4</t>
    </r>
    <r>
      <rPr>
        <b/>
        <sz val="11"/>
        <rFont val="Calibri"/>
        <family val="2"/>
      </rPr>
      <t xml:space="preserve"> / kg]</t>
    </r>
  </si>
  <si>
    <r>
      <t>[g N</t>
    </r>
    <r>
      <rPr>
        <b/>
        <vertAlign val="subscript"/>
        <sz val="11"/>
        <rFont val="Calibri"/>
        <family val="2"/>
      </rPr>
      <t>2</t>
    </r>
    <r>
      <rPr>
        <b/>
        <sz val="11"/>
        <rFont val="Calibri"/>
        <family val="2"/>
      </rPr>
      <t>O / kg]</t>
    </r>
  </si>
  <si>
    <r>
      <t>[gCO</t>
    </r>
    <r>
      <rPr>
        <b/>
        <vertAlign val="subscript"/>
        <sz val="11"/>
        <rFont val="Calibri (Corps)"/>
      </rPr>
      <t>2</t>
    </r>
    <r>
      <rPr>
        <b/>
        <sz val="11"/>
        <rFont val="Aptos Narrow"/>
        <family val="2"/>
        <scheme val="minor"/>
      </rPr>
      <t>eq/kg]</t>
    </r>
  </si>
  <si>
    <t>Protéines animales</t>
  </si>
  <si>
    <t>Bœuf (Troupeau de bœuf)</t>
  </si>
  <si>
    <t>Poore and Nemecek (2018) - Données tirées de Our World in Data : https://ourworldindata.org/environmental-impacts-of-food</t>
  </si>
  <si>
    <t>Chocolat noir</t>
  </si>
  <si>
    <t>Agneau et Mouton</t>
  </si>
  <si>
    <t>Bœuf (Troupeau laitier)</t>
  </si>
  <si>
    <t>Crevettes (d'élevage)</t>
  </si>
  <si>
    <t>Fromage</t>
  </si>
  <si>
    <t>Poisson (d'élevage)</t>
  </si>
  <si>
    <t>Viande de volailles</t>
  </si>
  <si>
    <t>Œufs</t>
  </si>
  <si>
    <t>Céréales</t>
  </si>
  <si>
    <t>Riz</t>
  </si>
  <si>
    <t>Noix</t>
  </si>
  <si>
    <t>Arachides</t>
  </si>
  <si>
    <t>Sucre de canne</t>
  </si>
  <si>
    <t>Protéines végétales</t>
  </si>
  <si>
    <t>Tofu</t>
  </si>
  <si>
    <t>Boissons</t>
  </si>
  <si>
    <t>Lait</t>
  </si>
  <si>
    <t>Café</t>
  </si>
  <si>
    <t>Avoine</t>
  </si>
  <si>
    <t>Légumes</t>
  </si>
  <si>
    <t>Tomates</t>
  </si>
  <si>
    <t>Sucre de bettraves</t>
  </si>
  <si>
    <t>Autres légumineuses</t>
  </si>
  <si>
    <t>Boisson</t>
  </si>
  <si>
    <t>Vin</t>
  </si>
  <si>
    <t>Maïs</t>
  </si>
  <si>
    <t>Blé et seigle</t>
  </si>
  <si>
    <t>Fruits</t>
  </si>
  <si>
    <t>Raisins et baies</t>
  </si>
  <si>
    <t>Manioc</t>
  </si>
  <si>
    <t>Porc</t>
  </si>
  <si>
    <t>Orge</t>
  </si>
  <si>
    <t>Autres fruits</t>
  </si>
  <si>
    <t>Pois vert</t>
  </si>
  <si>
    <t>Lait de soya</t>
  </si>
  <si>
    <t>Bananes</t>
  </si>
  <si>
    <t>Autres légumes</t>
  </si>
  <si>
    <t>Brassicacées (Brocoli, chouc-fleur, etc.)</t>
  </si>
  <si>
    <t>Onion et poireau</t>
  </si>
  <si>
    <t>Noisettes</t>
  </si>
  <si>
    <t>Patates</t>
  </si>
  <si>
    <t>Pommes</t>
  </si>
  <si>
    <t>Légumes racines</t>
  </si>
  <si>
    <t>Agrumes</t>
  </si>
  <si>
    <t>Repas végétalien</t>
  </si>
  <si>
    <t>Impact CO2 (Ademe), Impact carbone des repas. https://impactco2.fr/outils/repas</t>
  </si>
  <si>
    <t>Repas végétarien</t>
  </si>
  <si>
    <t>Repas avec du poisson gras</t>
  </si>
  <si>
    <t>Repas avec du poulet</t>
  </si>
  <si>
    <t>Repas avec du poisson blanc</t>
  </si>
  <si>
    <t>Repas avec du bœuf</t>
  </si>
  <si>
    <t>Thé (Par portion)</t>
  </si>
  <si>
    <t>Impact CO2 (Ademe), Impact carbone des boissons. https://impactco2.fr/outils/boisson</t>
  </si>
  <si>
    <t>Bouteille d'eau</t>
  </si>
  <si>
    <t>Boisson au soja (Par portion)</t>
  </si>
  <si>
    <t>Soda (Par portion)</t>
  </si>
  <si>
    <t>Café (Par portion)</t>
  </si>
  <si>
    <t>Bière (Par portion)</t>
  </si>
  <si>
    <t>Lait de vache (Par portion)</t>
  </si>
  <si>
    <t>Vin (Par portion)</t>
  </si>
  <si>
    <t>21 - Intensité carbone par chiffre d'affaire</t>
  </si>
  <si>
    <t>Secteur d'activité</t>
  </si>
  <si>
    <t>(Scope 1 et 2)</t>
  </si>
  <si>
    <t>Secteur complet</t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</si>
  <si>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eq/Euro de CA]</t>
    </r>
  </si>
  <si>
    <r>
      <t>[MtCO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eq]</t>
    </r>
  </si>
  <si>
    <t>G$ de CA</t>
  </si>
  <si>
    <r>
      <t>[g CO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 xml:space="preserve"> / $ de CA]</t>
    </r>
  </si>
  <si>
    <r>
      <t>[g CH</t>
    </r>
    <r>
      <rPr>
        <b/>
        <vertAlign val="subscript"/>
        <sz val="11"/>
        <color theme="1"/>
        <rFont val="Calibri"/>
        <family val="2"/>
      </rPr>
      <t>4</t>
    </r>
    <r>
      <rPr>
        <b/>
        <sz val="11"/>
        <color theme="1"/>
        <rFont val="Calibri"/>
        <family val="2"/>
      </rPr>
      <t xml:space="preserve"> / $ de CA]</t>
    </r>
  </si>
  <si>
    <r>
      <t>[g N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O / $ de CA]</t>
    </r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</si>
  <si>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eq/$ de CA]</t>
    </r>
  </si>
  <si>
    <t>Agriculture</t>
  </si>
  <si>
    <t>Construction-carbone (consulté le 12 juillet 2024), Bilan des bilans carbone et ratios par secteurs d'activité. https://www.construction-carbone.fr/bilan-des-bilan-carbone-et-ratios-par-secteurs-dactivite/ + Taux de conversion du dollars en Euro (12 juillet 2024)</t>
  </si>
  <si>
    <t>Industrie manufacturière</t>
  </si>
  <si>
    <t>Transports et communication</t>
  </si>
  <si>
    <t>Immobilier, location et services aux entreprises</t>
  </si>
  <si>
    <t>Moyenne</t>
  </si>
  <si>
    <t>Intensité Portée 1</t>
  </si>
  <si>
    <t>Intensité Portée 2</t>
  </si>
  <si>
    <r>
      <t>[kg CO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éq./ $ de PIB]</t>
    </r>
  </si>
  <si>
    <t>Élevage et aquaculture</t>
  </si>
  <si>
    <t>Stiebert, S. (14 septembre 2023), 440 Des analyses basées sur des données de l'institut climatique du Canada, Calcul de l'intensité des émissions par secteurs économiques. https://440megatonnes.ca/fr/insight/calcul-intensite-emissions-secteur-economique/</t>
  </si>
  <si>
    <t>Réseaux d'aqueduc et d'égout et autres</t>
  </si>
  <si>
    <t>Sidérurgie</t>
  </si>
  <si>
    <t>Fabrication de produits du pétrole et du charbon</t>
  </si>
  <si>
    <t>Fabrication de ciment et de produits en béton</t>
  </si>
  <si>
    <t>Exploitation pétrolière et gazière</t>
  </si>
  <si>
    <t>Environnement et changement climatique Canada (2 mai 2024), Émissions de gaz à effet de serre, par secteur économique. https://www.canada.ca/fr/environnement-changement-climatique/services/indicateurs-environnementaux/emissions-gaz-effet-serre.html + Statistique Canada (27 septembre 2023), Extration de pétrole e de gaz, 2022. https://www150.statcan.gc.ca/n1/daily-quotidien/230927/dq230927c-fra.htm</t>
  </si>
  <si>
    <t>Transports</t>
  </si>
  <si>
    <t>Bâtiments</t>
  </si>
  <si>
    <t>Industrie lourde</t>
  </si>
  <si>
    <t>Déchets et autres</t>
  </si>
  <si>
    <t>22 - Digestion enérique des animaux des fermes</t>
  </si>
  <si>
    <t>Animaux</t>
  </si>
  <si>
    <t>Terme anglais utilisé dans le NIR</t>
  </si>
  <si>
    <r>
      <t>[g CO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 xml:space="preserve"> / tête.an]</t>
    </r>
  </si>
  <si>
    <r>
      <t>[g CH</t>
    </r>
    <r>
      <rPr>
        <b/>
        <vertAlign val="subscript"/>
        <sz val="11"/>
        <color theme="1"/>
        <rFont val="Calibri"/>
        <family val="2"/>
      </rPr>
      <t>4</t>
    </r>
    <r>
      <rPr>
        <b/>
        <sz val="11"/>
        <color theme="1"/>
        <rFont val="Calibri"/>
        <family val="2"/>
      </rPr>
      <t xml:space="preserve"> /  tête.an]</t>
    </r>
  </si>
  <si>
    <r>
      <t>[g N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O /  tête.an]</t>
    </r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</si>
  <si>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eq/tête.an]</t>
    </r>
  </si>
  <si>
    <t>Vaches laitières</t>
  </si>
  <si>
    <t>Dairy Cows</t>
  </si>
  <si>
    <t>Environnement et changement climatique Canada (2024), NIR, PT2, Tableau A6,4-2, page 283</t>
  </si>
  <si>
    <t>Génisses laitières</t>
  </si>
  <si>
    <t>Dairy Heifers</t>
  </si>
  <si>
    <t>Taureaux</t>
  </si>
  <si>
    <t>Bulls</t>
  </si>
  <si>
    <t>Bœufs</t>
  </si>
  <si>
    <t>Beef Cows</t>
  </si>
  <si>
    <t>Jeune bœuf</t>
  </si>
  <si>
    <t>Beef Heifers</t>
  </si>
  <si>
    <t>Génisses d'abattage</t>
  </si>
  <si>
    <t>Heifers for Slaughter</t>
  </si>
  <si>
    <t>Animal de trait</t>
  </si>
  <si>
    <t>Steers</t>
  </si>
  <si>
    <t>Veaux</t>
  </si>
  <si>
    <t>Calves</t>
  </si>
  <si>
    <t>Sangliers</t>
  </si>
  <si>
    <t>Boars</t>
  </si>
  <si>
    <t>Truies</t>
  </si>
  <si>
    <t>Sows</t>
  </si>
  <si>
    <t>Porcs &lt;20kg</t>
  </si>
  <si>
    <t>Pigs &lt;20kg</t>
  </si>
  <si>
    <t>Porcs 20-60kg</t>
  </si>
  <si>
    <t>Pigs 20-60kg</t>
  </si>
  <si>
    <t>Porcs &gt;60kg</t>
  </si>
  <si>
    <t>Pigs &gt;60kg</t>
  </si>
  <si>
    <t>Montons</t>
  </si>
  <si>
    <t>Sheep</t>
  </si>
  <si>
    <t>Agneaux</t>
  </si>
  <si>
    <t>Lambs</t>
  </si>
  <si>
    <t>Chèvres</t>
  </si>
  <si>
    <t>Goats</t>
  </si>
  <si>
    <t>Chevaux</t>
  </si>
  <si>
    <t>Horses</t>
  </si>
  <si>
    <t>Bisons</t>
  </si>
  <si>
    <t>Bison</t>
  </si>
  <si>
    <t>Lamas et Alpacas</t>
  </si>
  <si>
    <t>Lamas &amp; Alpacas</t>
  </si>
  <si>
    <t>Wapiti et cerf</t>
  </si>
  <si>
    <t>Elk &amp; Deer</t>
  </si>
  <si>
    <t>Sangliers sauvages</t>
  </si>
  <si>
    <t>Wild Boars</t>
  </si>
  <si>
    <t>Mules et mulets</t>
  </si>
  <si>
    <t>Mules &amp; Asses</t>
  </si>
  <si>
    <t>Renard</t>
  </si>
  <si>
    <t>Fox</t>
  </si>
  <si>
    <t>Vison</t>
  </si>
  <si>
    <t>Mink</t>
  </si>
  <si>
    <t>Lapin</t>
  </si>
  <si>
    <t>Rabbits</t>
  </si>
  <si>
    <t>Poulets</t>
  </si>
  <si>
    <t>Chikens</t>
  </si>
  <si>
    <t>Poulets de chair</t>
  </si>
  <si>
    <t>Broilers</t>
  </si>
  <si>
    <t>Hypothèse : Le facteur d'émissions du poulets de chair est le même que le poulets.</t>
  </si>
  <si>
    <t>Poules</t>
  </si>
  <si>
    <t>Hens</t>
  </si>
  <si>
    <t>Dindes</t>
  </si>
  <si>
    <t>Turkeys</t>
  </si>
  <si>
    <t>23.1 - Gestion du fumier (par la quantité [kg])</t>
  </si>
  <si>
    <r>
      <t>m</t>
    </r>
    <r>
      <rPr>
        <b/>
        <vertAlign val="superscript"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 xml:space="preserve"> CH</t>
    </r>
    <r>
      <rPr>
        <b/>
        <vertAlign val="subscript"/>
        <sz val="11"/>
        <color theme="1"/>
        <rFont val="Calibri"/>
        <family val="2"/>
      </rPr>
      <t>4</t>
    </r>
    <r>
      <rPr>
        <b/>
        <sz val="11"/>
        <color theme="1"/>
        <rFont val="Calibri"/>
        <family val="2"/>
      </rPr>
      <t>/kg de fumier</t>
    </r>
  </si>
  <si>
    <r>
      <t>[g CO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 xml:space="preserve"> / kg]</t>
    </r>
  </si>
  <si>
    <r>
      <t>[g CH</t>
    </r>
    <r>
      <rPr>
        <b/>
        <vertAlign val="subscript"/>
        <sz val="11"/>
        <color theme="1"/>
        <rFont val="Calibri"/>
        <family val="2"/>
      </rPr>
      <t>4</t>
    </r>
    <r>
      <rPr>
        <b/>
        <sz val="11"/>
        <color theme="1"/>
        <rFont val="Calibri"/>
        <family val="2"/>
      </rPr>
      <t xml:space="preserve"> /  kg]</t>
    </r>
  </si>
  <si>
    <r>
      <t>[g N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O / kg]</t>
    </r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</si>
  <si>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 kg]</t>
    </r>
  </si>
  <si>
    <t>Bétails laitier</t>
  </si>
  <si>
    <t>Dairy Cattle</t>
  </si>
  <si>
    <t>Environnement et changement climatique Canada (2024), NIR, PT2, Tableau A6,4-3, page 283</t>
  </si>
  <si>
    <t>Bétails non-laitier</t>
  </si>
  <si>
    <t>Non-Dairy Cattle</t>
  </si>
  <si>
    <t>Porcs</t>
  </si>
  <si>
    <t>Swine</t>
  </si>
  <si>
    <t>23.2 - Gestion du fumier (par tête)</t>
  </si>
  <si>
    <r>
      <t xml:space="preserve">Perte </t>
    </r>
    <r>
      <rPr>
        <b/>
        <u/>
        <sz val="11"/>
        <color theme="1"/>
        <rFont val="Calibri"/>
        <family val="2"/>
      </rPr>
      <t>directe</t>
    </r>
    <r>
      <rPr>
        <b/>
        <sz val="11"/>
        <color theme="1"/>
        <rFont val="Calibri"/>
        <family val="2"/>
      </rPr>
      <t xml:space="preserve"> de N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O pendant l'entreposage du fumier</t>
    </r>
  </si>
  <si>
    <r>
      <t xml:space="preserve">Perte </t>
    </r>
    <r>
      <rPr>
        <b/>
        <u/>
        <sz val="11"/>
        <color theme="1"/>
        <rFont val="Calibri"/>
        <family val="2"/>
      </rPr>
      <t>indirecte</t>
    </r>
    <r>
      <rPr>
        <b/>
        <sz val="11"/>
        <color theme="1"/>
        <rFont val="Calibri"/>
        <family val="2"/>
      </rPr>
      <t xml:space="preserve"> du N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 xml:space="preserve">O </t>
    </r>
    <r>
      <rPr>
        <b/>
        <u/>
        <sz val="11"/>
        <color theme="1"/>
        <rFont val="Calibri"/>
        <family val="2"/>
      </rPr>
      <t>par volatilisation</t>
    </r>
    <r>
      <rPr>
        <b/>
        <sz val="11"/>
        <color theme="1"/>
        <rFont val="Calibri"/>
        <family val="2"/>
      </rPr>
      <t xml:space="preserve"> pendant l'entreposage du fumier</t>
    </r>
  </si>
  <si>
    <r>
      <t xml:space="preserve">Perte </t>
    </r>
    <r>
      <rPr>
        <b/>
        <u/>
        <sz val="11"/>
        <color theme="1"/>
        <rFont val="Calibri"/>
        <family val="2"/>
      </rPr>
      <t>indirecte</t>
    </r>
    <r>
      <rPr>
        <b/>
        <sz val="11"/>
        <color theme="1"/>
        <rFont val="Calibri"/>
        <family val="2"/>
      </rPr>
      <t xml:space="preserve"> du N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 xml:space="preserve">O par </t>
    </r>
    <r>
      <rPr>
        <b/>
        <u/>
        <sz val="11"/>
        <color theme="1"/>
        <rFont val="Calibri"/>
        <family val="2"/>
      </rPr>
      <t>fuites</t>
    </r>
    <r>
      <rPr>
        <b/>
        <sz val="11"/>
        <color theme="1"/>
        <rFont val="Calibri"/>
        <family val="2"/>
      </rPr>
      <t xml:space="preserve"> pendant l'entreposage du fumier</t>
    </r>
  </si>
  <si>
    <t>Environnement et changement climatique Canada (2024), NIR, PT2, Tableau A6,4-6, page 284 + Tableau A6.4-11, page 287 + Tableau A6.4-13, page 288</t>
  </si>
  <si>
    <t>Environnement et changement climatique Canada (2024), NIR, PT2, Tableau A6,4-7, page 284 + Tableau A6.4-11, page 287 + Tableau A6.4-13, page 288</t>
  </si>
  <si>
    <t>Environnement et changement climatique Canada (2024), NIR, PT2, Tableau A6,4-8, page 285 + Tableau A6.4-12, page 287 + Tableau A6.4-15, page 289</t>
  </si>
  <si>
    <t>Bison &amp; Buffalo</t>
  </si>
  <si>
    <t>Hypothèse : Le facteur d'émissions du CH4 des Lamas et des Alpacas est le même que les moutons. + Environnement et changement climatique Canada (2024), NIR, PT2,  Tableau A6.4-12, page 287 + Tableau A6.4-15, page 289</t>
  </si>
  <si>
    <t>Hypothèse : Le facteur d'émissions du CH4 du poulets de chair est le même que le poulets. + Environnement et changement climatique Canada (2024), NIR, PT2,  Tableau A6.4-12, page 287 + Tableau A6.4-15, page 289</t>
  </si>
  <si>
    <t>24 - Épandage d'engrais (Pour le Québec)</t>
  </si>
  <si>
    <t>Type d'engrais</t>
  </si>
  <si>
    <t>Paturages, parcours et enclos</t>
  </si>
  <si>
    <t>Sols agricoles</t>
  </si>
  <si>
    <t>Épandage</t>
  </si>
  <si>
    <t>Volatilisation</t>
  </si>
  <si>
    <t>Fuites</t>
  </si>
  <si>
    <t>CO2</t>
  </si>
  <si>
    <t>CH4</t>
  </si>
  <si>
    <t>N2O</t>
  </si>
  <si>
    <t>CO2éq</t>
  </si>
  <si>
    <t>[g N2O /  kg N.an]</t>
  </si>
  <si>
    <r>
      <t>[g CO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 xml:space="preserve"> / kg N.an]</t>
    </r>
  </si>
  <si>
    <r>
      <t>[g CH</t>
    </r>
    <r>
      <rPr>
        <b/>
        <vertAlign val="subscript"/>
        <sz val="11"/>
        <color theme="1"/>
        <rFont val="Calibri"/>
        <family val="2"/>
      </rPr>
      <t>4</t>
    </r>
    <r>
      <rPr>
        <b/>
        <sz val="11"/>
        <color theme="1"/>
        <rFont val="Calibri"/>
        <family val="2"/>
      </rPr>
      <t xml:space="preserve"> /  kg N.an]</t>
    </r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</si>
  <si>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 kg N.an]</t>
    </r>
  </si>
  <si>
    <t>Fumier</t>
  </si>
  <si>
    <t>Résidue de culture</t>
  </si>
  <si>
    <t>Engrais azoté organique</t>
  </si>
  <si>
    <t>Engrais azoté inorganique</t>
  </si>
  <si>
    <t>25 - Produits d'épandage (Pour le Québec)</t>
  </si>
  <si>
    <t>Type d'épandage</t>
  </si>
  <si>
    <t>[g N2O /  kg]</t>
  </si>
  <si>
    <t>Dolomie</t>
  </si>
  <si>
    <t>Calcaire</t>
  </si>
  <si>
    <t>Urée</t>
  </si>
  <si>
    <t>25.2 - Production de l'engrais azoté</t>
  </si>
  <si>
    <r>
      <t>Par quantité d'azote dans l'engrais [gCO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eq/ kgN]</t>
    </r>
  </si>
  <si>
    <t>Grasse, M-O &amp; al. (2014) Réduire les apports en azote et les émissions de GES en incorporant rapidement les lisiers en présemis des cultures annuelles. https://www.mapaq.gouv.qc.ca/SiteCollectionDocuments/Agroenvironnement/2012-003_Rapport.pdf</t>
  </si>
  <si>
    <t>26 - Hébergement hôtelier</t>
  </si>
  <si>
    <t>Type d'hôtel</t>
  </si>
  <si>
    <t>Portion de l'alimentation par personne</t>
  </si>
  <si>
    <t>Consommation d'énergie</t>
  </si>
  <si>
    <r>
      <t>[g CO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 xml:space="preserve"> / nuit]</t>
    </r>
  </si>
  <si>
    <r>
      <t>[g CH</t>
    </r>
    <r>
      <rPr>
        <b/>
        <vertAlign val="subscript"/>
        <sz val="11"/>
        <color theme="1"/>
        <rFont val="Calibri"/>
        <family val="2"/>
      </rPr>
      <t>4</t>
    </r>
    <r>
      <rPr>
        <b/>
        <sz val="11"/>
        <color theme="1"/>
        <rFont val="Calibri"/>
        <family val="2"/>
      </rPr>
      <t xml:space="preserve"> /  nuit]</t>
    </r>
  </si>
  <si>
    <t>[g N2O /  nuit]</t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</si>
  <si>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 nuit]</t>
    </r>
  </si>
  <si>
    <t>Hôtel sans classement</t>
  </si>
  <si>
    <t>Ademe (2020). Projet de pré-déploiment de l'affichage environnemental des hôtels. https://librairie.ademe.fr/ged/4930/pre-deploiement_affichage_environnemental_rapport_f_fb.pdf?modal_token=76a9cdc2389d9692aa77f44888e15118&amp;modal=true&amp;cookies_allowed=true&amp;g-recaptcha-response=03AFcWeA6lJwTSyGb-JRiOvk6GXZQfONoVzXfUwtOkGEd0DgrO_gWUgCZWULjdcTzaG5mM5lY3fwC4ApwRQQcPrSdmQhmemo0mqvuJR8M1dV2Mj5bF-3jdB9KO_QwTw6jWKie8-aPa52qJnl5OkkNCYhuni3D33uCk5dbDSmzwmU3EAuFmxuz4izUZTmaRJ5F9wR3BubodI3TL1jrEFKcgM_lzowOE7-u_chDlPluE4f6l-qfqCx6DPKdLI3JRP7oP7pvGUxI3Ft2wHV5L3lUijvO4rpbs8SjWyNZBgQcUCJVN85jMhWeF9RdZuF5yNlC92Bx3hN9T7PpGrHK7PYVrjIyYN4p6Jd73dDfPXl8atUeHXJFkHNRcTfJGxQ_h7scCVWHiXu5KcuWBvjipX4YtgInfPTjOVO1ia21-K_6km9eusOE09RnH17AQ9-2yAet_gl046wu7mwq6-FYo4pK5i8Ry_pjc9K3tfjRe3guomsfv2u_jQbc2W2jfUR3hza_D8ku_fdMS4UlxhbK06ZVVRsX1_MOJ1gFkBASVDx-bfx6Pch_UCqssjHOu3U_MG7TzkliJMvENqlQ63t7yDqpLjXZ9HA69c1dB_es4Mkmqg2IOXoAXWIM4YW0JLUj2zPUyWByreOF2DaaHROpwphTOrno2Sg0qIDvlTRUULXMQ4V4ckDONc8w2pGxFooaHOjOQm-Eo460ccbFP6H2xyU9F-SHpPKO3E5CvO8Lp9b6pdM4vFm-fABEUorfKwO7hHlityjlPfHQ8Qy-8ixxQnRylTUtZtYst3HwQJhU3SQtSQLv6SotiWD_iwNIAhcQF5PDA7DMYheLTXwRZ2nBTQoJ9w1xSCW_1q2QlrP2Wc0hGmGeOSVZeNPWvzOgmG0Mw7t1f3FwjWZ4cmUmHsSPcBt1cf6sBsvtWmeD5NMJukp8uwbfJF4S_j_4ncxbPqHaKv4oyUWU0DIEKuID1CzdsoDTEenJkhUR9ImNDsgnvjBOMPGbBcejRQ94Weh-UCcMrs9le6IMAc2KWpDD46cgoz2e-cGLS-RfduZm9hETU5IMTI9BYmUp9h_ICBrhxG6xXe5iZEpeUWuOy73X9FdlONdsahln4zwt1ZK7rXPZnbKkQ4vXVH32ajSopEYYDTQxC7wpMTu-aYmtfS460NlzGGPjyR9IsPgSTwi0wHT2wmc0x8Stq86NDZI4olXF5-lxXvRYgjuN_xBPqceu-1QThx9Eu9QLTSb0Camy2KnCckKpkjbmn7MzAm4Nx_cjt8v9nodq1fe6-_6ChvFKTiGBxjnqTHq8hr6ZE8k2S-hefOH4VKf8umusJuwiJAox4c6pLA_7-xCGd4ryCKMYBwE3QDM4oJjWPK47Sjl17EUZmDkwEls4uPNDKOiGsrrFAC4nR8ln9vshFPkHuLChEmow76StoBE_v7xBbZZi_zlQlEQTQkOGQp9fJ3dpY6DJTLJR7Hsp_mdv_ekZcWbapa324a68m5BEW0K8E-dseovMyJaHkRy5Om7dzf8PqXZeLSnDNAXBPn3PSeypuhu4gjSL1_l-hehBmPD0ZW0C77nKZFZMJ9vb3WgdIJU0XkDazsDglLHRf6lLariba9yeIut4AG5b5I7s-rD6YrqEv78rs5srvsY1Ls8poQ9MB6rLQrN7Ekzg_2VW-rMFJ2IlrBEU-DaLTTwVblJagpCdTBD-ho-ogwAVXaPGcilamHT78OVBVwcLgvz21nmYSMlUpLkAvY9pivGyWqJRVgPTSc2l1fklfzijhUfZ6sYLvmVKvMChophmFbRnvohzgD0VHYDZqOXFQzBi0xq9RcrPgpl9PREJgk6RYiQGsHc1z4EtTh2c8t7Hd1Pq624HorZxPfsJCV86oLL-H_SvLOotngw&amp;open=true&amp;firstname=Pierre-Emile&amp;lastname=Leblanc+Comtois&amp;email=pierre.emile.leblanc.comtois%40gmail.com&amp;rgpd=on&amp;submitted=1&amp;g-recaptcha-response=03AFcWeA6lJwTSyGb-JRiOvk6GXZQfONoVzXfUwtOkGEd0DgrO_gWUgCZWULjdcTzaG5mM5lY3fwC4ApwRQQcPrSdmQhmemo0mqvuJR8M1dV2Mj5bF-3jdB9KO_QwTw6jWKie8-aPa52qJnl5OkkNCYhuni3D33uCk5dbDSmzwmU3EAuFmxuz4izUZTmaRJ5F9wR3BubodI3TL1jrEFKcgM_lzowOE7-u_chDlPluE4f6l-qfqCx6DPKdLI3JRP7oP7pvGUxI3Ft2wHV5L3lUijvO4rpbs8SjWyNZBgQcUCJVN85jMhWeF9RdZuF5yNlC92Bx3hN9T7PpGrHK7PYVrjIyYN4p6Jd73dDfPXl8atUeHXJFkHNRcTfJGxQ_h7scCVWHiXu5KcuWBvjipX4YtgInfPTjOVO1ia21-K_6km9eusOE09RnH17AQ9-2yAet_gl046wu7mwq6-FYo4pK5i8Ry_pjc9K3tfjRe3guomsfv2u_jQbc2W2jfUR3hza_D8ku_fdMS4UlxhbK06ZVVRsX1_MOJ1gFkBASVDx-bfx6Pch_UCqssjHOu3U_MG7TzkliJMvENqlQ63t7yDqpLjXZ9HA69c1dB_es4Mkmqg2IOXoAXWIM4YW0JLUj2zPUyWByreOF2DaaHROpwphTOrno2Sg0qIDvlTRUULXMQ4V4ckDONc8w2pGxFooaHOjOQm-Eo460ccbFP6H2xyU9F-SHpPKO3E5CvO8Lp9b6pdM4vFm-fABEUorfKwO7hHlityjlPfHQ8Qy-8ixxQnRylTUtZtYst3HwQJhU3SQtSQLv6SotiWD_iwNIAhcQF5PDA7DMYheLTXwRZ2nBTQoJ9w1xSCW_1q2QlrP2Wc0hGmGeOSVZeNPWvzOgmG0Mw7t1f3FwjWZ4cmUmHsSPcBt1cf6sBsvtWmeD5NMJukp8uwbfJF4S_j_4ncxbPqHaKv4oyUWU0DIEKuID1CzdsoDTEenJkhUR9ImNDsgnvjBOMPGbBcejRQ94Weh-UCcMrs9le6IMAc2KWpDD46cgoz2e-cGLS-RfduZm9hETU5IMTI9BYmUp9h_ICBrhxG6xXe5iZEpeUWuOy73X9FdlONdsahln4zwt1ZK7rXPZnbKkQ4vXVH32ajSopEYYDTQxC7wpMTu-aYmtfS460NlzGGPjyR9IsPgSTwi0wHT2wmc0x8Stq86NDZI4olXF5-lxXvRYgjuN_xBPqceu-1QThx9Eu9QLTSb0Camy2KnCckKpkjbmn7MzAm4Nx_cjt8v9nodq1fe6-_6ChvFKTiGBxjnqTHq8hr6ZE8k2S-hefOH4VKf8umusJuwiJAox4c6pLA_7-xCGd4ryCKMYBwE3QDM4oJjWPK47Sjl17EUZmDkwEls4uPNDKOiGsrrFAC4nR8ln9vshFPkHuLChEmow76StoBE_v7xBbZZi_zlQlEQTQkOGQp9fJ3dpY6DJTLJR7Hsp_mdv_ekZcWbapa324a68m5BEW0K8E-dseovMyJaHkRy5Om7dzf8PqXZeLSnDNAXBPn3PSeypuhu4gjSL1_l-hehBmPD0ZW0C77nKZFZMJ9vb3WgdIJU0XkDazsDglLHRf6lLariba9yeIut4AG5b5I7s-rD6YrqEv78rs5srvsY1Ls8poQ9MB6rLQrN7Ekzg_2VW-rMFJ2IlrBEU-DaLTTwVblJagpCdTBD-ho-ogwAVXaPGcilamHT78OVBVwcLgvz21nmYSMlUpLkAvY9pivGyWqJRVgPTSc2l1fklfzijhUfZ6sYLvmVKvMChophmFbRnvohzgD0VHYDZqOXFQzBi0xq9RcrPgpl9PREJgk6RYiQGsHc1z4EtTh2c8t7Hd1Pq624HorZxPfsJCV86oLL-H_SvLOotngw</t>
  </si>
  <si>
    <t>Hôtel 2 étoiles</t>
  </si>
  <si>
    <t>Hôtel 3 étoiles</t>
  </si>
  <si>
    <t>Hôtel 4 étoiles</t>
  </si>
  <si>
    <t>Hôtel 5 étoiles</t>
  </si>
  <si>
    <t>Hôtel (classement inconnue)</t>
  </si>
  <si>
    <t xml:space="preserve">27 - Production de CO2 et de glace sèche </t>
  </si>
  <si>
    <t>Compression du CO2 pour le liquifier</t>
  </si>
  <si>
    <t>Rendement à la transformation (100% - les pertes)</t>
  </si>
  <si>
    <r>
      <t>[kWh/tCO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]</t>
    </r>
  </si>
  <si>
    <t>[%]</t>
  </si>
  <si>
    <t>CO2 gazeux</t>
  </si>
  <si>
    <t>CO2 liquide</t>
  </si>
  <si>
    <t>Jackson, S. &amp; Brodal, E. (2018) A comparison of the energy consumption for CO2 compression process alternatives. https://iopscience.iop.org/article/10.1088/1755-1315/167/1/012031/pdf</t>
  </si>
  <si>
    <t>CO2 solide (Glace sèche)</t>
  </si>
  <si>
    <t>DryIceProduction, (s.d.) Precessus de production et manipulation de la glace carbonique. https://www.dryiceproduction.com/fr/making-dry-ice.php#:~:text=La%20glace%20s%C3%A8che%20est%20produite,des%20pellets%20ou%20des%20sticks.</t>
  </si>
  <si>
    <t>28 - Déboissement</t>
  </si>
  <si>
    <t>Perte des stocks de carbone</t>
  </si>
  <si>
    <t>Perte de séquestration de carbone sur 100 ans</t>
  </si>
  <si>
    <t>Région</t>
  </si>
  <si>
    <t>Zone forestière</t>
  </si>
  <si>
    <t>Ratio de biomasse dans le sol</t>
  </si>
  <si>
    <t>Biomasse en surface</t>
  </si>
  <si>
    <t>Taux annuel de croissance de la biomass</t>
  </si>
  <si>
    <t>Contenu en carbone du bois</t>
  </si>
  <si>
    <t>[t racine / t pousse]</t>
  </si>
  <si>
    <t>[t bois / ha]</t>
  </si>
  <si>
    <t>[tonnes bois/ ha.an]</t>
  </si>
  <si>
    <t>[t C/ t bois]</t>
  </si>
  <si>
    <r>
      <t>[g CO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 xml:space="preserve"> / ha]</t>
    </r>
  </si>
  <si>
    <r>
      <t>[g CH</t>
    </r>
    <r>
      <rPr>
        <b/>
        <vertAlign val="subscript"/>
        <sz val="11"/>
        <color theme="1"/>
        <rFont val="Calibri"/>
        <family val="2"/>
      </rPr>
      <t>4</t>
    </r>
    <r>
      <rPr>
        <b/>
        <sz val="11"/>
        <color theme="1"/>
        <rFont val="Calibri"/>
        <family val="2"/>
      </rPr>
      <t xml:space="preserve"> /  ha]</t>
    </r>
  </si>
  <si>
    <t>[g N2O /  ha]</t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</si>
  <si>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 ha]</t>
    </r>
  </si>
  <si>
    <t>Amérique du nord</t>
  </si>
  <si>
    <t>Tropical - rainforest</t>
  </si>
  <si>
    <t>MELCCFP (2022) Guide de quantification des émissions de gaz à effet de serre + IPCC (2006) Chapter 4 : Forest Land Tables 4.3, 4.4, 4.7 &amp; 4.9</t>
  </si>
  <si>
    <t>Tropical - moist deciduous forest (&gt;125t/ha) (&lt;20 ans)</t>
  </si>
  <si>
    <t>Tropical - moist deciduous forest (&gt;125t/ha) (&gt;20 ans)</t>
  </si>
  <si>
    <t>Tropical - dry forest (&gt;20t/ha) (&lt;20 ans)</t>
  </si>
  <si>
    <t>Tropical - dry forest (&gt;20t/ha) (&gt;20 ans)</t>
  </si>
  <si>
    <t>Tropical - shrubland (&lt;20 ans)</t>
  </si>
  <si>
    <t>Tropical - shrubland (&gt;20 ans)</t>
  </si>
  <si>
    <t>Tropical - mountain systems (&lt;20 ans)</t>
  </si>
  <si>
    <t>Tropical - mountain systems (&gt;20 ans)</t>
  </si>
  <si>
    <t>Subtropical - humid forest (&gt;125t/ha) (&lt;20 ans)</t>
  </si>
  <si>
    <t>Subtropical - humid forest (&gt;125t/ha) (&gt;20 ans)</t>
  </si>
  <si>
    <t>Subtropical - dry forest (&gt;20t/ha) (&lt;20 ans)</t>
  </si>
  <si>
    <t>Subtropical - dry forest (&gt;20t/ha) (&gt;20 ans)</t>
  </si>
  <si>
    <t>Subtropical - steppe (&lt;20 ans)</t>
  </si>
  <si>
    <t>Subtropical - steppe (&gt;20 ans)</t>
  </si>
  <si>
    <t>Subtropical - mountain systems (&lt;20 ans)</t>
  </si>
  <si>
    <t>Subtropical - mountain systems (&gt;20 ans)</t>
  </si>
  <si>
    <t>Temperate - Oceanic forest - Conifers</t>
  </si>
  <si>
    <t>Temperate - Oceanic forest - Other broadleaf</t>
  </si>
  <si>
    <t>Temperate - Continental forest - Conifers (&lt;20 ans)</t>
  </si>
  <si>
    <t>Temperate - Continental forest - Conifers (&gt;20 ans)</t>
  </si>
  <si>
    <t>Temperate - Continental forest - Other broadleaf (&lt;20 ans)</t>
  </si>
  <si>
    <t>Temperate - Continental forest - Other broadleaf (&gt;20 ans)</t>
  </si>
  <si>
    <t>Temperate - Mountain systems (&lt;20 ans)</t>
  </si>
  <si>
    <t>Temperate - Mountain systems (&gt;20 ans)</t>
  </si>
  <si>
    <t>Boreal - coniferous forest</t>
  </si>
  <si>
    <t>Boreal - tundra woodland (&lt;20 ans)</t>
  </si>
  <si>
    <t>Boreal - tundra woodland (&gt;20 ans)</t>
  </si>
  <si>
    <t>Boreal - mountain systems (&lt;20 ans)</t>
  </si>
  <si>
    <t>Boreal - mountain systems (&gt;20 ans)</t>
  </si>
  <si>
    <t>29 - Intensité carbone monétaire des biens et services</t>
  </si>
  <si>
    <t>Référence G</t>
  </si>
  <si>
    <t>Sous catégories de biens et de services</t>
  </si>
  <si>
    <t>Date de l'analyse de l'intensité carbone monétaire</t>
  </si>
  <si>
    <t>CO2e
(avant ajustement de l'inflation)</t>
  </si>
  <si>
    <t>Ajustement pour inflation (Québec 2024)</t>
  </si>
  <si>
    <t>Autres gaz à effet de serre</t>
  </si>
  <si>
    <t>[année]</t>
  </si>
  <si>
    <r>
      <t>[kg CO</t>
    </r>
    <r>
      <rPr>
        <b/>
        <vertAlign val="subscript"/>
        <sz val="11"/>
        <color theme="1"/>
        <rFont val="Calibri"/>
        <family val="2"/>
      </rPr>
      <t>2eq</t>
    </r>
    <r>
      <rPr>
        <b/>
        <sz val="11"/>
        <color theme="1"/>
        <rFont val="Calibri"/>
        <family val="2"/>
      </rPr>
      <t xml:space="preserve"> / $]</t>
    </r>
  </si>
  <si>
    <r>
      <t>[g CO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 xml:space="preserve"> / $]</t>
    </r>
  </si>
  <si>
    <r>
      <t>[g CH</t>
    </r>
    <r>
      <rPr>
        <b/>
        <vertAlign val="subscript"/>
        <sz val="11"/>
        <color theme="1"/>
        <rFont val="Calibri"/>
        <family val="2"/>
      </rPr>
      <t>4</t>
    </r>
    <r>
      <rPr>
        <b/>
        <sz val="11"/>
        <color theme="1"/>
        <rFont val="Calibri"/>
        <family val="2"/>
      </rPr>
      <t xml:space="preserve"> /  $]</t>
    </r>
  </si>
  <si>
    <t>[g N2O /  $]</t>
  </si>
  <si>
    <r>
      <t>[gCO</t>
    </r>
    <r>
      <rPr>
        <b/>
        <vertAlign val="subscript"/>
        <sz val="11"/>
        <color theme="1"/>
        <rFont val="Calibri (Corps)"/>
      </rPr>
      <t>2</t>
    </r>
    <r>
      <rPr>
        <b/>
        <sz val="11"/>
        <color theme="1"/>
        <rFont val="Aptos Narrow"/>
        <family val="2"/>
        <scheme val="minor"/>
      </rPr>
      <t>eq/ $]</t>
    </r>
  </si>
  <si>
    <t>[gCO2eq/ $]</t>
  </si>
  <si>
    <t>Office supplies (except paper)</t>
  </si>
  <si>
    <t>(Données pour le Québec)</t>
  </si>
  <si>
    <t>Fourniture_de_bureau</t>
  </si>
  <si>
    <t>Facteurs d'émissions tirés de Climatiq (2024) https://www.climatiq.io/data/explorer?source=OpenIO-Canada&amp;data_version=%5E19</t>
  </si>
  <si>
    <t>Paper office supplies</t>
  </si>
  <si>
    <t>Facteurs d'émissions tirés de Climatiq (2025) https://www.climatiq.io/data/explorer?search=cardboard&amp;region=CA-QC&amp;data_version=%5E20</t>
  </si>
  <si>
    <t>Paper and carboard</t>
  </si>
  <si>
    <t>Paper board containers</t>
  </si>
  <si>
    <t>Office furniture</t>
  </si>
  <si>
    <t>General purpose software</t>
  </si>
  <si>
    <t>Hand tools / kitchen utensil and cutlery (except precious metal)</t>
  </si>
  <si>
    <t>Plastic bottles</t>
  </si>
  <si>
    <t>Plastic films and non-rigid sheets</t>
  </si>
  <si>
    <t>Plastic products</t>
  </si>
  <si>
    <t>Glass and glass products</t>
  </si>
  <si>
    <t>Clothing for men's / women's / boy's and girl's</t>
  </si>
  <si>
    <t>Vêtements</t>
  </si>
  <si>
    <t>Clothing accessories</t>
  </si>
  <si>
    <t>Motor vehicule gasoline engines and engine parts</t>
  </si>
  <si>
    <t>Pièces_de_véhicule</t>
  </si>
  <si>
    <t>Facteurs d'émissions tirés de Climatiq (2025) https://www.climatiq.io/data/explorer?source=OpenIO-Canada&amp;data_version=%5E19</t>
  </si>
  <si>
    <t>Motor véhicule interio trim / seats ans seat parts</t>
  </si>
  <si>
    <t>Other miscellaneous motor vehicle parts</t>
  </si>
  <si>
    <t>Other transportation equipement and related parts</t>
  </si>
  <si>
    <t>Insurance brokage and other services related to insurance</t>
  </si>
  <si>
    <t>Services</t>
  </si>
  <si>
    <t>Internet advertising</t>
  </si>
  <si>
    <t>Legal services</t>
  </si>
  <si>
    <t>Mobile telecommunications services</t>
  </si>
  <si>
    <t>Fixed internet access services</t>
  </si>
  <si>
    <t>repair construction services</t>
  </si>
  <si>
    <t>Other transport equipement</t>
  </si>
  <si>
    <t>Advertising / public relations and related services</t>
  </si>
  <si>
    <t>Postal services</t>
  </si>
  <si>
    <t>Management / scientific and technical consulting services</t>
  </si>
  <si>
    <t>Facteurs d'émissions tirés de Climatiq (2024) ID : 5ec8368f-edce-4015-8acf-12118560197d - https://www.climatiq.io/data</t>
  </si>
  <si>
    <t>Other information services</t>
  </si>
  <si>
    <t>Facteurs d'émissions tirés de Climatiq (2024) ID : ebec3810-6870-4800-9fb2-fd0032d3cfbe - https://www.climatiq.io/data</t>
  </si>
  <si>
    <t>Business support services</t>
  </si>
  <si>
    <t>Facteurs d'émissions tirés de Climatiq (2024) ID : 2b8c658e-dc8b-454b-9d27-d3907241cbf4 - https://www.climatiq.io/data</t>
  </si>
  <si>
    <t>Other foods products</t>
  </si>
  <si>
    <t>Nourriture</t>
  </si>
  <si>
    <t>Snack food products</t>
  </si>
  <si>
    <t>Food and beverages - retail margins</t>
  </si>
  <si>
    <t>Food, beverages products - wholesale margins</t>
  </si>
  <si>
    <t>Coffee and tea</t>
  </si>
  <si>
    <t>Fresh fruit and nuts</t>
  </si>
  <si>
    <t>Preserved fruit and vegetables and frozen foods</t>
  </si>
  <si>
    <t>Fresh, frozen and canned fruit and vegetable juices</t>
  </si>
  <si>
    <t>Processed meat products and other animals by-products</t>
  </si>
  <si>
    <t>Fish, crustaceans, shellfish and other fishery products</t>
  </si>
  <si>
    <t>Breakfast cereal and other cereal products</t>
  </si>
  <si>
    <t>Facteurs de conversion</t>
  </si>
  <si>
    <t>Liquide</t>
  </si>
  <si>
    <t>Gazeux</t>
  </si>
  <si>
    <t>Conversion</t>
  </si>
  <si>
    <r>
      <t>[kg/m</t>
    </r>
    <r>
      <rPr>
        <b/>
        <vertAlign val="superscript"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]</t>
    </r>
  </si>
  <si>
    <t>km/miles =</t>
  </si>
  <si>
    <t>UnitConverters.net - https://www.unitconverters.net/length/miles-to-km.htm</t>
  </si>
  <si>
    <t>kWh/Gj =</t>
  </si>
  <si>
    <t>lbs/kg =</t>
  </si>
  <si>
    <t>UnitConverters.net - https://www.unitconverters.net/weight-and-mass/lbs-to-kg.htm</t>
  </si>
  <si>
    <t>Hydrogène (H) [g/mol]</t>
  </si>
  <si>
    <t>Tableau périodique - https://ptable.com/?lang=fr#Propri%C3%A9t%C3%A9s</t>
  </si>
  <si>
    <t>Carbone (C) [g/mol]</t>
  </si>
  <si>
    <t>Azote (N) [g/mol]</t>
  </si>
  <si>
    <t>Oxygène (O) [g/mol]</t>
  </si>
  <si>
    <t>Aluminum (Al) [g/mol]</t>
  </si>
  <si>
    <r>
      <t>Dioxyde de carbone (CO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)  [g/mol]</t>
    </r>
  </si>
  <si>
    <r>
      <t>Méthane (CH</t>
    </r>
    <r>
      <rPr>
        <vertAlign val="subscript"/>
        <sz val="11"/>
        <color theme="1"/>
        <rFont val="Calibri"/>
        <family val="2"/>
      </rPr>
      <t>4</t>
    </r>
    <r>
      <rPr>
        <sz val="11"/>
        <color theme="1"/>
        <rFont val="Calibri"/>
        <family val="2"/>
      </rPr>
      <t>)  [g/mol]</t>
    </r>
  </si>
  <si>
    <r>
      <t>Méthane (CH</t>
    </r>
    <r>
      <rPr>
        <vertAlign val="subscript"/>
        <sz val="11"/>
        <color theme="1"/>
        <rFont val="Calibri"/>
        <family val="2"/>
      </rPr>
      <t>4</t>
    </r>
    <r>
      <rPr>
        <sz val="11"/>
        <color theme="1"/>
        <rFont val="Calibri"/>
        <family val="2"/>
      </rPr>
      <t>) (gazeux@0°C)</t>
    </r>
  </si>
  <si>
    <t>PubChem, n.d., Methane. https://pubchem.ncbi.nlm.nih.gov/compound/297#section=Density</t>
  </si>
  <si>
    <r>
      <t>Acétylène (C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H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)  [g/mol]</t>
    </r>
  </si>
  <si>
    <t>Argon</t>
  </si>
  <si>
    <t>Oxymax, coefficients de conversion de gaz - https://www.oxymax.ca/coefficients-de-conversion-des-gaz/</t>
  </si>
  <si>
    <t>Azote</t>
  </si>
  <si>
    <t>Hydrogène</t>
  </si>
  <si>
    <t>Oxygène</t>
  </si>
  <si>
    <t>Autres Références</t>
  </si>
  <si>
    <t>Syndicat des Producteurs forestiers du Sud du Québec, 2015, Ce qu'il est important de savoir sur le chauffage au bois ! https://www.spbestrie.qc.ca/wp-content/uploads/2014/09/INFO-BOIS-DE-CHAUFFAGE1.pdf</t>
  </si>
  <si>
    <t>Environnement et changement climatique Canada, 2022. Calculatrice de gaz à effet de serre pour la gestion des déchets organiques : Rapport de méthodologie, page 35 - https://publications.gc.ca/collections/collection_2022/eccc/En14-493-1-2022-fra.pdf</t>
  </si>
  <si>
    <t>MELCC (2022). Bilan de performance des ouvrages municipaux d'assainissement des eaux usées pour l'année 2020, Tableau 4 et 6. https://www.environnement.gouv.qc.ca/eau/eaux-usees/ouvrages-municipaux/bilan-performance-omaeu-2020.pdf</t>
  </si>
  <si>
    <t>Mesure Canada (2019). Facteur de correction du volume - gaz de pétrole liquéfié ou propane. https://ised-isde.canada.ca/site/mesures-canada/sites/default/files/attachments/2022/FCV_Propane500.pdf</t>
  </si>
  <si>
    <t>Lide et al. (2003). CRC Handbook of Chemistry and Physics. Acétylène page 5-89. http://webdelprofesor.ula.ve/ciencias/isolda/libros/handbook.pdf</t>
  </si>
  <si>
    <t>Statistique Canada (2025), Indice des prix à la consommation, moyenne annuelle, non désaisonnalisé. https://www150.statcan.gc.ca/t1/tbl1/fr/cv.action?pid=1810000501</t>
  </si>
  <si>
    <r>
      <t>CO</t>
    </r>
    <r>
      <rPr>
        <vertAlign val="subscript"/>
        <sz val="11"/>
        <color theme="1"/>
        <rFont val="Aptos Narrow"/>
        <family val="2"/>
        <scheme val="minor"/>
      </rPr>
      <t>2</t>
    </r>
  </si>
  <si>
    <t>IPCC (2021), AR6 Chapitre 7, table 7.15 (GWP-100)</t>
  </si>
  <si>
    <r>
      <t>CH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</si>
  <si>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N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</si>
  <si>
    <r>
      <t>CF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</si>
  <si>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SF</t>
    </r>
    <r>
      <rPr>
        <vertAlign val="subscript"/>
        <sz val="11"/>
        <color theme="1"/>
        <rFont val="Aptos Narrow"/>
        <family val="2"/>
        <scheme val="minor"/>
      </rPr>
      <t>6</t>
    </r>
  </si>
  <si>
    <t>NIR (2022), PT1, tableau A1-1, p.19</t>
  </si>
  <si>
    <t>R-32</t>
  </si>
  <si>
    <t>R-125</t>
  </si>
  <si>
    <t>R-134a</t>
  </si>
  <si>
    <t>R-143a</t>
  </si>
  <si>
    <t>R-1234ze</t>
  </si>
  <si>
    <t>R-1234yf</t>
  </si>
  <si>
    <t>CFC-11</t>
  </si>
  <si>
    <t>CFC-12</t>
  </si>
  <si>
    <t>HRAI (2019) Refrigerant Table Lexplanation and Glossary of Terms - https://www.hrai.ca/uploads/userfiles/files/refrigerant_table_June2019.pdf</t>
  </si>
  <si>
    <t>R-22</t>
  </si>
  <si>
    <t>R-23</t>
  </si>
  <si>
    <t>R-404a</t>
  </si>
  <si>
    <t>R-407a</t>
  </si>
  <si>
    <t>Chemours (2017) Freon 407C and 407A Properties, Uses, Storage, and Handling. https://www.freon.com/fr/-/media/files/freon/freon-r407c-r407a-push-bulletin.pdf?rev=d1d347da1ed04b9684663ebba7bc6a1f</t>
  </si>
  <si>
    <t>R-407c</t>
  </si>
  <si>
    <t>R-410a</t>
  </si>
  <si>
    <t>R-448a</t>
  </si>
  <si>
    <t>R-449a</t>
  </si>
  <si>
    <t>National Refrigerants Inc. - https://refrigerants.com/product/r-449a/</t>
  </si>
  <si>
    <t>R-454B</t>
  </si>
  <si>
    <t>Climalife (n.-d.) R454B Specifications commerciales garanties. https://climalife.com/fr/product/r-454b/#:~:text=Le%20R%2D454B%20est%20un,est%20g%C3%A9n%C3%A9ralement%20mis%20en%20%C5%93uvre.</t>
  </si>
  <si>
    <t>R-513a</t>
  </si>
  <si>
    <t>R-290</t>
  </si>
  <si>
    <t>Farmacold (n.d.) Réfrigérant R290. https://www.framacold.com/framacold-produit/39-r290-froid-domestique-et-commercial-#:~:text=Le%20propane%20pur%20R290%20est,nombreuses%20applications%20en%20froid%20commercial.&amp;text=De%20tr%C3%A8s%20haute%20puret%C3%A9%20(%3E%2099,classement%20ASHRAE%20A3%20hautement%20inflammable.</t>
  </si>
  <si>
    <t>Gasservei (n.d.) R-600a. https://gas-servei.com/fr/producto/r-600a/</t>
  </si>
  <si>
    <r>
      <t>NH</t>
    </r>
    <r>
      <rPr>
        <vertAlign val="subscript"/>
        <sz val="11"/>
        <color theme="1"/>
        <rFont val="Aptos Narrow"/>
        <family val="2"/>
        <scheme val="minor"/>
      </rPr>
      <t>3</t>
    </r>
  </si>
  <si>
    <t>Global Warming Potential (GWP)</t>
  </si>
  <si>
    <t>GREENHOUSE GASES</t>
  </si>
  <si>
    <t>GWP</t>
  </si>
  <si>
    <t>References</t>
  </si>
  <si>
    <t>(100 years)</t>
  </si>
  <si>
    <t>Name</t>
  </si>
  <si>
    <t>chemical formula</t>
  </si>
  <si>
    <t>Carbon Dioxyde</t>
  </si>
  <si>
    <t>Methan</t>
  </si>
  <si>
    <t>nitrous oxide</t>
  </si>
  <si>
    <t>PFC-14</t>
  </si>
  <si>
    <t>Sulfur hexafluoride</t>
  </si>
  <si>
    <t>REFRIGERANTS</t>
  </si>
  <si>
    <t>Blends</t>
  </si>
  <si>
    <t>Use for</t>
  </si>
  <si>
    <t>Ref. and air cond.</t>
  </si>
  <si>
    <t>Air conditioning</t>
  </si>
  <si>
    <t>Refrigeration</t>
  </si>
  <si>
    <t>Génératrice - Mazout [L]</t>
  </si>
  <si>
    <r>
      <t xml:space="preserve"> tCO</t>
    </r>
    <r>
      <rPr>
        <b/>
        <vertAlign val="subscript"/>
        <sz val="14"/>
        <color theme="0"/>
        <rFont val="Aptos Narrow"/>
        <family val="2"/>
        <scheme val="minor"/>
      </rPr>
      <t>2</t>
    </r>
    <r>
      <rPr>
        <b/>
        <sz val="14"/>
        <color theme="0"/>
        <rFont val="Aptos Narrow"/>
        <family val="2"/>
        <scheme val="minor"/>
      </rPr>
      <t>e</t>
    </r>
  </si>
  <si>
    <t>Bar %</t>
  </si>
  <si>
    <t>État d'inventaire</t>
  </si>
  <si>
    <t>CO2 Biogénique</t>
  </si>
  <si>
    <t>Categorie</t>
  </si>
  <si>
    <t>Poste d'émissions</t>
  </si>
  <si>
    <t>Location d'actif en amont</t>
  </si>
  <si>
    <t>N/A</t>
  </si>
  <si>
    <t>À ajouter</t>
  </si>
  <si>
    <t>Complet</t>
  </si>
  <si>
    <t>À améliorer</t>
  </si>
  <si>
    <t>Dashboard ISO14069</t>
  </si>
  <si>
    <t>Équivalent GHG PROTOCOL</t>
  </si>
  <si>
    <t>1-1A1</t>
  </si>
  <si>
    <t>1-1A2</t>
  </si>
  <si>
    <t>1-2A1</t>
  </si>
  <si>
    <t>1-2A2</t>
  </si>
  <si>
    <t>1-2A3</t>
  </si>
  <si>
    <t>2-1A1</t>
  </si>
  <si>
    <t>1-2B1</t>
  </si>
  <si>
    <t>2-2A1</t>
  </si>
  <si>
    <t>2-2A2</t>
  </si>
  <si>
    <t>Équipements_fixes</t>
  </si>
  <si>
    <t>Type de véhicule et type de carburant</t>
  </si>
  <si>
    <t>Liste des véhicules</t>
  </si>
  <si>
    <t>Voiture légère - Essence [L]</t>
  </si>
  <si>
    <t>Véhicule  - Propane [lbs]</t>
  </si>
  <si>
    <t>Distance parcourus</t>
  </si>
  <si>
    <t>Consommation moyenne</t>
  </si>
  <si>
    <t>[L/100km]</t>
  </si>
  <si>
    <t>Coûts en carburants</t>
  </si>
  <si>
    <t>Prix moyenne du carburant</t>
  </si>
  <si>
    <t>[$]</t>
  </si>
  <si>
    <t>[$/L]</t>
  </si>
  <si>
    <t>Estimation de la quantité de carburant</t>
  </si>
  <si>
    <t>Année</t>
  </si>
  <si>
    <t>Marque</t>
  </si>
  <si>
    <t>Modèle</t>
  </si>
  <si>
    <t>Transmission</t>
  </si>
  <si>
    <t>Estimation</t>
  </si>
  <si>
    <t>[kWh/100km]</t>
  </si>
  <si>
    <t>Province</t>
  </si>
  <si>
    <t>Véhicule à essence</t>
  </si>
  <si>
    <t>Données sur les véhicules canadiens</t>
  </si>
  <si>
    <t>Honda</t>
  </si>
  <si>
    <t>Fit</t>
  </si>
  <si>
    <t>Manuel</t>
  </si>
  <si>
    <t>Nissan</t>
  </si>
  <si>
    <t>LEAF (24 kWh)</t>
  </si>
  <si>
    <t>Automatique</t>
  </si>
  <si>
    <t>Liste de la flotte de véhicule</t>
  </si>
  <si>
    <t>Nom ou numéro du véhicule</t>
  </si>
  <si>
    <t>Non</t>
  </si>
  <si>
    <t>Oui</t>
  </si>
  <si>
    <t>Camion léger - Essence [L]</t>
  </si>
  <si>
    <t>Camion lourd - Diesel [L]</t>
  </si>
  <si>
    <t>Gros camion #2</t>
  </si>
  <si>
    <t>Petit camion #1</t>
  </si>
  <si>
    <t>Acura</t>
  </si>
  <si>
    <t>Alfa Romeo</t>
  </si>
  <si>
    <t>Audi</t>
  </si>
  <si>
    <t>Bentley</t>
  </si>
  <si>
    <t>BMW</t>
  </si>
  <si>
    <t>Buick</t>
  </si>
  <si>
    <t>Cadillac</t>
  </si>
  <si>
    <t>Chevrolet</t>
  </si>
  <si>
    <t>Chrysler</t>
  </si>
  <si>
    <t>Dodge</t>
  </si>
  <si>
    <t>Eagle</t>
  </si>
  <si>
    <t>Ferrari</t>
  </si>
  <si>
    <t>Ford</t>
  </si>
  <si>
    <t>Geo</t>
  </si>
  <si>
    <t>GMC</t>
  </si>
  <si>
    <t>Hyundai</t>
  </si>
  <si>
    <t>Infiniti</t>
  </si>
  <si>
    <t>Isuzu</t>
  </si>
  <si>
    <t>Jaguar</t>
  </si>
  <si>
    <t>Jeep</t>
  </si>
  <si>
    <t>Land Rover</t>
  </si>
  <si>
    <t>Lexus</t>
  </si>
  <si>
    <t>Lincoln</t>
  </si>
  <si>
    <t>Mazda</t>
  </si>
  <si>
    <t>Mercedes-Benz</t>
  </si>
  <si>
    <t>Mercury</t>
  </si>
  <si>
    <t>Oldsmobile</t>
  </si>
  <si>
    <t>Plymouth</t>
  </si>
  <si>
    <t>Pontiac</t>
  </si>
  <si>
    <t>Porsche</t>
  </si>
  <si>
    <t>Rolls-Royce</t>
  </si>
  <si>
    <t>Saab</t>
  </si>
  <si>
    <t>Saturn</t>
  </si>
  <si>
    <t>Subaru</t>
  </si>
  <si>
    <t>Suzuki</t>
  </si>
  <si>
    <t>Toyota</t>
  </si>
  <si>
    <t>Volkswagen</t>
  </si>
  <si>
    <t>Volvo</t>
  </si>
  <si>
    <t>Daewoo</t>
  </si>
  <si>
    <t>Kia</t>
  </si>
  <si>
    <t>Maserati</t>
  </si>
  <si>
    <t>MINI</t>
  </si>
  <si>
    <t>Mitsubishi</t>
  </si>
  <si>
    <t>smart</t>
  </si>
  <si>
    <t>Hummer</t>
  </si>
  <si>
    <t>Aston Martin</t>
  </si>
  <si>
    <t>Lamborghini</t>
  </si>
  <si>
    <t>Bugatti</t>
  </si>
  <si>
    <t>Scion</t>
  </si>
  <si>
    <t>FIAT</t>
  </si>
  <si>
    <t>Ram</t>
  </si>
  <si>
    <t>SRT</t>
  </si>
  <si>
    <t>Genesis</t>
  </si>
  <si>
    <t>Karma</t>
  </si>
  <si>
    <t>Polestar</t>
  </si>
  <si>
    <t>Tesla</t>
  </si>
  <si>
    <t>smart EQ</t>
  </si>
  <si>
    <t>Lucid</t>
  </si>
  <si>
    <t>Rivian</t>
  </si>
  <si>
    <t>Fisker</t>
  </si>
  <si>
    <t>VinFast</t>
  </si>
  <si>
    <t>Integra</t>
  </si>
  <si>
    <t>Integra GS-R</t>
  </si>
  <si>
    <t>Legend</t>
  </si>
  <si>
    <t>Legend Coupe</t>
  </si>
  <si>
    <t>NSX</t>
  </si>
  <si>
    <t>164 LS</t>
  </si>
  <si>
    <t>90 quattro</t>
  </si>
  <si>
    <t>A6</t>
  </si>
  <si>
    <t>A6 quattro</t>
  </si>
  <si>
    <t>A6 Wagon</t>
  </si>
  <si>
    <t>A6 quattro Wagon</t>
  </si>
  <si>
    <t>Cabriolet</t>
  </si>
  <si>
    <t>S6</t>
  </si>
  <si>
    <t>Brooklands</t>
  </si>
  <si>
    <t>Brooklands LWB</t>
  </si>
  <si>
    <t>Continental</t>
  </si>
  <si>
    <t>Continental Turbo</t>
  </si>
  <si>
    <t>Continental R Turbo</t>
  </si>
  <si>
    <t>Limousine</t>
  </si>
  <si>
    <t>Turbo R</t>
  </si>
  <si>
    <t>Turbo RL</t>
  </si>
  <si>
    <t>318i/318is</t>
  </si>
  <si>
    <t>318i Convertible</t>
  </si>
  <si>
    <t>318ti</t>
  </si>
  <si>
    <t>320i</t>
  </si>
  <si>
    <t>325i/325is</t>
  </si>
  <si>
    <t>325i Convertible</t>
  </si>
  <si>
    <t>525i</t>
  </si>
  <si>
    <t>530i</t>
  </si>
  <si>
    <t>530i Touring Wagon</t>
  </si>
  <si>
    <t>540i</t>
  </si>
  <si>
    <t>740i</t>
  </si>
  <si>
    <t>740il</t>
  </si>
  <si>
    <t>750il</t>
  </si>
  <si>
    <t>840ci</t>
  </si>
  <si>
    <t>850ci</t>
  </si>
  <si>
    <t>Century</t>
  </si>
  <si>
    <t>Century Wagon</t>
  </si>
  <si>
    <t>LeSabre</t>
  </si>
  <si>
    <t>Park Avenue</t>
  </si>
  <si>
    <t>Park Avenue #</t>
  </si>
  <si>
    <t>Regal</t>
  </si>
  <si>
    <t>Riviera #</t>
  </si>
  <si>
    <t>Roadmaster</t>
  </si>
  <si>
    <t>Roadmaster Wagon</t>
  </si>
  <si>
    <t>Skylark</t>
  </si>
  <si>
    <t>Concourse</t>
  </si>
  <si>
    <t>DeVille</t>
  </si>
  <si>
    <t>Eldorado</t>
  </si>
  <si>
    <t>Eldorado #</t>
  </si>
  <si>
    <t>Fleetwood</t>
  </si>
  <si>
    <t>Seville</t>
  </si>
  <si>
    <t>Seville #</t>
  </si>
  <si>
    <t>Astro Cargo #</t>
  </si>
  <si>
    <t>Astro Cargo AWD #</t>
  </si>
  <si>
    <t>Astro Passenger #</t>
  </si>
  <si>
    <t>Astro Passenger AWD #</t>
  </si>
  <si>
    <t>Beretta</t>
  </si>
  <si>
    <t>C1500</t>
  </si>
  <si>
    <t>C1500 Diesel</t>
  </si>
  <si>
    <t>C1500 Turbo Diesel</t>
  </si>
  <si>
    <t>C1500 Suburban</t>
  </si>
  <si>
    <t>C2500</t>
  </si>
  <si>
    <t>C2500 Diesel</t>
  </si>
  <si>
    <t>C2500 Turbo Diesel</t>
  </si>
  <si>
    <t>Camaro</t>
  </si>
  <si>
    <t>Caprice</t>
  </si>
  <si>
    <t>Caprice Wagon</t>
  </si>
  <si>
    <t>Cavalier</t>
  </si>
  <si>
    <t>Corsica</t>
  </si>
  <si>
    <t>Corvette</t>
  </si>
  <si>
    <t>Corvette #</t>
  </si>
  <si>
    <t>G10/G20 Van</t>
  </si>
  <si>
    <t>G10/G20 Van Diesel</t>
  </si>
  <si>
    <t>G20 Sportvan</t>
  </si>
  <si>
    <t>G30 Sportvan</t>
  </si>
  <si>
    <t>G30 Van</t>
  </si>
  <si>
    <t>K1500 4X4</t>
  </si>
  <si>
    <t>K1500 4X4 Diesel</t>
  </si>
  <si>
    <t>K1500 4X4 Turbo Diesel</t>
  </si>
  <si>
    <t>K1500 Suburban 4X4</t>
  </si>
  <si>
    <t>K1500 Tahoe 4X4</t>
  </si>
  <si>
    <t>K1500 Tahoe 4X4 Turbo Diesel</t>
  </si>
  <si>
    <t>K1500 Yukon 4X4 Turbo Diesel</t>
  </si>
  <si>
    <t>K2500 4X4</t>
  </si>
  <si>
    <t>K2500 4X4 Diesel</t>
  </si>
  <si>
    <t>K2500 4X4 Turbo Diesel</t>
  </si>
  <si>
    <t>Lumina</t>
  </si>
  <si>
    <t>Lumina #</t>
  </si>
  <si>
    <t>Lumina Minivan</t>
  </si>
  <si>
    <t>Monte Carlo</t>
  </si>
  <si>
    <t>Monte Carlo #</t>
  </si>
  <si>
    <t>S10</t>
  </si>
  <si>
    <t>S10 #</t>
  </si>
  <si>
    <t>S10 4X4</t>
  </si>
  <si>
    <t>S10 4X4 #</t>
  </si>
  <si>
    <t>S10 Blazer #</t>
  </si>
  <si>
    <t>S10 Blazer 4X4 #</t>
  </si>
  <si>
    <t>Tracker Convertible</t>
  </si>
  <si>
    <t>Tracker Convertible 4X4</t>
  </si>
  <si>
    <t>Tracker Van 4X4</t>
  </si>
  <si>
    <t>Cirrus</t>
  </si>
  <si>
    <t>Concorde</t>
  </si>
  <si>
    <t>LeBaron Convertible</t>
  </si>
  <si>
    <t>LHS</t>
  </si>
  <si>
    <t>New Yorker</t>
  </si>
  <si>
    <t>Sebring</t>
  </si>
  <si>
    <t>Town &amp; Country</t>
  </si>
  <si>
    <t>Town &amp; Country AWD</t>
  </si>
  <si>
    <t>Avenger</t>
  </si>
  <si>
    <t>Caravan</t>
  </si>
  <si>
    <t>Caravan C/V</t>
  </si>
  <si>
    <t>Colt</t>
  </si>
  <si>
    <t>Dakota</t>
  </si>
  <si>
    <t>Dakota 4X4</t>
  </si>
  <si>
    <t>Grand Caravan</t>
  </si>
  <si>
    <t>Grand Caravan AWD</t>
  </si>
  <si>
    <t>Intrepid</t>
  </si>
  <si>
    <t>Intrepid FFV</t>
  </si>
  <si>
    <t>Neon</t>
  </si>
  <si>
    <t>Neon DOHC #</t>
  </si>
  <si>
    <t>Ram 1500</t>
  </si>
  <si>
    <t>Ram 1500 4X4</t>
  </si>
  <si>
    <t>Ram 1500 Van</t>
  </si>
  <si>
    <t>Ram 1500 Wagon</t>
  </si>
  <si>
    <t>Ram 2500</t>
  </si>
  <si>
    <t>Ram 2500 4X4</t>
  </si>
  <si>
    <t>Ram 2500 Van</t>
  </si>
  <si>
    <t>Ram 2500 Wagon</t>
  </si>
  <si>
    <t>Ram 3500 Van</t>
  </si>
  <si>
    <t>Ram 3500 Wagon</t>
  </si>
  <si>
    <t>Spirit</t>
  </si>
  <si>
    <t>Stealth R/T</t>
  </si>
  <si>
    <t>Stealth R/T Turbo AWD #</t>
  </si>
  <si>
    <t>Stratus</t>
  </si>
  <si>
    <t>Viper RT/10</t>
  </si>
  <si>
    <t>Summit</t>
  </si>
  <si>
    <t>Summit Wagon</t>
  </si>
  <si>
    <t>Summit AWD Wagon</t>
  </si>
  <si>
    <t>Talon ESi</t>
  </si>
  <si>
    <t>Talon TSi Turbo AWD #</t>
  </si>
  <si>
    <t>Vision</t>
  </si>
  <si>
    <t>348 Spider</t>
  </si>
  <si>
    <t>456 GT</t>
  </si>
  <si>
    <t>F355 Berlinetta/GTS</t>
  </si>
  <si>
    <t>Aerostar Van</t>
  </si>
  <si>
    <t>Aerostar Wagon</t>
  </si>
  <si>
    <t>Aerostar Wagon AWD</t>
  </si>
  <si>
    <t>Aspire</t>
  </si>
  <si>
    <t>Bronco 4X4</t>
  </si>
  <si>
    <t>Contour</t>
  </si>
  <si>
    <t>Crown Victoria</t>
  </si>
  <si>
    <t>E150 Van</t>
  </si>
  <si>
    <t>E150 Wagon</t>
  </si>
  <si>
    <t>E250 Van</t>
  </si>
  <si>
    <t>Escort</t>
  </si>
  <si>
    <t>Escort Wagon</t>
  </si>
  <si>
    <t>F-150</t>
  </si>
  <si>
    <t>F-150 4X4</t>
  </si>
  <si>
    <t>F-250</t>
  </si>
  <si>
    <t>Mustang</t>
  </si>
  <si>
    <t>Mustang #</t>
  </si>
  <si>
    <t>Probe</t>
  </si>
  <si>
    <t>Ranger</t>
  </si>
  <si>
    <t>Ranger 4X4</t>
  </si>
  <si>
    <t>Taurus</t>
  </si>
  <si>
    <t>Taurus SC #</t>
  </si>
  <si>
    <t>Taurus Wagon</t>
  </si>
  <si>
    <t>Thunderbird</t>
  </si>
  <si>
    <t>Thunderbird SC #</t>
  </si>
  <si>
    <t>Windstar Wagon</t>
  </si>
  <si>
    <t>Metro</t>
  </si>
  <si>
    <t>C1500 Sierra</t>
  </si>
  <si>
    <t>C1500 Sierra Diesel</t>
  </si>
  <si>
    <t>C1500 Sierra Turbo Diesel</t>
  </si>
  <si>
    <t>C2500 Sierra</t>
  </si>
  <si>
    <t>C2500 Sierra Diesel</t>
  </si>
  <si>
    <t>C2500 Sierra Turbo Diesel</t>
  </si>
  <si>
    <t>G15/G25 Vandura</t>
  </si>
  <si>
    <t>G15/G25 Vandura Diesel</t>
  </si>
  <si>
    <t>G25 Rally</t>
  </si>
  <si>
    <t>G35 Rally</t>
  </si>
  <si>
    <t>G35 Vandura</t>
  </si>
  <si>
    <t>K1500 Sierra 4X4</t>
  </si>
  <si>
    <t>K1500 Sierra 4X4 Diesel</t>
  </si>
  <si>
    <t>K1500 Sierra 4X4 Turbo Diesel</t>
  </si>
  <si>
    <t>K1500 Yukon 4X4</t>
  </si>
  <si>
    <t>K2500 Sierra 4X4</t>
  </si>
  <si>
    <t>K2500 Sierra 4X4 Diesel</t>
  </si>
  <si>
    <t>K2500 Sierra 4X4 Turbo Diesel</t>
  </si>
  <si>
    <t>S15 Jimmy #</t>
  </si>
  <si>
    <t>S15 Jimmy 4X4 #</t>
  </si>
  <si>
    <t>S15 Sonoma</t>
  </si>
  <si>
    <t>S15 Sonoma #</t>
  </si>
  <si>
    <t>S15 Sonoma 4X4</t>
  </si>
  <si>
    <t>S15 Sonoma 4X4 #</t>
  </si>
  <si>
    <t>Safari Cargo #</t>
  </si>
  <si>
    <t>Safari Cargo AWD #</t>
  </si>
  <si>
    <t>Safari Passenger #</t>
  </si>
  <si>
    <t>Safari Passenger AWD #</t>
  </si>
  <si>
    <t>Accord</t>
  </si>
  <si>
    <t>Accord EX-R</t>
  </si>
  <si>
    <t>Accord V6</t>
  </si>
  <si>
    <t>Accord Wagon</t>
  </si>
  <si>
    <t>Civic</t>
  </si>
  <si>
    <t>Civic Coupe Si</t>
  </si>
  <si>
    <t>del Sol Si</t>
  </si>
  <si>
    <t>del Sol VTEC</t>
  </si>
  <si>
    <t>Odyssey</t>
  </si>
  <si>
    <t>Prelude SR</t>
  </si>
  <si>
    <t>Prelude SR-V</t>
  </si>
  <si>
    <t>Accent</t>
  </si>
  <si>
    <t>Elantra</t>
  </si>
  <si>
    <t>Scoupe</t>
  </si>
  <si>
    <t>Scoupe Turbo</t>
  </si>
  <si>
    <t>Sonata</t>
  </si>
  <si>
    <t>G20</t>
  </si>
  <si>
    <t>J30</t>
  </si>
  <si>
    <t>Q45</t>
  </si>
  <si>
    <t>Rodeo 4X4</t>
  </si>
  <si>
    <t>Trooper 4X4</t>
  </si>
  <si>
    <t>Trooper 4X4 #</t>
  </si>
  <si>
    <t>Vanden Plas</t>
  </si>
  <si>
    <t>XJ6</t>
  </si>
  <si>
    <t>XJ12</t>
  </si>
  <si>
    <t>XJR #</t>
  </si>
  <si>
    <t>XJS</t>
  </si>
  <si>
    <t>XJS Convertible</t>
  </si>
  <si>
    <t>XJS V12</t>
  </si>
  <si>
    <t>XJS V12 Convertible</t>
  </si>
  <si>
    <t>Cherokee</t>
  </si>
  <si>
    <t>Cherokee 4X4</t>
  </si>
  <si>
    <t>Grand Cherokee</t>
  </si>
  <si>
    <t>Grand Cherokee 4X4</t>
  </si>
  <si>
    <t>YJ 4X4</t>
  </si>
  <si>
    <t>Discovery 4X4</t>
  </si>
  <si>
    <t>Range Rover County LWB 4X4</t>
  </si>
  <si>
    <t>ES 300</t>
  </si>
  <si>
    <t>GS 300</t>
  </si>
  <si>
    <t>LS 400</t>
  </si>
  <si>
    <t>SC 400</t>
  </si>
  <si>
    <t>Mark VIII #</t>
  </si>
  <si>
    <t>Town Car</t>
  </si>
  <si>
    <t>323 #</t>
  </si>
  <si>
    <t>323 S</t>
  </si>
  <si>
    <t>929 Serenia #</t>
  </si>
  <si>
    <t>B2300</t>
  </si>
  <si>
    <t>B2300 4X4</t>
  </si>
  <si>
    <t>B3000</t>
  </si>
  <si>
    <t>B3000 4X4</t>
  </si>
  <si>
    <t>Millenia</t>
  </si>
  <si>
    <t>MPV 2.6L</t>
  </si>
  <si>
    <t>MPV 3.0L</t>
  </si>
  <si>
    <t>MPV 3.0L 4X4</t>
  </si>
  <si>
    <t>MX-3 Precidia #</t>
  </si>
  <si>
    <t>MX-3 Precidia</t>
  </si>
  <si>
    <t>MX-5 Miata #</t>
  </si>
  <si>
    <t>MX-6</t>
  </si>
  <si>
    <t>Protege</t>
  </si>
  <si>
    <t>Protege #</t>
  </si>
  <si>
    <t>Protege S</t>
  </si>
  <si>
    <t>RX-7 Turbo</t>
  </si>
  <si>
    <t>C 220</t>
  </si>
  <si>
    <t>C 280</t>
  </si>
  <si>
    <t>E 300 Diesel</t>
  </si>
  <si>
    <t>E 320</t>
  </si>
  <si>
    <t>E 320 Convertible</t>
  </si>
  <si>
    <t>E 320 Coupe</t>
  </si>
  <si>
    <t>E 320 Wagon</t>
  </si>
  <si>
    <t>E 420</t>
  </si>
  <si>
    <t>S 320</t>
  </si>
  <si>
    <t>S 320 LWB</t>
  </si>
  <si>
    <t>S 350 Diesel</t>
  </si>
  <si>
    <t>S 420</t>
  </si>
  <si>
    <t>S 500</t>
  </si>
  <si>
    <t>S 500 Coupe</t>
  </si>
  <si>
    <t>S 600</t>
  </si>
  <si>
    <t>S 600 Coupe</t>
  </si>
  <si>
    <t>SL 320</t>
  </si>
  <si>
    <t>SL 500</t>
  </si>
  <si>
    <t>SL 600</t>
  </si>
  <si>
    <t>Cougar</t>
  </si>
  <si>
    <t>Grand Marquis</t>
  </si>
  <si>
    <t>Mystique</t>
  </si>
  <si>
    <t>Sable</t>
  </si>
  <si>
    <t>Sable Wagon</t>
  </si>
  <si>
    <t>Villager Wagon</t>
  </si>
  <si>
    <t>200SX</t>
  </si>
  <si>
    <t>240SX</t>
  </si>
  <si>
    <t>300ZX</t>
  </si>
  <si>
    <t>300ZX 2x2</t>
  </si>
  <si>
    <t>300ZX Turbo</t>
  </si>
  <si>
    <t>Altima</t>
  </si>
  <si>
    <t>Axxess</t>
  </si>
  <si>
    <t>Maxima</t>
  </si>
  <si>
    <t>Pathfinder 4X4</t>
  </si>
  <si>
    <t>Quest</t>
  </si>
  <si>
    <t>Sentra</t>
  </si>
  <si>
    <t>Sentra Coupe</t>
  </si>
  <si>
    <t>Truck</t>
  </si>
  <si>
    <t>Truck 4X4</t>
  </si>
  <si>
    <t>Achieva</t>
  </si>
  <si>
    <t>Aurora</t>
  </si>
  <si>
    <t>Cutlass Ciera</t>
  </si>
  <si>
    <t>Cutlass Cruiser Wagon</t>
  </si>
  <si>
    <t>Cutlass Supreme</t>
  </si>
  <si>
    <t>Cutlass Supreme #</t>
  </si>
  <si>
    <t>Eighty-Eight</t>
  </si>
  <si>
    <t>Eighty-Eight #</t>
  </si>
  <si>
    <t>Ninety-Eight</t>
  </si>
  <si>
    <t>Ninety-Eight #</t>
  </si>
  <si>
    <t>Acclaim</t>
  </si>
  <si>
    <t>Grand Voyager</t>
  </si>
  <si>
    <t>Grand Voyager AWD</t>
  </si>
  <si>
    <t>Voyager</t>
  </si>
  <si>
    <t>Bonneville</t>
  </si>
  <si>
    <t>Bonneville #</t>
  </si>
  <si>
    <t>Firebird</t>
  </si>
  <si>
    <t>Firefly</t>
  </si>
  <si>
    <t>Formula</t>
  </si>
  <si>
    <t>Grand Am</t>
  </si>
  <si>
    <t>Grand Prix</t>
  </si>
  <si>
    <t>Grand Prix #</t>
  </si>
  <si>
    <t>Sunfire</t>
  </si>
  <si>
    <t>Sunrunner Convertible</t>
  </si>
  <si>
    <t>Sunrunner Convertible 4X4</t>
  </si>
  <si>
    <t>Sunrunner Van 4X4</t>
  </si>
  <si>
    <t>Trans Sport</t>
  </si>
  <si>
    <t>911 Carrera</t>
  </si>
  <si>
    <t>911 Carrera 4</t>
  </si>
  <si>
    <t>928 GTS</t>
  </si>
  <si>
    <t>Corniche IV</t>
  </si>
  <si>
    <t>Corniche S Turbo</t>
  </si>
  <si>
    <t>Flying Spur Turbo</t>
  </si>
  <si>
    <t>Silver Spirit III</t>
  </si>
  <si>
    <t>Silver Spur III</t>
  </si>
  <si>
    <t>Silver Spur III Limousine</t>
  </si>
  <si>
    <t>900 S</t>
  </si>
  <si>
    <t>900 S Turbo</t>
  </si>
  <si>
    <t>900 S Convertible</t>
  </si>
  <si>
    <t>900 SE</t>
  </si>
  <si>
    <t>900 SE Turbo</t>
  </si>
  <si>
    <t>900 SE Convertible</t>
  </si>
  <si>
    <t>900 SE Convertible Turbo</t>
  </si>
  <si>
    <t>9000 Aero Turbo</t>
  </si>
  <si>
    <t>9000 CDE</t>
  </si>
  <si>
    <t>9000 CS Turbo</t>
  </si>
  <si>
    <t>9000 CSE</t>
  </si>
  <si>
    <t>9000 CSE Turbo</t>
  </si>
  <si>
    <t>SC</t>
  </si>
  <si>
    <t>SC #</t>
  </si>
  <si>
    <t>SL</t>
  </si>
  <si>
    <t>SL #</t>
  </si>
  <si>
    <t>SW Wagon</t>
  </si>
  <si>
    <t>SW Wagon #</t>
  </si>
  <si>
    <t>Impreza</t>
  </si>
  <si>
    <t>Impreza 4X4</t>
  </si>
  <si>
    <t>Impreza 4X4 Wagon</t>
  </si>
  <si>
    <t>Legacy</t>
  </si>
  <si>
    <t>Legacy 4X4</t>
  </si>
  <si>
    <t>Legacy Wagon</t>
  </si>
  <si>
    <t>Legacy 4X4 Wagon</t>
  </si>
  <si>
    <t>Justy 4X4</t>
  </si>
  <si>
    <t>Sidekick JA</t>
  </si>
  <si>
    <t>Sidekick 4X4</t>
  </si>
  <si>
    <t>Sidekick 4-Door 4X4</t>
  </si>
  <si>
    <t>Swift Hatchback</t>
  </si>
  <si>
    <t>4-Runner 4X4</t>
  </si>
  <si>
    <t>Avalon</t>
  </si>
  <si>
    <t>Camry</t>
  </si>
  <si>
    <t>Camry Wagon</t>
  </si>
  <si>
    <t>Celica</t>
  </si>
  <si>
    <t>Corolla</t>
  </si>
  <si>
    <t>Corolla Wagon</t>
  </si>
  <si>
    <t>Paseo</t>
  </si>
  <si>
    <t>Previa</t>
  </si>
  <si>
    <t>Previa 4X4</t>
  </si>
  <si>
    <t>Supra</t>
  </si>
  <si>
    <t>T100</t>
  </si>
  <si>
    <t>T100 4X4</t>
  </si>
  <si>
    <t>Tercel</t>
  </si>
  <si>
    <t>Cabrio</t>
  </si>
  <si>
    <t>Corrado VR6</t>
  </si>
  <si>
    <t>Eurovan Diesel</t>
  </si>
  <si>
    <t>Eurovan</t>
  </si>
  <si>
    <t>Eurovan CV Diesel</t>
  </si>
  <si>
    <t>Eurovan CV</t>
  </si>
  <si>
    <t>Golf CL</t>
  </si>
  <si>
    <t>Golf GL Diesel</t>
  </si>
  <si>
    <t>Golf GL</t>
  </si>
  <si>
    <t>Golf GTI</t>
  </si>
  <si>
    <t>GTI VR6</t>
  </si>
  <si>
    <t>Jetta CL</t>
  </si>
  <si>
    <t>Jetta GL Diesel</t>
  </si>
  <si>
    <t>Jetta GL</t>
  </si>
  <si>
    <t>Jetta GLX</t>
  </si>
  <si>
    <t>Passat Diesel</t>
  </si>
  <si>
    <t>Passat Diesel Wagon</t>
  </si>
  <si>
    <t>Passat GLX</t>
  </si>
  <si>
    <t>Passat GLX Wagon</t>
  </si>
  <si>
    <t>Transporter Panel Diesel</t>
  </si>
  <si>
    <t>Transporter Panel</t>
  </si>
  <si>
    <t>850 Turbo</t>
  </si>
  <si>
    <t>850 Turbo Wagon</t>
  </si>
  <si>
    <t>850 2-valve</t>
  </si>
  <si>
    <t>850 2-valve Wagon</t>
  </si>
  <si>
    <t>850 4-valve</t>
  </si>
  <si>
    <t>850 4-valve Wagon</t>
  </si>
  <si>
    <t>940 Wagon</t>
  </si>
  <si>
    <t>940 Turbo</t>
  </si>
  <si>
    <t>940 Turbo Wagon</t>
  </si>
  <si>
    <t>960 Wagon</t>
  </si>
  <si>
    <t>2.5TL</t>
  </si>
  <si>
    <t>3.2TL</t>
  </si>
  <si>
    <t>3.5RL</t>
  </si>
  <si>
    <t>A4</t>
  </si>
  <si>
    <t>A4 quattro</t>
  </si>
  <si>
    <t>Azure Turbo</t>
  </si>
  <si>
    <t>318i/is</t>
  </si>
  <si>
    <t>328i/is</t>
  </si>
  <si>
    <t>328i Convertible</t>
  </si>
  <si>
    <t>840cl</t>
  </si>
  <si>
    <t>850cl</t>
  </si>
  <si>
    <t>Z3</t>
  </si>
  <si>
    <t>Riviera</t>
  </si>
  <si>
    <t>Astro Cargo</t>
  </si>
  <si>
    <t>Astro Passenger</t>
  </si>
  <si>
    <t>Astro Passenger AWD</t>
  </si>
  <si>
    <t>C1500 Pickup</t>
  </si>
  <si>
    <t>C1500 Pickup Turbo Diesel</t>
  </si>
  <si>
    <t>C1500 Tahoe</t>
  </si>
  <si>
    <t>C2500 Pickup</t>
  </si>
  <si>
    <t>C2500 Pickup Turbo Diesel</t>
  </si>
  <si>
    <t>Caprice #</t>
  </si>
  <si>
    <t>G15/G25 Chevy Express</t>
  </si>
  <si>
    <t>G15/G25 Chevy Van</t>
  </si>
  <si>
    <t>K1500 Pickup 4X4</t>
  </si>
  <si>
    <t>K1500 Pickup 4X4 Turbo Diesel</t>
  </si>
  <si>
    <t>S10 Blazer</t>
  </si>
  <si>
    <t>S10 Blazer 4X4</t>
  </si>
  <si>
    <t>S10 Blazer AWD</t>
  </si>
  <si>
    <t>S10 Pickup</t>
  </si>
  <si>
    <t>S10 Pickup 4X4</t>
  </si>
  <si>
    <t>Intrepid ES</t>
  </si>
  <si>
    <t>Intrepid ES (Autostick)</t>
  </si>
  <si>
    <t>Sebring Convertible</t>
  </si>
  <si>
    <t>Stratus ES</t>
  </si>
  <si>
    <t>Stratus ES (Autostick)</t>
  </si>
  <si>
    <t>Viper GTS</t>
  </si>
  <si>
    <t>Vision ESi</t>
  </si>
  <si>
    <t>Vision TSi (Autostick)</t>
  </si>
  <si>
    <t>E150 Club Wagon</t>
  </si>
  <si>
    <t>Explorer</t>
  </si>
  <si>
    <t>Explorer 4X4</t>
  </si>
  <si>
    <t>Mustang Cobra #</t>
  </si>
  <si>
    <t>Taurus #</t>
  </si>
  <si>
    <t>Taurus FFV</t>
  </si>
  <si>
    <t>Taurus SHO #</t>
  </si>
  <si>
    <t>Taurus Wagon #</t>
  </si>
  <si>
    <t>Windstar Van</t>
  </si>
  <si>
    <t>C1500 Yukon</t>
  </si>
  <si>
    <t>G15/G25 Savana Cargo</t>
  </si>
  <si>
    <t>G15/G25 Savana Passenger</t>
  </si>
  <si>
    <t>S15 Jimmy</t>
  </si>
  <si>
    <t>S15 Jimmy 4X4</t>
  </si>
  <si>
    <t>S15 Jimmy AWD</t>
  </si>
  <si>
    <t>Safari Cargo</t>
  </si>
  <si>
    <t>Safari Cargo AWD</t>
  </si>
  <si>
    <t>Safari Passenger</t>
  </si>
  <si>
    <t>Safari Passenger AWD</t>
  </si>
  <si>
    <t>Civic Si</t>
  </si>
  <si>
    <t>del Sol</t>
  </si>
  <si>
    <t>Prelude</t>
  </si>
  <si>
    <t>Accent Sedan</t>
  </si>
  <si>
    <t>Accent Sporty</t>
  </si>
  <si>
    <t>I30</t>
  </si>
  <si>
    <t>Range Rover 4.0 4X4</t>
  </si>
  <si>
    <t>Range Rover 4.6 4X4</t>
  </si>
  <si>
    <t>Continental #</t>
  </si>
  <si>
    <t>B4000</t>
  </si>
  <si>
    <t>B4000 4X4</t>
  </si>
  <si>
    <t>MPV</t>
  </si>
  <si>
    <t>MPV 4X4</t>
  </si>
  <si>
    <t>MX-5 Miata</t>
  </si>
  <si>
    <t>C 36 AMG</t>
  </si>
  <si>
    <t>S 320V</t>
  </si>
  <si>
    <t>S 320W</t>
  </si>
  <si>
    <t>Sable #</t>
  </si>
  <si>
    <t>Sable Wagon #</t>
  </si>
  <si>
    <t>Sentra/200SX</t>
  </si>
  <si>
    <t>Ciera SL</t>
  </si>
  <si>
    <t>Ciera SL Wagon</t>
  </si>
  <si>
    <t>Breeze</t>
  </si>
  <si>
    <t>911 Turbo</t>
  </si>
  <si>
    <t>Silver Spur</t>
  </si>
  <si>
    <t>SC Coupe</t>
  </si>
  <si>
    <t>SC Coupe #</t>
  </si>
  <si>
    <t>Impreza AWD</t>
  </si>
  <si>
    <t>Impreza AWD Wagon</t>
  </si>
  <si>
    <t>Legacy AWD</t>
  </si>
  <si>
    <t>Legacy AWD Wagon</t>
  </si>
  <si>
    <t>SVX AWD</t>
  </si>
  <si>
    <t>Esteem</t>
  </si>
  <si>
    <t>Sidekick 2-Door</t>
  </si>
  <si>
    <t>Sidekick 4-Door</t>
  </si>
  <si>
    <t>Sidekick Sport</t>
  </si>
  <si>
    <t>Swift</t>
  </si>
  <si>
    <t>X-90</t>
  </si>
  <si>
    <t>4Runner 4X4</t>
  </si>
  <si>
    <t>Tacoma</t>
  </si>
  <si>
    <t>Tacoma 4X4</t>
  </si>
  <si>
    <t>Eurovan Camper</t>
  </si>
  <si>
    <t>Golf TDI Diesel</t>
  </si>
  <si>
    <t>Jetta TDI Diesel</t>
  </si>
  <si>
    <t>Passat TDI Diesel</t>
  </si>
  <si>
    <t>Passat GLS</t>
  </si>
  <si>
    <t>Passat TDI Diesel Wagon</t>
  </si>
  <si>
    <t>Transporter Panel Van Diesel</t>
  </si>
  <si>
    <t>Transporter Panel Van</t>
  </si>
  <si>
    <t>1.6EL</t>
  </si>
  <si>
    <t>2.2CL</t>
  </si>
  <si>
    <t>3.0CL</t>
  </si>
  <si>
    <t>A8 quattro</t>
  </si>
  <si>
    <t>Azure</t>
  </si>
  <si>
    <t>Brooklands Turbo</t>
  </si>
  <si>
    <t>Continental R</t>
  </si>
  <si>
    <t>Continental T</t>
  </si>
  <si>
    <t>528i</t>
  </si>
  <si>
    <t>M3</t>
  </si>
  <si>
    <t>Century #</t>
  </si>
  <si>
    <t>Regal #</t>
  </si>
  <si>
    <t>Catera</t>
  </si>
  <si>
    <t>Astro AWD Cargo</t>
  </si>
  <si>
    <t>Astro AWD Passenger</t>
  </si>
  <si>
    <t>Malibu</t>
  </si>
  <si>
    <t>Venture</t>
  </si>
  <si>
    <t>Intrepid (Autostick)</t>
  </si>
  <si>
    <t>Jeep TJ 4X4</t>
  </si>
  <si>
    <t>Sebring Convertible (Autostick)</t>
  </si>
  <si>
    <t>Talon</t>
  </si>
  <si>
    <t>Talon TSi Turbo AWD</t>
  </si>
  <si>
    <t>F355</t>
  </si>
  <si>
    <t>Expedition</t>
  </si>
  <si>
    <t>Expedition 4X4</t>
  </si>
  <si>
    <t>F-250 4X4</t>
  </si>
  <si>
    <t>Probe #</t>
  </si>
  <si>
    <t>Safari AWD Cargo</t>
  </si>
  <si>
    <t>Safari AWD Passenger</t>
  </si>
  <si>
    <t>CR-V</t>
  </si>
  <si>
    <t>Elantra Wagon</t>
  </si>
  <si>
    <t>Sonata 2.0L</t>
  </si>
  <si>
    <t>Sonata 3.0L</t>
  </si>
  <si>
    <t>Tiburon 1.8L</t>
  </si>
  <si>
    <t>Tiburon 2.0L</t>
  </si>
  <si>
    <t>QX4 4X4</t>
  </si>
  <si>
    <t>Hombre Pickup</t>
  </si>
  <si>
    <t>XK8</t>
  </si>
  <si>
    <t>XK8 Convertible</t>
  </si>
  <si>
    <t>TJ 4X4</t>
  </si>
  <si>
    <t>Range Rover 4X4</t>
  </si>
  <si>
    <t>LX 450</t>
  </si>
  <si>
    <t>Millenia #</t>
  </si>
  <si>
    <t>MX-5/Miata</t>
  </si>
  <si>
    <t>C 230</t>
  </si>
  <si>
    <t>S 500V</t>
  </si>
  <si>
    <t>S 600V</t>
  </si>
  <si>
    <t>Prowler (Autostick)</t>
  </si>
  <si>
    <t>Boxster</t>
  </si>
  <si>
    <t>900 Turbo</t>
  </si>
  <si>
    <t>9000 Turbo</t>
  </si>
  <si>
    <t>Legacy/Outback 4X4 Wagon</t>
  </si>
  <si>
    <t>SVX 4X4</t>
  </si>
  <si>
    <t>Previa #</t>
  </si>
  <si>
    <t>Previa 4X4 #</t>
  </si>
  <si>
    <t>RAV4</t>
  </si>
  <si>
    <t>RAV4 4X4</t>
  </si>
  <si>
    <t>Supra Turbo</t>
  </si>
  <si>
    <t>Golf Diesel</t>
  </si>
  <si>
    <t>Golf/GTI</t>
  </si>
  <si>
    <t>Jetta Diesel</t>
  </si>
  <si>
    <t>Jetta</t>
  </si>
  <si>
    <t>Passat Wagon TDI Diesel</t>
  </si>
  <si>
    <t>Passat Wagon GLX</t>
  </si>
  <si>
    <t>850 T5</t>
  </si>
  <si>
    <t>850 T5 Wagon</t>
  </si>
  <si>
    <t>850 Wagon</t>
  </si>
  <si>
    <t>850 GLT</t>
  </si>
  <si>
    <t>850 GLT Wagon</t>
  </si>
  <si>
    <t>850 AWD Wagon</t>
  </si>
  <si>
    <t>2.3CL</t>
  </si>
  <si>
    <t>Brooklands R</t>
  </si>
  <si>
    <t>Continental SC</t>
  </si>
  <si>
    <t>Turbo RT</t>
  </si>
  <si>
    <t>323i Convertible</t>
  </si>
  <si>
    <t>323is</t>
  </si>
  <si>
    <t>M Roadster</t>
  </si>
  <si>
    <t>Z3 Roadster</t>
  </si>
  <si>
    <t>Durango 4X4</t>
  </si>
  <si>
    <t>Neon #</t>
  </si>
  <si>
    <t>Stratus (Autostick)</t>
  </si>
  <si>
    <t>456 GT/GTA</t>
  </si>
  <si>
    <t>550 Maranello</t>
  </si>
  <si>
    <t>F355/355 F1</t>
  </si>
  <si>
    <t>E250 Van NGV</t>
  </si>
  <si>
    <t>Escort ZX2</t>
  </si>
  <si>
    <t>Explorer SOHC</t>
  </si>
  <si>
    <t>Explorer 4X4 SOHC</t>
  </si>
  <si>
    <t>F-250 NGV</t>
  </si>
  <si>
    <t>Navigator</t>
  </si>
  <si>
    <t>Navigator 4X4</t>
  </si>
  <si>
    <t>Accord EX</t>
  </si>
  <si>
    <t>Tiburon</t>
  </si>
  <si>
    <t>Hombre</t>
  </si>
  <si>
    <t>Hombre 4X4</t>
  </si>
  <si>
    <t>XJ8</t>
  </si>
  <si>
    <t>XJ8 VDP</t>
  </si>
  <si>
    <t>GS 400</t>
  </si>
  <si>
    <t>B2500</t>
  </si>
  <si>
    <t>CL 500</t>
  </si>
  <si>
    <t>CL 600</t>
  </si>
  <si>
    <t>CLK 320</t>
  </si>
  <si>
    <t>E 300 Turbodiesel</t>
  </si>
  <si>
    <t>E 320 4X4</t>
  </si>
  <si>
    <t>E 320 4X4 Wagon</t>
  </si>
  <si>
    <t>ML 320</t>
  </si>
  <si>
    <t>SLK 230 #</t>
  </si>
  <si>
    <t>Villager</t>
  </si>
  <si>
    <t>Frontier</t>
  </si>
  <si>
    <t>Frontier 4X4</t>
  </si>
  <si>
    <t>Intrigue</t>
  </si>
  <si>
    <t>Silhouette</t>
  </si>
  <si>
    <t>Prowler</t>
  </si>
  <si>
    <t>Forester AWD</t>
  </si>
  <si>
    <t>Legacy/Outback AWD Wagon</t>
  </si>
  <si>
    <t>Esteem Wagon</t>
  </si>
  <si>
    <t>RAV4 Soft Top</t>
  </si>
  <si>
    <t>RAV4 4X4 Soft Top</t>
  </si>
  <si>
    <t>Sienna</t>
  </si>
  <si>
    <t>Passat</t>
  </si>
  <si>
    <t>Passat Syncro</t>
  </si>
  <si>
    <t>Passat Wagon</t>
  </si>
  <si>
    <t>Passat Wagon Syncro</t>
  </si>
  <si>
    <t>S70 T5</t>
  </si>
  <si>
    <t>S70</t>
  </si>
  <si>
    <t>S70 GLT</t>
  </si>
  <si>
    <t>S90</t>
  </si>
  <si>
    <t>V70 T5 Wagon</t>
  </si>
  <si>
    <t>V70 Wagon</t>
  </si>
  <si>
    <t>V70 GLT Wagon</t>
  </si>
  <si>
    <t>V70 AWD Wagon</t>
  </si>
  <si>
    <t>V70R AWD Wagon</t>
  </si>
  <si>
    <t>V90 Wagon</t>
  </si>
  <si>
    <t>Integra GS-R/Type R</t>
  </si>
  <si>
    <t>A6 Avant quattro</t>
  </si>
  <si>
    <t>A8</t>
  </si>
  <si>
    <t>TT Coupe</t>
  </si>
  <si>
    <t>Arnage Turbo</t>
  </si>
  <si>
    <t>Continental SC Turbo</t>
  </si>
  <si>
    <t>Continental T Turbo</t>
  </si>
  <si>
    <t>318is</t>
  </si>
  <si>
    <t>323i</t>
  </si>
  <si>
    <t>328i</t>
  </si>
  <si>
    <t>328is</t>
  </si>
  <si>
    <t>528i Touring</t>
  </si>
  <si>
    <t>540i Touring</t>
  </si>
  <si>
    <t>M Coupe</t>
  </si>
  <si>
    <t>M5</t>
  </si>
  <si>
    <t>X5</t>
  </si>
  <si>
    <t>Z8</t>
  </si>
  <si>
    <t>Escalade</t>
  </si>
  <si>
    <t>Tracker 4X4</t>
  </si>
  <si>
    <t>300 M</t>
  </si>
  <si>
    <t>Lanos</t>
  </si>
  <si>
    <t>Leganza</t>
  </si>
  <si>
    <t>Nubira</t>
  </si>
  <si>
    <t>Durango</t>
  </si>
  <si>
    <t>Ram 2500 Van CNG</t>
  </si>
  <si>
    <t>Ram 2500 Wagon CNG</t>
  </si>
  <si>
    <t>Explorer SOHC 4X4</t>
  </si>
  <si>
    <t>Ranger FFV</t>
  </si>
  <si>
    <t>Ranger 4X4 FFV</t>
  </si>
  <si>
    <t>Accord DX</t>
  </si>
  <si>
    <t>Accord EX/LX</t>
  </si>
  <si>
    <t>Civic CX/DX/EX/LX</t>
  </si>
  <si>
    <t>Civic Coupe SiR</t>
  </si>
  <si>
    <t>Sonata 2.4L</t>
  </si>
  <si>
    <t>Sonata 2.5L</t>
  </si>
  <si>
    <t>XJ8 L</t>
  </si>
  <si>
    <t>Discovery Series II 4X4</t>
  </si>
  <si>
    <t>LX 470</t>
  </si>
  <si>
    <t>RX 300</t>
  </si>
  <si>
    <t>RX 300 4X4</t>
  </si>
  <si>
    <t>Navigator DOHC 4X4</t>
  </si>
  <si>
    <t>C 230 Kompressor #</t>
  </si>
  <si>
    <t>C 43 AMG</t>
  </si>
  <si>
    <t>CLK 320 Cabriolet</t>
  </si>
  <si>
    <t>CLK 430</t>
  </si>
  <si>
    <t>E 320 4MATIC</t>
  </si>
  <si>
    <t>E 320 4MATIC Wagon</t>
  </si>
  <si>
    <t>E 430</t>
  </si>
  <si>
    <t>ML 430</t>
  </si>
  <si>
    <t>SLK 230 Kompressor #</t>
  </si>
  <si>
    <t>Frontier V6 4X4</t>
  </si>
  <si>
    <t>Alero</t>
  </si>
  <si>
    <t>Silver Seraph</t>
  </si>
  <si>
    <t>9-3 Turbo</t>
  </si>
  <si>
    <t>9-5 Turbo</t>
  </si>
  <si>
    <t>Grand Vitara</t>
  </si>
  <si>
    <t>Vitara 2-Door</t>
  </si>
  <si>
    <t>Vitara 4-Door</t>
  </si>
  <si>
    <t>Camry Solara</t>
  </si>
  <si>
    <t>RAV4 Soft Top 4X4</t>
  </si>
  <si>
    <t>Golf</t>
  </si>
  <si>
    <t>New Beetle</t>
  </si>
  <si>
    <t>New Beetle TDI Diesel</t>
  </si>
  <si>
    <t>New Golf TDI Diesel</t>
  </si>
  <si>
    <t>New Golf</t>
  </si>
  <si>
    <t>New GTI</t>
  </si>
  <si>
    <t>New Jetta TDI Diesel</t>
  </si>
  <si>
    <t>New Jetta</t>
  </si>
  <si>
    <t>C70 Turbo</t>
  </si>
  <si>
    <t>C70 Convertible Turbo</t>
  </si>
  <si>
    <t>S70 T5 Turbo</t>
  </si>
  <si>
    <t>S70 GLT Turbo</t>
  </si>
  <si>
    <t>S70 AWD Turbo</t>
  </si>
  <si>
    <t>S70R AWD Turbo</t>
  </si>
  <si>
    <t>S80 T6 Turbo</t>
  </si>
  <si>
    <t>S80</t>
  </si>
  <si>
    <t>V70 T5 Turbo Wagon</t>
  </si>
  <si>
    <t>V70 GLT Turbo Wagon</t>
  </si>
  <si>
    <t>V70 AWD Turbo Wagon</t>
  </si>
  <si>
    <t>V70R AWD Turbo Wagon</t>
  </si>
  <si>
    <t>S4 quattro</t>
  </si>
  <si>
    <t>TT Coupe quattro</t>
  </si>
  <si>
    <t>TT Coupe quattro (Supercharged)</t>
  </si>
  <si>
    <t>TT Roadster</t>
  </si>
  <si>
    <t>TT Roadster quattro (Supercharged)</t>
  </si>
  <si>
    <t>323 Convertible</t>
  </si>
  <si>
    <t>323Ci</t>
  </si>
  <si>
    <t>328Ci</t>
  </si>
  <si>
    <t>Escalade 4X4</t>
  </si>
  <si>
    <t>Blazer</t>
  </si>
  <si>
    <t>Blazer 4X4</t>
  </si>
  <si>
    <t>C1500 Silverado</t>
  </si>
  <si>
    <t>C2500 Silverado</t>
  </si>
  <si>
    <t>Cavalier Bi-Fuel</t>
  </si>
  <si>
    <t>G1500/G2500 Chevy Express</t>
  </si>
  <si>
    <t>Impala</t>
  </si>
  <si>
    <t>K1500 Silverado 4X4</t>
  </si>
  <si>
    <t>Lumina/Monte Carlo</t>
  </si>
  <si>
    <t>New C1500 Suburban</t>
  </si>
  <si>
    <t>New C1500 Tahoe</t>
  </si>
  <si>
    <t>New K1500 Tahoe 4X4</t>
  </si>
  <si>
    <t>300M</t>
  </si>
  <si>
    <t>PT Cruiser</t>
  </si>
  <si>
    <t>Nubira Wagon</t>
  </si>
  <si>
    <t>Caravan FFV</t>
  </si>
  <si>
    <t>Durango 5.9 R/T 4X4</t>
  </si>
  <si>
    <t>Grand Caravan FFV</t>
  </si>
  <si>
    <t>Ram 2500 Van NGV</t>
  </si>
  <si>
    <t>360 Modena F1</t>
  </si>
  <si>
    <t>456 MGT</t>
  </si>
  <si>
    <t>456 MGTA</t>
  </si>
  <si>
    <t>Explorer OHV</t>
  </si>
  <si>
    <t>Explorer OHV 4X4</t>
  </si>
  <si>
    <t>Focus Sedan</t>
  </si>
  <si>
    <t>Focus Wagon</t>
  </si>
  <si>
    <t>C1500 Yukon XL</t>
  </si>
  <si>
    <t>G1500/G2500 Savana Passenger</t>
  </si>
  <si>
    <t>Jimmy</t>
  </si>
  <si>
    <t>Jimmy 4X4</t>
  </si>
  <si>
    <t>Sonoma</t>
  </si>
  <si>
    <t>Sonoma 4X4</t>
  </si>
  <si>
    <t>Civic CX/DX/LX/EX</t>
  </si>
  <si>
    <t>Insight</t>
  </si>
  <si>
    <t>S2000</t>
  </si>
  <si>
    <t>S-TYPE V6</t>
  </si>
  <si>
    <t>S-TYPE V8</t>
  </si>
  <si>
    <t>Vanden Plas Supercharged</t>
  </si>
  <si>
    <t>XKR #</t>
  </si>
  <si>
    <t>XKR Convertible #</t>
  </si>
  <si>
    <t>Sephia</t>
  </si>
  <si>
    <t>Sportage 4X4</t>
  </si>
  <si>
    <t>LS</t>
  </si>
  <si>
    <t>CLK 430 Cabriolet</t>
  </si>
  <si>
    <t>E 430 4MATIC</t>
  </si>
  <si>
    <t>E 55 AMG</t>
  </si>
  <si>
    <t>S 430</t>
  </si>
  <si>
    <t>Frontier V6</t>
  </si>
  <si>
    <t>Xterra</t>
  </si>
  <si>
    <t>Xterra V6</t>
  </si>
  <si>
    <t>Xterra V6 4X4</t>
  </si>
  <si>
    <t>Firebird/Formula</t>
  </si>
  <si>
    <t>Montana</t>
  </si>
  <si>
    <t>Boxster S</t>
  </si>
  <si>
    <t>9-5 Wagon Turbo</t>
  </si>
  <si>
    <t>LW Wagon</t>
  </si>
  <si>
    <t>Impreza Wagon AWD</t>
  </si>
  <si>
    <t>Legacy Wagon AWD</t>
  </si>
  <si>
    <t>Grand Vitara 4X4</t>
  </si>
  <si>
    <t>Vitara 4X4</t>
  </si>
  <si>
    <t>Vitara Convertible 4X4</t>
  </si>
  <si>
    <t>Camry Solara Convertible</t>
  </si>
  <si>
    <t>Echo</t>
  </si>
  <si>
    <t>Tundra</t>
  </si>
  <si>
    <t>Tundra 4X4</t>
  </si>
  <si>
    <t>GTI</t>
  </si>
  <si>
    <t>S80 2.9</t>
  </si>
  <si>
    <t>S80 T-6</t>
  </si>
  <si>
    <t>V70 T5 Turbo</t>
  </si>
  <si>
    <t>V70</t>
  </si>
  <si>
    <t>V70 GLT Turbo</t>
  </si>
  <si>
    <t>V70 AWD Turbo</t>
  </si>
  <si>
    <t>V70R AWD Turbo</t>
  </si>
  <si>
    <t>1.7EL</t>
  </si>
  <si>
    <t>3.2CL</t>
  </si>
  <si>
    <t>MDX</t>
  </si>
  <si>
    <t>A8 L</t>
  </si>
  <si>
    <t>allroad</t>
  </si>
  <si>
    <t>S8 quattro #</t>
  </si>
  <si>
    <t>TT Coupe quattro #</t>
  </si>
  <si>
    <t>TT Roadster quattro #</t>
  </si>
  <si>
    <t>325Ci</t>
  </si>
  <si>
    <t>325Ci Convertible</t>
  </si>
  <si>
    <t>325i</t>
  </si>
  <si>
    <t>325xi</t>
  </si>
  <si>
    <t>330Ci</t>
  </si>
  <si>
    <t>330Ci Convertible</t>
  </si>
  <si>
    <t>330i</t>
  </si>
  <si>
    <t>330xi</t>
  </si>
  <si>
    <t>525i Sport Wagon</t>
  </si>
  <si>
    <t>540i Sport Wagon</t>
  </si>
  <si>
    <t>M3 Convertible</t>
  </si>
  <si>
    <t>Astro Cargo AWD</t>
  </si>
  <si>
    <t>S10 FFV</t>
  </si>
  <si>
    <t>Neon R/T #</t>
  </si>
  <si>
    <t>Sebring Coupe</t>
  </si>
  <si>
    <t>Durango 5.9 R/T 4X4 #</t>
  </si>
  <si>
    <t>Crown Victoria NGV</t>
  </si>
  <si>
    <t>Escape</t>
  </si>
  <si>
    <t>Escape 4X4</t>
  </si>
  <si>
    <t>Explorer Sport 4X4</t>
  </si>
  <si>
    <t>Explorer Sport Trac</t>
  </si>
  <si>
    <t>Explorer Sport Trac 4X4</t>
  </si>
  <si>
    <t>Focus</t>
  </si>
  <si>
    <t>Focus #</t>
  </si>
  <si>
    <t>Focus Wagon #</t>
  </si>
  <si>
    <t>K1500 Yukon XL 4X4</t>
  </si>
  <si>
    <t>Sonoma FFV</t>
  </si>
  <si>
    <t>Civic Si/Si-G</t>
  </si>
  <si>
    <t>Santa Fe</t>
  </si>
  <si>
    <t>XG300</t>
  </si>
  <si>
    <t>S-TYPE</t>
  </si>
  <si>
    <t>Liberty 4X4</t>
  </si>
  <si>
    <t>Magentis</t>
  </si>
  <si>
    <t>Rio</t>
  </si>
  <si>
    <t>Sportage</t>
  </si>
  <si>
    <t>GS 430</t>
  </si>
  <si>
    <t>IS 300</t>
  </si>
  <si>
    <t>LS 430</t>
  </si>
  <si>
    <t>Tribute</t>
  </si>
  <si>
    <t>Tribute 4X4</t>
  </si>
  <si>
    <t>C 240</t>
  </si>
  <si>
    <t>C 320</t>
  </si>
  <si>
    <t>CLK 55 AMG</t>
  </si>
  <si>
    <t>ML 320 4X4</t>
  </si>
  <si>
    <t>ML 430 4X4</t>
  </si>
  <si>
    <t>ML 55 AMG</t>
  </si>
  <si>
    <t>SLK 230 Kompressor</t>
  </si>
  <si>
    <t>SLK 320</t>
  </si>
  <si>
    <t>Frontier V6 #</t>
  </si>
  <si>
    <t>Frontier V6 4X4 #</t>
  </si>
  <si>
    <t>Aztek</t>
  </si>
  <si>
    <t>Aztek AWD</t>
  </si>
  <si>
    <t>9-3 Turbo #</t>
  </si>
  <si>
    <t>9-5 Turbo #</t>
  </si>
  <si>
    <t>9-5 Wagon Turbo #</t>
  </si>
  <si>
    <t>L100/200</t>
  </si>
  <si>
    <t>L300</t>
  </si>
  <si>
    <t>LW200 Wagon</t>
  </si>
  <si>
    <t>LW300 Wagon</t>
  </si>
  <si>
    <t>Vitara 4-Door 4X4</t>
  </si>
  <si>
    <t>XL-7 4X4</t>
  </si>
  <si>
    <t>Prius</t>
  </si>
  <si>
    <t>Sequoia 4X4</t>
  </si>
  <si>
    <t>Passat 4MOTION</t>
  </si>
  <si>
    <t>Passat 4MOTION Wagon</t>
  </si>
  <si>
    <t>S40 Turbo</t>
  </si>
  <si>
    <t>S60 T5 Turbo</t>
  </si>
  <si>
    <t>S60</t>
  </si>
  <si>
    <t>S60 2.4T Turbo</t>
  </si>
  <si>
    <t>S80/S80 Executive 2.9</t>
  </si>
  <si>
    <t>S80/S80 Executive T-6 Turbo</t>
  </si>
  <si>
    <t>V40 Wagon Turbo</t>
  </si>
  <si>
    <t>V70 T5 Wagon Turbo</t>
  </si>
  <si>
    <t>V70 2.4T Wagon Turbo</t>
  </si>
  <si>
    <t>V70 Wagon AWD Turbo</t>
  </si>
  <si>
    <t>V70 XC AWD Turbo</t>
  </si>
  <si>
    <t>RSX</t>
  </si>
  <si>
    <t>A8L quattro</t>
  </si>
  <si>
    <t>allroad quattro</t>
  </si>
  <si>
    <t>S6 Avant quattro</t>
  </si>
  <si>
    <t>S8 quattro</t>
  </si>
  <si>
    <t>TT Roadster quattro</t>
  </si>
  <si>
    <t>Arnage LWB Turbo</t>
  </si>
  <si>
    <t>325i Touring</t>
  </si>
  <si>
    <t>325xi Touring</t>
  </si>
  <si>
    <t>525i Touring</t>
  </si>
  <si>
    <t>X5is 4.6</t>
  </si>
  <si>
    <t>Rendezvous</t>
  </si>
  <si>
    <t>Rendezvous AWD</t>
  </si>
  <si>
    <t>Escalade AWD</t>
  </si>
  <si>
    <t>Escalade EXT AWD</t>
  </si>
  <si>
    <t>C1500 Avalanche</t>
  </si>
  <si>
    <t>C1500 Suburban FFV</t>
  </si>
  <si>
    <t>C1500 Tahoe FFV</t>
  </si>
  <si>
    <t>C2500 Silverado Bi-Fuel</t>
  </si>
  <si>
    <t>C2500 Silverado CNG</t>
  </si>
  <si>
    <t>K1500 Avalanche 4X4</t>
  </si>
  <si>
    <t>K1500 Suburban FFV</t>
  </si>
  <si>
    <t>K1500 Tahoe FFV</t>
  </si>
  <si>
    <t>K2500 Silverado 4X4 Bi-Fuel</t>
  </si>
  <si>
    <t>K2500 Silverado 4X4 CNG</t>
  </si>
  <si>
    <t>TrailBlazer</t>
  </si>
  <si>
    <t>TrailBlazer 4X4</t>
  </si>
  <si>
    <t>TrailBlazer EXT 4X4</t>
  </si>
  <si>
    <t>Venture AWD</t>
  </si>
  <si>
    <t>300M Special #</t>
  </si>
  <si>
    <t>Nubira (ULEV)</t>
  </si>
  <si>
    <t>Nubira SW (ULEV)</t>
  </si>
  <si>
    <t>360 Modena</t>
  </si>
  <si>
    <t>Crown Victoria CNG</t>
  </si>
  <si>
    <t>F-150 #</t>
  </si>
  <si>
    <t>F-150 NGV</t>
  </si>
  <si>
    <t>Focus Sedan #</t>
  </si>
  <si>
    <t>C1500 Yukon FFV</t>
  </si>
  <si>
    <t>C1500 Yukon XL FFV</t>
  </si>
  <si>
    <t>C2500 Sierra Bi-Fuel</t>
  </si>
  <si>
    <t>C2500 Sierra CNG</t>
  </si>
  <si>
    <t>Envoy</t>
  </si>
  <si>
    <t>Envoy 4X4</t>
  </si>
  <si>
    <t>Envoy XL 4X4</t>
  </si>
  <si>
    <t>K1500 Yukon FFV</t>
  </si>
  <si>
    <t>K1500 Yukon 4X4 XL FFV</t>
  </si>
  <si>
    <t>K2500 Sierra 4X4 Bi-Fuel</t>
  </si>
  <si>
    <t>K2500 Sierra 4X4 CNG</t>
  </si>
  <si>
    <t>Civic SiR</t>
  </si>
  <si>
    <t>CR-V 4X4</t>
  </si>
  <si>
    <t>Santa Fe AWD</t>
  </si>
  <si>
    <t>XG350</t>
  </si>
  <si>
    <t>I35</t>
  </si>
  <si>
    <t>XJ Sport</t>
  </si>
  <si>
    <t>X-TYPE</t>
  </si>
  <si>
    <t>Sedona</t>
  </si>
  <si>
    <t>Spectra</t>
  </si>
  <si>
    <t>IS 300 SportCross</t>
  </si>
  <si>
    <t>SC 430</t>
  </si>
  <si>
    <t>LS #</t>
  </si>
  <si>
    <t>Navigator 4X4 #</t>
  </si>
  <si>
    <t>Protege/Protege5</t>
  </si>
  <si>
    <t>C 32 AMG #</t>
  </si>
  <si>
    <t>CL 55 AMG</t>
  </si>
  <si>
    <t>CLK 55 AMG Cabriolet</t>
  </si>
  <si>
    <t>ML 500</t>
  </si>
  <si>
    <t>ML 55 AMG 4X4</t>
  </si>
  <si>
    <t>S 55 AMG</t>
  </si>
  <si>
    <t>SLK 32 AMG #</t>
  </si>
  <si>
    <t>Xterra V6 4X4 #</t>
  </si>
  <si>
    <t>Bravada AWD</t>
  </si>
  <si>
    <t>Silhouette AWD</t>
  </si>
  <si>
    <t>Montana AWD</t>
  </si>
  <si>
    <t>911 Carrera Cabriolet</t>
  </si>
  <si>
    <t>911 Carrera 4 Cabriolet</t>
  </si>
  <si>
    <t>911 Carrera 4S</t>
  </si>
  <si>
    <t>911 GT2</t>
  </si>
  <si>
    <t>911 Targa</t>
  </si>
  <si>
    <t>Corniche</t>
  </si>
  <si>
    <t>Park Ward</t>
  </si>
  <si>
    <t>Vue</t>
  </si>
  <si>
    <t>Vue AWD</t>
  </si>
  <si>
    <t>Vitara 2-Door 4X4</t>
  </si>
  <si>
    <t>Highlander</t>
  </si>
  <si>
    <t>Highlander 4X4</t>
  </si>
  <si>
    <t>Passat Wagon 4MOTION</t>
  </si>
  <si>
    <t>S60 AWD Turbo</t>
  </si>
  <si>
    <t>S80/S80 Executive T6 Turbo</t>
  </si>
  <si>
    <t>V70 AWD Wagon Turbo</t>
  </si>
  <si>
    <t>A4 Cabriolet</t>
  </si>
  <si>
    <t>A4 Avant Wagon</t>
  </si>
  <si>
    <t>A4 Avant quattro</t>
  </si>
  <si>
    <t>A8L</t>
  </si>
  <si>
    <t>S6 Avant</t>
  </si>
  <si>
    <t>S8</t>
  </si>
  <si>
    <t>325i Sport Wagon</t>
  </si>
  <si>
    <t>325xi Sport Wagon</t>
  </si>
  <si>
    <t>745i</t>
  </si>
  <si>
    <t>745Li</t>
  </si>
  <si>
    <t>760Li</t>
  </si>
  <si>
    <t>X5is</t>
  </si>
  <si>
    <t>Z4 Roadster</t>
  </si>
  <si>
    <t>CTS</t>
  </si>
  <si>
    <t>Escalade ESV AWD</t>
  </si>
  <si>
    <t>Express Cargo Bi-Fuel</t>
  </si>
  <si>
    <t>Express Cargo CNG</t>
  </si>
  <si>
    <t>G15 Express Passenger</t>
  </si>
  <si>
    <t>G15/25 Express Cargo</t>
  </si>
  <si>
    <t>H15 Express Passenger AWD</t>
  </si>
  <si>
    <t>H15/25 Express Cargo AWD</t>
  </si>
  <si>
    <t>K1500 Silverado SS AWD</t>
  </si>
  <si>
    <t>K1500 Suburban 4X4 FFV</t>
  </si>
  <si>
    <t>K1500 Tahoe 4X4 FFV</t>
  </si>
  <si>
    <t>TrailBlazer EXT</t>
  </si>
  <si>
    <t>PT Cruiser Turbo</t>
  </si>
  <si>
    <t>Sebring FFV</t>
  </si>
  <si>
    <t>Viper SRT-10</t>
  </si>
  <si>
    <t>Caravan C/V FFV</t>
  </si>
  <si>
    <t>Grand Caravan C/V</t>
  </si>
  <si>
    <t>Grand Caravan C/V FFV</t>
  </si>
  <si>
    <t>SX 2.0</t>
  </si>
  <si>
    <t>SX 2.0 R/T #</t>
  </si>
  <si>
    <t>369 Modena F1</t>
  </si>
  <si>
    <t>575 MM</t>
  </si>
  <si>
    <t>575 MM F1</t>
  </si>
  <si>
    <t>Enzo</t>
  </si>
  <si>
    <t>Grand Marquis #</t>
  </si>
  <si>
    <t>Thunderbird Sport</t>
  </si>
  <si>
    <t>Envoy XL</t>
  </si>
  <si>
    <t>G15 Savana Passenger</t>
  </si>
  <si>
    <t>G15/25 Savana Cargo</t>
  </si>
  <si>
    <t>H15 Savana Passenger AWD</t>
  </si>
  <si>
    <t>H15/25 Savana Cargo AWD</t>
  </si>
  <si>
    <t>K1500 Sierra Denali AWD</t>
  </si>
  <si>
    <t>K1500 Yukon 4X4 FFV</t>
  </si>
  <si>
    <t>K1500 Yukon Denali AWD</t>
  </si>
  <si>
    <t>K1500 Yukon XL 4X4 FFV</t>
  </si>
  <si>
    <t>K1500 Yukon Denali XL AWD</t>
  </si>
  <si>
    <t>Savana Cargo Bi-Fuel</t>
  </si>
  <si>
    <t>Savana Cargo CNG</t>
  </si>
  <si>
    <t>Civic 3Dr SiR</t>
  </si>
  <si>
    <t>Civic Hybrid</t>
  </si>
  <si>
    <t>Element</t>
  </si>
  <si>
    <t>Element 4WD</t>
  </si>
  <si>
    <t>Pilot</t>
  </si>
  <si>
    <t>FX35 AWD</t>
  </si>
  <si>
    <t>FX45 AWD</t>
  </si>
  <si>
    <t>G35 Sedan</t>
  </si>
  <si>
    <t>G35 Coupe</t>
  </si>
  <si>
    <t>M45</t>
  </si>
  <si>
    <t>Ascender 4X4</t>
  </si>
  <si>
    <t>S-TYPE R</t>
  </si>
  <si>
    <t>Sorento</t>
  </si>
  <si>
    <t>Sorento 4X4</t>
  </si>
  <si>
    <t>Freelander 3-Door 4X4</t>
  </si>
  <si>
    <t>Freelander 5-Door 4X4</t>
  </si>
  <si>
    <t>Aviator 4X4</t>
  </si>
  <si>
    <t>LS Sport</t>
  </si>
  <si>
    <t>Coupe Cambiocorsa</t>
  </si>
  <si>
    <t>Coupe GT</t>
  </si>
  <si>
    <t>Spider Cambiocorsa</t>
  </si>
  <si>
    <t>Spider GT</t>
  </si>
  <si>
    <t>B3000 FFV</t>
  </si>
  <si>
    <t>Mazdaspeed Protege Turbo</t>
  </si>
  <si>
    <t>C 230 Kompressor</t>
  </si>
  <si>
    <t>C 240 4MATIC</t>
  </si>
  <si>
    <t>C 240 Wagon</t>
  </si>
  <si>
    <t>C 240 Wagon 4MATIC</t>
  </si>
  <si>
    <t>C 32 AMG</t>
  </si>
  <si>
    <t>C 320 4MATIC</t>
  </si>
  <si>
    <t>C 320 Wagon</t>
  </si>
  <si>
    <t>C 320 Wagon 4MATIC</t>
  </si>
  <si>
    <t>CLK 500</t>
  </si>
  <si>
    <t>E 500</t>
  </si>
  <si>
    <t>G 500 4X4</t>
  </si>
  <si>
    <t>ML 500 4X4</t>
  </si>
  <si>
    <t>SL 55 AMG</t>
  </si>
  <si>
    <t>SLK 32 AMG</t>
  </si>
  <si>
    <t>Cooper</t>
  </si>
  <si>
    <t>Cooper S</t>
  </si>
  <si>
    <t>Eclipse</t>
  </si>
  <si>
    <t>Eclipse Spyder</t>
  </si>
  <si>
    <t>Galant</t>
  </si>
  <si>
    <t>Lancer</t>
  </si>
  <si>
    <t>Montero</t>
  </si>
  <si>
    <t>Montero Sport</t>
  </si>
  <si>
    <t>Outlander</t>
  </si>
  <si>
    <t>Outlander 4WD</t>
  </si>
  <si>
    <t>350Z</t>
  </si>
  <si>
    <t>Murano AWD</t>
  </si>
  <si>
    <t>Vibe</t>
  </si>
  <si>
    <t>Vibe GT #</t>
  </si>
  <si>
    <t>Vibe AWD</t>
  </si>
  <si>
    <t>Cayenne S</t>
  </si>
  <si>
    <t>Cayenne Turbo</t>
  </si>
  <si>
    <t>9-3 Arc Turbo</t>
  </si>
  <si>
    <t>9-3 Linear Turbo</t>
  </si>
  <si>
    <t>9-3 SE Convertible Turbo</t>
  </si>
  <si>
    <t>9-3 Vector Turbo</t>
  </si>
  <si>
    <t>9-5 Aero Turbo</t>
  </si>
  <si>
    <t>9-5 Aero Wagon Turbo</t>
  </si>
  <si>
    <t>9-5 Linear Turbo</t>
  </si>
  <si>
    <t>9-5 Linear Wagon Turbo</t>
  </si>
  <si>
    <t>Ion</t>
  </si>
  <si>
    <t>L200</t>
  </si>
  <si>
    <t>4D Impreza AWD 2.5RS</t>
  </si>
  <si>
    <t>4D Impreza AWD WRX</t>
  </si>
  <si>
    <t>4D Legacy AWD 2.5GT SPORTSHIFT</t>
  </si>
  <si>
    <t>4D Legacy AWD 2.5GT</t>
  </si>
  <si>
    <t>4D Legacy AWD L</t>
  </si>
  <si>
    <t>4D Outback AWD H6-3.0</t>
  </si>
  <si>
    <t>Baja AWD</t>
  </si>
  <si>
    <t>Impreza Wagon AWD 2.5TS</t>
  </si>
  <si>
    <t>Impreza Wagon AWD WRX</t>
  </si>
  <si>
    <t>Legacy AWD L</t>
  </si>
  <si>
    <t>Legacy Wagon AWD 2.5GT SPORTSHIFT</t>
  </si>
  <si>
    <t>Outback Sport</t>
  </si>
  <si>
    <t>Outback Wagon</t>
  </si>
  <si>
    <t>Outback Wagon AWD H6-3.0</t>
  </si>
  <si>
    <t>Aerio</t>
  </si>
  <si>
    <t>Aerio Fastback</t>
  </si>
  <si>
    <t>Aerio Fastback AWD</t>
  </si>
  <si>
    <t>Aerio Fastback SX</t>
  </si>
  <si>
    <t>Aerio Fastback SX AWD</t>
  </si>
  <si>
    <t>Aerio SX</t>
  </si>
  <si>
    <t>Grand Vitara XL-7 4X4</t>
  </si>
  <si>
    <t>Celica #</t>
  </si>
  <si>
    <t>Corolla Matrix</t>
  </si>
  <si>
    <t>Corolla Matrix #</t>
  </si>
  <si>
    <t>Corolla Matrix 4WD</t>
  </si>
  <si>
    <t>Jetta Wagon</t>
  </si>
  <si>
    <t>Jetta Wagon TDI Diesel</t>
  </si>
  <si>
    <t>New Beetle Convertible</t>
  </si>
  <si>
    <t>S60 2.4</t>
  </si>
  <si>
    <t>V40 Turbo</t>
  </si>
  <si>
    <t>V70 2.4</t>
  </si>
  <si>
    <t>V70 2.4T Turbo</t>
  </si>
  <si>
    <t>XC70 AWD Turbo</t>
  </si>
  <si>
    <t>XC90 2.5T AWD Turbo</t>
  </si>
  <si>
    <t>XC90 T6 AWD Turbo</t>
  </si>
  <si>
    <t>RSX Type S</t>
  </si>
  <si>
    <t>TSX</t>
  </si>
  <si>
    <t>A4 Cabriolet quattro</t>
  </si>
  <si>
    <t>A4 Avant</t>
  </si>
  <si>
    <t>S4</t>
  </si>
  <si>
    <t>S4 Cabriolet</t>
  </si>
  <si>
    <t>S4 Avant</t>
  </si>
  <si>
    <t>Arnage</t>
  </si>
  <si>
    <t>Arnage LWB</t>
  </si>
  <si>
    <t>545i</t>
  </si>
  <si>
    <t>645Ci</t>
  </si>
  <si>
    <t>645Ci Convertible</t>
  </si>
  <si>
    <t>X3</t>
  </si>
  <si>
    <t>Rainier</t>
  </si>
  <si>
    <t>Rainier AWD</t>
  </si>
  <si>
    <t>SRX</t>
  </si>
  <si>
    <t>SRX AWD</t>
  </si>
  <si>
    <t>XLR</t>
  </si>
  <si>
    <t>Aveo</t>
  </si>
  <si>
    <t>C1500 Avalanche FFV</t>
  </si>
  <si>
    <t>C1500 Silverado FFV</t>
  </si>
  <si>
    <t>Colorado</t>
  </si>
  <si>
    <t>Colorado 4X4</t>
  </si>
  <si>
    <t>Epica</t>
  </si>
  <si>
    <t>H15 Express AWD Passenger</t>
  </si>
  <si>
    <t>H15/25 Express AWD Cargo</t>
  </si>
  <si>
    <t>Impala #</t>
  </si>
  <si>
    <t>K1500 Avalanche 4X4 FFV</t>
  </si>
  <si>
    <t>K1500 Avalanche AWD</t>
  </si>
  <si>
    <t>K1500 Avalanche AWD FFV</t>
  </si>
  <si>
    <t>K1500 Silverado 4X4 FFV</t>
  </si>
  <si>
    <t>K1500 Suburban AWD</t>
  </si>
  <si>
    <t>K1500 Suburban AWD FFV</t>
  </si>
  <si>
    <t>K1500 Tahoe AWD</t>
  </si>
  <si>
    <t>K1500 Tahoe AWD FFV</t>
  </si>
  <si>
    <t>Optra</t>
  </si>
  <si>
    <t>SSR</t>
  </si>
  <si>
    <t>Crossfire</t>
  </si>
  <si>
    <t>Pacifica</t>
  </si>
  <si>
    <t>Pacifica AWD</t>
  </si>
  <si>
    <t>PT Turbo #</t>
  </si>
  <si>
    <t>SRT-4 #</t>
  </si>
  <si>
    <t>360 Challenge Stradale</t>
  </si>
  <si>
    <t>360 Spider</t>
  </si>
  <si>
    <t>Explorer 4X4 FFV</t>
  </si>
  <si>
    <t>Explorer Sport Trac FFV</t>
  </si>
  <si>
    <t>Explorer Sport Trac 4X4 FFV</t>
  </si>
  <si>
    <t>F-150 3-Valve</t>
  </si>
  <si>
    <t>F-150 Lightning #</t>
  </si>
  <si>
    <t>F-150 Bi-Fuel</t>
  </si>
  <si>
    <t>F-150 4X4 3-Valve</t>
  </si>
  <si>
    <t>F-150 4X4 Bi-Fuel</t>
  </si>
  <si>
    <t>Focus SVT #</t>
  </si>
  <si>
    <t>Freestar Van</t>
  </si>
  <si>
    <t>Freestar Wagon</t>
  </si>
  <si>
    <t>Marauder #</t>
  </si>
  <si>
    <t>Mustang Mach 1 #</t>
  </si>
  <si>
    <t>Thunderbird SST</t>
  </si>
  <si>
    <t>C1500 Sierra FFV</t>
  </si>
  <si>
    <t>Canyon</t>
  </si>
  <si>
    <t>Canyon 4X4</t>
  </si>
  <si>
    <t>Envoy XUV</t>
  </si>
  <si>
    <t>Envoy XUV 4X4</t>
  </si>
  <si>
    <t>H15 Savana AWD Passenger</t>
  </si>
  <si>
    <t>H15/25 Savana AWD Cargo</t>
  </si>
  <si>
    <t>K1500 Sierra 4X4 FFV</t>
  </si>
  <si>
    <t>K1500 Yukon Denali AWD FFV</t>
  </si>
  <si>
    <t>K1500 Yukon Denali XL AWD FFV</t>
  </si>
  <si>
    <t>Elantra GT</t>
  </si>
  <si>
    <t>Santa Fe 4X4</t>
  </si>
  <si>
    <t>G35 AWD</t>
  </si>
  <si>
    <t>Amanti</t>
  </si>
  <si>
    <t>ES 330</t>
  </si>
  <si>
    <t>RX 330</t>
  </si>
  <si>
    <t>RX 330 4X4</t>
  </si>
  <si>
    <t>LS SST</t>
  </si>
  <si>
    <t>Mazda3</t>
  </si>
  <si>
    <t>Mazda6</t>
  </si>
  <si>
    <t>RX-8</t>
  </si>
  <si>
    <t>C 230K</t>
  </si>
  <si>
    <t>C 230K Coupe</t>
  </si>
  <si>
    <t>C 240 FFV</t>
  </si>
  <si>
    <t>C 240 Wagon FFV</t>
  </si>
  <si>
    <t>C 240 4MATIC Wagon</t>
  </si>
  <si>
    <t>C 320 Wagon FFV</t>
  </si>
  <si>
    <t>C 320 4MATIC Wagon</t>
  </si>
  <si>
    <t>C 320CL</t>
  </si>
  <si>
    <t>C 320CL FFV</t>
  </si>
  <si>
    <t>CL 55 AMG #</t>
  </si>
  <si>
    <t>CLK 500 Cabriolet</t>
  </si>
  <si>
    <t>CLK 55C AMG</t>
  </si>
  <si>
    <t>E 500 4MATIC</t>
  </si>
  <si>
    <t>E 500 Wagon</t>
  </si>
  <si>
    <t>E 500 4MATIC Wagon</t>
  </si>
  <si>
    <t>E 55 AMG #</t>
  </si>
  <si>
    <t>G 500</t>
  </si>
  <si>
    <t>G 55 AMG #</t>
  </si>
  <si>
    <t>Maybach 57</t>
  </si>
  <si>
    <t>Maybach 62</t>
  </si>
  <si>
    <t>ML 350</t>
  </si>
  <si>
    <t>S 430V</t>
  </si>
  <si>
    <t>S 430V 4MATIC</t>
  </si>
  <si>
    <t>S 500V 4MATIC</t>
  </si>
  <si>
    <t>S 55K AMG #</t>
  </si>
  <si>
    <t>SL 55 AMG #</t>
  </si>
  <si>
    <t>SLK 230</t>
  </si>
  <si>
    <t>SLK 320 Cabriolet</t>
  </si>
  <si>
    <t>Cooper S #</t>
  </si>
  <si>
    <t>Diamante</t>
  </si>
  <si>
    <t>Endeavor</t>
  </si>
  <si>
    <t>Endeavor AWD</t>
  </si>
  <si>
    <t>Galant GTS</t>
  </si>
  <si>
    <t>Galant LS</t>
  </si>
  <si>
    <t>Lancer Sportback</t>
  </si>
  <si>
    <t>Montero 4X4</t>
  </si>
  <si>
    <t>Montero Sport AWD</t>
  </si>
  <si>
    <t>Outlander AWD</t>
  </si>
  <si>
    <t>350Z Roadster</t>
  </si>
  <si>
    <t>Murano</t>
  </si>
  <si>
    <t>Pathfinder Armada 4X4</t>
  </si>
  <si>
    <t>Titan</t>
  </si>
  <si>
    <t>Titan 4X4</t>
  </si>
  <si>
    <t>Vibe GT</t>
  </si>
  <si>
    <t>Phantom</t>
  </si>
  <si>
    <t>9-3 Aero Turbo</t>
  </si>
  <si>
    <t>9-3 Aero Convertible Turbo</t>
  </si>
  <si>
    <t>9-3 Arc Convertible Turbo</t>
  </si>
  <si>
    <t>9-5 Arc Turbo</t>
  </si>
  <si>
    <t>9-5 Arc Wagon Turbo</t>
  </si>
  <si>
    <t>Forester AWD Turbo</t>
  </si>
  <si>
    <t>Impreza AWD WRX</t>
  </si>
  <si>
    <t>Impreza AWD WRX STI</t>
  </si>
  <si>
    <t>Legacy AWD SPORTSHIFT</t>
  </si>
  <si>
    <t>Legacy AWD H6-3.0</t>
  </si>
  <si>
    <t>Legacy Wagon AWD SPORTSHIFT</t>
  </si>
  <si>
    <t>Legacy Wagon AWD H6-3.0</t>
  </si>
  <si>
    <t>Outback AWD</t>
  </si>
  <si>
    <t>Outback AWD SPORTSHIFT</t>
  </si>
  <si>
    <t>Outback AWD H6-3.0</t>
  </si>
  <si>
    <t>Outback Sport AWD</t>
  </si>
  <si>
    <t>Outback Wagon AWD</t>
  </si>
  <si>
    <t>Outback Wagon AWD SPORTSHIFT</t>
  </si>
  <si>
    <t>Aerio AWD</t>
  </si>
  <si>
    <t>Grand Vitara XL-7</t>
  </si>
  <si>
    <t>Verona</t>
  </si>
  <si>
    <t>Vitara</t>
  </si>
  <si>
    <t>Corolla Matrix AWD</t>
  </si>
  <si>
    <t>Sienna 4X4</t>
  </si>
  <si>
    <t>Phaeton</t>
  </si>
  <si>
    <t>Touareg</t>
  </si>
  <si>
    <t>C70 Convertible HT Turbo</t>
  </si>
  <si>
    <t>S60 2.5T Turbo</t>
  </si>
  <si>
    <t>S60 2.5T AWD Turbo</t>
  </si>
  <si>
    <t>S60 R AWD Turbo</t>
  </si>
  <si>
    <t>S80 T6</t>
  </si>
  <si>
    <t>S80 2.5T AWD Turbo</t>
  </si>
  <si>
    <t>V70 2.5T Turbo</t>
  </si>
  <si>
    <t>V70 2.5T AWD Turbo</t>
  </si>
  <si>
    <t>V70 R AWD Turbo</t>
  </si>
  <si>
    <t>MDX AWD</t>
  </si>
  <si>
    <t>RL</t>
  </si>
  <si>
    <t>TL</t>
  </si>
  <si>
    <t>Continental GT</t>
  </si>
  <si>
    <t>760i</t>
  </si>
  <si>
    <t>X5 4.8is</t>
  </si>
  <si>
    <t>Allure</t>
  </si>
  <si>
    <t>Terraza</t>
  </si>
  <si>
    <t>Terraza AWD</t>
  </si>
  <si>
    <t>Armored Deville</t>
  </si>
  <si>
    <t>STS</t>
  </si>
  <si>
    <t>STS AWD</t>
  </si>
  <si>
    <t>C1500 Silverado Hybrid</t>
  </si>
  <si>
    <t>Cobalt #</t>
  </si>
  <si>
    <t>Cobalt</t>
  </si>
  <si>
    <t>Equinox</t>
  </si>
  <si>
    <t>Equinox AWD</t>
  </si>
  <si>
    <t>K1500 Silverado Hybrid 4X4</t>
  </si>
  <si>
    <t>Malibu Maxx</t>
  </si>
  <si>
    <t>Optra Wagon</t>
  </si>
  <si>
    <t>SSR Pickup</t>
  </si>
  <si>
    <t>Uplander</t>
  </si>
  <si>
    <t>Uplander AWD</t>
  </si>
  <si>
    <t>300 AWD</t>
  </si>
  <si>
    <t>300C (MDS)</t>
  </si>
  <si>
    <t>300C SRT8</t>
  </si>
  <si>
    <t>300C AWD (MDS)</t>
  </si>
  <si>
    <t>Crossfire SRT6 #</t>
  </si>
  <si>
    <t>Crossfire Roadster</t>
  </si>
  <si>
    <t>Crossfire Roadster SRT6 #</t>
  </si>
  <si>
    <t>PT Cruiser Convertible</t>
  </si>
  <si>
    <t>PT Turbo</t>
  </si>
  <si>
    <t>PT Turbo Convertible</t>
  </si>
  <si>
    <t>PT Turbo Convertible #</t>
  </si>
  <si>
    <t>Dakota #</t>
  </si>
  <si>
    <t>Dakota 4X4 #</t>
  </si>
  <si>
    <t>Magnum</t>
  </si>
  <si>
    <t>Magnum AWD</t>
  </si>
  <si>
    <t>Magnum RT (MDS)</t>
  </si>
  <si>
    <t>Magnum RT AWD (MDS)</t>
  </si>
  <si>
    <t>Ram 1500 FFV</t>
  </si>
  <si>
    <t>Ram 1500 4X4 FFV</t>
  </si>
  <si>
    <t>Ram SRT-10</t>
  </si>
  <si>
    <t>575M Maranello</t>
  </si>
  <si>
    <t>612 Scaglietti</t>
  </si>
  <si>
    <t>Escape Hybrid</t>
  </si>
  <si>
    <t>Escape Hybrid 4X4</t>
  </si>
  <si>
    <t>Five Hundred</t>
  </si>
  <si>
    <t>Five Hundred AWD</t>
  </si>
  <si>
    <t>Freestyle</t>
  </si>
  <si>
    <t>Freestyle AWD</t>
  </si>
  <si>
    <t>Taurus Wagon FFV</t>
  </si>
  <si>
    <t>C1500 Sierra Hybrid</t>
  </si>
  <si>
    <t>K1500 Sierra Hybrid 4X4</t>
  </si>
  <si>
    <t>K1500 Yukon AWD</t>
  </si>
  <si>
    <t>K1500 Yukon AWD FFV</t>
  </si>
  <si>
    <t>K1500 Yukon XL AWD</t>
  </si>
  <si>
    <t>K1500 Yukon XL AWD FFV</t>
  </si>
  <si>
    <t>Accord Hybrid</t>
  </si>
  <si>
    <t>CR-V AWD</t>
  </si>
  <si>
    <t>Odyssey EX-L</t>
  </si>
  <si>
    <t>Pilot AWD</t>
  </si>
  <si>
    <t>Tucson</t>
  </si>
  <si>
    <t>Tucson AWD</t>
  </si>
  <si>
    <t>G35 #</t>
  </si>
  <si>
    <t>QX56 4X4</t>
  </si>
  <si>
    <t>Super V8 #</t>
  </si>
  <si>
    <t>X-TYPE Sportwagon</t>
  </si>
  <si>
    <t>Grand Cherokee 4X4 (MDS)</t>
  </si>
  <si>
    <t>TJ Unlimited 4X4</t>
  </si>
  <si>
    <t>Freelander 4X4</t>
  </si>
  <si>
    <t>LR3 4X4</t>
  </si>
  <si>
    <t>GX 470</t>
  </si>
  <si>
    <t>Quattroporte</t>
  </si>
  <si>
    <t>Spyder Cambiocorsa</t>
  </si>
  <si>
    <t>Spyder GT</t>
  </si>
  <si>
    <t>Mazda6 Sport Wagon</t>
  </si>
  <si>
    <t>Mazdaspeed MX-5 Turbo</t>
  </si>
  <si>
    <t>C 230K 1.8L Sport #</t>
  </si>
  <si>
    <t>C 230K 1.8L Sport Coupe #</t>
  </si>
  <si>
    <t>C 320/C 320 Sport FFV</t>
  </si>
  <si>
    <t>C 320 Sport</t>
  </si>
  <si>
    <t>C 320CL Sport Coupe</t>
  </si>
  <si>
    <t>C 320CL Sport Coupe FFV</t>
  </si>
  <si>
    <t>C 55 AMG</t>
  </si>
  <si>
    <t>CL 65 AMG</t>
  </si>
  <si>
    <t>E 320 CDI Diesel</t>
  </si>
  <si>
    <t>G 55 AMG</t>
  </si>
  <si>
    <t>S 55K AMG</t>
  </si>
  <si>
    <t>SL 65 AMG</t>
  </si>
  <si>
    <t>SLK 350</t>
  </si>
  <si>
    <t>SLK 55 AMG</t>
  </si>
  <si>
    <t>SLR</t>
  </si>
  <si>
    <t>Cooper Convertible</t>
  </si>
  <si>
    <t>Cooper S Convertible #</t>
  </si>
  <si>
    <t>350Z #</t>
  </si>
  <si>
    <t>Armada 4X4</t>
  </si>
  <si>
    <t>X-Trail</t>
  </si>
  <si>
    <t>X-Trail AWD</t>
  </si>
  <si>
    <t>G6</t>
  </si>
  <si>
    <t>Montana SV6</t>
  </si>
  <si>
    <t>Montana SV6 AWD</t>
  </si>
  <si>
    <t>Pursuit</t>
  </si>
  <si>
    <t>Wave</t>
  </si>
  <si>
    <t>911 Carrera 2 Cabriolet 997</t>
  </si>
  <si>
    <t>911 Carrera 2 Coupe 997</t>
  </si>
  <si>
    <t>911 Carrera 2S Cabriolet 997</t>
  </si>
  <si>
    <t>911 Carrera 2S Coupe 997</t>
  </si>
  <si>
    <t>911 GT3</t>
  </si>
  <si>
    <t>911 Turbo Kit</t>
  </si>
  <si>
    <t>911 Turbo Cabriolet</t>
  </si>
  <si>
    <t>911 Turbo Cabriolet Kit</t>
  </si>
  <si>
    <t>911 Turbo S</t>
  </si>
  <si>
    <t>911 Turbo Cabriolet S</t>
  </si>
  <si>
    <t>Carrera 2 Cabriolet</t>
  </si>
  <si>
    <t>Carrera 4 Cabriolet</t>
  </si>
  <si>
    <t>Carrera 2 Cabriolet Kit</t>
  </si>
  <si>
    <t>Carrera 4 Cabriolet Kit</t>
  </si>
  <si>
    <t>Carrera 2 Coupe</t>
  </si>
  <si>
    <t>Carrera 2 Coupe Kit</t>
  </si>
  <si>
    <t>Carrera 4S Cabriolet</t>
  </si>
  <si>
    <t>Carrera 4S Cabriolet Kit</t>
  </si>
  <si>
    <t>Carrera 4S Coupe</t>
  </si>
  <si>
    <t>Carrera 4S Kit</t>
  </si>
  <si>
    <t>Carrera GT</t>
  </si>
  <si>
    <t>Cayenne</t>
  </si>
  <si>
    <t>Targa</t>
  </si>
  <si>
    <t>Targa Kit</t>
  </si>
  <si>
    <t>9-2X Aero AWD Turbo</t>
  </si>
  <si>
    <t>9-2X Linear AWD</t>
  </si>
  <si>
    <t>9-7X AWD</t>
  </si>
  <si>
    <t>Ion #</t>
  </si>
  <si>
    <t>Relay</t>
  </si>
  <si>
    <t>Relay AWD</t>
  </si>
  <si>
    <t>fortwo CDI</t>
  </si>
  <si>
    <t>Baja Sport AWD</t>
  </si>
  <si>
    <t>Forester XT AWD</t>
  </si>
  <si>
    <t>Impreza 2.5RS Sedan AWD</t>
  </si>
  <si>
    <t>Impreza 2.5RS Sport Wagon AWD</t>
  </si>
  <si>
    <t>Impreza Outback Sport AWD</t>
  </si>
  <si>
    <t>Impreza WRX Sedan AWD</t>
  </si>
  <si>
    <t>Impreza WRX STi Sedan AWD</t>
  </si>
  <si>
    <t>Impreza WRX Sport Wagon AWD</t>
  </si>
  <si>
    <t>Legacy 2.5i Sedan AWD</t>
  </si>
  <si>
    <t>Legacy 2.5GT Sedan AWD</t>
  </si>
  <si>
    <t>Legacy 2.5i Wagon AWD</t>
  </si>
  <si>
    <t>Legacy 2.5GT Wagon AWD</t>
  </si>
  <si>
    <t>Outback 2.5i Wagon AWD</t>
  </si>
  <si>
    <t>Outback XT Wagon AWD</t>
  </si>
  <si>
    <t>Outback 3.0R Wagon AWD</t>
  </si>
  <si>
    <t>Swift+</t>
  </si>
  <si>
    <t>Corolla #</t>
  </si>
  <si>
    <t>Echo Hatchback</t>
  </si>
  <si>
    <t>Touareg TDI Diesel</t>
  </si>
  <si>
    <t>S40</t>
  </si>
  <si>
    <t>S40 2.5T Turbo</t>
  </si>
  <si>
    <t>S40 2.5T AWD Turbo</t>
  </si>
  <si>
    <t>S80 2.5T Turbo</t>
  </si>
  <si>
    <t>V50</t>
  </si>
  <si>
    <t>V50 2.5T Turbo</t>
  </si>
  <si>
    <t>V50 2.5T AWD Turbo</t>
  </si>
  <si>
    <t>XC90 2.5T Turbo</t>
  </si>
  <si>
    <t>CSX</t>
  </si>
  <si>
    <t>MDX 4X4</t>
  </si>
  <si>
    <t>A3</t>
  </si>
  <si>
    <t>Continental Flying Spur</t>
  </si>
  <si>
    <t>525xi</t>
  </si>
  <si>
    <t>530xi</t>
  </si>
  <si>
    <t>530xi Sport Wagon</t>
  </si>
  <si>
    <t>550i</t>
  </si>
  <si>
    <t>650Ci</t>
  </si>
  <si>
    <t>650Ci Convertible</t>
  </si>
  <si>
    <t>750i</t>
  </si>
  <si>
    <t>750Li</t>
  </si>
  <si>
    <t>Lucerne</t>
  </si>
  <si>
    <t>DTS</t>
  </si>
  <si>
    <t>Colorado Crew Cab</t>
  </si>
  <si>
    <t>Colorado Crew Cab 4X4</t>
  </si>
  <si>
    <t>Colorado Chassis Cab</t>
  </si>
  <si>
    <t>G15 Express Cargo</t>
  </si>
  <si>
    <t>G15 Express Cargo Conv</t>
  </si>
  <si>
    <t>H15 Express Cargo AWD</t>
  </si>
  <si>
    <t>H15 Express Cargo AWD Conv</t>
  </si>
  <si>
    <t>HHR</t>
  </si>
  <si>
    <t>Impala FFV</t>
  </si>
  <si>
    <t>K1500 Avalanche FFV 4X4</t>
  </si>
  <si>
    <t>K1500 Silverado FFV 4X4</t>
  </si>
  <si>
    <t>K1500 Suburban FFV 4X4</t>
  </si>
  <si>
    <t>K1500 Tahoe FFV 4X4</t>
  </si>
  <si>
    <t>TrailBlazer AWD</t>
  </si>
  <si>
    <t>Caravan FFV C/V</t>
  </si>
  <si>
    <t>Charger</t>
  </si>
  <si>
    <t>Charger (MDS)</t>
  </si>
  <si>
    <t>Charger SRT8</t>
  </si>
  <si>
    <t>Durango 4X4 FFV</t>
  </si>
  <si>
    <t>Durango 4X4 (MDS)</t>
  </si>
  <si>
    <t>Grand Caravan FFV C/V</t>
  </si>
  <si>
    <t>Magnum (MDS)</t>
  </si>
  <si>
    <t>Magnum SRT8</t>
  </si>
  <si>
    <t>Magnum AWD (MDS)</t>
  </si>
  <si>
    <t>Ram 1500 (MDS)</t>
  </si>
  <si>
    <t>Ram 1500 FFV 4X4</t>
  </si>
  <si>
    <t>Ram 1500 4X4 (MDS)</t>
  </si>
  <si>
    <t>Viper SRT-10 Convertible</t>
  </si>
  <si>
    <t>Viper SRT-10 Coupe</t>
  </si>
  <si>
    <t>F430 Coupe</t>
  </si>
  <si>
    <t>F430 Spider</t>
  </si>
  <si>
    <t>Fusion</t>
  </si>
  <si>
    <t>Canyon Crew Cab</t>
  </si>
  <si>
    <t>Canyon Crew Cab 4X4</t>
  </si>
  <si>
    <t>Canyon Chassis Cab</t>
  </si>
  <si>
    <t>G15 Savana Cargo</t>
  </si>
  <si>
    <t>G15 Savana Cargo Conv</t>
  </si>
  <si>
    <t>H15 Savana Cargo AWD</t>
  </si>
  <si>
    <t>H15 Savana Cargo AWD Conv</t>
  </si>
  <si>
    <t>K1500 Sierra FFV 4X4</t>
  </si>
  <si>
    <t>K1500 Yukon FFV 4X4</t>
  </si>
  <si>
    <t>K1500 Yukon XL FFV 4X4</t>
  </si>
  <si>
    <t>Element 4X4</t>
  </si>
  <si>
    <t>Odyssey EX-L/Touring</t>
  </si>
  <si>
    <t>Pilot 4X4</t>
  </si>
  <si>
    <t>Ridgeline 4X4</t>
  </si>
  <si>
    <t>H3 4X4</t>
  </si>
  <si>
    <t>Accent 3/5-Door</t>
  </si>
  <si>
    <t>Accent 4-Door</t>
  </si>
  <si>
    <t>Azera</t>
  </si>
  <si>
    <t>Tucson Wagon</t>
  </si>
  <si>
    <t>Tucson Wagon 4X4</t>
  </si>
  <si>
    <t>G35</t>
  </si>
  <si>
    <t>G35 Coupe #</t>
  </si>
  <si>
    <t>M35</t>
  </si>
  <si>
    <t>M35 AWD</t>
  </si>
  <si>
    <t>KJR #</t>
  </si>
  <si>
    <t>S-TYPE 3.0</t>
  </si>
  <si>
    <t>S-TYPE 4.2</t>
  </si>
  <si>
    <t>S-TYPE R #</t>
  </si>
  <si>
    <t>X-TYPE Sport Brake</t>
  </si>
  <si>
    <t>Commander 4X4</t>
  </si>
  <si>
    <t>Commander 4X4 (MDS)</t>
  </si>
  <si>
    <t>Grand Cherokee 4X4 SRT8</t>
  </si>
  <si>
    <t>Liberty 4X4 Turbo Diesel</t>
  </si>
  <si>
    <t>Range Rover 4X4 #</t>
  </si>
  <si>
    <t>Range Rover Sport 4X4 #</t>
  </si>
  <si>
    <t>Range Rover Sport 4X4</t>
  </si>
  <si>
    <t>GS 300 4X4</t>
  </si>
  <si>
    <t>IS 250</t>
  </si>
  <si>
    <t>IS 250 AWD</t>
  </si>
  <si>
    <t>IS 350</t>
  </si>
  <si>
    <t>RX 400h 4X4</t>
  </si>
  <si>
    <t>Mark LT</t>
  </si>
  <si>
    <t>Mark LT 4X4</t>
  </si>
  <si>
    <t>Zephyr</t>
  </si>
  <si>
    <t>Coupe</t>
  </si>
  <si>
    <t>Coupe GrandSport</t>
  </si>
  <si>
    <t>Spyder</t>
  </si>
  <si>
    <t>Spyder GrandSport</t>
  </si>
  <si>
    <t>Mazda5 Wagon</t>
  </si>
  <si>
    <t>Mazda6 Turbo</t>
  </si>
  <si>
    <t>MX-5</t>
  </si>
  <si>
    <t>B 200 CVT #</t>
  </si>
  <si>
    <t>B 200 CVT Turbo</t>
  </si>
  <si>
    <t>B 200 #</t>
  </si>
  <si>
    <t>B 200 Turbo</t>
  </si>
  <si>
    <t>C 230 #</t>
  </si>
  <si>
    <t>C 230 Sport #</t>
  </si>
  <si>
    <t>C 280 #</t>
  </si>
  <si>
    <t>C 280 4MATIC #</t>
  </si>
  <si>
    <t>C 350 4MATIC #</t>
  </si>
  <si>
    <t>C 350 Sport #</t>
  </si>
  <si>
    <t>C 55 AMG #</t>
  </si>
  <si>
    <t>CL 500 #</t>
  </si>
  <si>
    <t>CL 55K AMG #</t>
  </si>
  <si>
    <t>CL 600 Turbo</t>
  </si>
  <si>
    <t>CL 65 AMG Turbo</t>
  </si>
  <si>
    <t>CLK 350 #</t>
  </si>
  <si>
    <t>CLK 350 Cabriolet #</t>
  </si>
  <si>
    <t>CLK 500 #</t>
  </si>
  <si>
    <t>CLK 500 Cabriolet #</t>
  </si>
  <si>
    <t>CLK 55 AMG Cabriolet #</t>
  </si>
  <si>
    <t>CLS 500 #</t>
  </si>
  <si>
    <t>CLS 55 AMG #</t>
  </si>
  <si>
    <t>E 320 CDI Turbo</t>
  </si>
  <si>
    <t>E 350 #</t>
  </si>
  <si>
    <t>E 350 4MATIC #</t>
  </si>
  <si>
    <t>E 350 Wagon #</t>
  </si>
  <si>
    <t>E 350 4MATIC Wagon #</t>
  </si>
  <si>
    <t>E 500 #</t>
  </si>
  <si>
    <t>E 500 4MATIC #</t>
  </si>
  <si>
    <t>E 500 4MATIC Wagon #</t>
  </si>
  <si>
    <t>E 55 AMG Wagon #</t>
  </si>
  <si>
    <t>Maybach 57 Turbo</t>
  </si>
  <si>
    <t>Maybach 62 Turbo</t>
  </si>
  <si>
    <t>ML 350 #</t>
  </si>
  <si>
    <t>ML 500 #</t>
  </si>
  <si>
    <t>R 350 #</t>
  </si>
  <si>
    <t>R 500 #</t>
  </si>
  <si>
    <t>S 430V #</t>
  </si>
  <si>
    <t>S 430V 4MATIC #</t>
  </si>
  <si>
    <t>S 430W 4MATIC #</t>
  </si>
  <si>
    <t>S 500V #</t>
  </si>
  <si>
    <t>S 500V 4MATIC #</t>
  </si>
  <si>
    <t>S 55 AMG #</t>
  </si>
  <si>
    <t>S 600V Turbo</t>
  </si>
  <si>
    <t>S 65 AMG Turbo</t>
  </si>
  <si>
    <t>SL 500 #</t>
  </si>
  <si>
    <t>SL 600 Turbo</t>
  </si>
  <si>
    <t>SL 65 AMG Turbo</t>
  </si>
  <si>
    <t>SLK 280 #</t>
  </si>
  <si>
    <t>SLK 350 #</t>
  </si>
  <si>
    <t>SLK 55 AMG #</t>
  </si>
  <si>
    <t>SLR #</t>
  </si>
  <si>
    <t>Cooper S Convertible</t>
  </si>
  <si>
    <t>350Z Roadster #</t>
  </si>
  <si>
    <t>Xterra 4X4</t>
  </si>
  <si>
    <t>G6 Convertible</t>
  </si>
  <si>
    <t>Solstice</t>
  </si>
  <si>
    <t>Torrent</t>
  </si>
  <si>
    <t>Torrent AWD</t>
  </si>
  <si>
    <t>Carrera 4 Coupe</t>
  </si>
  <si>
    <t>Carrera 2S Cabriolet</t>
  </si>
  <si>
    <t>Carrera 2S Coupe</t>
  </si>
  <si>
    <t>Cayenne Turbo Kit</t>
  </si>
  <si>
    <t>9-2X Wagon AWD</t>
  </si>
  <si>
    <t>9-3 Convertible Turbo</t>
  </si>
  <si>
    <t>9-3 Sport Turbo</t>
  </si>
  <si>
    <t>9-3 SportCombi Turbo</t>
  </si>
  <si>
    <t>9-5 Sedan</t>
  </si>
  <si>
    <t>9-5 Wagon</t>
  </si>
  <si>
    <t>fortwo CDI cabriolet</t>
  </si>
  <si>
    <t>B9 Tribeca AWD</t>
  </si>
  <si>
    <t>Forester 2.5X AWD</t>
  </si>
  <si>
    <t>Forester 2.5XS AWD</t>
  </si>
  <si>
    <t>Forester 2.5XT AWD</t>
  </si>
  <si>
    <t>Impreza 2.5i Sedan/Wagon AWD</t>
  </si>
  <si>
    <t>Impreza WRX Wagon AWD</t>
  </si>
  <si>
    <t>Outback 2.5XT Wagon AWD</t>
  </si>
  <si>
    <t>Outback 3.0 Wagon AWD</t>
  </si>
  <si>
    <t>Highlander Hybrid 4X4</t>
  </si>
  <si>
    <t>Matrix</t>
  </si>
  <si>
    <t>Matrix AWD</t>
  </si>
  <si>
    <t>Yaris</t>
  </si>
  <si>
    <t>S40 2.4i</t>
  </si>
  <si>
    <t>S40 T5 Turbo</t>
  </si>
  <si>
    <t>S40 T5 AWD Turbo</t>
  </si>
  <si>
    <t>V50 2.4i Wagon</t>
  </si>
  <si>
    <t>V50 T5 Wagon Turbo</t>
  </si>
  <si>
    <t>V50 T5 AWD Wagon Turbo</t>
  </si>
  <si>
    <t>V70 2.4 Wagon</t>
  </si>
  <si>
    <t>V70 2.5T Wagon Turbo</t>
  </si>
  <si>
    <t>V70 2.5T AWD Wagon Turbo</t>
  </si>
  <si>
    <t>V70 R AWD Wagon Turbo</t>
  </si>
  <si>
    <t>XC90 V8 AWD</t>
  </si>
  <si>
    <t>RDX AWD Turbo</t>
  </si>
  <si>
    <t>RL AWD</t>
  </si>
  <si>
    <t>DB9 Coupe</t>
  </si>
  <si>
    <t>DB9 Volante</t>
  </si>
  <si>
    <t>V8 Vantage</t>
  </si>
  <si>
    <t>A3 quattro</t>
  </si>
  <si>
    <t>Q7</t>
  </si>
  <si>
    <t>RS 4</t>
  </si>
  <si>
    <t>Continental GTC</t>
  </si>
  <si>
    <t>328xi</t>
  </si>
  <si>
    <t>328i Cabriolet</t>
  </si>
  <si>
    <t>328i Coupe</t>
  </si>
  <si>
    <t>328xi Coupe</t>
  </si>
  <si>
    <t>328xi Touring</t>
  </si>
  <si>
    <t>335i</t>
  </si>
  <si>
    <t>335xi</t>
  </si>
  <si>
    <t>335i Cabriolet</t>
  </si>
  <si>
    <t>335i Coupe</t>
  </si>
  <si>
    <t>530xi Touring</t>
  </si>
  <si>
    <t>650i Cabriolet</t>
  </si>
  <si>
    <t>650i Coupe</t>
  </si>
  <si>
    <t>Alpina B7</t>
  </si>
  <si>
    <t>M6 Cabriolet</t>
  </si>
  <si>
    <t>M6 Coupe</t>
  </si>
  <si>
    <t>X3 3.0i</t>
  </si>
  <si>
    <t>X3 3.0si</t>
  </si>
  <si>
    <t>X5 3.0si</t>
  </si>
  <si>
    <t>X5 4.8i</t>
  </si>
  <si>
    <t>Z4 3.0i</t>
  </si>
  <si>
    <t>Z4 3.0si</t>
  </si>
  <si>
    <t>Terraza FFV</t>
  </si>
  <si>
    <t>Avalanche</t>
  </si>
  <si>
    <t>Avalanche FFV</t>
  </si>
  <si>
    <t>Avalanche 4X4 FFV</t>
  </si>
  <si>
    <t>Avalanche 4X4</t>
  </si>
  <si>
    <t>Aveo 5</t>
  </si>
  <si>
    <t>Express Cargo</t>
  </si>
  <si>
    <t>Express Cargo FFV</t>
  </si>
  <si>
    <t>Express Cargo AWD</t>
  </si>
  <si>
    <t>Express Cargo AWD FFV</t>
  </si>
  <si>
    <t>Express Cargo Conv</t>
  </si>
  <si>
    <t>Express Cargo Conv FFV</t>
  </si>
  <si>
    <t>Express Cargo Conv AWD</t>
  </si>
  <si>
    <t>Express Cargo Conv AWD FFV</t>
  </si>
  <si>
    <t>Express Passenger</t>
  </si>
  <si>
    <t>Express Passenger FFV</t>
  </si>
  <si>
    <t>Express Passenger AWD</t>
  </si>
  <si>
    <t>Express Passenger AWD FFV</t>
  </si>
  <si>
    <t>HHR Panel</t>
  </si>
  <si>
    <t>Monte Carlo FFV</t>
  </si>
  <si>
    <t>Silverado</t>
  </si>
  <si>
    <t>Silverado FFV</t>
  </si>
  <si>
    <t>Silverado 4X4</t>
  </si>
  <si>
    <t>Silverado 4X4 FFV</t>
  </si>
  <si>
    <t>Silverado Classic</t>
  </si>
  <si>
    <t>Silverado Classic FFV</t>
  </si>
  <si>
    <t>Silverado Classic 4X4</t>
  </si>
  <si>
    <t>Silverado Classic 4X4 FFV</t>
  </si>
  <si>
    <t>Silverado Hybrid Classic</t>
  </si>
  <si>
    <t>Silverado Hybrid Classic 4X4</t>
  </si>
  <si>
    <t>Suburban</t>
  </si>
  <si>
    <t>Suburban FFV</t>
  </si>
  <si>
    <t>Suburban 4X4 FFV</t>
  </si>
  <si>
    <t>Suburban 4X4</t>
  </si>
  <si>
    <t>Tahoe</t>
  </si>
  <si>
    <t>Tahoe FFV</t>
  </si>
  <si>
    <t>Tahoe 4X4 FFV</t>
  </si>
  <si>
    <t>Uplander FFV</t>
  </si>
  <si>
    <t>Aspen 4X4 (MDS)</t>
  </si>
  <si>
    <t>Caliber</t>
  </si>
  <si>
    <t>Caliber AWD</t>
  </si>
  <si>
    <t>Charger AWD</t>
  </si>
  <si>
    <t>Charger AWD (MDS)</t>
  </si>
  <si>
    <t>Dakota FFV</t>
  </si>
  <si>
    <t>Dakota FFV 4X4</t>
  </si>
  <si>
    <t>Nitro</t>
  </si>
  <si>
    <t>Nitro 4X4</t>
  </si>
  <si>
    <t>599 GTB Fiorano</t>
  </si>
  <si>
    <t>Edge</t>
  </si>
  <si>
    <t>Edge 4X4</t>
  </si>
  <si>
    <t>F-150 FFV</t>
  </si>
  <si>
    <t>F-150 FFV 4X4</t>
  </si>
  <si>
    <t>Freestyle 4X4</t>
  </si>
  <si>
    <t>Fusion AWD</t>
  </si>
  <si>
    <t>Acadia</t>
  </si>
  <si>
    <t>Acadia AWD</t>
  </si>
  <si>
    <t>Savana Cargo</t>
  </si>
  <si>
    <t>Savana Cargo FFV</t>
  </si>
  <si>
    <t>Savana Cargo AWD</t>
  </si>
  <si>
    <t>Savana Cargo AWD FFV</t>
  </si>
  <si>
    <t>Savana Cargo Conv</t>
  </si>
  <si>
    <t>Savana Cargo Conv FFV</t>
  </si>
  <si>
    <t>Savana Cargo Conv AWD</t>
  </si>
  <si>
    <t>Savana Cargo Conv AWD FFV</t>
  </si>
  <si>
    <t>Savana Passenger</t>
  </si>
  <si>
    <t>Savana Passenger FFV</t>
  </si>
  <si>
    <t>Savana Passenger AWD</t>
  </si>
  <si>
    <t>Savana Passenger AWD FFV</t>
  </si>
  <si>
    <t>Sierra</t>
  </si>
  <si>
    <t>Sierra FFV</t>
  </si>
  <si>
    <t>Sierra 4X4</t>
  </si>
  <si>
    <t>Sierra 4X4 FFV</t>
  </si>
  <si>
    <t>Sierra Denali AWD</t>
  </si>
  <si>
    <t>Sierra Classic</t>
  </si>
  <si>
    <t>Sierra Classic FFV</t>
  </si>
  <si>
    <t>Sierra Classic 4X4</t>
  </si>
  <si>
    <t>Sierra Classic 4X4 FFV</t>
  </si>
  <si>
    <t>Sierra Denali Classic AWD</t>
  </si>
  <si>
    <t>Sierra Hybrid Classic</t>
  </si>
  <si>
    <t>Sierra Hybrid Classic 4X4</t>
  </si>
  <si>
    <t>Yukon FFV</t>
  </si>
  <si>
    <t>Yukon 4X4 FFV</t>
  </si>
  <si>
    <t>Yukon Denali AWD</t>
  </si>
  <si>
    <t>Yukon XL</t>
  </si>
  <si>
    <t>Yukon XL FFV</t>
  </si>
  <si>
    <t>Yukon XL 4X4 FFV</t>
  </si>
  <si>
    <t>Yukon XL 4X4</t>
  </si>
  <si>
    <t>Element AWD</t>
  </si>
  <si>
    <t>Ridgeline AWD</t>
  </si>
  <si>
    <t>Entourage</t>
  </si>
  <si>
    <t>Tucson 4X4</t>
  </si>
  <si>
    <t>Veracruz 4X4</t>
  </si>
  <si>
    <t>G35x</t>
  </si>
  <si>
    <t>M35x</t>
  </si>
  <si>
    <t>XK</t>
  </si>
  <si>
    <t>XK Convertible</t>
  </si>
  <si>
    <t>Commander 4X4 FFV</t>
  </si>
  <si>
    <t>Compass</t>
  </si>
  <si>
    <t>Compass 4X4</t>
  </si>
  <si>
    <t>Grand Cherokee 4X4 CRD Turbo Diesel</t>
  </si>
  <si>
    <t>Grand Cherokee 4X4 FFV</t>
  </si>
  <si>
    <t>Patriot</t>
  </si>
  <si>
    <t>Patriot 4X4</t>
  </si>
  <si>
    <t>Patriot 4X4 Trail Rated</t>
  </si>
  <si>
    <t>Wrangler 4X4</t>
  </si>
  <si>
    <t>Wrangler Unlimited 4X4</t>
  </si>
  <si>
    <t>Rondo</t>
  </si>
  <si>
    <t>Gallardo</t>
  </si>
  <si>
    <t>Gallardo SL</t>
  </si>
  <si>
    <t>Gallardo Spyder</t>
  </si>
  <si>
    <t>Murcielargo</t>
  </si>
  <si>
    <t>ES 350</t>
  </si>
  <si>
    <t>GS 350</t>
  </si>
  <si>
    <t>GS 350 AWD</t>
  </si>
  <si>
    <t>GS 450h</t>
  </si>
  <si>
    <t>LS 460</t>
  </si>
  <si>
    <t>LS 460 L</t>
  </si>
  <si>
    <t>RX 350 AWD</t>
  </si>
  <si>
    <t>RX 400h AWD</t>
  </si>
  <si>
    <t>MKX</t>
  </si>
  <si>
    <t>MKX 4X4</t>
  </si>
  <si>
    <t>MKZ</t>
  </si>
  <si>
    <t>MKZ AWD</t>
  </si>
  <si>
    <t>CX-7 Turbo</t>
  </si>
  <si>
    <t>Mazda3 Turbo</t>
  </si>
  <si>
    <t>Mazda5</t>
  </si>
  <si>
    <t>B 200</t>
  </si>
  <si>
    <t>B 200 CVT</t>
  </si>
  <si>
    <t>C 230 Sport</t>
  </si>
  <si>
    <t>C 280 4MATIC</t>
  </si>
  <si>
    <t>C 350 4MATIC</t>
  </si>
  <si>
    <t>C 350 Sport</t>
  </si>
  <si>
    <t>CL 550</t>
  </si>
  <si>
    <t>CLK 350 Cabriolet</t>
  </si>
  <si>
    <t>CLK 350 Coupe</t>
  </si>
  <si>
    <t>CLK 550 Cabriolet</t>
  </si>
  <si>
    <t>CLK 550 Coupe</t>
  </si>
  <si>
    <t>CLK 63 AMG Cabriolet</t>
  </si>
  <si>
    <t>CLS 550</t>
  </si>
  <si>
    <t>CLS 63 AMG #</t>
  </si>
  <si>
    <t>E 280 4MATIC</t>
  </si>
  <si>
    <t>E 350 4MATIC</t>
  </si>
  <si>
    <t>E 350 4MATIC Wagon</t>
  </si>
  <si>
    <t>E 550 4MATIC</t>
  </si>
  <si>
    <t>E 63 AMG #</t>
  </si>
  <si>
    <t>E 63 AMG Wagon #</t>
  </si>
  <si>
    <t>GL 320 CDI</t>
  </si>
  <si>
    <t>GL 450</t>
  </si>
  <si>
    <t>Maybach 57S Turbo</t>
  </si>
  <si>
    <t>ML 320 CDI</t>
  </si>
  <si>
    <t>ML 63 AMG</t>
  </si>
  <si>
    <t>R 320 CDI</t>
  </si>
  <si>
    <t>R 350</t>
  </si>
  <si>
    <t>R 500</t>
  </si>
  <si>
    <t>R 63 AMG</t>
  </si>
  <si>
    <t>S 550V</t>
  </si>
  <si>
    <t>S 550V 4MATIC</t>
  </si>
  <si>
    <t>S 65 AMG</t>
  </si>
  <si>
    <t>SL 550</t>
  </si>
  <si>
    <t>SLK 280</t>
  </si>
  <si>
    <t>Endeavor 4X4</t>
  </si>
  <si>
    <t>Outlander 4X4</t>
  </si>
  <si>
    <t>Altima Hybrid</t>
  </si>
  <si>
    <t>Versa</t>
  </si>
  <si>
    <t>G5</t>
  </si>
  <si>
    <t>Montana SV6 FFV</t>
  </si>
  <si>
    <t>Solstice Turbo</t>
  </si>
  <si>
    <t>Wave 5</t>
  </si>
  <si>
    <t>911 GT3 RS</t>
  </si>
  <si>
    <t>Carrera 4 Targa</t>
  </si>
  <si>
    <t>Carrera 4S Targa</t>
  </si>
  <si>
    <t>Cayman</t>
  </si>
  <si>
    <t>Cayman S</t>
  </si>
  <si>
    <t>9-5 SportCombi Turbo</t>
  </si>
  <si>
    <t>Aura</t>
  </si>
  <si>
    <t>Aura Hybrid</t>
  </si>
  <si>
    <t>Outlook</t>
  </si>
  <si>
    <t>Outlook AWD</t>
  </si>
  <si>
    <t>Relay FFV</t>
  </si>
  <si>
    <t>SKY</t>
  </si>
  <si>
    <t>SKY Turbo</t>
  </si>
  <si>
    <t>Vue Hybrid</t>
  </si>
  <si>
    <t>B9 Tribeca</t>
  </si>
  <si>
    <t>Forester 2.5X</t>
  </si>
  <si>
    <t>Forester 2.5XS</t>
  </si>
  <si>
    <t>Forester 2.5XT</t>
  </si>
  <si>
    <t>Impreza 2.5i</t>
  </si>
  <si>
    <t>Impreza 2.5i Sport Wagon</t>
  </si>
  <si>
    <t>Impreza WRX</t>
  </si>
  <si>
    <t>Impreza WRX STI</t>
  </si>
  <si>
    <t>Impreza WRX Sport Wagon</t>
  </si>
  <si>
    <t>Legacy 2.5GT</t>
  </si>
  <si>
    <t>Legacy 2.5GT spec.B</t>
  </si>
  <si>
    <t>Legacy 2.5GT Wagon</t>
  </si>
  <si>
    <t>Legacy 2.5i</t>
  </si>
  <si>
    <t>Outback 2.5i Wagon</t>
  </si>
  <si>
    <t>Outback 2.5XT Wagon</t>
  </si>
  <si>
    <t>Outback 3.0R Wagon</t>
  </si>
  <si>
    <t>SX4</t>
  </si>
  <si>
    <t>SX4 JX</t>
  </si>
  <si>
    <t>SX4 JX/JLX AWD</t>
  </si>
  <si>
    <t>XL7</t>
  </si>
  <si>
    <t>XL7 AWD</t>
  </si>
  <si>
    <t>Camry Hybrid</t>
  </si>
  <si>
    <t>FJ Cruiser 4X4</t>
  </si>
  <si>
    <t>Highlander AWD</t>
  </si>
  <si>
    <t>Highlander Hybrid AWD</t>
  </si>
  <si>
    <t>RAV4 AWD</t>
  </si>
  <si>
    <t>Sienna AWD</t>
  </si>
  <si>
    <t>City Golf</t>
  </si>
  <si>
    <t>City Jetta</t>
  </si>
  <si>
    <t>Eos</t>
  </si>
  <si>
    <t>Rabbit</t>
  </si>
  <si>
    <t>C70 T5 Turbo</t>
  </si>
  <si>
    <t>V50 2.4i</t>
  </si>
  <si>
    <t>V50 T5 Turbo</t>
  </si>
  <si>
    <t>V50 T5 AWD Turbo</t>
  </si>
  <si>
    <t>XC90 3.2</t>
  </si>
  <si>
    <t>XC90 3.2 AWD</t>
  </si>
  <si>
    <t>A5 quattro</t>
  </si>
  <si>
    <t>R8</t>
  </si>
  <si>
    <t>S5</t>
  </si>
  <si>
    <t>128i Cabriolet</t>
  </si>
  <si>
    <t>128i Coupe</t>
  </si>
  <si>
    <t>135i Cabriolet</t>
  </si>
  <si>
    <t>135i Coupe</t>
  </si>
  <si>
    <t>335xi Coupe</t>
  </si>
  <si>
    <t>528xi</t>
  </si>
  <si>
    <t>535i</t>
  </si>
  <si>
    <t>535xi</t>
  </si>
  <si>
    <t>535xi Touring</t>
  </si>
  <si>
    <t>M3 Coupe</t>
  </si>
  <si>
    <t>M6</t>
  </si>
  <si>
    <t>X6 xDrive35i</t>
  </si>
  <si>
    <t>Enclave</t>
  </si>
  <si>
    <t>Enclave AWD</t>
  </si>
  <si>
    <t>CTS #</t>
  </si>
  <si>
    <t>CTS AWD</t>
  </si>
  <si>
    <t>CTS AWD #</t>
  </si>
  <si>
    <t>STS #</t>
  </si>
  <si>
    <t>STS AWD #</t>
  </si>
  <si>
    <t>Cobalt Turbo</t>
  </si>
  <si>
    <t>Colorado Chassis Cab 4X4</t>
  </si>
  <si>
    <t>HHR Turbo</t>
  </si>
  <si>
    <t>Malibu Hybrid</t>
  </si>
  <si>
    <t>Tahoe Hybrid</t>
  </si>
  <si>
    <t>Tahoe Hybrid 4X4</t>
  </si>
  <si>
    <t>Sebring Sedan</t>
  </si>
  <si>
    <t>Sebring Sedan FFV</t>
  </si>
  <si>
    <t>Sebring Sedan AWD</t>
  </si>
  <si>
    <t>Sebring Convertible FFV</t>
  </si>
  <si>
    <t>Avenger FFV</t>
  </si>
  <si>
    <t>Avenger AWD</t>
  </si>
  <si>
    <t>Caliber SRT4 #</t>
  </si>
  <si>
    <t>Dakota 4X4 FFV</t>
  </si>
  <si>
    <t>Viper SRT10 Convertible</t>
  </si>
  <si>
    <t>Viper SRT10 Coupe</t>
  </si>
  <si>
    <t>430 Scuderia</t>
  </si>
  <si>
    <t>Crown Victoria FFV</t>
  </si>
  <si>
    <t>Edge AWD</t>
  </si>
  <si>
    <t>Escape AWD</t>
  </si>
  <si>
    <t>Escape Hybrid AWD</t>
  </si>
  <si>
    <t>Grand Marquis FFV</t>
  </si>
  <si>
    <t>Taurus AWD</t>
  </si>
  <si>
    <t>Taurus X</t>
  </si>
  <si>
    <t>Taurus X AWD</t>
  </si>
  <si>
    <t>Canyon Chassis Cab 4X4</t>
  </si>
  <si>
    <t>Yukon Hybrid</t>
  </si>
  <si>
    <t>Yukon 4X4 Hybrid</t>
  </si>
  <si>
    <t>Accord Coupe</t>
  </si>
  <si>
    <t>Accord Sedan</t>
  </si>
  <si>
    <t>EX35 AWD</t>
  </si>
  <si>
    <t>G37 Coupe</t>
  </si>
  <si>
    <t>M45x</t>
  </si>
  <si>
    <t>Grand Cherokee 4X4 Turbo Diesel</t>
  </si>
  <si>
    <t>Murcielargo Roadster</t>
  </si>
  <si>
    <t>LR2 HSE 4X4</t>
  </si>
  <si>
    <t>LR2 SE 4X4</t>
  </si>
  <si>
    <t>LR3 V6 4X4</t>
  </si>
  <si>
    <t>LR3 V8 4X4</t>
  </si>
  <si>
    <t>Range Rover SC 4X4 #</t>
  </si>
  <si>
    <t>Range Rover Sport SC 4X4 #</t>
  </si>
  <si>
    <t>GS 460</t>
  </si>
  <si>
    <t>IS 350 AWD</t>
  </si>
  <si>
    <t>IS F</t>
  </si>
  <si>
    <t>LS 600h L AWD</t>
  </si>
  <si>
    <t>LX 570</t>
  </si>
  <si>
    <t>RX 350 4WD</t>
  </si>
  <si>
    <t>RX 400h 4WD</t>
  </si>
  <si>
    <t>MKX AWD</t>
  </si>
  <si>
    <t>Town Car FFV</t>
  </si>
  <si>
    <t>GranTurismo</t>
  </si>
  <si>
    <t>CX-7 4X4 Turbo</t>
  </si>
  <si>
    <t>CX-9</t>
  </si>
  <si>
    <t>CX-9 4X4</t>
  </si>
  <si>
    <t>Mazdaspeed 3 Turbo</t>
  </si>
  <si>
    <t>Tribute AWD</t>
  </si>
  <si>
    <t>C 230 4MATIC</t>
  </si>
  <si>
    <t>C 300 FFV</t>
  </si>
  <si>
    <t>C 300</t>
  </si>
  <si>
    <t>C 300 4MATIC</t>
  </si>
  <si>
    <t>C 350</t>
  </si>
  <si>
    <t>C 63 AMG</t>
  </si>
  <si>
    <t>CL 63 AMG</t>
  </si>
  <si>
    <t>CLK 350 Convertible</t>
  </si>
  <si>
    <t>CLK 550 Convertible</t>
  </si>
  <si>
    <t>CLK 63 AMG Convertible</t>
  </si>
  <si>
    <t>CLS 63 AMG</t>
  </si>
  <si>
    <t>E 300 4MATIC</t>
  </si>
  <si>
    <t>E 320 BlueTec Turbo</t>
  </si>
  <si>
    <t>E 63 AMG Sedan</t>
  </si>
  <si>
    <t>G 55 AMG Kompressor #</t>
  </si>
  <si>
    <t>GL 320 CDI 4MATIC Turbo</t>
  </si>
  <si>
    <t>GL 450 4MATC</t>
  </si>
  <si>
    <t>GL 550 4MATIC</t>
  </si>
  <si>
    <t>Maybach 62S Turbo</t>
  </si>
  <si>
    <t>ML 320 CDI 4MATIC Turbo</t>
  </si>
  <si>
    <t>ML 350 4MATIC</t>
  </si>
  <si>
    <t>ML 550 4MATIC</t>
  </si>
  <si>
    <t>R 320 CDI 4MATIC Turbo</t>
  </si>
  <si>
    <t>R 350 4MATIC</t>
  </si>
  <si>
    <t>R 550 4MATIC</t>
  </si>
  <si>
    <t>S 450 4MATIC</t>
  </si>
  <si>
    <t>S 550</t>
  </si>
  <si>
    <t>S 550 4MATIC</t>
  </si>
  <si>
    <t>S 600 Turbo</t>
  </si>
  <si>
    <t>S 63 AMG</t>
  </si>
  <si>
    <t>SLR McLaren #</t>
  </si>
  <si>
    <t>Cooper Clubman</t>
  </si>
  <si>
    <t>Cooper S Clubman</t>
  </si>
  <si>
    <t>Lancer Evolution</t>
  </si>
  <si>
    <t>Altima Coupe</t>
  </si>
  <si>
    <t>Rogue</t>
  </si>
  <si>
    <t>Rogue AWD</t>
  </si>
  <si>
    <t>Phantom EWB</t>
  </si>
  <si>
    <t>Phantom Drophead Coupe</t>
  </si>
  <si>
    <t>9-3 Sport Sedan Turbo</t>
  </si>
  <si>
    <t>9-3 Sport Sedan AWD Turbo</t>
  </si>
  <si>
    <t>9-3 SportCombi AWD Turbo</t>
  </si>
  <si>
    <t>9-5 Sedan Turbo</t>
  </si>
  <si>
    <t>Astra</t>
  </si>
  <si>
    <t>fortwo convertible</t>
  </si>
  <si>
    <t>fortwo coupe</t>
  </si>
  <si>
    <t>Legacy 2.5GT Ltd</t>
  </si>
  <si>
    <t>Legacy 2.5GT Ltd Wagon</t>
  </si>
  <si>
    <t>Legacy 2.5i Wagon</t>
  </si>
  <si>
    <t>Legacy 2.5i Ltd</t>
  </si>
  <si>
    <t>Legacy 2.5i Ltd Wagon</t>
  </si>
  <si>
    <t>Outback Ltd Wagon</t>
  </si>
  <si>
    <t>Outback 2.5XT Ltd Wagon</t>
  </si>
  <si>
    <t>Tribeca AWD</t>
  </si>
  <si>
    <t>SX4 Sedan</t>
  </si>
  <si>
    <t>SX4 Sedan Sport</t>
  </si>
  <si>
    <t>4Runner 4WD</t>
  </si>
  <si>
    <t>FJ Cruiser 4WD</t>
  </si>
  <si>
    <t>Highlander 4WD</t>
  </si>
  <si>
    <t>Highlander Hybrid 4WD</t>
  </si>
  <si>
    <t>RAV4 4WD</t>
  </si>
  <si>
    <t>Sequoia 4WD</t>
  </si>
  <si>
    <t>Tacoma 4WD</t>
  </si>
  <si>
    <t>Tundra 4WD</t>
  </si>
  <si>
    <t>Jetta Sportwagon</t>
  </si>
  <si>
    <t>C30 2.4i</t>
  </si>
  <si>
    <t>C30 T5</t>
  </si>
  <si>
    <t>C70 T5</t>
  </si>
  <si>
    <t>S40 T5</t>
  </si>
  <si>
    <t>S40 T5 AWD</t>
  </si>
  <si>
    <t>S60 T5</t>
  </si>
  <si>
    <t>S60 2.5T</t>
  </si>
  <si>
    <t>S60 2.5T AWD</t>
  </si>
  <si>
    <t>S80 T6 AWD</t>
  </si>
  <si>
    <t>S80 3.2</t>
  </si>
  <si>
    <t>S80 3.2 AWD</t>
  </si>
  <si>
    <t>S80 V8 AWD</t>
  </si>
  <si>
    <t>V50 2.4</t>
  </si>
  <si>
    <t>V50 T5</t>
  </si>
  <si>
    <t>V50 T5 AWD</t>
  </si>
  <si>
    <t>V70 3.2</t>
  </si>
  <si>
    <t>XC70 3.2 AWD</t>
  </si>
  <si>
    <t>TL AWD</t>
  </si>
  <si>
    <t>DB9</t>
  </si>
  <si>
    <t>DBS #</t>
  </si>
  <si>
    <t>Arnage RL</t>
  </si>
  <si>
    <t>323i Sedan</t>
  </si>
  <si>
    <t>328i Sedan</t>
  </si>
  <si>
    <t>328i xDrive Sedan</t>
  </si>
  <si>
    <t>328i xDrive Coupe</t>
  </si>
  <si>
    <t>328i xDrive Touring</t>
  </si>
  <si>
    <t>335d Sedan</t>
  </si>
  <si>
    <t>335i Sedan</t>
  </si>
  <si>
    <t>335i xDrive Sedan</t>
  </si>
  <si>
    <t>335i xDrive Coupe</t>
  </si>
  <si>
    <t>528i Sedan</t>
  </si>
  <si>
    <t>528i xDrive Sedan</t>
  </si>
  <si>
    <t>535i xDrive Sedan</t>
  </si>
  <si>
    <t>535i xDrive Touring</t>
  </si>
  <si>
    <t>550i Sedan</t>
  </si>
  <si>
    <t>M3 Sedan</t>
  </si>
  <si>
    <t>M3 Cabriolet</t>
  </si>
  <si>
    <t>M5 Sedan</t>
  </si>
  <si>
    <t>X3 xDrive 30i</t>
  </si>
  <si>
    <t>X5 xDrive 30i</t>
  </si>
  <si>
    <t>X5 xDrive 35d</t>
  </si>
  <si>
    <t>X5 xDrive 48i</t>
  </si>
  <si>
    <t>X6 xDrive 35i</t>
  </si>
  <si>
    <t>X6 xDrive 50i</t>
  </si>
  <si>
    <t>Lucerne FFV</t>
  </si>
  <si>
    <t>Escalade AWD FFV</t>
  </si>
  <si>
    <t>Cobalt XFE</t>
  </si>
  <si>
    <t>HHR FFV</t>
  </si>
  <si>
    <t>HHR Panel FFV</t>
  </si>
  <si>
    <t>HHR Panel Turbo</t>
  </si>
  <si>
    <t>Malibu FFV</t>
  </si>
  <si>
    <t>Silverado XFE FFV</t>
  </si>
  <si>
    <t>Silverado Hybrid</t>
  </si>
  <si>
    <t>Silverado 4X4 Hybrid</t>
  </si>
  <si>
    <t>Tahoe XFE FFV</t>
  </si>
  <si>
    <t>Traverse AWD</t>
  </si>
  <si>
    <t>Aspen 4X4 Hybrid</t>
  </si>
  <si>
    <t>Challenger</t>
  </si>
  <si>
    <t>Challenger (MDS)</t>
  </si>
  <si>
    <t>Challenger SRT8</t>
  </si>
  <si>
    <t>Journey</t>
  </si>
  <si>
    <t>Journey AWD</t>
  </si>
  <si>
    <t>430 Scuderi</t>
  </si>
  <si>
    <t>F-150 SFE</t>
  </si>
  <si>
    <t>F-150 4X4 FFV</t>
  </si>
  <si>
    <t>Flex</t>
  </si>
  <si>
    <t>Flex AWD</t>
  </si>
  <si>
    <t>Sierra XFE FFV</t>
  </si>
  <si>
    <t>Sierra Denali 4X4 FFV</t>
  </si>
  <si>
    <t>Sierra Hybrid</t>
  </si>
  <si>
    <t>Sierra 4X4 Hybrid</t>
  </si>
  <si>
    <t>Yukon XFE FFV</t>
  </si>
  <si>
    <t>Yukon Denali AWD FFV</t>
  </si>
  <si>
    <t>Yukon Hybrid 4X4</t>
  </si>
  <si>
    <t>H3T 4X4</t>
  </si>
  <si>
    <t>Elantra Touring</t>
  </si>
  <si>
    <t>Veracruz</t>
  </si>
  <si>
    <t>FX50 AWD</t>
  </si>
  <si>
    <t>G37</t>
  </si>
  <si>
    <t>G37 Sport</t>
  </si>
  <si>
    <t>G37 Coupe Sport</t>
  </si>
  <si>
    <t>G37x AWD</t>
  </si>
  <si>
    <t>G37x AWD Coupe</t>
  </si>
  <si>
    <t>QX56 4WD</t>
  </si>
  <si>
    <t>XF</t>
  </si>
  <si>
    <t>XF Supercharged #</t>
  </si>
  <si>
    <t>XJ8L</t>
  </si>
  <si>
    <t>Borrego 4X4</t>
  </si>
  <si>
    <t>Murcielago</t>
  </si>
  <si>
    <t>Murcielago Roadster</t>
  </si>
  <si>
    <t>LS 460 AWD</t>
  </si>
  <si>
    <t>LS 460 L AWD</t>
  </si>
  <si>
    <t>LS 600h L</t>
  </si>
  <si>
    <t>MKS</t>
  </si>
  <si>
    <t>MKS AWD</t>
  </si>
  <si>
    <t>Mazdaspeed3 Turbo</t>
  </si>
  <si>
    <t>C 300 (FFV)</t>
  </si>
  <si>
    <t>CL 550 4MATIC</t>
  </si>
  <si>
    <t>CLK 350</t>
  </si>
  <si>
    <t>CLK 550</t>
  </si>
  <si>
    <t>CLK 63 AMG</t>
  </si>
  <si>
    <t>E 320 BlueTec</t>
  </si>
  <si>
    <t>E 63 AMG</t>
  </si>
  <si>
    <t>G 550</t>
  </si>
  <si>
    <t>GL 320 BlueTec 4MATIC</t>
  </si>
  <si>
    <t>GL 450 4MATIC</t>
  </si>
  <si>
    <t>Maybach 57S</t>
  </si>
  <si>
    <t>Maybach 62S</t>
  </si>
  <si>
    <t>ML 320 BlueTec 4MATIC</t>
  </si>
  <si>
    <t>R 320 BlueTec 4MATIC</t>
  </si>
  <si>
    <t>SL 63 AMG</t>
  </si>
  <si>
    <t>SLK 300</t>
  </si>
  <si>
    <t>John Cooper Works</t>
  </si>
  <si>
    <t>John Cooper Works Clubman</t>
  </si>
  <si>
    <t>John Cooper Works Convertible</t>
  </si>
  <si>
    <t>Galant #</t>
  </si>
  <si>
    <t>Lancer Evolution Turbo</t>
  </si>
  <si>
    <t>370Z Coupe</t>
  </si>
  <si>
    <t>GT-R Turbo</t>
  </si>
  <si>
    <t>G3 Wave</t>
  </si>
  <si>
    <t>G3 Wave 5</t>
  </si>
  <si>
    <t>G5 XFE</t>
  </si>
  <si>
    <t>G6 FFV</t>
  </si>
  <si>
    <t>G8</t>
  </si>
  <si>
    <t>Carrera</t>
  </si>
  <si>
    <t>Carrera 4</t>
  </si>
  <si>
    <t>Carrera Cabriolet</t>
  </si>
  <si>
    <t>Carrera S</t>
  </si>
  <si>
    <t>Carrera 4S</t>
  </si>
  <si>
    <t>Carrera S Cabriolet</t>
  </si>
  <si>
    <t>Cayenne GTS</t>
  </si>
  <si>
    <t>Cayenne Turbo S</t>
  </si>
  <si>
    <t>Phantom Coupe</t>
  </si>
  <si>
    <t>fortwo</t>
  </si>
  <si>
    <t>fortwo cabriolet</t>
  </si>
  <si>
    <t>Forester 2.5XS Ltd</t>
  </si>
  <si>
    <t>Forester 2.5XT Turbo</t>
  </si>
  <si>
    <t>Impreza 2.5i Wagon</t>
  </si>
  <si>
    <t>Impreza STI Turbo</t>
  </si>
  <si>
    <t>Impreza WRX Turbo</t>
  </si>
  <si>
    <t>Impreza WRX Wagon Turbo</t>
  </si>
  <si>
    <t>Legacy 3.0R Ltd</t>
  </si>
  <si>
    <t>Outback 2.5i</t>
  </si>
  <si>
    <t>Outback 3.0R</t>
  </si>
  <si>
    <t>Tribeca</t>
  </si>
  <si>
    <t>Equator</t>
  </si>
  <si>
    <t>Equator 4X4</t>
  </si>
  <si>
    <t>SX4 AWD</t>
  </si>
  <si>
    <t>Venza</t>
  </si>
  <si>
    <t>Venza AWD</t>
  </si>
  <si>
    <t>Jetta TDI (modified)</t>
  </si>
  <si>
    <t>Jetta Wagon TDI (modified)</t>
  </si>
  <si>
    <t>Passat CC</t>
  </si>
  <si>
    <t>Passat CC 4MOTION</t>
  </si>
  <si>
    <t>Routan</t>
  </si>
  <si>
    <t>Tiguan</t>
  </si>
  <si>
    <t>Tiguan 4MOTION</t>
  </si>
  <si>
    <t>C30 T5 Turbo</t>
  </si>
  <si>
    <t>S80 T6 AWD Turbo</t>
  </si>
  <si>
    <t>XC70 T6 AWD Turbo</t>
  </si>
  <si>
    <t>DBS</t>
  </si>
  <si>
    <t>A3 TDI (modified)</t>
  </si>
  <si>
    <t>A5 Cabriolet quattro</t>
  </si>
  <si>
    <t>A5 Coupe</t>
  </si>
  <si>
    <t>Q5</t>
  </si>
  <si>
    <t>Q7 TDI (modified)</t>
  </si>
  <si>
    <t>S5 Cabriolet</t>
  </si>
  <si>
    <t>S5 Coupe</t>
  </si>
  <si>
    <t>Continental Supersports</t>
  </si>
  <si>
    <t>328i xDrive</t>
  </si>
  <si>
    <t>335d</t>
  </si>
  <si>
    <t>335i xDrive</t>
  </si>
  <si>
    <t>528i xDrive</t>
  </si>
  <si>
    <t>535i xDrive</t>
  </si>
  <si>
    <t>535i Gran Turismo</t>
  </si>
  <si>
    <t>550i Gran Turismo</t>
  </si>
  <si>
    <t>750i xDrive</t>
  </si>
  <si>
    <t>750Li xDrive</t>
  </si>
  <si>
    <t>ActiveHybrid X6</t>
  </si>
  <si>
    <t>X3 xDrive28i</t>
  </si>
  <si>
    <t>X3 xDrive30i</t>
  </si>
  <si>
    <t>X5 xDrive30i</t>
  </si>
  <si>
    <t>X5 xDrive35d</t>
  </si>
  <si>
    <t>X5 xDrive48i</t>
  </si>
  <si>
    <t>X5 M</t>
  </si>
  <si>
    <t>X6 xDrive50i</t>
  </si>
  <si>
    <t>X6 M</t>
  </si>
  <si>
    <t>Z4 sDrive30i</t>
  </si>
  <si>
    <t>Z4 sDrive35i</t>
  </si>
  <si>
    <t>Veyron</t>
  </si>
  <si>
    <t>LaCrosse</t>
  </si>
  <si>
    <t>LaCrosse AWD</t>
  </si>
  <si>
    <t>CTS Sport Wagon</t>
  </si>
  <si>
    <t>CTS Sport Wagon AWD</t>
  </si>
  <si>
    <t>CTS-V</t>
  </si>
  <si>
    <t>Camaro SS</t>
  </si>
  <si>
    <t>Cobalt SS</t>
  </si>
  <si>
    <t>Colorado 4WD</t>
  </si>
  <si>
    <t>Colorado Crew Cab 4WD</t>
  </si>
  <si>
    <t>Colorado Chassis Cab 4WD</t>
  </si>
  <si>
    <t>Corvette Z06</t>
  </si>
  <si>
    <t>Corvette ZR1</t>
  </si>
  <si>
    <t>HHR SS</t>
  </si>
  <si>
    <t>Silverado XFE</t>
  </si>
  <si>
    <t>Silverado 4WD</t>
  </si>
  <si>
    <t>Silverado Hybrid 4WD</t>
  </si>
  <si>
    <t>Tahoe 4WD</t>
  </si>
  <si>
    <t>Tahoe Hybrid 4WD</t>
  </si>
  <si>
    <t>California</t>
  </si>
  <si>
    <t>Escape FFV</t>
  </si>
  <si>
    <t>Escape 4X4 FFV</t>
  </si>
  <si>
    <t>Expedition 4X4 FFV</t>
  </si>
  <si>
    <t>Fusion S</t>
  </si>
  <si>
    <t>Fusion Hybrid</t>
  </si>
  <si>
    <t>Transit Connect</t>
  </si>
  <si>
    <t>Canyon 4WD</t>
  </si>
  <si>
    <t>Canyon Crew Cab 4WD</t>
  </si>
  <si>
    <t>Canyon Chassis Cab 4WD</t>
  </si>
  <si>
    <t>Sierra XFE</t>
  </si>
  <si>
    <t>Sierra 4WD</t>
  </si>
  <si>
    <t>Sierra Hybrid 4WD</t>
  </si>
  <si>
    <t>Terrain</t>
  </si>
  <si>
    <t>Terrain AWD</t>
  </si>
  <si>
    <t>Yukon 4WD</t>
  </si>
  <si>
    <t>Yukon Hybrid 4WD</t>
  </si>
  <si>
    <t>Accord Crosstour</t>
  </si>
  <si>
    <t>Accord Crosstour AWD</t>
  </si>
  <si>
    <t>Insight EX</t>
  </si>
  <si>
    <t>H3 4WD</t>
  </si>
  <si>
    <t>H3T 4WD</t>
  </si>
  <si>
    <t>Elantra Blue</t>
  </si>
  <si>
    <t>Genesis Coupe</t>
  </si>
  <si>
    <t>Santa Fe 4WD</t>
  </si>
  <si>
    <t>Tucson 4WD</t>
  </si>
  <si>
    <t>Veracruz 4WD</t>
  </si>
  <si>
    <t>G37 Convertible</t>
  </si>
  <si>
    <t>G37x</t>
  </si>
  <si>
    <t>G37x Coupe</t>
  </si>
  <si>
    <t>XF 4.2</t>
  </si>
  <si>
    <t>XF 5.0</t>
  </si>
  <si>
    <t>XF 5.0 Supercharged</t>
  </si>
  <si>
    <t>XK 5.0 Convertible</t>
  </si>
  <si>
    <t>XK 5.0 Coupe</t>
  </si>
  <si>
    <t>XK-R 5.0 Convertible</t>
  </si>
  <si>
    <t>XK-R 5.0 Coupe</t>
  </si>
  <si>
    <t>Borrego</t>
  </si>
  <si>
    <t>Borrego 4WD</t>
  </si>
  <si>
    <t>Forte</t>
  </si>
  <si>
    <t>Soul</t>
  </si>
  <si>
    <t>Sportage 4WD</t>
  </si>
  <si>
    <t>LR2</t>
  </si>
  <si>
    <t>LR4 V8</t>
  </si>
  <si>
    <t>Range Rover</t>
  </si>
  <si>
    <t>Range Rover Supercharged</t>
  </si>
  <si>
    <t>Range Rover Sport SC</t>
  </si>
  <si>
    <t>GX 460</t>
  </si>
  <si>
    <t>HS 250h</t>
  </si>
  <si>
    <t>IS 250C</t>
  </si>
  <si>
    <t>IS 350C</t>
  </si>
  <si>
    <t>RX 350</t>
  </si>
  <si>
    <t>RX 450h</t>
  </si>
  <si>
    <t>RX 450h AWD</t>
  </si>
  <si>
    <t>MKT AWD</t>
  </si>
  <si>
    <t>CX-7</t>
  </si>
  <si>
    <t>CX-7 4WD</t>
  </si>
  <si>
    <t>CX-9 4WD</t>
  </si>
  <si>
    <t>Mazdaspeed3</t>
  </si>
  <si>
    <t>Tribute FFV</t>
  </si>
  <si>
    <t>Tribute 4X4 FFV</t>
  </si>
  <si>
    <t>C 250</t>
  </si>
  <si>
    <t>C 250 4MATIC</t>
  </si>
  <si>
    <t>E 350 Coupe</t>
  </si>
  <si>
    <t>E 550 Coupe</t>
  </si>
  <si>
    <t>GL 350 BlueTec</t>
  </si>
  <si>
    <t>GLK 350 4MATIC</t>
  </si>
  <si>
    <t>Maybach 57 Zeppelin</t>
  </si>
  <si>
    <t>Maybach 62 Zeppelin</t>
  </si>
  <si>
    <t>ML 350 BlueTec</t>
  </si>
  <si>
    <t>R 350 BlueTec</t>
  </si>
  <si>
    <t>S 400 Hybrid</t>
  </si>
  <si>
    <t>370Z</t>
  </si>
  <si>
    <t>370Z Roadster</t>
  </si>
  <si>
    <t>Armada 4WD</t>
  </si>
  <si>
    <t>Cube</t>
  </si>
  <si>
    <t>Frontier 4WD</t>
  </si>
  <si>
    <t>GT-R</t>
  </si>
  <si>
    <t>Pathfinder 4WD</t>
  </si>
  <si>
    <t>Titan 4WD</t>
  </si>
  <si>
    <t>Xterra 4WD</t>
  </si>
  <si>
    <t>G3</t>
  </si>
  <si>
    <t>G3 Hatchback</t>
  </si>
  <si>
    <t>911 Carrera S</t>
  </si>
  <si>
    <t>911 Carrera S Cabriolet</t>
  </si>
  <si>
    <t>911 Carrera 4S Cabriolet</t>
  </si>
  <si>
    <t>911 Targa 4</t>
  </si>
  <si>
    <t>911 Targa 4S</t>
  </si>
  <si>
    <t>Panamera S</t>
  </si>
  <si>
    <t>Panamera 4S</t>
  </si>
  <si>
    <t>Panamera Turbo</t>
  </si>
  <si>
    <t>Ghost</t>
  </si>
  <si>
    <t>Forester 2.5X Ltd</t>
  </si>
  <si>
    <t>Forester 2.5X Touring</t>
  </si>
  <si>
    <t>Forester 2.5XT Ltd Turbo</t>
  </si>
  <si>
    <t>Forester PZEV</t>
  </si>
  <si>
    <t>Impreza 2.5i Ltd</t>
  </si>
  <si>
    <t>Impreza 2.5i Ltd Wagon</t>
  </si>
  <si>
    <t>Impreza 2.5i Sport</t>
  </si>
  <si>
    <t>Impreza GT Turbo</t>
  </si>
  <si>
    <t>Impreza GT Wagon Turbo</t>
  </si>
  <si>
    <t>Legacy 2.5i PZEV</t>
  </si>
  <si>
    <t>Legacy 2.5i Sport</t>
  </si>
  <si>
    <t>Legacy 2.5GT Turbo</t>
  </si>
  <si>
    <t>Legacy 3.6R</t>
  </si>
  <si>
    <t>Legacy 3.6R Ltd</t>
  </si>
  <si>
    <t>Outback 2.5i Ltd</t>
  </si>
  <si>
    <t>Outback 2.5i Sport</t>
  </si>
  <si>
    <t>Outback 3.6R</t>
  </si>
  <si>
    <t>Outback 3.6R Ltd</t>
  </si>
  <si>
    <t>Outback PZEV</t>
  </si>
  <si>
    <t>SX4 Hatch</t>
  </si>
  <si>
    <t>SX4 JLX Hatch</t>
  </si>
  <si>
    <t>SX4 JX Hatch</t>
  </si>
  <si>
    <t>SX4 AWD Hatch</t>
  </si>
  <si>
    <t>Sienna 4WD</t>
  </si>
  <si>
    <t>CC</t>
  </si>
  <si>
    <t>CC 4MOTION</t>
  </si>
  <si>
    <t>Golf TDI (modified)</t>
  </si>
  <si>
    <t>Golf Wagon TDI (modified)</t>
  </si>
  <si>
    <t>Golf Wagon</t>
  </si>
  <si>
    <t>Touareg TDI (modified)</t>
  </si>
  <si>
    <t>XC60 T6 AWD</t>
  </si>
  <si>
    <t>XC60 3.2</t>
  </si>
  <si>
    <t>XC60 3.2 AWD</t>
  </si>
  <si>
    <t>XC70 T6 AWD</t>
  </si>
  <si>
    <t>ZDX AWD</t>
  </si>
  <si>
    <t>Rapide</t>
  </si>
  <si>
    <t>V8 Vantage S</t>
  </si>
  <si>
    <t>V12 Vantage</t>
  </si>
  <si>
    <t>A5 Cabriolet</t>
  </si>
  <si>
    <t>A6 Avant</t>
  </si>
  <si>
    <t>R8 Coupe</t>
  </si>
  <si>
    <t>R8 Spyder</t>
  </si>
  <si>
    <t>TTS Coupe</t>
  </si>
  <si>
    <t>TTS Roadster</t>
  </si>
  <si>
    <t>Continental Supersports Conv</t>
  </si>
  <si>
    <t>Mulsanne</t>
  </si>
  <si>
    <t>1 Series M Coupe</t>
  </si>
  <si>
    <t>335is Cabriolet</t>
  </si>
  <si>
    <t>335is Coupe</t>
  </si>
  <si>
    <t>535i xDrive Gran Turismo</t>
  </si>
  <si>
    <t>550i xDrive</t>
  </si>
  <si>
    <t>550i xDrive Gran Turismo</t>
  </si>
  <si>
    <t>ActiveHybrid 7 L</t>
  </si>
  <si>
    <t>Alpina B7 xDrive</t>
  </si>
  <si>
    <t>X3 xDrive35i</t>
  </si>
  <si>
    <t>X5 xDrive35i</t>
  </si>
  <si>
    <t>X5 xDrive50i</t>
  </si>
  <si>
    <t>Z4 sDrive35is</t>
  </si>
  <si>
    <t>CTS-V Sport Wagon</t>
  </si>
  <si>
    <t>Escalade Hybrid 4WD</t>
  </si>
  <si>
    <t>Avalanche 4WD</t>
  </si>
  <si>
    <t>Cruze</t>
  </si>
  <si>
    <t>Cruze Eco</t>
  </si>
  <si>
    <t>Express 2500 Passenger</t>
  </si>
  <si>
    <t>Express 3500 Passenger</t>
  </si>
  <si>
    <t>Suburban HD</t>
  </si>
  <si>
    <t>Suburban 4WD</t>
  </si>
  <si>
    <t>Suburban 4WD HD</t>
  </si>
  <si>
    <t>200 Sedan</t>
  </si>
  <si>
    <t>200 Sedan FFV</t>
  </si>
  <si>
    <t>200 Convertible</t>
  </si>
  <si>
    <t>200 Convertible FFV</t>
  </si>
  <si>
    <t>300 FFV</t>
  </si>
  <si>
    <t>300C (FuelSaver MDS)</t>
  </si>
  <si>
    <t>300C AWD (FuelSaver MDS)</t>
  </si>
  <si>
    <t>Town &amp; Country FFV</t>
  </si>
  <si>
    <t>Challenger (FuelSaver MDS)</t>
  </si>
  <si>
    <t>Challenger SRT8 392 (FuelSaver MDS)</t>
  </si>
  <si>
    <t>Challenger SRT8 392</t>
  </si>
  <si>
    <t>Charger FFV</t>
  </si>
  <si>
    <t>Charger (FuelSaver MDS)</t>
  </si>
  <si>
    <t>Charger AWD (FuelSaver MDS)</t>
  </si>
  <si>
    <t>Durango AWD FFV</t>
  </si>
  <si>
    <t>Durango AWD (FuelSaver MDS)</t>
  </si>
  <si>
    <t>Journey FFV</t>
  </si>
  <si>
    <t>Ram 1500 (FuelSaver MDS)</t>
  </si>
  <si>
    <t>Ram 1500 4X4 (FuelSaver MDS)</t>
  </si>
  <si>
    <t>E150 Van FFV</t>
  </si>
  <si>
    <t>E150 Wagon FFV</t>
  </si>
  <si>
    <t>E350 Wagon FFV</t>
  </si>
  <si>
    <t>E350 Wagon</t>
  </si>
  <si>
    <t>Explorer 4WD</t>
  </si>
  <si>
    <t>F-150 Raptor 4X4</t>
  </si>
  <si>
    <t>Fiesta</t>
  </si>
  <si>
    <t>Fiesta SFE</t>
  </si>
  <si>
    <t>Fusion FFV</t>
  </si>
  <si>
    <t>Fusion FFV AWD</t>
  </si>
  <si>
    <t>Mustang Convertible</t>
  </si>
  <si>
    <t>Taurus AWD Turbo</t>
  </si>
  <si>
    <t>Savana 2500 Passenger</t>
  </si>
  <si>
    <t>Savana 3500 Passenger</t>
  </si>
  <si>
    <t>Yukon Denali Hybrid 4WD</t>
  </si>
  <si>
    <t>Yukon XL HD</t>
  </si>
  <si>
    <t>Yukon XL 4WD</t>
  </si>
  <si>
    <t>Yukon XL 4WD HD</t>
  </si>
  <si>
    <t>Yukon XL Denali AWD</t>
  </si>
  <si>
    <t>CR-Z</t>
  </si>
  <si>
    <t>Insight DX/LX</t>
  </si>
  <si>
    <t>Odyssey Touring</t>
  </si>
  <si>
    <t>Equus</t>
  </si>
  <si>
    <t>Sonata Hybrid</t>
  </si>
  <si>
    <t>G25</t>
  </si>
  <si>
    <t>G25x</t>
  </si>
  <si>
    <t>M37</t>
  </si>
  <si>
    <t>M37x</t>
  </si>
  <si>
    <t>M56</t>
  </si>
  <si>
    <t>M56x</t>
  </si>
  <si>
    <t>XFR</t>
  </si>
  <si>
    <t>XJ</t>
  </si>
  <si>
    <t>XJ Supercharged</t>
  </si>
  <si>
    <t>XJ Supersport</t>
  </si>
  <si>
    <t>XJL</t>
  </si>
  <si>
    <t>XJL Supercharged</t>
  </si>
  <si>
    <t>XJL Supersport</t>
  </si>
  <si>
    <t>XK Coupe</t>
  </si>
  <si>
    <t>XKR Convertible</t>
  </si>
  <si>
    <t>XKR Coupe</t>
  </si>
  <si>
    <t>Grand Cherokee 4X4 (FuelSaver MDS)</t>
  </si>
  <si>
    <t>Forte Koup</t>
  </si>
  <si>
    <t>Optima</t>
  </si>
  <si>
    <t>Optima Hybrid</t>
  </si>
  <si>
    <t>Sorento 4WD</t>
  </si>
  <si>
    <t>LR4</t>
  </si>
  <si>
    <t>Range Rover HSE</t>
  </si>
  <si>
    <t>Range Rover Sport HSE</t>
  </si>
  <si>
    <t>CT 200h</t>
  </si>
  <si>
    <t>MKZ Hybrid</t>
  </si>
  <si>
    <t>Navigator 4X4 FFV</t>
  </si>
  <si>
    <t>GranTurismo Convertible</t>
  </si>
  <si>
    <t>Mazda2</t>
  </si>
  <si>
    <t>E 350 BlueTec</t>
  </si>
  <si>
    <t>E 350 Cabriolet</t>
  </si>
  <si>
    <t>E 550 Cabriolet</t>
  </si>
  <si>
    <t>GL 350 BlueTec 4MATIC</t>
  </si>
  <si>
    <t>ML 350 BlueTec 4MATIC</t>
  </si>
  <si>
    <t>ML 63 AMG 4MATIC</t>
  </si>
  <si>
    <t>R 350 BlueTec 4MATIC</t>
  </si>
  <si>
    <t>SLS AMG</t>
  </si>
  <si>
    <t>Cooper Countryman</t>
  </si>
  <si>
    <t>Cooper S Countryman</t>
  </si>
  <si>
    <t>Cooper S Countryman ALL4</t>
  </si>
  <si>
    <t>RVR</t>
  </si>
  <si>
    <t>RVR 4WD</t>
  </si>
  <si>
    <t>Juke</t>
  </si>
  <si>
    <t>Juke AWD</t>
  </si>
  <si>
    <t>911 GT2RS</t>
  </si>
  <si>
    <t>911 GT3RS</t>
  </si>
  <si>
    <t>911 GT3RS 4.0</t>
  </si>
  <si>
    <t>911 GTS</t>
  </si>
  <si>
    <t>911 GTS Cabriolet</t>
  </si>
  <si>
    <t>911 Speedster</t>
  </si>
  <si>
    <t>911 Turbo S Cabriolet</t>
  </si>
  <si>
    <t>Boxster Spyder</t>
  </si>
  <si>
    <t>Cayenne S Hybrid</t>
  </si>
  <si>
    <t>Panamera</t>
  </si>
  <si>
    <t>Panamera 4</t>
  </si>
  <si>
    <t>tC</t>
  </si>
  <si>
    <t>xB</t>
  </si>
  <si>
    <t>xD</t>
  </si>
  <si>
    <t>Equator V6 4X4</t>
  </si>
  <si>
    <t>Kizashi AWD</t>
  </si>
  <si>
    <t>Kizashi S</t>
  </si>
  <si>
    <t>Kizashi Sport</t>
  </si>
  <si>
    <t>SX4 JA</t>
  </si>
  <si>
    <t>SX4 JX/JLX</t>
  </si>
  <si>
    <t>SX4 Sedan JA</t>
  </si>
  <si>
    <t>Routan FFV</t>
  </si>
  <si>
    <t>S60 T6 AWD</t>
  </si>
  <si>
    <t>Virage</t>
  </si>
  <si>
    <t>A7</t>
  </si>
  <si>
    <t>TT RS Coupe</t>
  </si>
  <si>
    <t>650i xDrive Cabriolet</t>
  </si>
  <si>
    <t>650i xDrive Coupe</t>
  </si>
  <si>
    <t>X1 xDrive28i</t>
  </si>
  <si>
    <t>Z4 sDrive28i</t>
  </si>
  <si>
    <t>LaCrosse eAssist</t>
  </si>
  <si>
    <t>Regal eAssist</t>
  </si>
  <si>
    <t>Regal GS</t>
  </si>
  <si>
    <t>Verano</t>
  </si>
  <si>
    <t>Camaro 2LS</t>
  </si>
  <si>
    <t>Camaro ZL1</t>
  </si>
  <si>
    <t>Express 1500 Cargo</t>
  </si>
  <si>
    <t>Express 1500 Cargo AWD</t>
  </si>
  <si>
    <t>Express 1500 Cargo Conv</t>
  </si>
  <si>
    <t>Express 1500 Cargo Conv AWD</t>
  </si>
  <si>
    <t>Express 1500 Passenger</t>
  </si>
  <si>
    <t>Express 1500 Passenger AWD</t>
  </si>
  <si>
    <t>Orlando</t>
  </si>
  <si>
    <t>Sonic</t>
  </si>
  <si>
    <t>Sonic 5</t>
  </si>
  <si>
    <t>200 FFV</t>
  </si>
  <si>
    <t>300 SRT8 (FuelSaver MDS)</t>
  </si>
  <si>
    <t>300 AWD FFV</t>
  </si>
  <si>
    <t>Charger SRT8 (FuelSaver MDS)</t>
  </si>
  <si>
    <t>Charger AWD FFV</t>
  </si>
  <si>
    <t>500 Abarth</t>
  </si>
  <si>
    <t>Focus SFE</t>
  </si>
  <si>
    <t>Transit Connect Van</t>
  </si>
  <si>
    <t>Transit Connect Wagon</t>
  </si>
  <si>
    <t>Savana 1500 Cargo</t>
  </si>
  <si>
    <t>Savana 1500 Cargo AWD</t>
  </si>
  <si>
    <t>Savana 1500 Cargo Conv</t>
  </si>
  <si>
    <t>Savana 1500 Cargo Conv AWD</t>
  </si>
  <si>
    <t>Savana 1500 Passenger</t>
  </si>
  <si>
    <t>Savana 1500 Passenger AWD</t>
  </si>
  <si>
    <t>Insight LX</t>
  </si>
  <si>
    <t>Genesis R-Spec</t>
  </si>
  <si>
    <t>Veloster</t>
  </si>
  <si>
    <t>M35h</t>
  </si>
  <si>
    <t>XJL Portfolio</t>
  </si>
  <si>
    <t>XKR-S</t>
  </si>
  <si>
    <t>Grand Cherokee 4X4 SRT8 (FuelSaver MDS)</t>
  </si>
  <si>
    <t>Wrangler 4X4 Unlimited</t>
  </si>
  <si>
    <t>Soul Eco</t>
  </si>
  <si>
    <t>Aventador Coupe</t>
  </si>
  <si>
    <t>Aventador Roadster</t>
  </si>
  <si>
    <t>Range Rover Evoque</t>
  </si>
  <si>
    <t>LFA</t>
  </si>
  <si>
    <t>Mazda3 DI 4-Door</t>
  </si>
  <si>
    <t>Mazda3 DI 5-Door</t>
  </si>
  <si>
    <t>C 250 Coupe</t>
  </si>
  <si>
    <t>C 300 4MATIC FFV</t>
  </si>
  <si>
    <t>C 350 Coupe</t>
  </si>
  <si>
    <t>C 350 4MATIC Coupe</t>
  </si>
  <si>
    <t>C 63 AMG Coupe</t>
  </si>
  <si>
    <t>CLS 550 4MATIC</t>
  </si>
  <si>
    <t>E 350 4MATIC Coupe</t>
  </si>
  <si>
    <t>E 63 AMG Wagon</t>
  </si>
  <si>
    <t>GLK 350</t>
  </si>
  <si>
    <t>M 350 BlueTec 4MATIC</t>
  </si>
  <si>
    <t>M 350 4MATIC</t>
  </si>
  <si>
    <t>M 550</t>
  </si>
  <si>
    <t>M 63 AMG</t>
  </si>
  <si>
    <t>S 350 BlueTec 4MATIC</t>
  </si>
  <si>
    <t>S 550 4MATIC SWB</t>
  </si>
  <si>
    <t>S 550 4MATIC LWB</t>
  </si>
  <si>
    <t>SLK 250</t>
  </si>
  <si>
    <t>SLK 55</t>
  </si>
  <si>
    <t>SLS AMG Coupe</t>
  </si>
  <si>
    <t>SLS AMG Roadster</t>
  </si>
  <si>
    <t>Cooper Coupe</t>
  </si>
  <si>
    <t>Cooper Roadster</t>
  </si>
  <si>
    <t>Cooper S Coupe</t>
  </si>
  <si>
    <t>Cooper S Roadster</t>
  </si>
  <si>
    <t>John Cooper Works Coupe</t>
  </si>
  <si>
    <t>John Cooper Works Roadster</t>
  </si>
  <si>
    <t>Lancer AWD</t>
  </si>
  <si>
    <t>911 Carrera Black Edition</t>
  </si>
  <si>
    <t>911 Carrera Black Edition Cabriolet</t>
  </si>
  <si>
    <t>911 GTS 4</t>
  </si>
  <si>
    <t>911 GTS 4 Cabriolet</t>
  </si>
  <si>
    <t>911 Turbo S Special Edition</t>
  </si>
  <si>
    <t>911 Turbo S Special Edition Cabriolet</t>
  </si>
  <si>
    <t>Boxster S Black Edition</t>
  </si>
  <si>
    <t>Cayman R</t>
  </si>
  <si>
    <t>Cayman S Black Edition</t>
  </si>
  <si>
    <t>New 911 Carrera</t>
  </si>
  <si>
    <t>New 911 Carrera Cabriolet</t>
  </si>
  <si>
    <t>New 911 Carrera S</t>
  </si>
  <si>
    <t>New 911 Carrera S Cabriolet</t>
  </si>
  <si>
    <t>Panamera S Hybrid</t>
  </si>
  <si>
    <t>Panamera Turbo S</t>
  </si>
  <si>
    <t>1500 FFV</t>
  </si>
  <si>
    <t>1500 (FuelSaver MDS)</t>
  </si>
  <si>
    <t>1500 FFV 4X4</t>
  </si>
  <si>
    <t>1500 4X4 (FuelSaver MDS)</t>
  </si>
  <si>
    <t>Cargo Van FFV</t>
  </si>
  <si>
    <t>Ghost EWB</t>
  </si>
  <si>
    <t>iQ</t>
  </si>
  <si>
    <t>WRX AWD</t>
  </si>
  <si>
    <t>WRX STI AWD</t>
  </si>
  <si>
    <t>Kizashi S AWD</t>
  </si>
  <si>
    <t>Kizashi SX/Sport AWD</t>
  </si>
  <si>
    <t>Camry Hybrid LE</t>
  </si>
  <si>
    <t>Camry Hybrid XLE</t>
  </si>
  <si>
    <t>Prius c</t>
  </si>
  <si>
    <t>Prius v</t>
  </si>
  <si>
    <t>Beetle</t>
  </si>
  <si>
    <t>Golf R</t>
  </si>
  <si>
    <t>Passat TDI (modified)</t>
  </si>
  <si>
    <t>XC70 3.2</t>
  </si>
  <si>
    <t>ILX</t>
  </si>
  <si>
    <t>ILX Hybrid</t>
  </si>
  <si>
    <t>RDX AWD</t>
  </si>
  <si>
    <t>A7 quattro</t>
  </si>
  <si>
    <t>Q5 Hybrid</t>
  </si>
  <si>
    <t>RS 5</t>
  </si>
  <si>
    <t>S7</t>
  </si>
  <si>
    <t>TTS Coupe quattro</t>
  </si>
  <si>
    <t>TTS Roadster quattro</t>
  </si>
  <si>
    <t>Continental Supersports Convertible</t>
  </si>
  <si>
    <t>650i xDrive Gran Coupe</t>
  </si>
  <si>
    <t>740Li xDrive</t>
  </si>
  <si>
    <t>ActiveHybrid 3</t>
  </si>
  <si>
    <t>ActiveHybrid 5</t>
  </si>
  <si>
    <t>ActiveHybrid 7L</t>
  </si>
  <si>
    <t>X1 xDrive35i</t>
  </si>
  <si>
    <t>Encore</t>
  </si>
  <si>
    <t>Encore AWD</t>
  </si>
  <si>
    <t>ATS</t>
  </si>
  <si>
    <t>ATS AWD</t>
  </si>
  <si>
    <t>XTS</t>
  </si>
  <si>
    <t>XTS AWD</t>
  </si>
  <si>
    <t>Corvette Z06/427</t>
  </si>
  <si>
    <t>Malibu Eco</t>
  </si>
  <si>
    <t>Sonic RS</t>
  </si>
  <si>
    <t>Spark</t>
  </si>
  <si>
    <t>Trax</t>
  </si>
  <si>
    <t>Trax AWD</t>
  </si>
  <si>
    <t>300 (FuelSaver MDS)</t>
  </si>
  <si>
    <t>300 SRT (FuelSaver MDS)</t>
  </si>
  <si>
    <t>300 AWD (FuelSaver MDS)</t>
  </si>
  <si>
    <t>Challenger SRT (FuelSaver MDS)</t>
  </si>
  <si>
    <t>Challenger SRT</t>
  </si>
  <si>
    <t>Charger SRT (FuelSaver MDS)</t>
  </si>
  <si>
    <t>Dart</t>
  </si>
  <si>
    <t>Dart FFV</t>
  </si>
  <si>
    <t>Dart Turbo</t>
  </si>
  <si>
    <t>Dart Turbo Aero</t>
  </si>
  <si>
    <t>500 Cabrio</t>
  </si>
  <si>
    <t>500 Hatchback</t>
  </si>
  <si>
    <t>500 Hatchback Turbo</t>
  </si>
  <si>
    <t>500 Abarth Cabrio</t>
  </si>
  <si>
    <t>C-MAX Hybrid</t>
  </si>
  <si>
    <t>Explorer FFV</t>
  </si>
  <si>
    <t>Explorer FFV AWD</t>
  </si>
  <si>
    <t>Flex AWD NA</t>
  </si>
  <si>
    <t>Flex AWD TC</t>
  </si>
  <si>
    <t>Focus FFV</t>
  </si>
  <si>
    <t>Focus SFE FFV</t>
  </si>
  <si>
    <t>Fusion (Start-Stop)</t>
  </si>
  <si>
    <t>Taurus FFV AWD</t>
  </si>
  <si>
    <t>Yukon Denali XL AWD</t>
  </si>
  <si>
    <t>Crosstour</t>
  </si>
  <si>
    <t>Crosstour AWD</t>
  </si>
  <si>
    <t>Elantra Coupe</t>
  </si>
  <si>
    <t>Santa Fe Sport</t>
  </si>
  <si>
    <t>Santa Fe Sport 4WD</t>
  </si>
  <si>
    <t>Sonata Hybrid Limited</t>
  </si>
  <si>
    <t>Veloster Turbo</t>
  </si>
  <si>
    <t>EX37</t>
  </si>
  <si>
    <t>FX37 AWD</t>
  </si>
  <si>
    <t>JX35 AWD</t>
  </si>
  <si>
    <t>XF I4T</t>
  </si>
  <si>
    <t>XF V6 Supercharged AWD</t>
  </si>
  <si>
    <t>XFR-S</t>
  </si>
  <si>
    <t>XJ 3.0 AWD</t>
  </si>
  <si>
    <t>XJL 3.0 AWD</t>
  </si>
  <si>
    <t>XJL Ultimate</t>
  </si>
  <si>
    <t>XKR-S Convertible</t>
  </si>
  <si>
    <t>XKR-S Coupe</t>
  </si>
  <si>
    <t>Grand Cherokee 4X4 SRT (FuelSaver MDS)</t>
  </si>
  <si>
    <t>Wrangler 4X4 (2-Door)</t>
  </si>
  <si>
    <t>Wrangler Unlimited 4X4 (4-Door)</t>
  </si>
  <si>
    <t>Optima Hybrid EX</t>
  </si>
  <si>
    <t>Rio Eco</t>
  </si>
  <si>
    <t>Gallardo Coupe</t>
  </si>
  <si>
    <t>Range Rover Sport</t>
  </si>
  <si>
    <t>Range Rover Evoque Coupe</t>
  </si>
  <si>
    <t>ES 300h</t>
  </si>
  <si>
    <t>MKT Livery</t>
  </si>
  <si>
    <t>MKT Livery AWD</t>
  </si>
  <si>
    <t>CX-5</t>
  </si>
  <si>
    <t>CX-5 4WD</t>
  </si>
  <si>
    <t>Mazda3 LFX</t>
  </si>
  <si>
    <t>Mazda3 L5X</t>
  </si>
  <si>
    <t>B 250</t>
  </si>
  <si>
    <t>C 350 Coupe 4MATIC</t>
  </si>
  <si>
    <t>E 350 Cabriolet FFV</t>
  </si>
  <si>
    <t>E 350 Coupe FFV</t>
  </si>
  <si>
    <t>E 400 Hybrid</t>
  </si>
  <si>
    <t>G 63 AMG</t>
  </si>
  <si>
    <t>GL 63 AMG</t>
  </si>
  <si>
    <t>John Cooper Works Countryman ALL4</t>
  </si>
  <si>
    <t>NV200 Cargo Van</t>
  </si>
  <si>
    <t>Pathfinder</t>
  </si>
  <si>
    <t>Cayenne Diesel (modified)</t>
  </si>
  <si>
    <t>Panamera GTS</t>
  </si>
  <si>
    <t>1500 HFE</t>
  </si>
  <si>
    <t>FR-S</t>
  </si>
  <si>
    <t>Viper</t>
  </si>
  <si>
    <t>BRZ</t>
  </si>
  <si>
    <t>XV Crosstrek AWD</t>
  </si>
  <si>
    <t>Grand Vitara Urban/JX/JLX</t>
  </si>
  <si>
    <t>SX4 Crossover JA/JX AWD</t>
  </si>
  <si>
    <t>SX4 Crossover JA/JX/JLX AWD</t>
  </si>
  <si>
    <t>SX4 Hatchback JA</t>
  </si>
  <si>
    <t>SX4 Hatchback JX</t>
  </si>
  <si>
    <t>SX4 Sedan JA/JE</t>
  </si>
  <si>
    <t>4Runner (Part-Time 4WD)</t>
  </si>
  <si>
    <t>RAV4 Limited AWD</t>
  </si>
  <si>
    <t>Beetle TDI (modified)</t>
  </si>
  <si>
    <t>Beetle Convertible</t>
  </si>
  <si>
    <t>Jetta Turbo Hybrid</t>
  </si>
  <si>
    <t>C30</t>
  </si>
  <si>
    <t>C70</t>
  </si>
  <si>
    <t>S60 AWD</t>
  </si>
  <si>
    <t>S80 AWD</t>
  </si>
  <si>
    <t>XC60</t>
  </si>
  <si>
    <t>XC60 AWD</t>
  </si>
  <si>
    <t>XC70 AWD</t>
  </si>
  <si>
    <t>XC90 AWD</t>
  </si>
  <si>
    <t>MDX 4WD</t>
  </si>
  <si>
    <t>RLX</t>
  </si>
  <si>
    <t>4C</t>
  </si>
  <si>
    <t>Vanquish</t>
  </si>
  <si>
    <t>A6 quattro TDI (modified)</t>
  </si>
  <si>
    <t>A7 quattro TDI (modified)</t>
  </si>
  <si>
    <t>A8 TDI (modified)</t>
  </si>
  <si>
    <t>A8L TDI (modified)</t>
  </si>
  <si>
    <t>Q5 TDI (modified)</t>
  </si>
  <si>
    <t>RS 5 Cabriolet</t>
  </si>
  <si>
    <t>RS 7</t>
  </si>
  <si>
    <t>SQ5</t>
  </si>
  <si>
    <t>Continental GT Speed Convertible</t>
  </si>
  <si>
    <t>Flying Spur</t>
  </si>
  <si>
    <t>320i xDrive</t>
  </si>
  <si>
    <t>328d xDrive</t>
  </si>
  <si>
    <t>328d xDrive Touring</t>
  </si>
  <si>
    <t>328i xDrive Gran Turismo</t>
  </si>
  <si>
    <t>335i xDrive Gran Turismo</t>
  </si>
  <si>
    <t>428i Coupe</t>
  </si>
  <si>
    <t>428i xDrive Coupe</t>
  </si>
  <si>
    <t>435i Coupe</t>
  </si>
  <si>
    <t>435i xDrive Coupe</t>
  </si>
  <si>
    <t>535d xDrive</t>
  </si>
  <si>
    <t>640i xDrive Gran Coupe</t>
  </si>
  <si>
    <t>Alpina B7 xDrive SWB</t>
  </si>
  <si>
    <t>Alpina B7 xDrive LWB</t>
  </si>
  <si>
    <t>M6 Gran Coupe</t>
  </si>
  <si>
    <t>Regal AWD</t>
  </si>
  <si>
    <t>CTS Sedan</t>
  </si>
  <si>
    <t>CTS Sedan AWD</t>
  </si>
  <si>
    <t>CTS Sedan Vsport</t>
  </si>
  <si>
    <t>CTS Coupe</t>
  </si>
  <si>
    <t>CTS Coupe AWD</t>
  </si>
  <si>
    <t>CTS-V Sedan</t>
  </si>
  <si>
    <t>CTS-V Coupe</t>
  </si>
  <si>
    <t>XTS Vsport AWD</t>
  </si>
  <si>
    <t>Cruze Diesel</t>
  </si>
  <si>
    <t>Impala Eco</t>
  </si>
  <si>
    <t>Sonic 5 RS</t>
  </si>
  <si>
    <t>300 (MDS)</t>
  </si>
  <si>
    <t>300 SRT (MDS)</t>
  </si>
  <si>
    <t>300 AWD (MDS)</t>
  </si>
  <si>
    <t>Challenger SRT (MDS)</t>
  </si>
  <si>
    <t>Charger SRT (MDS)</t>
  </si>
  <si>
    <t>Dart GT</t>
  </si>
  <si>
    <t>Durango AWD (MDS)</t>
  </si>
  <si>
    <t>500 Cabrio Turbo</t>
  </si>
  <si>
    <t>500 Abarth Hatchback</t>
  </si>
  <si>
    <t>500L Turbo</t>
  </si>
  <si>
    <t>Explorer AWD</t>
  </si>
  <si>
    <t>Fiesta ST</t>
  </si>
  <si>
    <t>Flex AWD (EcoBoost)</t>
  </si>
  <si>
    <t>Fusion (Start/Stop)</t>
  </si>
  <si>
    <t>Transit Connect Taxi</t>
  </si>
  <si>
    <t>Q50</t>
  </si>
  <si>
    <t>Q50 AWD</t>
  </si>
  <si>
    <t>Q50 Hybrid</t>
  </si>
  <si>
    <t>Q50 Hybrid AWD</t>
  </si>
  <si>
    <t>Q60 Convertible</t>
  </si>
  <si>
    <t>Q60 Coupe</t>
  </si>
  <si>
    <t>Q60 AWD Coupe</t>
  </si>
  <si>
    <t>Q70</t>
  </si>
  <si>
    <t>Q70 AWD</t>
  </si>
  <si>
    <t>Q70 Hybrid</t>
  </si>
  <si>
    <t>QX50 AWD</t>
  </si>
  <si>
    <t>QX60</t>
  </si>
  <si>
    <t>QX60 AWD</t>
  </si>
  <si>
    <t>QX60 Hybrid AWD</t>
  </si>
  <si>
    <t>QX70 AWD</t>
  </si>
  <si>
    <t>QX80 4WD</t>
  </si>
  <si>
    <t>F-TYPE Convertible</t>
  </si>
  <si>
    <t>F-TYPE S Convertible</t>
  </si>
  <si>
    <t>F-TYPE V8 S Convertible</t>
  </si>
  <si>
    <t>XF 3.0L AWD</t>
  </si>
  <si>
    <t>XJ AWD</t>
  </si>
  <si>
    <t>XJL AWD Portfolio</t>
  </si>
  <si>
    <t>XJR</t>
  </si>
  <si>
    <t>XJR LWB</t>
  </si>
  <si>
    <t>Cherokee 4X4 Active Drive II</t>
  </si>
  <si>
    <t>Cherokee Trailhawk 4X4</t>
  </si>
  <si>
    <t>Compass 4X4 Trail Rated</t>
  </si>
  <si>
    <t>Grand Cherokee SRT 4X4 (MDS)</t>
  </si>
  <si>
    <t>Cadenza</t>
  </si>
  <si>
    <t>Forte 5</t>
  </si>
  <si>
    <t>Soul ECO Dynamics</t>
  </si>
  <si>
    <t>Sportage AWD</t>
  </si>
  <si>
    <t>Range Rover V6 3.0 SC</t>
  </si>
  <si>
    <t>Range Rover V6 3.0 SC FFV</t>
  </si>
  <si>
    <t>Range Rover V8 5.0 SC</t>
  </si>
  <si>
    <t>Range Rover V8 5.0 SC FFV</t>
  </si>
  <si>
    <t>Range Rover LWB V8 5.0 SC</t>
  </si>
  <si>
    <t>Range Rover LWB V8 5.0 SC FFV</t>
  </si>
  <si>
    <t>Range Rover Sport V6 3.0 SC</t>
  </si>
  <si>
    <t>Range Rover Sport V6 3.0 SC FFV</t>
  </si>
  <si>
    <t>Range Rover Sport V8 5.0 SC</t>
  </si>
  <si>
    <t>Range Rover Sport V8 5.0 SC FFV</t>
  </si>
  <si>
    <t>IS 250 C</t>
  </si>
  <si>
    <t>IS 350 C</t>
  </si>
  <si>
    <t>Ghibli</t>
  </si>
  <si>
    <t>Ghibli AWD</t>
  </si>
  <si>
    <t>Quattroporte SQ4</t>
  </si>
  <si>
    <t>Quattroporte GTS</t>
  </si>
  <si>
    <t>Mazda3 4-Door</t>
  </si>
  <si>
    <t>Mazda3 4-Door (SIL)</t>
  </si>
  <si>
    <t>Mazda3 4-Door (i-ELOOP)</t>
  </si>
  <si>
    <t>Mazda3 5-Door</t>
  </si>
  <si>
    <t>Mazda3 5-Door (SIL)</t>
  </si>
  <si>
    <t>Mazda3 5-Door (i-ELOOP)</t>
  </si>
  <si>
    <t>Mazda6 (i-ELOOP)</t>
  </si>
  <si>
    <t>CLA 250</t>
  </si>
  <si>
    <t>CLA 45 AMG 4MATIC</t>
  </si>
  <si>
    <t>CLS 63 AMG 4MATIC</t>
  </si>
  <si>
    <t>CLS 63 AMG S 4MATIC</t>
  </si>
  <si>
    <t>E 250 BlueTec 4MATIC</t>
  </si>
  <si>
    <t>E 63 AMG 4MATIC</t>
  </si>
  <si>
    <t>E 63 AMG 4MATIC Wagon</t>
  </si>
  <si>
    <t>E 63 AMG S 4MATIC</t>
  </si>
  <si>
    <t>E 63 AMG S 4MATIC Wagon</t>
  </si>
  <si>
    <t>GLK 250 BlueTec 4MATIC</t>
  </si>
  <si>
    <t>ML 350 4MATIC FFV</t>
  </si>
  <si>
    <t>S 63 AMG 4MATIC</t>
  </si>
  <si>
    <t>SLS AMG Black Series Coupe</t>
  </si>
  <si>
    <t>SLS AMG GT Coupe</t>
  </si>
  <si>
    <t>Cooper Paceman</t>
  </si>
  <si>
    <t>Cooper S Paceman ALL4</t>
  </si>
  <si>
    <t>John Cooper Works Paceman ALL4</t>
  </si>
  <si>
    <t>Lancer Ralliart</t>
  </si>
  <si>
    <t>Mirage</t>
  </si>
  <si>
    <t>Pathfinder Hybrid 4WD</t>
  </si>
  <si>
    <t>Panamera 4S Executive</t>
  </si>
  <si>
    <t>Panamera Turbo Executive</t>
  </si>
  <si>
    <t>1500 (MDS)</t>
  </si>
  <si>
    <t>1500 4X4 FFV</t>
  </si>
  <si>
    <t>1500 4X4 (MDS)</t>
  </si>
  <si>
    <t>Wraith</t>
  </si>
  <si>
    <t>Viper Coupe</t>
  </si>
  <si>
    <t>Viper GTS Coupe</t>
  </si>
  <si>
    <t>XV Crosstrek Hybrid AWD</t>
  </si>
  <si>
    <t>Camry Hybrid XLE/SE</t>
  </si>
  <si>
    <t>Corolla LE Eco (1-Mode)</t>
  </si>
  <si>
    <t>Corolla LE Eco (2-Mode)</t>
  </si>
  <si>
    <t>Highlander Hybrid AWD LE</t>
  </si>
  <si>
    <t>Venza 4WD</t>
  </si>
  <si>
    <t>Jetta GLI</t>
  </si>
  <si>
    <t>MDX SH-AWD</t>
  </si>
  <si>
    <t>RLX Hybrid</t>
  </si>
  <si>
    <t>TLX</t>
  </si>
  <si>
    <t>TLX SH-AWD</t>
  </si>
  <si>
    <t>Rapide S</t>
  </si>
  <si>
    <t>V12 Vantage S</t>
  </si>
  <si>
    <t>Vantage GT</t>
  </si>
  <si>
    <t>A3 Cabriolet quattro</t>
  </si>
  <si>
    <t>A4 allroad quattro</t>
  </si>
  <si>
    <t>Q3</t>
  </si>
  <si>
    <t>Q3 quattro</t>
  </si>
  <si>
    <t>S3</t>
  </si>
  <si>
    <t>Continental GT Convertible</t>
  </si>
  <si>
    <t>Continental GT3-R</t>
  </si>
  <si>
    <t>228i Cabriolet</t>
  </si>
  <si>
    <t>228i xDrive Cabriolet</t>
  </si>
  <si>
    <t>228i Coupe</t>
  </si>
  <si>
    <t>228i xDrive Coupe</t>
  </si>
  <si>
    <t>320i Sedan</t>
  </si>
  <si>
    <t>320i xDrive Sedan</t>
  </si>
  <si>
    <t>328d xDrive Sedan</t>
  </si>
  <si>
    <t>428i Cabriolet</t>
  </si>
  <si>
    <t>428i xDrive Cabriolet</t>
  </si>
  <si>
    <t>428i Gran Coupe</t>
  </si>
  <si>
    <t>428i xDrive Gran Coupe</t>
  </si>
  <si>
    <t>435i Cabriolet</t>
  </si>
  <si>
    <t>435i xDrive Cabriolet</t>
  </si>
  <si>
    <t>435i Gran Coupe</t>
  </si>
  <si>
    <t>435i xDrive Gran Coupe</t>
  </si>
  <si>
    <t>535d xDrive Sedan</t>
  </si>
  <si>
    <t>550i xDrive Sedan</t>
  </si>
  <si>
    <t>640i xDrive Cabriolet</t>
  </si>
  <si>
    <t>740Ld xDrive Sedan</t>
  </si>
  <si>
    <t>740Li xDrive Sedan</t>
  </si>
  <si>
    <t>750i xDrive Sedan</t>
  </si>
  <si>
    <t>750Li xDrive Sedan</t>
  </si>
  <si>
    <t>760Li Sedan</t>
  </si>
  <si>
    <t>Alpina B6 xDrive Gran Coupe</t>
  </si>
  <si>
    <t>M235i Cabriolet</t>
  </si>
  <si>
    <t>M235i Coupe</t>
  </si>
  <si>
    <t>M235i xDrive Coupe</t>
  </si>
  <si>
    <t>M4 Cabriolet</t>
  </si>
  <si>
    <t>M4 Coupe</t>
  </si>
  <si>
    <t>X3 xDrive28d</t>
  </si>
  <si>
    <t>X4 xDrive28i</t>
  </si>
  <si>
    <t>X4 xDrive35i</t>
  </si>
  <si>
    <t>CTS Vsport</t>
  </si>
  <si>
    <t>Escalade 4WD</t>
  </si>
  <si>
    <t>Escalade ESV 4WD</t>
  </si>
  <si>
    <t>Camaro Z/28</t>
  </si>
  <si>
    <t>City Express</t>
  </si>
  <si>
    <t>Equinox FFV</t>
  </si>
  <si>
    <t>Equinox AWD FFV</t>
  </si>
  <si>
    <t>Express 2500 Passenger FFV</t>
  </si>
  <si>
    <t>Express 3500 Passenger FFV</t>
  </si>
  <si>
    <t>200 AWD</t>
  </si>
  <si>
    <t>200 AWD FFV</t>
  </si>
  <si>
    <t>Challenger SRT Hellcat</t>
  </si>
  <si>
    <t>Charger SRT 392 Hemi</t>
  </si>
  <si>
    <t>Charger SRT Hellcat</t>
  </si>
  <si>
    <t>Viper SRT Coupe</t>
  </si>
  <si>
    <t>500L</t>
  </si>
  <si>
    <t>Edge (Start/Stop)</t>
  </si>
  <si>
    <t>Edge Sport AWD</t>
  </si>
  <si>
    <t>Expedition MAX 4X4</t>
  </si>
  <si>
    <t>Explorer AWD (EcoBoost)</t>
  </si>
  <si>
    <t>T-150 Wagon</t>
  </si>
  <si>
    <t>T-150 Wagon FFV</t>
  </si>
  <si>
    <t>Transit Connect Wagon Taxi</t>
  </si>
  <si>
    <t>Savana 2500 Passenger FFV</t>
  </si>
  <si>
    <t>Savana 3500 Passenger FFV</t>
  </si>
  <si>
    <t>Terrain FFV</t>
  </si>
  <si>
    <t>Yukon Denali 4WD</t>
  </si>
  <si>
    <t>Yukon XL Denali 4WD</t>
  </si>
  <si>
    <t>Pilot 4WD</t>
  </si>
  <si>
    <t>Genesis AWD</t>
  </si>
  <si>
    <t>Santa Fe Ultimate AWD</t>
  </si>
  <si>
    <t>Santa Fe Sport AWD</t>
  </si>
  <si>
    <t>Sonata Sport/Limited</t>
  </si>
  <si>
    <t>Q60</t>
  </si>
  <si>
    <t>Q60 AWD</t>
  </si>
  <si>
    <t>F-TYPE Coupe</t>
  </si>
  <si>
    <t>F-TYPE S Coupe</t>
  </si>
  <si>
    <t>F-TYPE V8 R Coupe</t>
  </si>
  <si>
    <t>XF AWD</t>
  </si>
  <si>
    <t>Cherokee FFV</t>
  </si>
  <si>
    <t>Cherokee 4X4 FFV</t>
  </si>
  <si>
    <t>Renegade</t>
  </si>
  <si>
    <t>Renegade FFV</t>
  </si>
  <si>
    <t>Renegade 4X4</t>
  </si>
  <si>
    <t>K900</t>
  </si>
  <si>
    <t>Sedona SX</t>
  </si>
  <si>
    <t>Sedona SXL</t>
  </si>
  <si>
    <t>Sorento AWD</t>
  </si>
  <si>
    <t>Huracan</t>
  </si>
  <si>
    <t>Veneno Roadster</t>
  </si>
  <si>
    <t>Range Rover Supercharged LWB</t>
  </si>
  <si>
    <t>Range Rover Sport Supercharged</t>
  </si>
  <si>
    <t>NX 200t AWD</t>
  </si>
  <si>
    <t>NX 200t AWD F SPORT</t>
  </si>
  <si>
    <t>NX 300h AWD</t>
  </si>
  <si>
    <t>RC 350</t>
  </si>
  <si>
    <t>RC 350 AWD</t>
  </si>
  <si>
    <t>RC F</t>
  </si>
  <si>
    <t>MKC AWD</t>
  </si>
  <si>
    <t>Navigator L 4X4</t>
  </si>
  <si>
    <t>B 250 4MATIC</t>
  </si>
  <si>
    <t>C 400 4MATIC</t>
  </si>
  <si>
    <t>CLA 250 4MATIC</t>
  </si>
  <si>
    <t>CLA 45 AMG</t>
  </si>
  <si>
    <t>CLS 400 4MATIC</t>
  </si>
  <si>
    <t>E 400 4MATIC</t>
  </si>
  <si>
    <t>E 400 4MATIC Wagon</t>
  </si>
  <si>
    <t>E 400 Cabriolet</t>
  </si>
  <si>
    <t>E 400 Coupe</t>
  </si>
  <si>
    <t>GLA 250 4MATIC</t>
  </si>
  <si>
    <t>GLA 45 AMG 4MATIC</t>
  </si>
  <si>
    <t>ML 400 4MATIC</t>
  </si>
  <si>
    <t>S 400 4MATIC</t>
  </si>
  <si>
    <t>S 550 4MATIC Coupe</t>
  </si>
  <si>
    <t>S 63 AMG Coupe</t>
  </si>
  <si>
    <t>S 65 AMG Coupe</t>
  </si>
  <si>
    <t>SLS AMG GT Roadster</t>
  </si>
  <si>
    <t>Cooper 3 Door</t>
  </si>
  <si>
    <t>Cooper 5 Door</t>
  </si>
  <si>
    <t>Cooper S 3 Door</t>
  </si>
  <si>
    <t>Cooper S 5 Door</t>
  </si>
  <si>
    <t>Juke Nismo RS</t>
  </si>
  <si>
    <t>Juke Nismo RS AWD</t>
  </si>
  <si>
    <t>Micra</t>
  </si>
  <si>
    <t>Pathfinder 4WD Platinum</t>
  </si>
  <si>
    <t>911 Carrera GTS</t>
  </si>
  <si>
    <t>911 Carrera 4 GTS</t>
  </si>
  <si>
    <t>911 Carrera GTS Cabriolet</t>
  </si>
  <si>
    <t>911 Carrera 4 GTS Cabriolet</t>
  </si>
  <si>
    <t>Boxster GTS</t>
  </si>
  <si>
    <t>Cayman GTS</t>
  </si>
  <si>
    <t>Macan S</t>
  </si>
  <si>
    <t>Macan Turbo</t>
  </si>
  <si>
    <t>Panamera Turbo S Executive</t>
  </si>
  <si>
    <t>1500 4X4</t>
  </si>
  <si>
    <t>ProMaster City</t>
  </si>
  <si>
    <t>WRX</t>
  </si>
  <si>
    <t>4Runner 4WD (Part-Time 4WD)</t>
  </si>
  <si>
    <t>RAV4 LE/XLE</t>
  </si>
  <si>
    <t>Golf Sportwagon</t>
  </si>
  <si>
    <t>Golf SportWagon TDI (modified)</t>
  </si>
  <si>
    <t>Jetta Hybrid</t>
  </si>
  <si>
    <t>S60 T5 AWD</t>
  </si>
  <si>
    <t>S60 T6</t>
  </si>
  <si>
    <t>S60 Polestar AWD</t>
  </si>
  <si>
    <t>S80 T5</t>
  </si>
  <si>
    <t>V60 T5</t>
  </si>
  <si>
    <t>V60 T5 AWD</t>
  </si>
  <si>
    <t>V60 T6 AWD</t>
  </si>
  <si>
    <t>V60 Polestar AWD</t>
  </si>
  <si>
    <t>V60 CC</t>
  </si>
  <si>
    <t>V60 CC AWD</t>
  </si>
  <si>
    <t>XC60 T5</t>
  </si>
  <si>
    <t>XC60 T5 AWD</t>
  </si>
  <si>
    <t>XC60 T6</t>
  </si>
  <si>
    <t>XC70 T5</t>
  </si>
  <si>
    <t>MDX SH-AWD Elite</t>
  </si>
  <si>
    <t>DB9 GT</t>
  </si>
  <si>
    <t>A8 quattro TDI (modified)</t>
  </si>
  <si>
    <t>Q5 quattro</t>
  </si>
  <si>
    <t>Q5 quattro TDI (modified)</t>
  </si>
  <si>
    <t>Q5 Hybrid quattro</t>
  </si>
  <si>
    <t>RS 7 quattro</t>
  </si>
  <si>
    <t>S3 quattro</t>
  </si>
  <si>
    <t>S5 quattro</t>
  </si>
  <si>
    <t>S5 Cabriolet quattro</t>
  </si>
  <si>
    <t>S6 quattro</t>
  </si>
  <si>
    <t>S7 quattro</t>
  </si>
  <si>
    <t>SQ5 quattro</t>
  </si>
  <si>
    <t>228i</t>
  </si>
  <si>
    <t>228i xDrive</t>
  </si>
  <si>
    <t>340i</t>
  </si>
  <si>
    <t>340i xDrive</t>
  </si>
  <si>
    <t>M2</t>
  </si>
  <si>
    <t>M235i</t>
  </si>
  <si>
    <t>M235i xDrive</t>
  </si>
  <si>
    <t>M235i xDrive Cabriolet</t>
  </si>
  <si>
    <t>X4 M40i</t>
  </si>
  <si>
    <t>Encore Sport Touring</t>
  </si>
  <si>
    <t>Encore Sport Touring AWD</t>
  </si>
  <si>
    <t>Envision AWD</t>
  </si>
  <si>
    <t>LaCrosse FFV</t>
  </si>
  <si>
    <t>LaCrosse AWD FFV</t>
  </si>
  <si>
    <t>ATS-V</t>
  </si>
  <si>
    <t>CT6</t>
  </si>
  <si>
    <t>CT6 AWD</t>
  </si>
  <si>
    <t>Cruze Premier</t>
  </si>
  <si>
    <t>Cruze Limited</t>
  </si>
  <si>
    <t>Cruze Limited Eco</t>
  </si>
  <si>
    <t>Impala Dual Fuel</t>
  </si>
  <si>
    <t>Malibu Limited</t>
  </si>
  <si>
    <t>Silverado 4WD FFV</t>
  </si>
  <si>
    <t>Silverado eAssist 4WD</t>
  </si>
  <si>
    <t>Suburban 4WD FFV</t>
  </si>
  <si>
    <t>Tahoe 4WD FFV</t>
  </si>
  <si>
    <t>Trax 4WD</t>
  </si>
  <si>
    <t>Durango AWD</t>
  </si>
  <si>
    <t>Viper SRT</t>
  </si>
  <si>
    <t>500X</t>
  </si>
  <si>
    <t>500X AWD</t>
  </si>
  <si>
    <t>Expedition EL 4X4</t>
  </si>
  <si>
    <t>F-150 (Payload Pkg)</t>
  </si>
  <si>
    <t>F-150 FFV (Payload Pkg)</t>
  </si>
  <si>
    <t>F-150 4X4 (Payload Pkg)</t>
  </si>
  <si>
    <t>F-150 FFV 4X4 (Payload Pkg)</t>
  </si>
  <si>
    <t>Flex AWD GTDI</t>
  </si>
  <si>
    <t>Focus RS AWD</t>
  </si>
  <si>
    <t>Focus ST</t>
  </si>
  <si>
    <t>Shelby GT350 Mustang</t>
  </si>
  <si>
    <t>Transit Connect Van FFV</t>
  </si>
  <si>
    <t>Transit Connect Wagon FFV</t>
  </si>
  <si>
    <t>Transit Connect Wagon LWB</t>
  </si>
  <si>
    <t>Transit Connect Wagon LWB FFV</t>
  </si>
  <si>
    <t>Sierra 4WD FFV</t>
  </si>
  <si>
    <t>Sierra eAssist 4WD</t>
  </si>
  <si>
    <t>Yukon 4WD FFV</t>
  </si>
  <si>
    <t>Yukon XL 4WD FFV</t>
  </si>
  <si>
    <t>Accord Sport</t>
  </si>
  <si>
    <t>Civic Coupe</t>
  </si>
  <si>
    <t>Civic Sedan</t>
  </si>
  <si>
    <t>HR-V</t>
  </si>
  <si>
    <t>HR-V AWD</t>
  </si>
  <si>
    <t>Q50S AWD</t>
  </si>
  <si>
    <t>Q50S Red Sport</t>
  </si>
  <si>
    <t>Q50S Red Sport AWD</t>
  </si>
  <si>
    <t>F-TYPE Project 7 Convertible</t>
  </si>
  <si>
    <t>F-TYPE R AWD Convertible</t>
  </si>
  <si>
    <t>F-TYPE R AWD Coupe</t>
  </si>
  <si>
    <t>F-TYPE S Convertible AWD</t>
  </si>
  <si>
    <t>F-TYPE S Coupe AWD</t>
  </si>
  <si>
    <t xml:space="preserve">XF AWD </t>
  </si>
  <si>
    <t>XJ R-Sport 3.0 AWD</t>
  </si>
  <si>
    <t>XJL 3.0 AWD Portfolio</t>
  </si>
  <si>
    <t>Huracan Spyder</t>
  </si>
  <si>
    <t>Discovery Sport</t>
  </si>
  <si>
    <t>Range Rover Td6 Diesel</t>
  </si>
  <si>
    <t>Range Rover Sport Td6 Diesel</t>
  </si>
  <si>
    <t>GS 200t</t>
  </si>
  <si>
    <t>GS 200t F SPORT</t>
  </si>
  <si>
    <t>GS 350 F SPORT</t>
  </si>
  <si>
    <t>GS F</t>
  </si>
  <si>
    <t>IS 200t</t>
  </si>
  <si>
    <t>IS 300 AWD</t>
  </si>
  <si>
    <t>RC 200t</t>
  </si>
  <si>
    <t>RC 300 AWD</t>
  </si>
  <si>
    <t>Ghibli S</t>
  </si>
  <si>
    <t>Ghibli SQ4</t>
  </si>
  <si>
    <t>Quattroporte S</t>
  </si>
  <si>
    <t>CX-3</t>
  </si>
  <si>
    <t>CX-3 4WD</t>
  </si>
  <si>
    <t>CX-5 (SIL)</t>
  </si>
  <si>
    <t>Mazda6 (SIL)</t>
  </si>
  <si>
    <t>MX-5 (SIL)</t>
  </si>
  <si>
    <t>AMG C 63</t>
  </si>
  <si>
    <t>AMG C 63 S</t>
  </si>
  <si>
    <t>AMG CLA 45</t>
  </si>
  <si>
    <t>AMG CLS 63 S 4MATIC</t>
  </si>
  <si>
    <t>AMG E 63 S 4MATIC</t>
  </si>
  <si>
    <t>AMG E 63 S 4MATIC Wagon</t>
  </si>
  <si>
    <t>AMG G 63</t>
  </si>
  <si>
    <t>AMG G 65</t>
  </si>
  <si>
    <t>AMG GL 63 S</t>
  </si>
  <si>
    <t>AMG GLA 45</t>
  </si>
  <si>
    <t>AMG GLE 63 S 4MATIC</t>
  </si>
  <si>
    <t>AMG GLE 63 S Coupe 4MATIC</t>
  </si>
  <si>
    <t>AMG GT S</t>
  </si>
  <si>
    <t>AMG S 63</t>
  </si>
  <si>
    <t>AMG S 63 Coupe</t>
  </si>
  <si>
    <t>AMG S 65</t>
  </si>
  <si>
    <t>AMG S 65 Coupe</t>
  </si>
  <si>
    <t>AMG SL 63</t>
  </si>
  <si>
    <t>AMG SL 65</t>
  </si>
  <si>
    <t>AMG SLK 55</t>
  </si>
  <si>
    <t>C 450 AMG Sport 4MATIC</t>
  </si>
  <si>
    <t>CLA 250 4MATIC FFV</t>
  </si>
  <si>
    <t>E 400 4MATIC Coupe</t>
  </si>
  <si>
    <t>GLE 350d 4MATIC</t>
  </si>
  <si>
    <t>GLE 350d 4MATIC Coupe</t>
  </si>
  <si>
    <t>GLE 400 4MATIC</t>
  </si>
  <si>
    <t>GLE 450 AMG Sport 4MATIC Coupe</t>
  </si>
  <si>
    <t>GLE 550 4MATIC</t>
  </si>
  <si>
    <t>Maybach S 600</t>
  </si>
  <si>
    <t>Metris Cargo</t>
  </si>
  <si>
    <t>Metris Passenger</t>
  </si>
  <si>
    <t>S 400 4MATIC SWB</t>
  </si>
  <si>
    <t>Lancer 4WD</t>
  </si>
  <si>
    <t>Altima SR</t>
  </si>
  <si>
    <t>Altima 3.5</t>
  </si>
  <si>
    <t>Cayman GT4</t>
  </si>
  <si>
    <t>iM</t>
  </si>
  <si>
    <t>RAV4 Limited/SE AWD</t>
  </si>
  <si>
    <t>RAV4 Hybrid AWD</t>
  </si>
  <si>
    <t>Tacoma 4WD D-Cab Off-Road</t>
  </si>
  <si>
    <t>Yaris (SIL)</t>
  </si>
  <si>
    <t>Yaris Hatchback</t>
  </si>
  <si>
    <t>Beetle Dune</t>
  </si>
  <si>
    <t>S60 Inscription</t>
  </si>
  <si>
    <t>S60 Inscription T5 AWD</t>
  </si>
  <si>
    <t>S60 Polestar</t>
  </si>
  <si>
    <t>S60 3.0T AWD</t>
  </si>
  <si>
    <t>S60 CC T5 AWD</t>
  </si>
  <si>
    <t>V60 Polestar</t>
  </si>
  <si>
    <t>V60 3.0T AWD</t>
  </si>
  <si>
    <t>V60 CC T5 AWD</t>
  </si>
  <si>
    <t>XC60 3.0T AWD</t>
  </si>
  <si>
    <t>XC70 T5 AWD</t>
  </si>
  <si>
    <t>XC90 T5</t>
  </si>
  <si>
    <t>XC90 T5 AWD</t>
  </si>
  <si>
    <t>XC90 T6 AWD</t>
  </si>
  <si>
    <t>MDX Hybrid AWD</t>
  </si>
  <si>
    <t>4C Spider</t>
  </si>
  <si>
    <t>Giulia</t>
  </si>
  <si>
    <t>Giulia AWD</t>
  </si>
  <si>
    <t>Giulia Quadrifoglio</t>
  </si>
  <si>
    <t>DB11 V12</t>
  </si>
  <si>
    <t>A4 Ultra</t>
  </si>
  <si>
    <t>Bentayga</t>
  </si>
  <si>
    <t>Mulsanne EWB</t>
  </si>
  <si>
    <t>230i Cabriolet</t>
  </si>
  <si>
    <t>230i xDrive Cabriolet</t>
  </si>
  <si>
    <t>230i Coupe</t>
  </si>
  <si>
    <t>230i xDrive Coupe</t>
  </si>
  <si>
    <t>330i xDrive</t>
  </si>
  <si>
    <t>330i xDrive Gran Turismo</t>
  </si>
  <si>
    <t>330i xDrive Touring</t>
  </si>
  <si>
    <t>340i xDrive Gran Turismo</t>
  </si>
  <si>
    <t>430i xDrive Cabriolet</t>
  </si>
  <si>
    <t>430i xDrive Coupe</t>
  </si>
  <si>
    <t>430i xDrive Gran Coupe</t>
  </si>
  <si>
    <t>440i xDrive Cabriolet</t>
  </si>
  <si>
    <t>440i Coupe</t>
  </si>
  <si>
    <t>440i xDrive Coupe</t>
  </si>
  <si>
    <t>440i xDrive Gran Coupe</t>
  </si>
  <si>
    <t>530i xDrive</t>
  </si>
  <si>
    <t>540i xDrive</t>
  </si>
  <si>
    <t>M240i Cabriolet</t>
  </si>
  <si>
    <t>M240i xDrive Cabriolet</t>
  </si>
  <si>
    <t>M240i Coupe</t>
  </si>
  <si>
    <t>M240i xDrive Coupe</t>
  </si>
  <si>
    <t>M760i xDrive</t>
  </si>
  <si>
    <t>Encore (LE2 Engine)</t>
  </si>
  <si>
    <t>Encore (LUV Engine)</t>
  </si>
  <si>
    <t>Encore AWD (LE2 Engine)</t>
  </si>
  <si>
    <t>Encore AWD (LUV Engine)</t>
  </si>
  <si>
    <t>XT5</t>
  </si>
  <si>
    <t>XT5 AWD</t>
  </si>
  <si>
    <t>Colorado ZR2 4WD</t>
  </si>
  <si>
    <t>Cruze Hatchback</t>
  </si>
  <si>
    <t>Cruze Hatchback Premier</t>
  </si>
  <si>
    <t>Pacifica (Stop-Start)</t>
  </si>
  <si>
    <t>Challenger GT</t>
  </si>
  <si>
    <t>124 Spider</t>
  </si>
  <si>
    <t>F-150 (LT Tire Pkg)</t>
  </si>
  <si>
    <t>F-150 4X4 (LT Tire Pkg)</t>
  </si>
  <si>
    <t>F-150 FFV 4X4 (LT Tire Pkg)</t>
  </si>
  <si>
    <t>Focus (Start/Stop)</t>
  </si>
  <si>
    <t>GT</t>
  </si>
  <si>
    <t>Mustang (Performance Pkg)</t>
  </si>
  <si>
    <t>G80 AWD</t>
  </si>
  <si>
    <t>G90 AWD</t>
  </si>
  <si>
    <t>Civic Hatchback</t>
  </si>
  <si>
    <t>IONIQ</t>
  </si>
  <si>
    <t>IONIQ Blue</t>
  </si>
  <si>
    <t>Sonata Hybrid SE</t>
  </si>
  <si>
    <t>Q60S Red Sport AWD</t>
  </si>
  <si>
    <t>QX30</t>
  </si>
  <si>
    <t>QX30 AWD</t>
  </si>
  <si>
    <t>F-PACE 35t</t>
  </si>
  <si>
    <t>F-TYPE R Convertible AWD</t>
  </si>
  <si>
    <t>F-TYPE R Coupe AWD</t>
  </si>
  <si>
    <t>XE 20d AWD</t>
  </si>
  <si>
    <t>XE 35t AWD</t>
  </si>
  <si>
    <t>XF 20d AWD</t>
  </si>
  <si>
    <t>XF 35t AWD</t>
  </si>
  <si>
    <t>XJL Portfolio 3.0 AWD</t>
  </si>
  <si>
    <t>XJR  LWB</t>
  </si>
  <si>
    <t>Cherokee 4X4 Active Drive I</t>
  </si>
  <si>
    <t>Cherokee 4X4 Active Drive Lock</t>
  </si>
  <si>
    <t>Grand Cherokee SRT8</t>
  </si>
  <si>
    <t>New Compass</t>
  </si>
  <si>
    <t>New Compass 4X4</t>
  </si>
  <si>
    <t>Forte (GDI)</t>
  </si>
  <si>
    <t>Forte (MPI)</t>
  </si>
  <si>
    <t>Niro</t>
  </si>
  <si>
    <t>Niro FE</t>
  </si>
  <si>
    <t>Niro Touring</t>
  </si>
  <si>
    <t>Optima FE</t>
  </si>
  <si>
    <t>Optima Turbo</t>
  </si>
  <si>
    <t>Sorento AWD FE</t>
  </si>
  <si>
    <t>Soul Turbo</t>
  </si>
  <si>
    <t>Aventador Coupe LP 740</t>
  </si>
  <si>
    <t>Aventador Roadster LP 740</t>
  </si>
  <si>
    <t>Range Rover Evoque Convertible</t>
  </si>
  <si>
    <t>Continental AWD</t>
  </si>
  <si>
    <t>MKC AWD (Start/Stop)</t>
  </si>
  <si>
    <t>Levante</t>
  </si>
  <si>
    <t>Levante S</t>
  </si>
  <si>
    <t>AMG C 63 Cabriolet</t>
  </si>
  <si>
    <t>AMG C 63 Coupe</t>
  </si>
  <si>
    <t>AMG C 63 S Cabriolet</t>
  </si>
  <si>
    <t>AMG C 63 S Coupe</t>
  </si>
  <si>
    <t>AMG GLA 45 4MATIC</t>
  </si>
  <si>
    <t>AMG GLC 43 4MATIC Coupe</t>
  </si>
  <si>
    <t>AMG GLE 43 4MATIC</t>
  </si>
  <si>
    <t>AMG GLE 43 4MATIC Coupe</t>
  </si>
  <si>
    <t>AMG GLE 63 S 4MATIC Coupe</t>
  </si>
  <si>
    <t>AMG GLS 63</t>
  </si>
  <si>
    <t>AMG GT Coupe</t>
  </si>
  <si>
    <t>AMG GT S Coupe</t>
  </si>
  <si>
    <t>AMG S 63 4MATIC</t>
  </si>
  <si>
    <t>AMG S 63 Cabriolet</t>
  </si>
  <si>
    <t>AMG S 65 Cabriolet</t>
  </si>
  <si>
    <t>AMG SLC 43</t>
  </si>
  <si>
    <t>C 300 4MATIC Cabriolet</t>
  </si>
  <si>
    <t>C 300 4MATIC Coupe</t>
  </si>
  <si>
    <t>GLC 300 4MATIC</t>
  </si>
  <si>
    <t>GLS 450 4MATIC</t>
  </si>
  <si>
    <t>GLS 550 4MATIC</t>
  </si>
  <si>
    <t>S 550 4MATIC Cabriolet</t>
  </si>
  <si>
    <t>SL 450</t>
  </si>
  <si>
    <t>SLC 300</t>
  </si>
  <si>
    <t>Cooper Clubman ALL4</t>
  </si>
  <si>
    <t>Cooper Countryman ALL4</t>
  </si>
  <si>
    <t>Cooper S Clubman ALL4</t>
  </si>
  <si>
    <t>Cooper S Countryman  ALL4</t>
  </si>
  <si>
    <t>John Cooper Works 3 Door</t>
  </si>
  <si>
    <t>John Cooper Works Clubman ALL4</t>
  </si>
  <si>
    <t>Mirage G4</t>
  </si>
  <si>
    <t>Qashqai</t>
  </si>
  <si>
    <t>Qashqai AWD</t>
  </si>
  <si>
    <t>Sentra (Turbo)</t>
  </si>
  <si>
    <t>Sentra Nismo</t>
  </si>
  <si>
    <t>Titan 4WD Pro-4X</t>
  </si>
  <si>
    <t>Cayenne Platinum</t>
  </si>
  <si>
    <t>Macan</t>
  </si>
  <si>
    <t>Macan GTS</t>
  </si>
  <si>
    <t>1500 EcoDiesel</t>
  </si>
  <si>
    <t>1500 4X4 EcoDiesel</t>
  </si>
  <si>
    <t>Dawn</t>
  </si>
  <si>
    <t>Crosstrek AWD</t>
  </si>
  <si>
    <t>Impreza 4-Door AWD</t>
  </si>
  <si>
    <t>Impreza 5-Door AWD</t>
  </si>
  <si>
    <t>Corolla iM</t>
  </si>
  <si>
    <t>Highlander AWD (Start/Stop System)</t>
  </si>
  <si>
    <t>Highlander AWD LE</t>
  </si>
  <si>
    <t>Golf Alltrack</t>
  </si>
  <si>
    <t>Golf SportWagen</t>
  </si>
  <si>
    <t>Golf SportWagen 4MOTION</t>
  </si>
  <si>
    <t>S60 Inscription T5</t>
  </si>
  <si>
    <t>S90 T5</t>
  </si>
  <si>
    <t>S90 T6 AWD</t>
  </si>
  <si>
    <t>V90 T5</t>
  </si>
  <si>
    <t>V90 T6 AWD</t>
  </si>
  <si>
    <t>V90 CC T6 AWD</t>
  </si>
  <si>
    <t>TLX A-SPEC</t>
  </si>
  <si>
    <t>TLX SH-AWD A-SPEC</t>
  </si>
  <si>
    <t>4C Coupe</t>
  </si>
  <si>
    <t>Stelvio AWD</t>
  </si>
  <si>
    <t>Stelvio Quadrifoglio</t>
  </si>
  <si>
    <t>DB11 V8</t>
  </si>
  <si>
    <t>A5 Sportback quattro</t>
  </si>
  <si>
    <t>R8 quattro</t>
  </si>
  <si>
    <t>RS 3</t>
  </si>
  <si>
    <t>S5 Sportback</t>
  </si>
  <si>
    <t>TT RS</t>
  </si>
  <si>
    <t>640i xDrive Gran Turismo</t>
  </si>
  <si>
    <t>750i xDrive SWB</t>
  </si>
  <si>
    <t>M550i xDrive</t>
  </si>
  <si>
    <t>X2 xDrive28i</t>
  </si>
  <si>
    <t>X3 M40i</t>
  </si>
  <si>
    <t>Chiron</t>
  </si>
  <si>
    <t>Encore (SIDI with Stop/Start)</t>
  </si>
  <si>
    <t>Encore AWD (SIDI with Stop/Start)</t>
  </si>
  <si>
    <t>Cruze Hatchback Diesel</t>
  </si>
  <si>
    <t>Silverado eAssist</t>
  </si>
  <si>
    <t>Challenger GT AWD</t>
  </si>
  <si>
    <t>Challenger GT AWD FFV</t>
  </si>
  <si>
    <t>Challenger SRT Demon</t>
  </si>
  <si>
    <t>Durango AWD SRT</t>
  </si>
  <si>
    <t>EcoSport</t>
  </si>
  <si>
    <t>EcoSport AWD</t>
  </si>
  <si>
    <t>F-150 FFV (LT Tire Pkg)</t>
  </si>
  <si>
    <t>F-150 4X4 XL/XLT</t>
  </si>
  <si>
    <t>Sierra eAssist</t>
  </si>
  <si>
    <t>Accord Sport/Touring</t>
  </si>
  <si>
    <t>Civic Hatchback Sport</t>
  </si>
  <si>
    <t>Civic Sedan Si</t>
  </si>
  <si>
    <t>Civic Type R</t>
  </si>
  <si>
    <t>Kona</t>
  </si>
  <si>
    <t>Kona AWD</t>
  </si>
  <si>
    <t>Santa Fe Sport Ultimate AWD</t>
  </si>
  <si>
    <t>Q50 AWD Red Sport</t>
  </si>
  <si>
    <t>Q60 AWD Red Sport</t>
  </si>
  <si>
    <t>F-PACE 20d</t>
  </si>
  <si>
    <t>F-PACE 25t</t>
  </si>
  <si>
    <t>F-TYPE Convertible R-Dynamic</t>
  </si>
  <si>
    <t>F-TYPE Convertible R-Dynamic AWD</t>
  </si>
  <si>
    <t>F-TYPE Coupe R-Dynamic</t>
  </si>
  <si>
    <t>F-TYPE Coupe R-Dynamic AWD</t>
  </si>
  <si>
    <t>XE 25t AWD</t>
  </si>
  <si>
    <t>XF 25t AWD</t>
  </si>
  <si>
    <t>XJ R-Sport AWD</t>
  </si>
  <si>
    <t>XJL Portfolio AWD</t>
  </si>
  <si>
    <t>Cherokee 4X4 Active Drive I FFV</t>
  </si>
  <si>
    <t>Grand Cherokee 4X4 SRT</t>
  </si>
  <si>
    <t>Grand Cherokee 4X4 Trackhawk</t>
  </si>
  <si>
    <t>New Wrangler 4X4</t>
  </si>
  <si>
    <t>New Wrangler Unlimited 4X4</t>
  </si>
  <si>
    <t>Wrangler JK 4X4</t>
  </si>
  <si>
    <t>Wrangler JK Unlimited 4X4</t>
  </si>
  <si>
    <t>Stinger AWD</t>
  </si>
  <si>
    <t>Aventador S Coupe</t>
  </si>
  <si>
    <t>Aventador S Roadster</t>
  </si>
  <si>
    <t>Huracan AWD</t>
  </si>
  <si>
    <t>Huracan Spyder AWD</t>
  </si>
  <si>
    <t>Range Rover Velar</t>
  </si>
  <si>
    <t>LC 500</t>
  </si>
  <si>
    <t>LC 500h</t>
  </si>
  <si>
    <t>LS 500</t>
  </si>
  <si>
    <t>LS 500 AWD</t>
  </si>
  <si>
    <t>LS 500h</t>
  </si>
  <si>
    <t>LS 500h AWD</t>
  </si>
  <si>
    <t>NX 300 AWD</t>
  </si>
  <si>
    <t>NX 300 AWD F SPORT</t>
  </si>
  <si>
    <t>RX 350 L AWD</t>
  </si>
  <si>
    <t xml:space="preserve">CX-5 </t>
  </si>
  <si>
    <t>CX-5 (Cylinder Deactivation)</t>
  </si>
  <si>
    <t>CX-5 4WD (Cylinder Deactivation)</t>
  </si>
  <si>
    <t>AMG C 43 4MATIC</t>
  </si>
  <si>
    <t>AMG C 43 4MATIC Cabriolet</t>
  </si>
  <si>
    <t>AMG C 43 4MATIC Coupe</t>
  </si>
  <si>
    <t>AMG CLA 45 4MATIC</t>
  </si>
  <si>
    <t>AMG E 43 4MATIC</t>
  </si>
  <si>
    <t>AMG GLC 43 4MATIC</t>
  </si>
  <si>
    <t>AMG GLS 63 4MATIC</t>
  </si>
  <si>
    <t>AMG GT Roadster</t>
  </si>
  <si>
    <t>AMG GT C Coupe</t>
  </si>
  <si>
    <t>AMG GT C Roadster</t>
  </si>
  <si>
    <t>AMG GT R Coupe</t>
  </si>
  <si>
    <t>AMG S 63 4MATIC Cabriolet</t>
  </si>
  <si>
    <t>AMG S 63 4MATIC Coupe</t>
  </si>
  <si>
    <t>C 300 4MATIC Wagon</t>
  </si>
  <si>
    <t>E 400 4MATIC Cabriolet</t>
  </si>
  <si>
    <t>GLC 300 4MATIC Coupe</t>
  </si>
  <si>
    <t>Maybach S 650</t>
  </si>
  <si>
    <t>S 450 4MATIC SWB</t>
  </si>
  <si>
    <t>S 560 Cabriolet</t>
  </si>
  <si>
    <t>S 560 4MATIC SWB</t>
  </si>
  <si>
    <t>S 560 4MATIC</t>
  </si>
  <si>
    <t>S 560 4MATIC Coupe</t>
  </si>
  <si>
    <t>Eclipse Cross</t>
  </si>
  <si>
    <t>Eclipse Cross 4WD</t>
  </si>
  <si>
    <t>Kicks</t>
  </si>
  <si>
    <t>911 Targa 4 GTS</t>
  </si>
  <si>
    <t>911 Turbo S Exclusive</t>
  </si>
  <si>
    <t>Macan Turbo Kit</t>
  </si>
  <si>
    <t>Panamera 4 Executive</t>
  </si>
  <si>
    <t>Panamera 4 ST</t>
  </si>
  <si>
    <t>Panamera 4S ST</t>
  </si>
  <si>
    <t>Panamera Turbo ST</t>
  </si>
  <si>
    <t>BRZ tS</t>
  </si>
  <si>
    <t>WRX STI AWD Type RA</t>
  </si>
  <si>
    <t>Camry LE/SE</t>
  </si>
  <si>
    <t>Camry XLE/XSE</t>
  </si>
  <si>
    <t>Camry XSE</t>
  </si>
  <si>
    <t>C-HR</t>
  </si>
  <si>
    <t>Atlas</t>
  </si>
  <si>
    <t>Atlas 4MOTION</t>
  </si>
  <si>
    <t>Beetle Dune Convertible</t>
  </si>
  <si>
    <t>S90 T5 AWD</t>
  </si>
  <si>
    <t>V90 CC T5 AWD</t>
  </si>
  <si>
    <t>MDX SH-AWD A-SPEC</t>
  </si>
  <si>
    <t>RDX AWD A-SPEC</t>
  </si>
  <si>
    <t>Stelvio</t>
  </si>
  <si>
    <t>Stelvio AWD Quadrifoglio</t>
  </si>
  <si>
    <t>DB11 AMR</t>
  </si>
  <si>
    <t>DBS Superleggera</t>
  </si>
  <si>
    <t>Rapide AMR</t>
  </si>
  <si>
    <t>Vanquish Zagato</t>
  </si>
  <si>
    <t>Vantage V8</t>
  </si>
  <si>
    <t>Q8</t>
  </si>
  <si>
    <t>RS 5 Coupe</t>
  </si>
  <si>
    <t>RS 5 Sportback</t>
  </si>
  <si>
    <t>M2 Competition</t>
  </si>
  <si>
    <t>M240i Coupe M Performance</t>
  </si>
  <si>
    <t>M240i xDrive Coupe M Performance</t>
  </si>
  <si>
    <t>M4 Cabriolet Competition</t>
  </si>
  <si>
    <t>M4 Coupe Competition</t>
  </si>
  <si>
    <t>M4 CS</t>
  </si>
  <si>
    <t>M5 Competition</t>
  </si>
  <si>
    <t>M760Li xDrive</t>
  </si>
  <si>
    <t>M850i xDrive Cabriolet</t>
  </si>
  <si>
    <t>M850i xDrive Coupe</t>
  </si>
  <si>
    <t>X2 M35i</t>
  </si>
  <si>
    <t>X4 xDrive30i</t>
  </si>
  <si>
    <t>X5 xDrive40i</t>
  </si>
  <si>
    <t>X7 xDrive40i</t>
  </si>
  <si>
    <t>X7 xDrive50i</t>
  </si>
  <si>
    <t>XT4</t>
  </si>
  <si>
    <t>XT4 AWD</t>
  </si>
  <si>
    <t>Blazer AWD</t>
  </si>
  <si>
    <t>Silverado 4WD Trail Boss</t>
  </si>
  <si>
    <t>Silverado LD</t>
  </si>
  <si>
    <t>Silverado LD 4WD</t>
  </si>
  <si>
    <t>Challenger SRT Hellcat Redeye</t>
  </si>
  <si>
    <t>F-150 4X4 Limited</t>
  </si>
  <si>
    <t>Mustang Bullitt</t>
  </si>
  <si>
    <t>Ranger 4WD</t>
  </si>
  <si>
    <t>G70</t>
  </si>
  <si>
    <t>G70 AWD</t>
  </si>
  <si>
    <t>Sierra 4WD AT4</t>
  </si>
  <si>
    <t>Sierra LTD</t>
  </si>
  <si>
    <t>Sierra LTD 4WD</t>
  </si>
  <si>
    <t>Insight Touring</t>
  </si>
  <si>
    <t>Passport AWD</t>
  </si>
  <si>
    <t>Santa Fe XL</t>
  </si>
  <si>
    <t>Santa Fe XL AWD</t>
  </si>
  <si>
    <t>Santa Fe XL Ultimate AWD</t>
  </si>
  <si>
    <t>Sonata SE</t>
  </si>
  <si>
    <t>Veloster N</t>
  </si>
  <si>
    <t>E-PACE P250</t>
  </si>
  <si>
    <t>Grand Cherokee 4X4 EcoDiesel</t>
  </si>
  <si>
    <t>Renegade 4X4 Trailhawk</t>
  </si>
  <si>
    <t>Wrangler JL 4X4</t>
  </si>
  <si>
    <t>Wrangler JL Unlimited 4X4</t>
  </si>
  <si>
    <t>Huracan Coupe</t>
  </si>
  <si>
    <t>Huracan Coupe AWD</t>
  </si>
  <si>
    <t>Huracan Performante Coupe</t>
  </si>
  <si>
    <t>Huracan Performante Spyder</t>
  </si>
  <si>
    <t>Urus</t>
  </si>
  <si>
    <t>Discovery</t>
  </si>
  <si>
    <t>Discovery Td6 Diesel</t>
  </si>
  <si>
    <t>Range Rover 3.0</t>
  </si>
  <si>
    <t>Range Rover 5.0 Supercharged</t>
  </si>
  <si>
    <t>Range Rover SVAutobiography LWB</t>
  </si>
  <si>
    <t>Range Rover Sport 3.0</t>
  </si>
  <si>
    <t>Range Rover Velar D180</t>
  </si>
  <si>
    <t>Range Rover Velar P300</t>
  </si>
  <si>
    <t>Range Rover Velar P380</t>
  </si>
  <si>
    <t>ES 350 F SPORT</t>
  </si>
  <si>
    <t>RX 450h L AWD</t>
  </si>
  <si>
    <t>UX 200</t>
  </si>
  <si>
    <t>UX 250h</t>
  </si>
  <si>
    <t>UX 250h AWD</t>
  </si>
  <si>
    <t>Nautilus</t>
  </si>
  <si>
    <t>Levante GTS</t>
  </si>
  <si>
    <t>Levante Trofeo</t>
  </si>
  <si>
    <t>CX-5 Diesel 4WD</t>
  </si>
  <si>
    <t>CX-5 Turbo 4WD</t>
  </si>
  <si>
    <t>Mazda3 4-Door (Cylinder Deactivation)</t>
  </si>
  <si>
    <t>Mazda3 4-Door 4WD</t>
  </si>
  <si>
    <t>Mazda3 5-Door 4WD</t>
  </si>
  <si>
    <t>A 220</t>
  </si>
  <si>
    <t>A 220 4MATIC</t>
  </si>
  <si>
    <t>A 250</t>
  </si>
  <si>
    <t>A 250 4MATIC</t>
  </si>
  <si>
    <t>AMG C 43 4MATIC Wagon</t>
  </si>
  <si>
    <t>AMG CLS 53 4MATIC+</t>
  </si>
  <si>
    <t>AMG E 53 4MATIC+</t>
  </si>
  <si>
    <t>AMG E 53 4MATIC+ Cabriolet</t>
  </si>
  <si>
    <t>AMG E 53 4MATIC+ Coupe</t>
  </si>
  <si>
    <t>AMG E 53 4MATIC+ Wagon</t>
  </si>
  <si>
    <t>AMG E 63 S 4MATIC+</t>
  </si>
  <si>
    <t>AMG E 63 S 4MATIC+ Wagon</t>
  </si>
  <si>
    <t>AMG GLC 63 S 4MATIC+</t>
  </si>
  <si>
    <t>AMG GLC 63 S 4MATIC+ Coupe</t>
  </si>
  <si>
    <t>AMG GT 53 4MATIC+ Coupe</t>
  </si>
  <si>
    <t>AMG GT 63 4MATIC+ Coupe</t>
  </si>
  <si>
    <t>AMG GT 63 S 4MATIC+ Coupe</t>
  </si>
  <si>
    <t>AMG S 63 4MATIC+</t>
  </si>
  <si>
    <t>AMG S 63 4MATIC+ Cabriolet</t>
  </si>
  <si>
    <t>AMG S 63 4MATIC+ Coupe</t>
  </si>
  <si>
    <t>CLS 450 4MATIC</t>
  </si>
  <si>
    <t>E 450 4MATIC</t>
  </si>
  <si>
    <t>E 450 4MATIC Cabriolet</t>
  </si>
  <si>
    <t>E 450 4MATIC Coupe</t>
  </si>
  <si>
    <t>E 450 4MATIC Wagon</t>
  </si>
  <si>
    <t>Maybach S 560 4MATIC</t>
  </si>
  <si>
    <t>Metris Cargo LWB</t>
  </si>
  <si>
    <t>Altima SR/Platinum</t>
  </si>
  <si>
    <t>Altima AWD</t>
  </si>
  <si>
    <t>Altima AWD SR/Platinum</t>
  </si>
  <si>
    <t>911 Carrera T</t>
  </si>
  <si>
    <t>911 GT2 RS</t>
  </si>
  <si>
    <t>911 GT3 Touring</t>
  </si>
  <si>
    <t>911 Turbo S Exclusive Cabriolet</t>
  </si>
  <si>
    <t>Panamera GTS ST</t>
  </si>
  <si>
    <t>1500 eTorque</t>
  </si>
  <si>
    <t>1500 HFE eTorque</t>
  </si>
  <si>
    <t>1500 4X4 eTorque</t>
  </si>
  <si>
    <t>1500 Classic EcoDiesel</t>
  </si>
  <si>
    <t>1500 Classic FFV</t>
  </si>
  <si>
    <t>1500 Classic</t>
  </si>
  <si>
    <t>1500 Classic 4X4 EcoDiesel</t>
  </si>
  <si>
    <t>1500 Classic 4X4 FFV</t>
  </si>
  <si>
    <t>1500 Classic 4X4</t>
  </si>
  <si>
    <t>Cullinan</t>
  </si>
  <si>
    <t>Dawn Black Badge</t>
  </si>
  <si>
    <t>Wraith Black Badge</t>
  </si>
  <si>
    <t>Ascent AWD</t>
  </si>
  <si>
    <t>Corolla LE Eco</t>
  </si>
  <si>
    <t>Corolla Hatchback</t>
  </si>
  <si>
    <t>Prius AWD</t>
  </si>
  <si>
    <t>Arteon 4MOTION</t>
  </si>
  <si>
    <t>XC40 T5 AWD</t>
  </si>
  <si>
    <t>TLX SH-AWD A-SPEC/Limited Edition</t>
  </si>
  <si>
    <t xml:space="preserve">A6 quattro </t>
  </si>
  <si>
    <t xml:space="preserve">A6 allroad </t>
  </si>
  <si>
    <t xml:space="preserve">A8L </t>
  </si>
  <si>
    <t>RS Q8</t>
  </si>
  <si>
    <t>SQ7</t>
  </si>
  <si>
    <t>SQ8</t>
  </si>
  <si>
    <t>228i xDrive Gran Coupe</t>
  </si>
  <si>
    <t>330i xDrive Sedan</t>
  </si>
  <si>
    <t>430i Coupe</t>
  </si>
  <si>
    <t>530i xDrive Sedan</t>
  </si>
  <si>
    <t>540i xDrive Sedan</t>
  </si>
  <si>
    <t>M2 CS</t>
  </si>
  <si>
    <t>M235i xDrive Gran Coupe</t>
  </si>
  <si>
    <t>M340i xDrive Sedan</t>
  </si>
  <si>
    <t>M550i xDrive Sedan</t>
  </si>
  <si>
    <t>M760i xDrive Sedan</t>
  </si>
  <si>
    <t>M8 Cabriolet</t>
  </si>
  <si>
    <t>M8 Cabriolet Competition</t>
  </si>
  <si>
    <t>M8 Coupe</t>
  </si>
  <si>
    <t>M8 Coupe Competition</t>
  </si>
  <si>
    <t>M8 Gran Coupe</t>
  </si>
  <si>
    <t>M8 Gran Coupe Competition</t>
  </si>
  <si>
    <t>M850i xDrive Gran Coupe</t>
  </si>
  <si>
    <t>X3 M</t>
  </si>
  <si>
    <t>X3 M Competition</t>
  </si>
  <si>
    <t>X4 M</t>
  </si>
  <si>
    <t>X4 M Competition</t>
  </si>
  <si>
    <t>X5 M Competition</t>
  </si>
  <si>
    <t>X5 M50i</t>
  </si>
  <si>
    <t>X6 xDrive40i</t>
  </si>
  <si>
    <t>X6 M Competition</t>
  </si>
  <si>
    <t>X6 M50i</t>
  </si>
  <si>
    <t>X7 M50i</t>
  </si>
  <si>
    <t>Z4 M40i</t>
  </si>
  <si>
    <t>Divo</t>
  </si>
  <si>
    <t>Encore GX</t>
  </si>
  <si>
    <t>Encore GX AWD</t>
  </si>
  <si>
    <t>CT4</t>
  </si>
  <si>
    <t>CT4 AWD</t>
  </si>
  <si>
    <t>CT4-V</t>
  </si>
  <si>
    <t>CT4-V AWD</t>
  </si>
  <si>
    <t>CT5</t>
  </si>
  <si>
    <t>CT5 AWD</t>
  </si>
  <si>
    <t>CT5-V</t>
  </si>
  <si>
    <t>CT5-V AWD</t>
  </si>
  <si>
    <t>XT6 AWD</t>
  </si>
  <si>
    <t>Silverado WT</t>
  </si>
  <si>
    <t>Silverado WT 4WD</t>
  </si>
  <si>
    <t>Silverado 4WD Custom Trail Boss</t>
  </si>
  <si>
    <t>Silverado 4WD LT Trail Boss</t>
  </si>
  <si>
    <t>Pacifica AWD (Stop-Start)</t>
  </si>
  <si>
    <t>Voyager (Stop-Start)</t>
  </si>
  <si>
    <t>Challenger AWD</t>
  </si>
  <si>
    <t>Challenger Widebody (MDS)</t>
  </si>
  <si>
    <t>Challenger SRT Hellcat Widebody</t>
  </si>
  <si>
    <t>Charger Widebody (MDS)</t>
  </si>
  <si>
    <t>Charger SRT Hellcat Widebody</t>
  </si>
  <si>
    <t>Explorer Hybrid AWD</t>
  </si>
  <si>
    <t>Mustang Convertible (Performance Pkg)</t>
  </si>
  <si>
    <t>Shelby GT500 Mustang</t>
  </si>
  <si>
    <t>T-150 Wagon FFV 4WD</t>
  </si>
  <si>
    <t>Transit Connect Van LWB</t>
  </si>
  <si>
    <t>Sierra WT</t>
  </si>
  <si>
    <t>Sierra WT 4WD</t>
  </si>
  <si>
    <t>Insight EX/Touring</t>
  </si>
  <si>
    <t>Palisade</t>
  </si>
  <si>
    <t>Palisade AWD</t>
  </si>
  <si>
    <t>Venue</t>
  </si>
  <si>
    <t>E-PACE P300</t>
  </si>
  <si>
    <t>F-PACE 30t</t>
  </si>
  <si>
    <t>F-PACE S</t>
  </si>
  <si>
    <t>F-PACE SVR</t>
  </si>
  <si>
    <t>F-TYPE P300 Convertible</t>
  </si>
  <si>
    <t>F-TYPE SVR AWD Convertible</t>
  </si>
  <si>
    <t>F-TYPE P300 Coupe</t>
  </si>
  <si>
    <t>F-TYPE SVR AWD Coupe</t>
  </si>
  <si>
    <t>XE P250</t>
  </si>
  <si>
    <t>XE P250 AWD</t>
  </si>
  <si>
    <t>XE P300 AWD</t>
  </si>
  <si>
    <t>XF 25t</t>
  </si>
  <si>
    <t>XF 30t</t>
  </si>
  <si>
    <t>XF 30t AWD</t>
  </si>
  <si>
    <t>XF S AWD</t>
  </si>
  <si>
    <t>Gladiator 4X4</t>
  </si>
  <si>
    <t>Wrangler 4X4 eTorque</t>
  </si>
  <si>
    <t>Wrangler Unlimited 4X4 eTorque</t>
  </si>
  <si>
    <t>Wrangler Unlimited 4X4 EcoDiesel</t>
  </si>
  <si>
    <t>Telluride AWD</t>
  </si>
  <si>
    <t>Aventador Sian Coupe</t>
  </si>
  <si>
    <t>Aventador Sian Roadster</t>
  </si>
  <si>
    <t>Defender 90 P300</t>
  </si>
  <si>
    <t>Defender 90 P400</t>
  </si>
  <si>
    <t>Defender 110 P300</t>
  </si>
  <si>
    <t>Defender 110 P400</t>
  </si>
  <si>
    <t>Discovery Sport P250</t>
  </si>
  <si>
    <t>Discovery Sport P290</t>
  </si>
  <si>
    <t>Range Rover 5.0 Supercharged LWB</t>
  </si>
  <si>
    <t>Range Rover SVAutobiography Dynamic</t>
  </si>
  <si>
    <t>Range Rover Sport SVR</t>
  </si>
  <si>
    <t>Range Rover Evoque P250</t>
  </si>
  <si>
    <t>Range Rover Evoque P300</t>
  </si>
  <si>
    <t>Range Rover Velar P250</t>
  </si>
  <si>
    <t>Range Rover Velar P340</t>
  </si>
  <si>
    <t>Range Rover Velar SVAutobiography Dynamic</t>
  </si>
  <si>
    <t>Aviator</t>
  </si>
  <si>
    <t>Corsair AWD</t>
  </si>
  <si>
    <t>Nautilus AWD</t>
  </si>
  <si>
    <t>Ghibli S Q4</t>
  </si>
  <si>
    <t>Quattroporte S Q4</t>
  </si>
  <si>
    <t>CX-3 (SIL)</t>
  </si>
  <si>
    <t>CX-30</t>
  </si>
  <si>
    <t>CX-30 4WD</t>
  </si>
  <si>
    <t>CX-30 4WD (Cylinder Deactivation)</t>
  </si>
  <si>
    <t xml:space="preserve">A 220 4MATIC </t>
  </si>
  <si>
    <t>A 250 4MATIC Hatch</t>
  </si>
  <si>
    <t>AMG A 35 4MATIC</t>
  </si>
  <si>
    <t>AMG A 35 4MATIC Hatch</t>
  </si>
  <si>
    <t xml:space="preserve">AMG CLA 35 4MATIC </t>
  </si>
  <si>
    <t xml:space="preserve">AMG CLA 45 4MATIC </t>
  </si>
  <si>
    <t>AMG GLE 53 4MATIC+</t>
  </si>
  <si>
    <t xml:space="preserve">AMG GT 53 4MATIC+ </t>
  </si>
  <si>
    <t xml:space="preserve">AMG GT 63 4MATIC+ </t>
  </si>
  <si>
    <t xml:space="preserve">AMG GT 63 S 4MATIC+ </t>
  </si>
  <si>
    <t>AMG GT R Roadster</t>
  </si>
  <si>
    <t xml:space="preserve">AMG SLC 43 </t>
  </si>
  <si>
    <t xml:space="preserve">CLA 250 4MATIC </t>
  </si>
  <si>
    <t>GLB 250 4MATIC</t>
  </si>
  <si>
    <t>GLE 350 4MATIC</t>
  </si>
  <si>
    <t>GLE 450 4MATIC</t>
  </si>
  <si>
    <t>GLS 580 4MATIC</t>
  </si>
  <si>
    <t xml:space="preserve">SL 450 </t>
  </si>
  <si>
    <t>Sentra SR</t>
  </si>
  <si>
    <t>718 Boxster</t>
  </si>
  <si>
    <t>718 Boxster T</t>
  </si>
  <si>
    <t>718 Boxster S</t>
  </si>
  <si>
    <t>718 Cayman</t>
  </si>
  <si>
    <t>718 Cayman T</t>
  </si>
  <si>
    <t>718 Cayman S</t>
  </si>
  <si>
    <t>718 Cayman GT4</t>
  </si>
  <si>
    <t>718 Spyder</t>
  </si>
  <si>
    <t>Cayenne Coupe</t>
  </si>
  <si>
    <t>Cayenne S Coupe</t>
  </si>
  <si>
    <t>Cayenne Turbo Coupe</t>
  </si>
  <si>
    <t>Cullinan Black Badge</t>
  </si>
  <si>
    <t>Camry TRD</t>
  </si>
  <si>
    <t>Camry AWD LE/SE</t>
  </si>
  <si>
    <t>Camry AWD XLE/XSE</t>
  </si>
  <si>
    <t>Corolla XLE</t>
  </si>
  <si>
    <t>Corolla XSE</t>
  </si>
  <si>
    <t>Corolla Hybrid</t>
  </si>
  <si>
    <t>GR Supra</t>
  </si>
  <si>
    <t>Highlander Hybrid AWD Limited/Platinum</t>
  </si>
  <si>
    <t>RAV4 AWD TRD Off-Road</t>
  </si>
  <si>
    <t>Tacoma 4WD D-Cab TRD Off-Road/Pro</t>
  </si>
  <si>
    <t>Atlas Cross Sport 4MOTION</t>
  </si>
  <si>
    <t>XC40 T4</t>
  </si>
  <si>
    <t>XC40 T4 AWD</t>
  </si>
  <si>
    <t>RDX SH-AWD</t>
  </si>
  <si>
    <t>RDX SH-AWD A-SPEC</t>
  </si>
  <si>
    <t>TLX Type S</t>
  </si>
  <si>
    <t>TLX Type S (Performance Tire)</t>
  </si>
  <si>
    <t>DBX V8</t>
  </si>
  <si>
    <t>A4 Sedan 40 TFSI quattro</t>
  </si>
  <si>
    <t>A4 Sedan 45 TFSI quattro</t>
  </si>
  <si>
    <t>A4 allroad 45 TFSI quattro</t>
  </si>
  <si>
    <t>A5 Cabriolet 45 TFSI quattro</t>
  </si>
  <si>
    <t>A5 Coupe 45 TFSI quattro</t>
  </si>
  <si>
    <t>A5 Sportback 45 TFSI quattro</t>
  </si>
  <si>
    <t>A6 Sedan 45 TFSI quattro</t>
  </si>
  <si>
    <t>A6 Sedan 55 TFSI quattro</t>
  </si>
  <si>
    <t>A6 allroad 55 TFSI quattro</t>
  </si>
  <si>
    <t>A7 Sportback 55 TFSI quattro</t>
  </si>
  <si>
    <t>A8 L Sedan 55 TFSI quattro</t>
  </si>
  <si>
    <t>A8 L Sedan 60 TFSI quattro</t>
  </si>
  <si>
    <t>Q3 40 TFSI quattro</t>
  </si>
  <si>
    <t>Q3 45 TFSI quattro</t>
  </si>
  <si>
    <t>Q5 45 TFSI quattro</t>
  </si>
  <si>
    <t>Q5 Sportback 45 TFSI quattro</t>
  </si>
  <si>
    <t>Q7 45 TFSI quattro</t>
  </si>
  <si>
    <t>Q7 55 TFSI quattro</t>
  </si>
  <si>
    <t>Q8 55 TFSI quattro</t>
  </si>
  <si>
    <t>R8 Coupe quattro</t>
  </si>
  <si>
    <t>R8 Spyder quattro</t>
  </si>
  <si>
    <t>RS 5 Coupe quattro</t>
  </si>
  <si>
    <t>RS 5 Sportback quattro</t>
  </si>
  <si>
    <t>RS 6 Avant quattro</t>
  </si>
  <si>
    <t>RS 7 Sportback quattro</t>
  </si>
  <si>
    <t>RS Q8 quattro</t>
  </si>
  <si>
    <t>S4 Sedan quattro</t>
  </si>
  <si>
    <t>S5 Coupe quattro</t>
  </si>
  <si>
    <t>S5 Sportback quattro</t>
  </si>
  <si>
    <t>S6 Sedan quattro</t>
  </si>
  <si>
    <t>S7 Sportback quattro</t>
  </si>
  <si>
    <t>S8 Sedan quattro</t>
  </si>
  <si>
    <t>SQ5 Sportback quattro</t>
  </si>
  <si>
    <t>SQ7 quattro</t>
  </si>
  <si>
    <t>SQ8 quattro</t>
  </si>
  <si>
    <t>TT Coupe 45 TFSI quattro</t>
  </si>
  <si>
    <t>TT Roadster 45 TFSI quattro</t>
  </si>
  <si>
    <t>TT RS Coupe quattro</t>
  </si>
  <si>
    <t>Alpina XB7</t>
  </si>
  <si>
    <t>M440i xDrive Coupe</t>
  </si>
  <si>
    <t>Chiron Pur Sport</t>
  </si>
  <si>
    <t>Encore (SIDI)</t>
  </si>
  <si>
    <t>Encore AWD (SIDI)</t>
  </si>
  <si>
    <t>Envision</t>
  </si>
  <si>
    <t>Escalade 4WD (Without Stop-Start)</t>
  </si>
  <si>
    <t>Silverado Custom/WT</t>
  </si>
  <si>
    <t>Silverado (Without AFM)</t>
  </si>
  <si>
    <t>Silverado (Without DFM)</t>
  </si>
  <si>
    <t>Silverado 4WD Custom/WT</t>
  </si>
  <si>
    <t>Silverado 4WD (Without AFM)</t>
  </si>
  <si>
    <t>Silverado 4WD Trail Boss (Without AFM)</t>
  </si>
  <si>
    <t>Silverado 4WD (Without DFM)</t>
  </si>
  <si>
    <t>Silverado 4WD (Without Stop-Start)</t>
  </si>
  <si>
    <t>Silverado 4WD Trail Boss (Without Stop-Start)</t>
  </si>
  <si>
    <t>Suburban (Without Stop-Start)</t>
  </si>
  <si>
    <t>Suburban 4WD (Without Stop-Start)</t>
  </si>
  <si>
    <t>Tahoe (Without Stop-Start)</t>
  </si>
  <si>
    <t>Tahoe 4WD (Without Stop-Start)</t>
  </si>
  <si>
    <t>Trax (SIDI)</t>
  </si>
  <si>
    <t>Trax 4WD (SIDI)</t>
  </si>
  <si>
    <t>Challenger Widebody</t>
  </si>
  <si>
    <t>Durango AWD SRT Hellcat</t>
  </si>
  <si>
    <t>Bronco 4WD</t>
  </si>
  <si>
    <t>Bronco Badlands 4WD</t>
  </si>
  <si>
    <t>Bronco Black Diamond 4WD</t>
  </si>
  <si>
    <t>Bronco Sasquatch 4WD</t>
  </si>
  <si>
    <t>Bronco Sport 4WD</t>
  </si>
  <si>
    <t>Explorer Timberline AWD</t>
  </si>
  <si>
    <t>F-150 FFV (Without Stop-Start)</t>
  </si>
  <si>
    <t>F-150 4X4 (Without Stop-Start)</t>
  </si>
  <si>
    <t>F-150 FFV 4X4 (Without Stop-Start)</t>
  </si>
  <si>
    <t>F-150 Raptor 4X4 (Without Stop-Start)</t>
  </si>
  <si>
    <t>F-150 Raptor 37 4X4</t>
  </si>
  <si>
    <t>F-150 Raptor 37 4X4 (Without Stop-Start)</t>
  </si>
  <si>
    <t>F-150 Tremor 4X4</t>
  </si>
  <si>
    <t>F-150 Tremor 4X4 (Without Stop-Start)</t>
  </si>
  <si>
    <t>F-150 Hybrid</t>
  </si>
  <si>
    <t>F-150 Hybrid 4X4</t>
  </si>
  <si>
    <t>Mustang (High Performance)</t>
  </si>
  <si>
    <t>Mustang Convertible (High Performance)</t>
  </si>
  <si>
    <t>Mustang Mach 1</t>
  </si>
  <si>
    <t>Ranger 4WD Tremor</t>
  </si>
  <si>
    <t>GV80 AWD</t>
  </si>
  <si>
    <t>Sierra (Without AFM)</t>
  </si>
  <si>
    <t>Sierra (Without DFM)</t>
  </si>
  <si>
    <t>Sierra 4WD WT</t>
  </si>
  <si>
    <t>Sierra 4WD (Without AFM)</t>
  </si>
  <si>
    <t>Sierra 4WD (Without DFM)</t>
  </si>
  <si>
    <t>Sierra 4WD AT4 (Without DFM)</t>
  </si>
  <si>
    <t>Sierra 4WD (Without Stop-Start)</t>
  </si>
  <si>
    <t>Sierra 4WD AT4 (Without Stop-Start)</t>
  </si>
  <si>
    <t>Yukon (Without Stop-Start)</t>
  </si>
  <si>
    <t>Yukon 4WD (Without Stop-Start)</t>
  </si>
  <si>
    <t>Yukon XL (Without Stop-Start)</t>
  </si>
  <si>
    <t>Yukon XL 4WD (Without Stop-Start)</t>
  </si>
  <si>
    <t>Accord Hybrid Sport/Touring</t>
  </si>
  <si>
    <t>Elantra (ISG)</t>
  </si>
  <si>
    <t>Elantra Hybrid Blue</t>
  </si>
  <si>
    <t>Santa Fe Hybrid</t>
  </si>
  <si>
    <t>F-PACE P250</t>
  </si>
  <si>
    <t>F-PACE P340</t>
  </si>
  <si>
    <t>F-PACE P400</t>
  </si>
  <si>
    <t>F-TYPE P380 Convertible AWD</t>
  </si>
  <si>
    <t>F-TYPE P380 Coupe AWD</t>
  </si>
  <si>
    <t>XF P250</t>
  </si>
  <si>
    <t>XF P300 AWD</t>
  </si>
  <si>
    <t>Gladiator 4X4 EcoDiesel</t>
  </si>
  <si>
    <t>Gladiator 4X4 Rubicon EcoDiesel</t>
  </si>
  <si>
    <t>Grand Cherokee L 4X4</t>
  </si>
  <si>
    <t>Wrangler JL 4X4 eTorque</t>
  </si>
  <si>
    <t>Wrangler JL Unlimited 4X4 EcoDiesel</t>
  </si>
  <si>
    <t>Wrangler JL Unlimited 4X4 Rubicon EcoDiesel</t>
  </si>
  <si>
    <t>Wrangler JL Unlimited 4X4 eTorque</t>
  </si>
  <si>
    <t>K5</t>
  </si>
  <si>
    <t>K5 AWD</t>
  </si>
  <si>
    <t>Seltos</t>
  </si>
  <si>
    <t>Seltos AWD</t>
  </si>
  <si>
    <t>Aventador Coupe S</t>
  </si>
  <si>
    <t>Aventador Coupe SVJ</t>
  </si>
  <si>
    <t>Aventador Roadster S</t>
  </si>
  <si>
    <t>Aventador Roadster SVJ</t>
  </si>
  <si>
    <t>Huracan STO</t>
  </si>
  <si>
    <t>Discovery P300</t>
  </si>
  <si>
    <t>Discovery P360</t>
  </si>
  <si>
    <t>Range Rover P360/P400</t>
  </si>
  <si>
    <t>Range Rover P525 Supercharged</t>
  </si>
  <si>
    <t>Range Rover P525 Supercharged LWB</t>
  </si>
  <si>
    <t>Range Rover SVAutobiography</t>
  </si>
  <si>
    <t>Range Rover Sport P360/P400</t>
  </si>
  <si>
    <t>Range Rover Sport P525 Supercharged</t>
  </si>
  <si>
    <t>Range Rover Velar P400</t>
  </si>
  <si>
    <t>ES 250 AWD</t>
  </si>
  <si>
    <t>LC 500 Convertible</t>
  </si>
  <si>
    <t>Aviator AWD</t>
  </si>
  <si>
    <t>Ghibli Trofeo</t>
  </si>
  <si>
    <t>Quattroporte Trofeo</t>
  </si>
  <si>
    <t>CX-30 Turbo 4WD</t>
  </si>
  <si>
    <t>Mazda3 4-Door Turbo 4WD</t>
  </si>
  <si>
    <t>Mazda3 5-Door Turbo 4WD</t>
  </si>
  <si>
    <t>A 220 4MATIC Sedan</t>
  </si>
  <si>
    <t>AMG A 35 4MATIC Sedan</t>
  </si>
  <si>
    <t>AMG C 43 4MATIC Sedan</t>
  </si>
  <si>
    <t>AMG C 63 Sedan</t>
  </si>
  <si>
    <t>AMG C 63 S Sedan</t>
  </si>
  <si>
    <t>AMG CLA 35 4MATIC Coupe</t>
  </si>
  <si>
    <t>AMG CLA 45 4MATIC Coupe</t>
  </si>
  <si>
    <t>AMG CLS 53 4MATIC+ Coupe</t>
  </si>
  <si>
    <t>AMG E 53 4MATIC+ Sedan</t>
  </si>
  <si>
    <t>AMG E 63 S 4MATIC+ Sedan</t>
  </si>
  <si>
    <t>AMG G 63 SUV</t>
  </si>
  <si>
    <t>AMG GLA 35 4MATIC SUV</t>
  </si>
  <si>
    <t>AMG GLA 45 4MATIC SUV</t>
  </si>
  <si>
    <t>AMG GLB 35 SUV</t>
  </si>
  <si>
    <t>AMG GLC 43 4MATIC SUV</t>
  </si>
  <si>
    <t>AMG GLC 63 S 4MATIC+ SUV</t>
  </si>
  <si>
    <t>AMG GLE 53 4MATIC+ SUV</t>
  </si>
  <si>
    <t>AMG GLE 53 4MATIC+ Coupe</t>
  </si>
  <si>
    <t>AMG GLE 63 S 4MATIC+ SUV</t>
  </si>
  <si>
    <t>AMG GLE 63 S 4MATIC+ Coupe</t>
  </si>
  <si>
    <t>AMG GLS 63 4MATIC+ SUV</t>
  </si>
  <si>
    <t>AMG GT Black Series Coupe</t>
  </si>
  <si>
    <t>C 300 4MATIC Sedan</t>
  </si>
  <si>
    <t>CLA 250 4MATIC Coupe</t>
  </si>
  <si>
    <t>CLS 450 4MATIC Coupe</t>
  </si>
  <si>
    <t>E 350 4MATIC Sedan</t>
  </si>
  <si>
    <t>E 450 4MATIC Sedan</t>
  </si>
  <si>
    <t>E 450 4MATIC All-Terrain Wagon</t>
  </si>
  <si>
    <t>G 550 SUV</t>
  </si>
  <si>
    <t>GLA 250 4MATIC SUV</t>
  </si>
  <si>
    <t>GLB 250 4MATIC SUV</t>
  </si>
  <si>
    <t>GLC 300 4MATIC SUV</t>
  </si>
  <si>
    <t>GLE 350 4MATIC SUV</t>
  </si>
  <si>
    <t>GLE 450 4MATIC SUV</t>
  </si>
  <si>
    <t>GLS 450 4MATIC SUV</t>
  </si>
  <si>
    <t>GLS 580 4MATIC SUV</t>
  </si>
  <si>
    <t>Maybach GLS 600 4MATIC SUV</t>
  </si>
  <si>
    <t>Maybach S 580 4MATIC Sedan</t>
  </si>
  <si>
    <t>Metris Cargo Van</t>
  </si>
  <si>
    <t>Metris Cargo Van LWB</t>
  </si>
  <si>
    <t>Metris Passenger Van</t>
  </si>
  <si>
    <t>S 500 4MATIC SWB Sedan</t>
  </si>
  <si>
    <t>S 580 4MATIC LWB Sedan</t>
  </si>
  <si>
    <t>John Cooper Works GP</t>
  </si>
  <si>
    <t>718 Boxster GTS 4.0</t>
  </si>
  <si>
    <t>718 Cayman GTS 4.0</t>
  </si>
  <si>
    <t>Cayenne GTS Coupe</t>
  </si>
  <si>
    <t>Panamera Turbo S ST</t>
  </si>
  <si>
    <t>1500 HFE EcoDiesel</t>
  </si>
  <si>
    <t>1500 4X4 TRX</t>
  </si>
  <si>
    <t>Avalon AWD</t>
  </si>
  <si>
    <t>Camry Hybrid SE/XLE/XSE</t>
  </si>
  <si>
    <t>Corolla Apex Edition</t>
  </si>
  <si>
    <t>GR Supra 2.0</t>
  </si>
  <si>
    <t>GR Supra 3.0</t>
  </si>
  <si>
    <t>RAV4 (Stop/Start)</t>
  </si>
  <si>
    <t>RAV4 AWD (Stop/Start)</t>
  </si>
  <si>
    <t>RAV4 AWD LE</t>
  </si>
  <si>
    <t>MDX Type S</t>
  </si>
  <si>
    <t>DBS V12</t>
  </si>
  <si>
    <t>A3 Sedan 40 TFSI quattro</t>
  </si>
  <si>
    <t>Q5 40 TFSI quattro</t>
  </si>
  <si>
    <t>R8 Coupe Performance</t>
  </si>
  <si>
    <t>R8 Coupe Performance quattro</t>
  </si>
  <si>
    <t>R8 Spyder Performance</t>
  </si>
  <si>
    <t>R8 Spyder Performance quattro</t>
  </si>
  <si>
    <t>S3 Sedan quattro</t>
  </si>
  <si>
    <t>Bentayga Speed</t>
  </si>
  <si>
    <t>Continental GT Speed</t>
  </si>
  <si>
    <t>Continental GT Convertible Speed</t>
  </si>
  <si>
    <t>Alpina B8 Gran Coupe</t>
  </si>
  <si>
    <t>M3 Competition Sedan</t>
  </si>
  <si>
    <t>M3 Competition Sedan M xDrive</t>
  </si>
  <si>
    <t>M4 Competition Cabriolet M xDrive</t>
  </si>
  <si>
    <t>M4 Competition Coupe</t>
  </si>
  <si>
    <t>M4 Competition Coupe M xDrive</t>
  </si>
  <si>
    <t>M440i xDrive Cabriolet</t>
  </si>
  <si>
    <t>M440i xDrive Gran Coupe</t>
  </si>
  <si>
    <t>M5 CS</t>
  </si>
  <si>
    <t>Chiron Super Sport</t>
  </si>
  <si>
    <t>CT4-V Blackwing</t>
  </si>
  <si>
    <t>CT5-V Blackwing</t>
  </si>
  <si>
    <t>Escalade 4WD (No Stop-Start)</t>
  </si>
  <si>
    <t>Silverado 4WD Mud Terrain Tire</t>
  </si>
  <si>
    <t>Silverado 4WD (With Sport Mode)</t>
  </si>
  <si>
    <t>Silverado 4WD Mud Terrain Tire FFV</t>
  </si>
  <si>
    <t>Silverado 4WD (No DFM)</t>
  </si>
  <si>
    <t>Silverado 4WD (No Stop-Start)</t>
  </si>
  <si>
    <t>Silverado 4WD Mud Terrain Tire (No Stop-Start)</t>
  </si>
  <si>
    <t>Silverado 4WD Mud Terrain Tire (No DFM)</t>
  </si>
  <si>
    <t>Silverado 4WD ZR2</t>
  </si>
  <si>
    <t>Suburban (No Stop-Start)</t>
  </si>
  <si>
    <t>Suburban 4WD (No Stop-Start)</t>
  </si>
  <si>
    <t>Tahoe (No Stop-Start)</t>
  </si>
  <si>
    <t>Tahoe 4WD (No Stop-Start)</t>
  </si>
  <si>
    <t>Bronco Raptor 4WD</t>
  </si>
  <si>
    <t>Expedition 4X4 (Without Stop-Start)</t>
  </si>
  <si>
    <t>Expedition Timberline 4X4</t>
  </si>
  <si>
    <t>Expedition Timberline 4X4 (Without Stop-Start)</t>
  </si>
  <si>
    <t>Explorer AWD (Without Stop-Start)</t>
  </si>
  <si>
    <t>Explorer Timberline AWD (Without Stop-Start)</t>
  </si>
  <si>
    <t>F-150 (Without Stop-Start)</t>
  </si>
  <si>
    <t>F-150 4X4 FFV (Without Stop-Start)</t>
  </si>
  <si>
    <t>Maverick AWD</t>
  </si>
  <si>
    <t>Maverick Hybrid</t>
  </si>
  <si>
    <t>Ranger 4WD (Without Stop-Start)</t>
  </si>
  <si>
    <t>GV70 AWD</t>
  </si>
  <si>
    <t>Sierra 4WD Mud Terrain Tire</t>
  </si>
  <si>
    <t>Sierra 4WD Mud Terrain Tire FFV</t>
  </si>
  <si>
    <t>Sierra 4WD (No DFM)</t>
  </si>
  <si>
    <t>Sierra 4WD (With Sport Mode)</t>
  </si>
  <si>
    <t>Sierra 4WD (No Stop-Start)</t>
  </si>
  <si>
    <t>Sierra 4WD Mud Terrain Tire (No DFM)</t>
  </si>
  <si>
    <t>Sierra 4WD Mud Terrain Tire (No Stop-Start)</t>
  </si>
  <si>
    <t>Yukon (No Stop-Start)</t>
  </si>
  <si>
    <t>Yukon 4WD (No Stop-Start)</t>
  </si>
  <si>
    <t>Yukon XL (No Stop-Start)</t>
  </si>
  <si>
    <t>Yukon XL 4WD (No Stop-Start)</t>
  </si>
  <si>
    <t>Pilot AWD TrailSport</t>
  </si>
  <si>
    <t>Elantra N</t>
  </si>
  <si>
    <t>Kona N</t>
  </si>
  <si>
    <t>Santa Cruz AWD</t>
  </si>
  <si>
    <t>Tucson Hybrid</t>
  </si>
  <si>
    <t>QX55 AWD</t>
  </si>
  <si>
    <t>F-TYPE P450 Convertible</t>
  </si>
  <si>
    <t>F-TYPE P450 Convertible AWD</t>
  </si>
  <si>
    <t>F-TYPE P450 Coupe</t>
  </si>
  <si>
    <t>F-TYPE P450 Coupe AWD</t>
  </si>
  <si>
    <t>Grand Cherokee WK 4X4</t>
  </si>
  <si>
    <t>Grand Wagoneer 4X4</t>
  </si>
  <si>
    <t>Wagoneer 4X4</t>
  </si>
  <si>
    <t>Carnival</t>
  </si>
  <si>
    <t>Sorento Hybrid AWD</t>
  </si>
  <si>
    <t>Aventador Countach</t>
  </si>
  <si>
    <t>Aventador Ultimae Coupe</t>
  </si>
  <si>
    <t>Aventador Ultimae Roadster</t>
  </si>
  <si>
    <t>Huracan evo Coupe</t>
  </si>
  <si>
    <t>Huracan evo Coupe AWD</t>
  </si>
  <si>
    <t>Huracan evo Spyder</t>
  </si>
  <si>
    <t>Huracan evo Spyder AWD</t>
  </si>
  <si>
    <t>Defender 90 5.0L V8</t>
  </si>
  <si>
    <t>Defender 110 5.0L V8</t>
  </si>
  <si>
    <t>New Range Rover P400</t>
  </si>
  <si>
    <t>New Range Rover P400 LWB</t>
  </si>
  <si>
    <t>New Range Rover P530</t>
  </si>
  <si>
    <t>New Range Rover P530 LWB</t>
  </si>
  <si>
    <t>Range Rover P360</t>
  </si>
  <si>
    <t>Range Rover P400</t>
  </si>
  <si>
    <t>Range Rover P525</t>
  </si>
  <si>
    <t>Range Rover P525 LWB</t>
  </si>
  <si>
    <t>Range Rover Sport P360</t>
  </si>
  <si>
    <t>Range Rover Sport HST P400</t>
  </si>
  <si>
    <t>Range Rover Sport P525</t>
  </si>
  <si>
    <t>Range Rover Sport P575 SVR</t>
  </si>
  <si>
    <t>IS 500</t>
  </si>
  <si>
    <t>LX 600</t>
  </si>
  <si>
    <t>NX 250 AWD</t>
  </si>
  <si>
    <t>NX 350 AWD</t>
  </si>
  <si>
    <t>NX 350 AWD F SPORT</t>
  </si>
  <si>
    <t>NX 350h AWD</t>
  </si>
  <si>
    <t>Ghibli GT</t>
  </si>
  <si>
    <t>Ghibli Modena</t>
  </si>
  <si>
    <t>Ghibli Modena AWD</t>
  </si>
  <si>
    <t>Levante GT</t>
  </si>
  <si>
    <t>Levante Modena</t>
  </si>
  <si>
    <t>Levante Modena V8</t>
  </si>
  <si>
    <t>MC20</t>
  </si>
  <si>
    <t>Quattroporte GT</t>
  </si>
  <si>
    <t>Quattroporte Modena</t>
  </si>
  <si>
    <t>Quattroporte Modena AWD</t>
  </si>
  <si>
    <t>AMG G 63 4x4 Squared</t>
  </si>
  <si>
    <t>AMG GLB 35 4MATIC SUV</t>
  </si>
  <si>
    <t>AMG SL 63 4MATIC+ Roadster</t>
  </si>
  <si>
    <t>GLE 450 4MATIC Coupe</t>
  </si>
  <si>
    <t>GLS 600 4MATIC Maybach SUV</t>
  </si>
  <si>
    <t>Maybach S 680 4MATIC Sedan</t>
  </si>
  <si>
    <t>Rogue AWD SL/Platinum</t>
  </si>
  <si>
    <t>Cayenne Turbo GT</t>
  </si>
  <si>
    <t>Ghost Black Badge</t>
  </si>
  <si>
    <t>Forester Wilderness AWD</t>
  </si>
  <si>
    <t>Outback Wilderness AWD</t>
  </si>
  <si>
    <t xml:space="preserve">4Runner 4WD (Part-Time 4WD) </t>
  </si>
  <si>
    <t>Camry XSE V6</t>
  </si>
  <si>
    <t>Camry AWD SE</t>
  </si>
  <si>
    <t>Camry AWD XSE</t>
  </si>
  <si>
    <t>Corolla Cross</t>
  </si>
  <si>
    <t>Corolla Cross AWD</t>
  </si>
  <si>
    <t>GR86</t>
  </si>
  <si>
    <t>Tundra 4WD TRD</t>
  </si>
  <si>
    <t>Tundra Hybrid 4WD</t>
  </si>
  <si>
    <t>Tundra Hybrid 4WD TRD PRO</t>
  </si>
  <si>
    <t>Taos</t>
  </si>
  <si>
    <t>Taos 4MOTION</t>
  </si>
  <si>
    <t>Tiguan R-Line 4MOTION</t>
  </si>
  <si>
    <t>S60 B5</t>
  </si>
  <si>
    <t>S60 B5 AWD</t>
  </si>
  <si>
    <t>S90 B6 AWD</t>
  </si>
  <si>
    <t>V90 CC B6 AWD</t>
  </si>
  <si>
    <t>XC60 B5 AWD</t>
  </si>
  <si>
    <t>XC60 B6 AWD</t>
  </si>
  <si>
    <t>Integra A-SPEC</t>
  </si>
  <si>
    <t>MDX SH-AWD Type S</t>
  </si>
  <si>
    <t>Tonale AWD</t>
  </si>
  <si>
    <t>DBX707</t>
  </si>
  <si>
    <t>A3 40 TFSI quattro</t>
  </si>
  <si>
    <t>A5 Coupé 45 TFSI quattro</t>
  </si>
  <si>
    <t>A6 45 TFSI quattro</t>
  </si>
  <si>
    <t>A6 55 TFSI quattro</t>
  </si>
  <si>
    <t>R8 Coupé Performance</t>
  </si>
  <si>
    <t>R8 Coupé Performance quattro</t>
  </si>
  <si>
    <t>R8 GT Coupé</t>
  </si>
  <si>
    <t>RS 5 Coupé quattro</t>
  </si>
  <si>
    <t>S5 Coupé quattro</t>
  </si>
  <si>
    <t>TT Coupé 45 TFSI quattro</t>
  </si>
  <si>
    <t>TTS Coupé quattro</t>
  </si>
  <si>
    <t>Bentayga EWB</t>
  </si>
  <si>
    <t>Continental GTC Speed</t>
  </si>
  <si>
    <t>Flying Spur Speed</t>
  </si>
  <si>
    <t>760i xDrive Sedan</t>
  </si>
  <si>
    <t>M2 Coupe</t>
  </si>
  <si>
    <t>M3 Competition M xDrive Sedan</t>
  </si>
  <si>
    <t>M4 Competition M xDrive Cabriolet</t>
  </si>
  <si>
    <t>M4 Competition M xDrive Coupe</t>
  </si>
  <si>
    <t>M4 CSL Coupe</t>
  </si>
  <si>
    <t>M5 Competition Sedan</t>
  </si>
  <si>
    <t>M8 Competition Cabriolet</t>
  </si>
  <si>
    <t>M8 Competition Coupe</t>
  </si>
  <si>
    <t>M8 Competition Gran Coupe</t>
  </si>
  <si>
    <t>X7 M60i xDrive</t>
  </si>
  <si>
    <t>Escalade-V AWD</t>
  </si>
  <si>
    <t>Colorado (Turbo Plus)</t>
  </si>
  <si>
    <t>Colorado 4WD (Turbo Plus)</t>
  </si>
  <si>
    <t>Colorado 4WD Mud Terrain Tire (Turbo Plus)</t>
  </si>
  <si>
    <t>Corvette Z06 Carbon Aero</t>
  </si>
  <si>
    <t>300C</t>
  </si>
  <si>
    <t>Challenger SRT Demon 170</t>
  </si>
  <si>
    <t>Hornet AWD</t>
  </si>
  <si>
    <t>F-150 Raptor R 4X4</t>
  </si>
  <si>
    <t>F-150 Tremor 4X4 FFV</t>
  </si>
  <si>
    <t>F-150 Tremor 4X4 FFV (Without Stop-Start)</t>
  </si>
  <si>
    <t>Maverick Tremor AWD</t>
  </si>
  <si>
    <t>Ranger Tremor 4WD</t>
  </si>
  <si>
    <t>G90</t>
  </si>
  <si>
    <t>Canyon 4WD Mud Terrain Tire</t>
  </si>
  <si>
    <t>Canyon AT4X 4WD</t>
  </si>
  <si>
    <t>Sierra 4WD AT4X</t>
  </si>
  <si>
    <t>CR-V Hybrid AWD</t>
  </si>
  <si>
    <t>Pilot AWD Touring/Elite/Black</t>
  </si>
  <si>
    <t>Elantra Hybrid</t>
  </si>
  <si>
    <t>F-PACE P550 SVR</t>
  </si>
  <si>
    <t>Cherokee 4X4 Trailhawk Active Drive Lock</t>
  </si>
  <si>
    <t>Grand Wagoneer 4X4 (High Output)</t>
  </si>
  <si>
    <t>Grand Wagoneer L 4X4 (High Output)</t>
  </si>
  <si>
    <t>Wagoneer L 4X4</t>
  </si>
  <si>
    <t>Wrangler JL Unlimited 4X4 392</t>
  </si>
  <si>
    <t>Sportage Hybrid AWD</t>
  </si>
  <si>
    <t>Huracán EVO Coupe</t>
  </si>
  <si>
    <t>Huracán EVO Coupe AWD</t>
  </si>
  <si>
    <t>Huracán EVO Spyder</t>
  </si>
  <si>
    <t>Huracán EVO Spyder AWD</t>
  </si>
  <si>
    <t>Urus Performante</t>
  </si>
  <si>
    <t>Urus S</t>
  </si>
  <si>
    <t>Defender 130 P300</t>
  </si>
  <si>
    <t>Defender 130 P400</t>
  </si>
  <si>
    <t>Range Rover P400 LWB</t>
  </si>
  <si>
    <t>Range Rover P530</t>
  </si>
  <si>
    <t>Range Rover P530 LWB</t>
  </si>
  <si>
    <t>Range Rover SV</t>
  </si>
  <si>
    <t>Range Rover SV LWB</t>
  </si>
  <si>
    <t>Range Rover Sport P530</t>
  </si>
  <si>
    <t>RX 350h AWD</t>
  </si>
  <si>
    <t>RX 500h AWD</t>
  </si>
  <si>
    <t>Aviator AWD (Without Stop-Start)</t>
  </si>
  <si>
    <t>Navigator 4X4 (Without Stop-Start)</t>
  </si>
  <si>
    <t>Grecale GT</t>
  </si>
  <si>
    <t>Grecale Modena</t>
  </si>
  <si>
    <t>Grecale Trofeo</t>
  </si>
  <si>
    <t>MC20 Spyder</t>
  </si>
  <si>
    <t>CX-50 4WD</t>
  </si>
  <si>
    <t>CX-50 Turbo 4WD</t>
  </si>
  <si>
    <t>AMG E 63 4MATIC+ All-Terrain Wagon</t>
  </si>
  <si>
    <t>AMG G 63 4x4 Squared SUV</t>
  </si>
  <si>
    <t>S 500 4MATIC Sedan</t>
  </si>
  <si>
    <t>S 580 4MATIC Sedan</t>
  </si>
  <si>
    <t>Frontier 4WD Pro-4X</t>
  </si>
  <si>
    <t>Pathfinder 4WD Rock Creek</t>
  </si>
  <si>
    <t>Z</t>
  </si>
  <si>
    <t>Ghost Extended</t>
  </si>
  <si>
    <t>Phantom Extended</t>
  </si>
  <si>
    <t>Camry SE</t>
  </si>
  <si>
    <t>Camry XSE V6/TRD</t>
  </si>
  <si>
    <t>Corolla (1-mode)</t>
  </si>
  <si>
    <t>Corolla (3-mode)</t>
  </si>
  <si>
    <t>Corolla Hybrid AWD (2-mode)</t>
  </si>
  <si>
    <t>Corolla Hybrid AWD (3-mode)</t>
  </si>
  <si>
    <t>Corolla Cross Hybrid AWD</t>
  </si>
  <si>
    <t>Crown AWD</t>
  </si>
  <si>
    <t>GR Corolla</t>
  </si>
  <si>
    <t>Atlas Cross Sport</t>
  </si>
  <si>
    <t>Jetta Comfortline/Highline</t>
  </si>
  <si>
    <t>V60 B6 AWD</t>
  </si>
  <si>
    <t>V60 CC B5 AWD</t>
  </si>
  <si>
    <t>XC40 B4 AWD</t>
  </si>
  <si>
    <t>XC40 B5 AWD</t>
  </si>
  <si>
    <t>XC90 B5 AWD</t>
  </si>
  <si>
    <t>XC90 B6 AWD</t>
  </si>
  <si>
    <t>Integra Type S</t>
  </si>
  <si>
    <t>DB12</t>
  </si>
  <si>
    <t>Valour</t>
  </si>
  <si>
    <t>A4 45 TFSI quattro</t>
  </si>
  <si>
    <t>A8 L 55 TFSI quattro</t>
  </si>
  <si>
    <t>RS 5 Coupé</t>
  </si>
  <si>
    <t>RS 6 Avant performance</t>
  </si>
  <si>
    <t>RS 7 Sportback performance</t>
  </si>
  <si>
    <t>M3 CS Sedan</t>
  </si>
  <si>
    <t>X1 M35i xDrive</t>
  </si>
  <si>
    <t>X2 M35i xDrive</t>
  </si>
  <si>
    <t>X5 M60i</t>
  </si>
  <si>
    <t>X6 M60i</t>
  </si>
  <si>
    <t>X7 M60i</t>
  </si>
  <si>
    <t>Envista</t>
  </si>
  <si>
    <t>Colorado ZR2 4WD (Turbo Plus)</t>
  </si>
  <si>
    <t>Colorado ZR2 Bison 4WD (Turbo Plus)</t>
  </si>
  <si>
    <t>Corvette E-Ray</t>
  </si>
  <si>
    <t>Silverado (With Sport Mode)</t>
  </si>
  <si>
    <t>Silverado 4WD Mud Terrain Tire (With Sport Mode)</t>
  </si>
  <si>
    <t>Traverse Limited AWD</t>
  </si>
  <si>
    <t>812 Competizione</t>
  </si>
  <si>
    <t>812 Competizione A</t>
  </si>
  <si>
    <t>Daytona SP3</t>
  </si>
  <si>
    <t>Purosangue</t>
  </si>
  <si>
    <t>Roma</t>
  </si>
  <si>
    <t>Roma Spider</t>
  </si>
  <si>
    <t>Mustang (Performance Pack)</t>
  </si>
  <si>
    <t>Mustang (Stop-Start)</t>
  </si>
  <si>
    <t>Mustang Dark Horse</t>
  </si>
  <si>
    <t>Ranger Raptor 4WD</t>
  </si>
  <si>
    <t>Canyon AT4X AEV 4WD</t>
  </si>
  <si>
    <t>Sierra (With Sport Mode)</t>
  </si>
  <si>
    <t>Elantra (Stop/Start)</t>
  </si>
  <si>
    <t>Kona (Stop/Start)</t>
  </si>
  <si>
    <t>Kona AWD (Stop/Start)</t>
  </si>
  <si>
    <t>Santa Fe AWD XRT</t>
  </si>
  <si>
    <t>Santa Fe Hybrid AWD</t>
  </si>
  <si>
    <t>Sonata AWD</t>
  </si>
  <si>
    <t>F-TYPE P575 Convertible AWD</t>
  </si>
  <si>
    <t>F-TYPE P575 Coupe AWD</t>
  </si>
  <si>
    <t>Wrangler JL 4X4 Rubicon</t>
  </si>
  <si>
    <t>Wrangler JL Unlimited 4X4 Rubicon</t>
  </si>
  <si>
    <t>Huracán Sterrato</t>
  </si>
  <si>
    <t>Huracán STO</t>
  </si>
  <si>
    <t>Huracán Tecnica</t>
  </si>
  <si>
    <t>Defender 90 V8</t>
  </si>
  <si>
    <t>Defender 110 V8 P500/P525</t>
  </si>
  <si>
    <t>Defender 130 Outbound</t>
  </si>
  <si>
    <t>GX 550</t>
  </si>
  <si>
    <t>TX 350 AWD</t>
  </si>
  <si>
    <t>TX 500h AWD</t>
  </si>
  <si>
    <t>Nautilus Hybrid AWD</t>
  </si>
  <si>
    <t>Navigator 4WD</t>
  </si>
  <si>
    <t>Granturismo Modena</t>
  </si>
  <si>
    <t>Granturismo Trofeo</t>
  </si>
  <si>
    <t>CX-90 4WD</t>
  </si>
  <si>
    <t>CX-90 4WD (High Power)</t>
  </si>
  <si>
    <t>AMG CLA 45 S 4MATIC Coupe</t>
  </si>
  <si>
    <t>AMG CLE 53 4MATIC+ Coupe</t>
  </si>
  <si>
    <t>AMG GLA 35 4MATIC Coupe</t>
  </si>
  <si>
    <t>AMG GLB 35 4MATIC Coupe</t>
  </si>
  <si>
    <t>AMG GLC 43 4MATIC+ SUV</t>
  </si>
  <si>
    <t>AMG GT 55 4MATIC+ Coupe</t>
  </si>
  <si>
    <t>AMG SL 55 4MATIC+ Roadster</t>
  </si>
  <si>
    <t>CLE 300 4MATIC Cabriolet</t>
  </si>
  <si>
    <t>CLE 300 4MATIC Coupe</t>
  </si>
  <si>
    <t>Z NISMO</t>
  </si>
  <si>
    <t>718 GT4 RS</t>
  </si>
  <si>
    <t>911 Dakar</t>
  </si>
  <si>
    <t>Cayenne Turbo GT Coupe</t>
  </si>
  <si>
    <t>Macan T</t>
  </si>
  <si>
    <t>Crosstrek Wilderness AWD</t>
  </si>
  <si>
    <t>Grand Highlander AWD Limited</t>
  </si>
  <si>
    <t>Grand Highlander AWD XLE</t>
  </si>
  <si>
    <t>Grand Highlander Hybrid AWD Limited</t>
  </si>
  <si>
    <t>Grand Highlander Hybrid AWD XLE</t>
  </si>
  <si>
    <t>Grand Highlander Platinum Hybrid MAX AWD</t>
  </si>
  <si>
    <t>Land Cruiser</t>
  </si>
  <si>
    <t>RAV4 Hybrid AWD Woodland Edition</t>
  </si>
  <si>
    <t>Tacoma 4WD (2-mode)</t>
  </si>
  <si>
    <t>Tacoma 4WD (3-mode)</t>
  </si>
  <si>
    <t>Tacoma Hybrid 4WD</t>
  </si>
  <si>
    <t>Tacoma Hybrid 4WD Limited</t>
  </si>
  <si>
    <t>Atlas 4MOTION Comfortline</t>
  </si>
  <si>
    <t>Atlas 4MOTION Highline/Execline</t>
  </si>
  <si>
    <t>Atlas 4MOTION Peak Edition</t>
  </si>
  <si>
    <t>Volt</t>
  </si>
  <si>
    <t>C-MAX Energi</t>
  </si>
  <si>
    <t>Fusion Energi</t>
  </si>
  <si>
    <t>Prius Plug-in Hybrid</t>
  </si>
  <si>
    <t>ELR</t>
  </si>
  <si>
    <t>Panamera S E-Hybrid</t>
  </si>
  <si>
    <t>i3 REx</t>
  </si>
  <si>
    <t>i8</t>
  </si>
  <si>
    <t>918 Spyder</t>
  </si>
  <si>
    <t>Cayenne S E-Hybrid</t>
  </si>
  <si>
    <t>A3 e-tron</t>
  </si>
  <si>
    <t>A3 e-tron ultra</t>
  </si>
  <si>
    <t>330e</t>
  </si>
  <si>
    <t>X5 xDrive40e</t>
  </si>
  <si>
    <t>ELR (Performance Pkg)</t>
  </si>
  <si>
    <t>Sonata Plug-in Hybrid</t>
  </si>
  <si>
    <t>S 550e</t>
  </si>
  <si>
    <t>XC90 T8 AWD</t>
  </si>
  <si>
    <t>740e xDrive</t>
  </si>
  <si>
    <t>i3 REx (94 Ah)</t>
  </si>
  <si>
    <t>CT6 Plug-in Hybrid</t>
  </si>
  <si>
    <t>Pacifica Hybrid</t>
  </si>
  <si>
    <t>Revero</t>
  </si>
  <si>
    <t>Optima Plug-in Hybrid</t>
  </si>
  <si>
    <t>GLE 550e 4MATIC</t>
  </si>
  <si>
    <t>Prius Prime</t>
  </si>
  <si>
    <t>530e</t>
  </si>
  <si>
    <t>530e xDrive</t>
  </si>
  <si>
    <t>i3s REx</t>
  </si>
  <si>
    <t>Clarity Plug-in Hybrid</t>
  </si>
  <si>
    <t>IONIQ Electric Plus</t>
  </si>
  <si>
    <t>GLC 350e 4MATIC</t>
  </si>
  <si>
    <t>Cooper SE Countryman ALL4</t>
  </si>
  <si>
    <t>Outlander PHEV AWD</t>
  </si>
  <si>
    <t>S90 T8 AWD</t>
  </si>
  <si>
    <t>XC60 T8 AWD</t>
  </si>
  <si>
    <t>i3 REx (120 Ah)</t>
  </si>
  <si>
    <t>i3s REx (120 Ah)</t>
  </si>
  <si>
    <t>i8 Coupe</t>
  </si>
  <si>
    <t>i8 Roadster</t>
  </si>
  <si>
    <t>Niro Plug-in Hybrid</t>
  </si>
  <si>
    <t>Cayenne E-Hybrid</t>
  </si>
  <si>
    <t>Panamera 4 E-Hybrid</t>
  </si>
  <si>
    <t>Panamera Turbo S E-Hybrid</t>
  </si>
  <si>
    <t>Q5 TFSIe</t>
  </si>
  <si>
    <t>Bentayga Hybrid</t>
  </si>
  <si>
    <t>745Le xDrive</t>
  </si>
  <si>
    <t>X3 xDrive30e</t>
  </si>
  <si>
    <t>Escape Plug-in Hybrid</t>
  </si>
  <si>
    <t>Aviator Grand Touring</t>
  </si>
  <si>
    <t>S 560e</t>
  </si>
  <si>
    <t>Crosstrek Hybrid AWD</t>
  </si>
  <si>
    <t>S60 T8 AWD</t>
  </si>
  <si>
    <t>V60 T8 AWD</t>
  </si>
  <si>
    <t>A7 Sportback 55 TFSI e quattro</t>
  </si>
  <si>
    <t>A8 L Sedan 60 TFSI e quattro</t>
  </si>
  <si>
    <t>Q5 55 TFSI e quattro</t>
  </si>
  <si>
    <t>330e xDrive</t>
  </si>
  <si>
    <t>X5 xDrive45e</t>
  </si>
  <si>
    <t>IONIQ Plug-in Hybrid</t>
  </si>
  <si>
    <t>Wrangler 4xe</t>
  </si>
  <si>
    <t>GS-6 (21" Wheels)</t>
  </si>
  <si>
    <t>GS-6 (22" Wheels)</t>
  </si>
  <si>
    <t>Revero GT (21" Wheels)</t>
  </si>
  <si>
    <t>Revero GT (22" Wheels)</t>
  </si>
  <si>
    <t>Corsair Grand Touring</t>
  </si>
  <si>
    <t>Cayenne Turbo S E-Hybrid</t>
  </si>
  <si>
    <t>RAV4 Prime</t>
  </si>
  <si>
    <t>Flying Spur Hybrid</t>
  </si>
  <si>
    <t>330e Sedan</t>
  </si>
  <si>
    <t>Santa Fe Plug-in Hybrid</t>
  </si>
  <si>
    <t>Tucson Plug-in Hybrid</t>
  </si>
  <si>
    <t>Grand Cherokee 4xe</t>
  </si>
  <si>
    <t>Sorento Plug-in Hybrid</t>
  </si>
  <si>
    <t>NX 450h+ AWD</t>
  </si>
  <si>
    <t>Panamera 4S E-Hybrid</t>
  </si>
  <si>
    <t>S60 T8 AWD Recharge</t>
  </si>
  <si>
    <t>S60 T8 AWD Recharge Extended Range</t>
  </si>
  <si>
    <t>S90 T8 AWD Recharge</t>
  </si>
  <si>
    <t>S90 T8 AWD Recharge Extended Range</t>
  </si>
  <si>
    <t>V60 T8 AWD Recharge</t>
  </si>
  <si>
    <t>V60 T8 AWD Recharge Extended Range</t>
  </si>
  <si>
    <t>XC60 T8 AWD Recharge</t>
  </si>
  <si>
    <t>XC60 T8 AWD Recharge Extended Range</t>
  </si>
  <si>
    <t>XC90 T8 AWD Recharge</t>
  </si>
  <si>
    <t>XC90 T8 AWD Recharge Extended Range</t>
  </si>
  <si>
    <t>330e xDrive Sedan</t>
  </si>
  <si>
    <t>530e xDrive Sedan</t>
  </si>
  <si>
    <t>XM</t>
  </si>
  <si>
    <t>Sportage Plug-in Hybrid</t>
  </si>
  <si>
    <t>S 580e 4MATIC Sedan</t>
  </si>
  <si>
    <t>Prius Prime SE</t>
  </si>
  <si>
    <t>Prius Prime XSE</t>
  </si>
  <si>
    <t>Tonale PHEV</t>
  </si>
  <si>
    <t>750e xDrive Sedan</t>
  </si>
  <si>
    <t>X5 xDrive50e</t>
  </si>
  <si>
    <t>XM Label Red</t>
  </si>
  <si>
    <t>Hornet R/T PHEV</t>
  </si>
  <si>
    <t>296 GTB</t>
  </si>
  <si>
    <t>296 GTS</t>
  </si>
  <si>
    <t>SF90 Spider</t>
  </si>
  <si>
    <t>SF90 Stradale</t>
  </si>
  <si>
    <t>SF90 XX Spider</t>
  </si>
  <si>
    <t>SF90 XX Stradale</t>
  </si>
  <si>
    <t>Revuelto</t>
  </si>
  <si>
    <t>RX 450h+ AWD</t>
  </si>
  <si>
    <t>CX-90 PHEV 4WD</t>
  </si>
  <si>
    <t>AMG C 63 S E Performance</t>
  </si>
  <si>
    <t>AMG GT 63 S E Performance</t>
  </si>
  <si>
    <t>AMG S 63 E Performance</t>
  </si>
  <si>
    <t xml:space="preserve">GLE 450e 4MATIC SUV </t>
  </si>
  <si>
    <t>Prius Plug-in Hybrid SE (Prime SE)</t>
  </si>
  <si>
    <t>Prius Plug-in Hybrid XSE (Prime XSE)</t>
  </si>
  <si>
    <t>RAV4 Plug-in Hybrid (Prime)</t>
  </si>
  <si>
    <t>i-MiEV</t>
  </si>
  <si>
    <t>LEAF</t>
  </si>
  <si>
    <t>Focus Electric</t>
  </si>
  <si>
    <t>fortwo electric drive cabriolet</t>
  </si>
  <si>
    <t>fortwo electric drive coupe</t>
  </si>
  <si>
    <t>Model S (40 kWh)</t>
  </si>
  <si>
    <t>Model S (60 kWh)</t>
  </si>
  <si>
    <t>Model S (85 kWh)</t>
  </si>
  <si>
    <t>Model S Performance</t>
  </si>
  <si>
    <t>Spark EV</t>
  </si>
  <si>
    <t>i3</t>
  </si>
  <si>
    <t>Soul EV</t>
  </si>
  <si>
    <t>Model S (70 kWh)</t>
  </si>
  <si>
    <t>Model S (85/90 kWh)</t>
  </si>
  <si>
    <t>Model S 70D</t>
  </si>
  <si>
    <t>Model S 85D/90D</t>
  </si>
  <si>
    <t>Model S P85D/P90D</t>
  </si>
  <si>
    <t>LEAF (30 kWh)</t>
  </si>
  <si>
    <t>Model S (60 kWh pre- 6/16)</t>
  </si>
  <si>
    <t>Model S (75 kWh)</t>
  </si>
  <si>
    <t>Model S 60D</t>
  </si>
  <si>
    <t>Model S 75D</t>
  </si>
  <si>
    <t>Model S 90D (Refresh)</t>
  </si>
  <si>
    <t>Model S P90D (Refresh)</t>
  </si>
  <si>
    <t>Model S P100D</t>
  </si>
  <si>
    <t>Model X 60D</t>
  </si>
  <si>
    <t>Model X 75D</t>
  </si>
  <si>
    <t>Model X 90D</t>
  </si>
  <si>
    <t>Model X P90D</t>
  </si>
  <si>
    <t>Model X P100D</t>
  </si>
  <si>
    <t>i3 (60 Ah)</t>
  </si>
  <si>
    <t>i3 (94 Ah)</t>
  </si>
  <si>
    <t>Bolt EV</t>
  </si>
  <si>
    <t>IONIQ Electric</t>
  </si>
  <si>
    <t>Model S 90D</t>
  </si>
  <si>
    <t>Model S 100D</t>
  </si>
  <si>
    <t>Model S P90D</t>
  </si>
  <si>
    <t>Model X 100D</t>
  </si>
  <si>
    <t>e-Golf</t>
  </si>
  <si>
    <t>i3s</t>
  </si>
  <si>
    <t>Model 3 Mid Range</t>
  </si>
  <si>
    <t>Model 3 Long Range</t>
  </si>
  <si>
    <t>Model 3 Long Range AWD</t>
  </si>
  <si>
    <t>Model 3 Long Range AWD Performance</t>
  </si>
  <si>
    <t>e-tron 55 quattro</t>
  </si>
  <si>
    <t>i3 (120 Ah)</t>
  </si>
  <si>
    <t>i3s (120 Ah)</t>
  </si>
  <si>
    <t>Kona Electric</t>
  </si>
  <si>
    <t>I-PACE</t>
  </si>
  <si>
    <t>Niro EV</t>
  </si>
  <si>
    <t>LEAF (40 kWh)</t>
  </si>
  <si>
    <t>LEAF S PLUS</t>
  </si>
  <si>
    <t>LEAF SV/SL PLUS</t>
  </si>
  <si>
    <t>Model 3 Standard Range</t>
  </si>
  <si>
    <t>Model 3 Standard Range Plus</t>
  </si>
  <si>
    <t>Model S Standard Range</t>
  </si>
  <si>
    <t>Model S Long Range</t>
  </si>
  <si>
    <t>Model S Performance (19" Wheels)</t>
  </si>
  <si>
    <t>Model S Performance (21" Wheels)</t>
  </si>
  <si>
    <t>Model X Standard Range</t>
  </si>
  <si>
    <t>Model X Long Range</t>
  </si>
  <si>
    <t>Model X Performance (20" Wheels)</t>
  </si>
  <si>
    <t>Model X Performance (22" Wheels)</t>
  </si>
  <si>
    <t>e-tron Sportback 55 quattro</t>
  </si>
  <si>
    <t>Soul EV (120 Ah)</t>
  </si>
  <si>
    <t>Soul EV (180 Ah)</t>
  </si>
  <si>
    <t>Cooper SE 3 Door</t>
  </si>
  <si>
    <t>Taycan 4S (Performance Battery Plus)</t>
  </si>
  <si>
    <t>Taycan Turbo</t>
  </si>
  <si>
    <t>Taycan Turbo S</t>
  </si>
  <si>
    <t>Model 3 Long Range AWD Performance (18" Wheels)</t>
  </si>
  <si>
    <t>Model 3 Long Range AWD Performance (19" Wheels)</t>
  </si>
  <si>
    <t>Model 3 Long Range AWD Performance (20" Wheels)</t>
  </si>
  <si>
    <t>Model S Long Range Plus (pre-15/6/20)</t>
  </si>
  <si>
    <t>Model S Long Range Plus</t>
  </si>
  <si>
    <t>Model X Long Range Plus</t>
  </si>
  <si>
    <t>Model Y Long Range AWD</t>
  </si>
  <si>
    <t>Model Y Performance</t>
  </si>
  <si>
    <t>Model Y Performance (21" Wheels)</t>
  </si>
  <si>
    <t>Mustang Mach-E Standard Range</t>
  </si>
  <si>
    <t>Mustang Mach-E Standard Range AWD</t>
  </si>
  <si>
    <t>Mustang Mach-E Extended Range (19" Wheels)</t>
  </si>
  <si>
    <t>Mustang Mach-E Extended Range AWD</t>
  </si>
  <si>
    <t>Mustang Mach-E California Route 1</t>
  </si>
  <si>
    <t>Mustang Mach-E GT Performance Edition</t>
  </si>
  <si>
    <t>Taycan 4 Cross Turismo</t>
  </si>
  <si>
    <t>Taycan 4S (Performance Battery)</t>
  </si>
  <si>
    <t>Taycan 4S Cross Turismo</t>
  </si>
  <si>
    <t>Taycan Turbo Cross Turismo</t>
  </si>
  <si>
    <t>Taycan Turbo S Cross Turismo</t>
  </si>
  <si>
    <t>Model 3 Performance</t>
  </si>
  <si>
    <t>Model S Plaid (19" Wheels)</t>
  </si>
  <si>
    <t>Model S Plaid (21" Wheels)</t>
  </si>
  <si>
    <t>Model Y Standard Range</t>
  </si>
  <si>
    <t>ID.4 Pro</t>
  </si>
  <si>
    <t>ID.4 AWD Pro</t>
  </si>
  <si>
    <t>XC40 Recharge</t>
  </si>
  <si>
    <t>e-tron S Sportback quattro (20" Wheels)</t>
  </si>
  <si>
    <t>e-tron S Sportback quattro (21" or 22" Wheels)</t>
  </si>
  <si>
    <t>e-tron GT</t>
  </si>
  <si>
    <t>RS e-tron GT</t>
  </si>
  <si>
    <t>Q4 50 e-tron quattro</t>
  </si>
  <si>
    <t>Q4 50 e-tron Sportback quattro</t>
  </si>
  <si>
    <t>i4 eDrive40 (18" Wheels)</t>
  </si>
  <si>
    <t>i4 eDrive40 (19" Wheels)</t>
  </si>
  <si>
    <t>i4 M50 xDrive (19" Wheels)</t>
  </si>
  <si>
    <t>i4 M50 xDrive (20" Wheels)</t>
  </si>
  <si>
    <t>iX xDrive50 (20" Wheels)</t>
  </si>
  <si>
    <t>iX xDrive50 (21" Wheels)</t>
  </si>
  <si>
    <t>iX xDrive50 (22" Wheels)</t>
  </si>
  <si>
    <t>Bolt EUV</t>
  </si>
  <si>
    <t>F-150 Lightning Standard Range</t>
  </si>
  <si>
    <t>F-150 Lightning Extended Range</t>
  </si>
  <si>
    <t>F-150 Lightning Platinum</t>
  </si>
  <si>
    <t>Mustang Mach-E Extended Range</t>
  </si>
  <si>
    <t>Mustang Mach-E California Route 1 AWD</t>
  </si>
  <si>
    <t>IONIQ 5 Standard Range</t>
  </si>
  <si>
    <t>IONIQ 5 Long Range</t>
  </si>
  <si>
    <t>IONIQ 5 Long Range AWD</t>
  </si>
  <si>
    <t>EV6 Standard Range</t>
  </si>
  <si>
    <t>EV6 Long Range</t>
  </si>
  <si>
    <t>EV6 Long Range AWD</t>
  </si>
  <si>
    <t>Air Dream P AWD (19" Wheels)</t>
  </si>
  <si>
    <t>Air Dream P AWD (21" Wheels)</t>
  </si>
  <si>
    <t>Air Dream R AWD (19" Wheels)</t>
  </si>
  <si>
    <t>Air Dream R AWD (21" Wheels)</t>
  </si>
  <si>
    <t>Air Grand Touring AWD (19" Wheels)</t>
  </si>
  <si>
    <t>Air Grand Touring AWD (21" Wheels)</t>
  </si>
  <si>
    <t>MX-30</t>
  </si>
  <si>
    <t>EQB 350 4MATIC SUV</t>
  </si>
  <si>
    <t>EQS 580 4MATIC Sedan</t>
  </si>
  <si>
    <t>2 Single Motor</t>
  </si>
  <si>
    <t>2 Dual Motor</t>
  </si>
  <si>
    <t>Taycan GTS</t>
  </si>
  <si>
    <t>Taycan GTS Sport Turismo</t>
  </si>
  <si>
    <t>R1S</t>
  </si>
  <si>
    <t>R1T</t>
  </si>
  <si>
    <t>Model 3 RWD</t>
  </si>
  <si>
    <t>Model S</t>
  </si>
  <si>
    <t>Model X</t>
  </si>
  <si>
    <t>Model X Plaid (20" Wheels)</t>
  </si>
  <si>
    <t>Model X Plaid (22" Wheels)</t>
  </si>
  <si>
    <t>Model Y AWD</t>
  </si>
  <si>
    <t>C40 Recharge Twin</t>
  </si>
  <si>
    <t>XC40 Recharge Twin</t>
  </si>
  <si>
    <t>Q4 Sportback 50 e-tron quattro</t>
  </si>
  <si>
    <t>i4 eDrive35 Gran Coupe (18" Wheels)</t>
  </si>
  <si>
    <t>i4 eDrive35 Gran Coupe (19" Wheels)</t>
  </si>
  <si>
    <t>i4 eDrive40 Gran Coupe (18" Wheels)</t>
  </si>
  <si>
    <t>i4 eDrive40 Gran Coupe (19" Wheels)</t>
  </si>
  <si>
    <t>i4 M50 Gran Coupe (19" Wheels)</t>
  </si>
  <si>
    <t>i4 M50 Gran Coupe (20" Wheels)</t>
  </si>
  <si>
    <t>i7 xDrive60 (19" Wheels)</t>
  </si>
  <si>
    <t>i7 xDrive60 (20" Wheels)</t>
  </si>
  <si>
    <t>i7 xDrive60 (21" Wheels)</t>
  </si>
  <si>
    <t xml:space="preserve">iX xDrive40 (20" Wheels) </t>
  </si>
  <si>
    <t xml:space="preserve">iX xDrive40 (21" Wheels) </t>
  </si>
  <si>
    <t xml:space="preserve">iX xDrive40 (22" Wheels) </t>
  </si>
  <si>
    <t>iX M60 (21" Wheels)</t>
  </si>
  <si>
    <t>iX M60 (22" Wheels)</t>
  </si>
  <si>
    <t>LYRIQ</t>
  </si>
  <si>
    <t>LYRIQ AWD</t>
  </si>
  <si>
    <t>Ocean Extreme/One</t>
  </si>
  <si>
    <t>Ocean Ultra</t>
  </si>
  <si>
    <t>Mustang Mach-E Standard Range (LFP)</t>
  </si>
  <si>
    <t>Mustang Mach-E Standard Range AWD (LFP)</t>
  </si>
  <si>
    <t>Electrified G80</t>
  </si>
  <si>
    <t>GV60 Advanced AWD</t>
  </si>
  <si>
    <t>GV60 Performance AWD</t>
  </si>
  <si>
    <t>Electrified GV70</t>
  </si>
  <si>
    <t>IONIQ 6 Standard Range</t>
  </si>
  <si>
    <t>IONIQ 6 Long Range (18'' Wheels)</t>
  </si>
  <si>
    <t>IONIQ 6 Long Range AWD (18'' Wheels)</t>
  </si>
  <si>
    <t>IONIQ 6 Long Range AWD (20'' Wheels)</t>
  </si>
  <si>
    <t>EV6 Long Range AWD (19" Wheels)</t>
  </si>
  <si>
    <t>EV6 Long Range AWD (20" Wheels)</t>
  </si>
  <si>
    <t>EV6 GT AWD</t>
  </si>
  <si>
    <t>RZ 450e AWD (18" Wheels)</t>
  </si>
  <si>
    <t>RZ 450e AWD (20" Wheels)</t>
  </si>
  <si>
    <t>Air Grand Touring XR (19" Wheels)</t>
  </si>
  <si>
    <t>Air Grand Touring XR (20" Wheels)</t>
  </si>
  <si>
    <t>Air Grand Touring XR (21" Wheels)</t>
  </si>
  <si>
    <t>Air Grand Touring Performance (21" Wheels)</t>
  </si>
  <si>
    <t>Air Pure (19" Wheels)</t>
  </si>
  <si>
    <t>Air Pure (20" Wheels)</t>
  </si>
  <si>
    <t>Air Touring (19" Wheels)</t>
  </si>
  <si>
    <t>Air Touring (20" Wheels)</t>
  </si>
  <si>
    <t>Air Touring (21" Wheels)</t>
  </si>
  <si>
    <t>AMG EQE 4MATIC+ Sedan</t>
  </si>
  <si>
    <t>AMG EQS 4MATIC+ Sedan</t>
  </si>
  <si>
    <t>EQB 250+</t>
  </si>
  <si>
    <t>EQE 350 4MATIC Sedan</t>
  </si>
  <si>
    <t>EQE 350 4MATIC SUV</t>
  </si>
  <si>
    <t>EQE 500 4MATIC Sedan</t>
  </si>
  <si>
    <t>EQE 500 4MATIC SUV</t>
  </si>
  <si>
    <t>EQS 450 4MATIC Sedan</t>
  </si>
  <si>
    <t>EQS 450 4MATIC SUV</t>
  </si>
  <si>
    <t>EQS 580 4MATIC SUV</t>
  </si>
  <si>
    <t>2 Dual Motor Performance Pack</t>
  </si>
  <si>
    <t>2 BST Edition</t>
  </si>
  <si>
    <t>R1S (20" Wheels)</t>
  </si>
  <si>
    <t>R1S (20" Wheels) All-Terrain</t>
  </si>
  <si>
    <t>R1S (20" Wheels) AT Dual Large</t>
  </si>
  <si>
    <t>R1S (20" Wheels) AT Performance Dual Large</t>
  </si>
  <si>
    <t>R1S (20" Wheels) AT Dual Max</t>
  </si>
  <si>
    <t>R1S (20" Wheels) AT Performance Dual Max</t>
  </si>
  <si>
    <t>R1S (21" Wheels)</t>
  </si>
  <si>
    <t>R1S (21" Wheels) Dual Large</t>
  </si>
  <si>
    <t>R1S (21" Wheels) Performance Dual Large</t>
  </si>
  <si>
    <t>R1S (21" Wheels) Dual Max</t>
  </si>
  <si>
    <t>R1S (21" Wheels) Performance Dual Max</t>
  </si>
  <si>
    <t>R1S (22" Wheels)</t>
  </si>
  <si>
    <t>R1S (22" Wheels) Dual Large</t>
  </si>
  <si>
    <t>R1S (22" Wheels) Performance Dual Large</t>
  </si>
  <si>
    <t>R1S (22" Wheels) Dual Max</t>
  </si>
  <si>
    <t>R1S (22" Wheels) Performance Dual Max</t>
  </si>
  <si>
    <t>R1T (20" Wheels)</t>
  </si>
  <si>
    <t>R1T (20" Wheels) All-Terrain</t>
  </si>
  <si>
    <t>R1T (20" Wheels) AT Dual Large</t>
  </si>
  <si>
    <t>R1T (20" Wheels) AT Performance Dual Large</t>
  </si>
  <si>
    <t>R1T (20" Wheels) AT Dual Max</t>
  </si>
  <si>
    <t>R1T (20" Wheels) AT Performance Dual Max</t>
  </si>
  <si>
    <t>R1T (21" Wheels)</t>
  </si>
  <si>
    <t>R1T (21" Wheels) Dual Large</t>
  </si>
  <si>
    <t>R1T (21" Wheels) Performance Dual Large</t>
  </si>
  <si>
    <t>R1T (21" Wheels) Dual Max</t>
  </si>
  <si>
    <t>R1T (21" Wheels) Performance Dual Max</t>
  </si>
  <si>
    <t>R1T (22" Wheels)</t>
  </si>
  <si>
    <t>R1T (22" Wheels) Dual Large</t>
  </si>
  <si>
    <t>R1T (22" Wheels) Performance Dual Large</t>
  </si>
  <si>
    <t>R1T (22" Wheels) Dual Max</t>
  </si>
  <si>
    <t>R1T (22" Wheels) Performance Dual Max</t>
  </si>
  <si>
    <t>Solterra AWD</t>
  </si>
  <si>
    <t>Model 3 Long Range AWD (pre-1/10/23)</t>
  </si>
  <si>
    <t>Model 3 Long Range AWD (Import)</t>
  </si>
  <si>
    <t>Model Y RWD</t>
  </si>
  <si>
    <t>Model Y Long Range AWD (Import)</t>
  </si>
  <si>
    <t>Model Y Performance (Import)</t>
  </si>
  <si>
    <t>bZ4X</t>
  </si>
  <si>
    <t>bZ4X AWD</t>
  </si>
  <si>
    <t>VF8 ECO</t>
  </si>
  <si>
    <t>VF8 PLUS</t>
  </si>
  <si>
    <t>VF8 PLUS Performance</t>
  </si>
  <si>
    <t>ID.4</t>
  </si>
  <si>
    <t>ZDX A-SPEC AWD</t>
  </si>
  <si>
    <t>ZDX Type S AWD</t>
  </si>
  <si>
    <t>Q4 45 e-tron</t>
  </si>
  <si>
    <t>Q4 50 e-tron</t>
  </si>
  <si>
    <t>Q4 Sportback 50 e-tron</t>
  </si>
  <si>
    <t>Q4 55 e-tron</t>
  </si>
  <si>
    <t>Q4 Sportback 55 e-tron</t>
  </si>
  <si>
    <t>Q8 e-tron</t>
  </si>
  <si>
    <t>Q8 Sportback e-tron</t>
  </si>
  <si>
    <t>SQ8 e-tron (20" Wheels)</t>
  </si>
  <si>
    <t>SQ8 e-tron (21" or 22" Wheels)</t>
  </si>
  <si>
    <t>SQ8 Sportback e-tron (20" Wheels)</t>
  </si>
  <si>
    <t>SQ8 Sportback e-tron (21" or 22" Wheels)</t>
  </si>
  <si>
    <t>i4 xDrive40 Gran Coupe (18" Wheels)</t>
  </si>
  <si>
    <t>i4 xDrive40 Gran Coupe (19" Wheels)</t>
  </si>
  <si>
    <t>i5 M60 Sedan (19" Wheels)</t>
  </si>
  <si>
    <t>i5 M60 Sedan (20" Wheels)</t>
  </si>
  <si>
    <t>i5 M60 Sedan (21" Wheels)</t>
  </si>
  <si>
    <t>i7 xDrive60 Sedan (19" Wheels)</t>
  </si>
  <si>
    <t>i7 xDrive60 Sedan (20" Wheels)</t>
  </si>
  <si>
    <t>i7 xDrive60 Sedan (21" Wheels)</t>
  </si>
  <si>
    <t>i7 M70 xDrive Sedan (20" Wheels)</t>
  </si>
  <si>
    <t>i7 M70 xDrive Sedan (21" Wheels)</t>
  </si>
  <si>
    <t xml:space="preserve">iX xDrive50 (20" Wheels) </t>
  </si>
  <si>
    <t xml:space="preserve">iX xDrive50 (22" Wheels) </t>
  </si>
  <si>
    <t>LYRIQ (11.5 kW Charger)</t>
  </si>
  <si>
    <t>LYRIQ (19.2 kW Charger)</t>
  </si>
  <si>
    <t>LYRIQ AWD (11.5 kW Charger)</t>
  </si>
  <si>
    <t>LYRIQ AWD (19.2 kW Charger)</t>
  </si>
  <si>
    <t>Blazer EV RS</t>
  </si>
  <si>
    <t>Blazer EV 2LT/RS AWD</t>
  </si>
  <si>
    <t>Equinox EV</t>
  </si>
  <si>
    <t>Equinox EV AWD</t>
  </si>
  <si>
    <t>Silverado EV 3WT</t>
  </si>
  <si>
    <t>Silverado EV 4WT</t>
  </si>
  <si>
    <t>500e</t>
  </si>
  <si>
    <t>Ocean Extreme (20" Wheels)</t>
  </si>
  <si>
    <t>Ocean Extreme (22" Wheels)</t>
  </si>
  <si>
    <t>Ocean Sport (20" Wheels)</t>
  </si>
  <si>
    <t>Ocean Sport (22" Wheels)</t>
  </si>
  <si>
    <t>Ocean Ultra (20" Wheels)</t>
  </si>
  <si>
    <t>Ocean Ultra (22" Wheels)</t>
  </si>
  <si>
    <t>F-150 Lightning Pro</t>
  </si>
  <si>
    <t>Mustang Mach-E GT</t>
  </si>
  <si>
    <t>Mustang Mach-E Rally</t>
  </si>
  <si>
    <t>HUMMER EV2X Pickup</t>
  </si>
  <si>
    <t>HUMMER EV2X Pickup Mud Terrain Tire</t>
  </si>
  <si>
    <t>HUMMER EV2X SUV</t>
  </si>
  <si>
    <t>HUMMER EV2X SUV Mud Terrain Tire</t>
  </si>
  <si>
    <t>HUMMER EV3X SUV</t>
  </si>
  <si>
    <t>HUMMER EV3X SUV Mud Terrain Tire</t>
  </si>
  <si>
    <t>Prologue EX AWD</t>
  </si>
  <si>
    <t>Prologue EX-L AWD</t>
  </si>
  <si>
    <t>Prologue Touring AWD</t>
  </si>
  <si>
    <t>IONIQ 6 Long Range (20'' Wheels)</t>
  </si>
  <si>
    <t>Kona Electric Long Range</t>
  </si>
  <si>
    <t>EV6 Wind</t>
  </si>
  <si>
    <t>EV6 Land AWD (19" Wheels)</t>
  </si>
  <si>
    <t>EV6 Land AWD (20" Wheels)</t>
  </si>
  <si>
    <t>EV9 Light</t>
  </si>
  <si>
    <t>EV9 Wind</t>
  </si>
  <si>
    <t>EV9 Land AWD</t>
  </si>
  <si>
    <t>EV9 Land AWD GT-Line</t>
  </si>
  <si>
    <t>Air Grand Touring XR AWD (19" Wheels)</t>
  </si>
  <si>
    <t>Air Grand Touring XR AWD (20" Wheels)</t>
  </si>
  <si>
    <t>Air Grand Touring XR AWD (21" Wheels)</t>
  </si>
  <si>
    <t>Air Sapphire AWD</t>
  </si>
  <si>
    <t>Air Touring AWD (19" Wheels)</t>
  </si>
  <si>
    <t>Air Touring AWD (20" Wheels)</t>
  </si>
  <si>
    <t>Air Touring AWD (21" Wheels)</t>
  </si>
  <si>
    <t>AMG EQE 4MATIC+ SUV</t>
  </si>
  <si>
    <t>EQB 300 4MATIC</t>
  </si>
  <si>
    <t>Maybach EQS 680 4MATIC SUV</t>
  </si>
  <si>
    <t>ARIYA Engage</t>
  </si>
  <si>
    <t>ARIYA Evolve+</t>
  </si>
  <si>
    <t>ARIYA Evolve e-4ORCE</t>
  </si>
  <si>
    <t>ARIYA Evolve+ e-4ORCE</t>
  </si>
  <si>
    <t>ARIYA Platinum+ e-4ORCE</t>
  </si>
  <si>
    <t>LEAF SV</t>
  </si>
  <si>
    <t>LEAF SV PLUS</t>
  </si>
  <si>
    <t>2 Single Motor (19" Wheels)</t>
  </si>
  <si>
    <t>2 Single Motor (20" Wheels)</t>
  </si>
  <si>
    <t>2 Dual Motor (19" Wheels)</t>
  </si>
  <si>
    <t>2 Dual Motor (20" Wheels)</t>
  </si>
  <si>
    <t>Macan 4 Electric</t>
  </si>
  <si>
    <t>Macan Turbo Electric</t>
  </si>
  <si>
    <t>R1S All-Terrain Dual Large (20" Wheels)</t>
  </si>
  <si>
    <t>R1S AT Performance Dual Large (20" Wheels)</t>
  </si>
  <si>
    <t>R1S Dual Large (21" Wheels)</t>
  </si>
  <si>
    <t>R1S Performance Dual Large (21" Wheels)</t>
  </si>
  <si>
    <t>R1S Dual Large (22" Wheels)</t>
  </si>
  <si>
    <t>R1S Performance Dual Large (22" Wheels)</t>
  </si>
  <si>
    <t>R1S All-Terrain Dual Max (20" Wheels)</t>
  </si>
  <si>
    <t>R1S All-Terrain Performance Dual Max (20" Wheels)</t>
  </si>
  <si>
    <t>R1S Dual Max (21" Wheels)</t>
  </si>
  <si>
    <t>R1S Performance Dual Max (21" Wheels)</t>
  </si>
  <si>
    <t>R1S Dual Max (22" Wheels)</t>
  </si>
  <si>
    <t>R1S Performance Dual Max (22" Wheels)</t>
  </si>
  <si>
    <t>R1S Quad Large (20" Wheels)</t>
  </si>
  <si>
    <t>R1S All-Terrain Quad Large (20" Wheels)</t>
  </si>
  <si>
    <t>R1S Quad Large (21" Wheels)</t>
  </si>
  <si>
    <t>R1S Quad Large (22" Wheels)</t>
  </si>
  <si>
    <t>R1T All-Terrain Dual Large (20" Wheels)</t>
  </si>
  <si>
    <t>R1T AT Performance Dual Large (20" Wheels)</t>
  </si>
  <si>
    <t>R1T Dual Large (21" Wheels)</t>
  </si>
  <si>
    <t>R1T Performance Dual Large (21" Wheels)</t>
  </si>
  <si>
    <t>R1T Dual Large (22" Wheels)</t>
  </si>
  <si>
    <t>R1T Performance Dual Large (22" Wheels)</t>
  </si>
  <si>
    <t>R1T All-Terrain Dual Max (20" Wheels)</t>
  </si>
  <si>
    <t>R1T All-Terrain Performance Dual Max (20" Wheels)</t>
  </si>
  <si>
    <t>R1T Dual Max (21" Wheels)</t>
  </si>
  <si>
    <t>R1T Performance Dual Max (21" Wheels)</t>
  </si>
  <si>
    <t>R1T Dual Max (22" Wheels)</t>
  </si>
  <si>
    <t>R1T Performance Dual Max (22" Wheels)</t>
  </si>
  <si>
    <t>R1T Quad Large (20" Wheels)</t>
  </si>
  <si>
    <t>R1T All-Terrain Quad Large (20" Wheels)</t>
  </si>
  <si>
    <t>R1T Quad Large (21" Wheels)</t>
  </si>
  <si>
    <t>R1T Quad Large (22" Wheels)</t>
  </si>
  <si>
    <t>Spectre (22" Wheels)</t>
  </si>
  <si>
    <t>Spectre (23" Wheels)</t>
  </si>
  <si>
    <t>Black Badge Spectre (22" Wheels)</t>
  </si>
  <si>
    <t>Black Badge Spectre (23" Wheels)</t>
  </si>
  <si>
    <t>Model 3 RWD (Import)</t>
  </si>
  <si>
    <t>Model Y RWD (Import)</t>
  </si>
  <si>
    <t>VF9 ECO</t>
  </si>
  <si>
    <t>VF9 PLUS</t>
  </si>
  <si>
    <t>ID.4 S</t>
  </si>
  <si>
    <t>ID.4 Pro S</t>
  </si>
  <si>
    <t>ID.4 AWD Pro S</t>
  </si>
  <si>
    <t>C40 Recharge</t>
  </si>
  <si>
    <t>Utilisé dans : 2B1, ____</t>
  </si>
  <si>
    <t>Chaudière #1</t>
  </si>
  <si>
    <t>(Facultatif)</t>
  </si>
  <si>
    <t>Poêle à bois</t>
  </si>
  <si>
    <t>Chauffage - Bois [kg]</t>
  </si>
  <si>
    <t>Émissions directes</t>
  </si>
  <si>
    <t>Émissions indirectes liées à l'énergie importée</t>
  </si>
  <si>
    <t>Émissions indirectes en amont (Biens et services, locations en amonts)</t>
  </si>
  <si>
    <t>Émissions indirectes des déplacements et des transports</t>
  </si>
  <si>
    <t>Émissions indirectes en aval (Usage et fin de vie des produits, franchises et investissement)</t>
  </si>
  <si>
    <t># de méthode</t>
  </si>
  <si>
    <t>Autres listes déroulantes</t>
  </si>
  <si>
    <t>Listes déroulantes des FÉ</t>
  </si>
  <si>
    <t>Tableau 1</t>
  </si>
  <si>
    <t>Tableau 3</t>
  </si>
  <si>
    <t>Équipements_mobiles</t>
  </si>
  <si>
    <t>Tableau 2</t>
  </si>
  <si>
    <t>Tableau 4</t>
  </si>
  <si>
    <t>Tableau 5</t>
  </si>
  <si>
    <t>Tableau 6</t>
  </si>
  <si>
    <t>Tableau 7</t>
  </si>
  <si>
    <t>Tableau 8</t>
  </si>
  <si>
    <t>Intensité_type_bâtiments</t>
  </si>
  <si>
    <t>Tableau 5.3</t>
  </si>
  <si>
    <t>Moyennes_de_transport</t>
  </si>
  <si>
    <r>
      <t>CO</t>
    </r>
    <r>
      <rPr>
        <b/>
        <vertAlign val="subscript"/>
        <sz val="14"/>
        <color theme="0"/>
        <rFont val="Aptos Narrow"/>
        <family val="2"/>
        <scheme val="minor"/>
      </rPr>
      <t>2</t>
    </r>
    <r>
      <rPr>
        <b/>
        <sz val="14"/>
        <color theme="0"/>
        <rFont val="Aptos Narrow"/>
        <family val="2"/>
        <scheme val="minor"/>
      </rPr>
      <t xml:space="preserve"> [tCO2e]</t>
    </r>
  </si>
  <si>
    <r>
      <t>CH</t>
    </r>
    <r>
      <rPr>
        <b/>
        <vertAlign val="subscript"/>
        <sz val="14"/>
        <color theme="0"/>
        <rFont val="Aptos Narrow"/>
        <family val="2"/>
        <scheme val="minor"/>
      </rPr>
      <t>4</t>
    </r>
    <r>
      <rPr>
        <b/>
        <sz val="14"/>
        <color theme="0"/>
        <rFont val="Aptos Narrow"/>
        <family val="2"/>
        <scheme val="minor"/>
      </rPr>
      <t xml:space="preserve"> [tCO2e]</t>
    </r>
  </si>
  <si>
    <r>
      <t>N</t>
    </r>
    <r>
      <rPr>
        <b/>
        <vertAlign val="subscript"/>
        <sz val="14"/>
        <color theme="0"/>
        <rFont val="Aptos Narrow"/>
        <family val="2"/>
        <scheme val="minor"/>
      </rPr>
      <t>2</t>
    </r>
    <r>
      <rPr>
        <b/>
        <sz val="14"/>
        <color theme="0"/>
        <rFont val="Aptos Narrow"/>
        <family val="2"/>
        <scheme val="minor"/>
      </rPr>
      <t>O [tCO2e]</t>
    </r>
  </si>
  <si>
    <r>
      <t>Total  tCO</t>
    </r>
    <r>
      <rPr>
        <b/>
        <vertAlign val="subscript"/>
        <sz val="14"/>
        <color theme="0"/>
        <rFont val="Aptos Narrow"/>
        <family val="2"/>
        <scheme val="minor"/>
      </rPr>
      <t>2</t>
    </r>
    <r>
      <rPr>
        <b/>
        <sz val="14"/>
        <color theme="0"/>
        <rFont val="Aptos Narrow"/>
        <family val="2"/>
        <scheme val="minor"/>
      </rPr>
      <t>e</t>
    </r>
  </si>
  <si>
    <t>Site</t>
  </si>
  <si>
    <t>Oui_Non</t>
  </si>
  <si>
    <t>Chauffage - Propane [L]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</si>
  <si>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</si>
  <si>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</si>
  <si>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</si>
  <si>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</si>
  <si>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</si>
  <si>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</si>
  <si>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</si>
  <si>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</si>
  <si>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</si>
  <si>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</si>
  <si>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</si>
  <si>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</si>
  <si>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mois</t>
  </si>
  <si>
    <t>Bilan par site</t>
  </si>
  <si>
    <t>Bilan par mois</t>
  </si>
  <si>
    <t>Mois</t>
  </si>
  <si>
    <t>Calculs</t>
  </si>
  <si>
    <t># méthode</t>
  </si>
  <si>
    <t>Quantité combustible (équipements fixes)</t>
  </si>
  <si>
    <t>Quantité de carburant (Équipements mobiles)</t>
  </si>
  <si>
    <t>Consommation moyenne [kWh]</t>
  </si>
  <si>
    <t>Consommation moyenne de carburant</t>
  </si>
  <si>
    <t>GES par Site [tCO2e]</t>
  </si>
  <si>
    <t>GES non attribué</t>
  </si>
  <si>
    <t>unité</t>
  </si>
  <si>
    <t>h</t>
  </si>
  <si>
    <t>nb</t>
  </si>
  <si>
    <t>GES par unité [kgCO2e/unité]</t>
  </si>
  <si>
    <t>GES pour toute la game de produit [tCO2e]</t>
  </si>
  <si>
    <t>Bilan par produit</t>
  </si>
  <si>
    <r>
      <t xml:space="preserve">Bilan </t>
    </r>
    <r>
      <rPr>
        <b/>
        <sz val="16"/>
        <color theme="0"/>
        <rFont val="Aptos Narrow"/>
        <family val="2"/>
        <scheme val="minor"/>
      </rPr>
      <t>(Détaillé par catégorie)</t>
    </r>
  </si>
  <si>
    <r>
      <t xml:space="preserve">Bilan </t>
    </r>
    <r>
      <rPr>
        <b/>
        <sz val="16"/>
        <color theme="0"/>
        <rFont val="Aptos Narrow"/>
        <family val="2"/>
        <scheme val="minor"/>
      </rPr>
      <t>(Détaillé par poste d'émissions)</t>
    </r>
  </si>
  <si>
    <r>
      <t xml:space="preserve">Bilan </t>
    </r>
    <r>
      <rPr>
        <b/>
        <sz val="16"/>
        <color theme="0"/>
        <rFont val="Aptos Narrow"/>
        <family val="2"/>
        <scheme val="minor"/>
      </rPr>
      <t>(Détaillé par méthodologie)</t>
    </r>
  </si>
  <si>
    <t>Tous</t>
  </si>
  <si>
    <t>Produit ou service</t>
  </si>
  <si>
    <r>
      <rPr>
        <b/>
        <sz val="18"/>
        <color theme="0"/>
        <rFont val="Aptos Narrow"/>
        <family val="2"/>
        <scheme val="minor"/>
      </rPr>
      <t>Bilan</t>
    </r>
    <r>
      <rPr>
        <b/>
        <sz val="14"/>
        <color theme="0"/>
        <rFont val="Aptos Narrow"/>
        <family val="2"/>
        <scheme val="minor"/>
      </rPr>
      <t xml:space="preserve"> détaillé par mois, site et/ou produit</t>
    </r>
  </si>
  <si>
    <t>Liste des équipements</t>
  </si>
  <si>
    <t>Type d'équipement de réfrigéation</t>
  </si>
  <si>
    <t>Type de réfrigérant</t>
  </si>
  <si>
    <t>Résultats</t>
  </si>
  <si>
    <t>Quantité dans l'équipement</t>
  </si>
  <si>
    <t>Fuites constaté par le frigoriste</t>
  </si>
  <si>
    <t>[lbs]</t>
  </si>
  <si>
    <t>Fuite estimé à partir des probabilité</t>
  </si>
  <si>
    <t>Fuites calculée</t>
  </si>
  <si>
    <t>PRP</t>
  </si>
  <si>
    <t>Type d'équipement</t>
  </si>
  <si>
    <t>Réfrigération - Commerciale / industriel</t>
  </si>
  <si>
    <t>23X1</t>
  </si>
  <si>
    <t>Climatisation - Automobile</t>
  </si>
  <si>
    <t>Fuites constaté par le frigoriste (Facultatif)</t>
  </si>
  <si>
    <t>Liste des compteurs</t>
  </si>
  <si>
    <t>Description, adresse, etc</t>
  </si>
  <si>
    <t>Mapping for Frontend programmation</t>
  </si>
  <si>
    <t>Lines end</t>
  </si>
  <si>
    <t>Climatisation des véhicules (oui/non)</t>
  </si>
  <si>
    <t>Réseaux électrique</t>
  </si>
  <si>
    <t>Réseaux Électrique</t>
  </si>
  <si>
    <t>Quantité d'électricité</t>
  </si>
  <si>
    <t>Consommation d'électricité (Market-based)</t>
  </si>
  <si>
    <t>Consommation d'électricité (Location-based)</t>
  </si>
  <si>
    <t>2-1B1</t>
  </si>
  <si>
    <t>Intensité carbone du marché</t>
  </si>
  <si>
    <t>[kgCO2e/MWh]</t>
  </si>
  <si>
    <t>Liste des véhicules ou des groupes de véhicules</t>
  </si>
  <si>
    <t>Liée à "Détails Entreprise"</t>
  </si>
  <si>
    <t>Quantité d'électricité comptabilisé à partir des factures (avec certificat d'intensité carbone à l'appui)</t>
  </si>
  <si>
    <t>Base du code front-end :</t>
  </si>
  <si>
    <t>Code :</t>
  </si>
  <si>
    <t>Type d'aliment</t>
  </si>
  <si>
    <t>Type de repas</t>
  </si>
  <si>
    <t>Qty</t>
  </si>
  <si>
    <t>Événement</t>
  </si>
  <si>
    <t>Mode de transport</t>
  </si>
  <si>
    <t>[l/100km]</t>
  </si>
  <si>
    <r>
      <t xml:space="preserve">Consommation </t>
    </r>
    <r>
      <rPr>
        <i/>
        <sz val="11"/>
        <color theme="1"/>
        <rFont val="Aptos Narrow"/>
        <family val="2"/>
        <scheme val="minor"/>
      </rPr>
      <t>(si connu)</t>
    </r>
  </si>
  <si>
    <t>Consommation</t>
  </si>
  <si>
    <t>Nombre de déplacements identiques</t>
  </si>
  <si>
    <t>Distances</t>
  </si>
  <si>
    <t>[L]</t>
  </si>
  <si>
    <t>Qte de carburant</t>
  </si>
  <si>
    <t>Tableau 20</t>
  </si>
  <si>
    <t>Repas et boisson</t>
  </si>
  <si>
    <t>Détails sur l'entreprise et ses actifs</t>
  </si>
  <si>
    <t>Données des véhicules</t>
  </si>
  <si>
    <t>Lines start</t>
  </si>
  <si>
    <t>Mises à jours</t>
  </si>
  <si>
    <t>Version 2.1.0</t>
  </si>
  <si>
    <t>Mise à jour</t>
  </si>
  <si>
    <t>date</t>
  </si>
  <si>
    <t>2.1.0</t>
  </si>
  <si>
    <t>- Réorganisation des postes d'émissions pour répondre à la nouvelle norme ISO 14064-4 (2025) "Application de la norme ISO 14064-1 (2013)" sortie en novembre 2025.</t>
  </si>
  <si>
    <t>1.1</t>
  </si>
  <si>
    <t>1.2</t>
  </si>
  <si>
    <t>1.3</t>
  </si>
  <si>
    <t>1.4</t>
  </si>
  <si>
    <t>1.5</t>
  </si>
  <si>
    <t>2.1</t>
  </si>
  <si>
    <t>2.2</t>
  </si>
  <si>
    <t>3.1</t>
  </si>
  <si>
    <t>3.2</t>
  </si>
  <si>
    <t>3.3</t>
  </si>
  <si>
    <t>3.4</t>
  </si>
  <si>
    <t>3.5</t>
  </si>
  <si>
    <t>4.1</t>
  </si>
  <si>
    <t>Biens, matière première et énergie</t>
  </si>
  <si>
    <t>4.2</t>
  </si>
  <si>
    <t>4.3</t>
  </si>
  <si>
    <t>4.4</t>
  </si>
  <si>
    <t>4.5</t>
  </si>
  <si>
    <t>Catégorie5</t>
  </si>
  <si>
    <t>5.1</t>
  </si>
  <si>
    <t>5.2</t>
  </si>
  <si>
    <t>5.3</t>
  </si>
  <si>
    <t>5.4</t>
  </si>
  <si>
    <t>1.1A1</t>
  </si>
  <si>
    <t>1.1A1 - Chauffage des bâtiments et équipements fixes</t>
  </si>
  <si>
    <t>1.1A2</t>
  </si>
  <si>
    <t>1.2A1</t>
  </si>
  <si>
    <t>1.2A2</t>
  </si>
  <si>
    <t>1.2A3</t>
  </si>
  <si>
    <t>1.2B1</t>
  </si>
  <si>
    <t>1.3A1</t>
  </si>
  <si>
    <t>1.3B1</t>
  </si>
  <si>
    <t>1.3B2</t>
  </si>
  <si>
    <t>1.3C1</t>
  </si>
  <si>
    <t>1.3D1</t>
  </si>
  <si>
    <t>1.4A1</t>
  </si>
  <si>
    <t>1.4A2</t>
  </si>
  <si>
    <t>1.4B1</t>
  </si>
  <si>
    <t>1.4B2</t>
  </si>
  <si>
    <t>1.5A1</t>
  </si>
  <si>
    <t>1.5B1</t>
  </si>
  <si>
    <t>1.5B2</t>
  </si>
  <si>
    <t>1.5C1</t>
  </si>
  <si>
    <t>1.5C2</t>
  </si>
  <si>
    <t>1.2A1 - Véhicules (Par la quantité de combustible consommée)</t>
  </si>
  <si>
    <t>1.2A2 - Véhicules (Par la distance parcourue; Consommation L/100km)</t>
  </si>
  <si>
    <t>1.2A3 - Véhicules (Par les coûts de carburants)</t>
  </si>
  <si>
    <t>1.2B1 - Véhicules (Par la distance parcourue; Données Canadiennes)</t>
  </si>
  <si>
    <t>1.4A1 - Équipement de réfrigération et de climatisation fixe</t>
  </si>
  <si>
    <t>1.4B1 - Climatisation du flotte de véhicules</t>
  </si>
  <si>
    <t>1.4B2 - Climatisation des véhicules</t>
  </si>
  <si>
    <t>4.1E1 - Production des aliments</t>
  </si>
  <si>
    <r>
      <t>2.1A1 - Électricité provenant du réseaux électrique (</t>
    </r>
    <r>
      <rPr>
        <b/>
        <i/>
        <sz val="24"/>
        <color theme="0"/>
        <rFont val="Aptos Narrow"/>
        <family val="2"/>
        <scheme val="minor"/>
      </rPr>
      <t>Location based</t>
    </r>
    <r>
      <rPr>
        <b/>
        <sz val="24"/>
        <color theme="0"/>
        <rFont val="Aptos Narrow"/>
        <family val="2"/>
        <scheme val="minor"/>
      </rPr>
      <t>)</t>
    </r>
  </si>
  <si>
    <t>2.1A1</t>
  </si>
  <si>
    <t>2.1A2</t>
  </si>
  <si>
    <t>2.1B1</t>
  </si>
  <si>
    <t>2.2A1</t>
  </si>
  <si>
    <t>2.2A2</t>
  </si>
  <si>
    <t>2.2A3</t>
  </si>
  <si>
    <t>2.2B1</t>
  </si>
  <si>
    <t>4.1E2 - Production des repas et des boissons</t>
  </si>
  <si>
    <t>4.1E1</t>
  </si>
  <si>
    <t>4.1E2</t>
  </si>
  <si>
    <t>4.1A1</t>
  </si>
  <si>
    <t>4.1A2</t>
  </si>
  <si>
    <t>4.1A3</t>
  </si>
  <si>
    <t>4.1B1</t>
  </si>
  <si>
    <t>4.1C1</t>
  </si>
  <si>
    <t>4.1D1</t>
  </si>
  <si>
    <t>4.1D2</t>
  </si>
  <si>
    <t>4.1F1</t>
  </si>
  <si>
    <t>4.1F2</t>
  </si>
  <si>
    <t>4.1F3</t>
  </si>
  <si>
    <t>4.1F4</t>
  </si>
  <si>
    <t>4.1F5</t>
  </si>
  <si>
    <t>4.1F6</t>
  </si>
  <si>
    <t>4.1G1</t>
  </si>
  <si>
    <t>4.1G2</t>
  </si>
  <si>
    <t>4.1G6</t>
  </si>
  <si>
    <t>1.4C1</t>
  </si>
  <si>
    <t>1.4D1</t>
  </si>
  <si>
    <t>1.4D2</t>
  </si>
  <si>
    <t>1.4E1</t>
  </si>
  <si>
    <t>(Ancien 3A1)</t>
  </si>
  <si>
    <t>(Ancien 3B1)</t>
  </si>
  <si>
    <t>(Ancien 3B2)</t>
  </si>
  <si>
    <t>(Ancien 3C1)</t>
  </si>
  <si>
    <t>(Ancien POSTE 8) Par quantité de carburant ou d'électricité (Utilisant les facteurs d'émissions de GHGenius)</t>
  </si>
  <si>
    <t>(Ancien 22B1 - Télétravail)</t>
  </si>
  <si>
    <t>4.1H1</t>
  </si>
  <si>
    <t>4.1H2</t>
  </si>
  <si>
    <t>4.1J1</t>
  </si>
  <si>
    <t>4.1K1</t>
  </si>
  <si>
    <t>4.1L1</t>
  </si>
  <si>
    <t>4.1L2</t>
  </si>
  <si>
    <t>4.1X1.1A1</t>
  </si>
  <si>
    <t>4.1X1.2A3</t>
  </si>
  <si>
    <t>4.1X1.2A1</t>
  </si>
  <si>
    <t>4.1X1.2A2</t>
  </si>
  <si>
    <t>4.1X1.2B1</t>
  </si>
  <si>
    <t>3.1A1</t>
  </si>
  <si>
    <t>3.1A2</t>
  </si>
  <si>
    <t>3.2A1</t>
  </si>
  <si>
    <t>3.2B1</t>
  </si>
  <si>
    <t>3.3A1</t>
  </si>
  <si>
    <t>3.3A2</t>
  </si>
  <si>
    <t>3.3A3</t>
  </si>
  <si>
    <t>3.3B1</t>
  </si>
  <si>
    <t>3.3B2</t>
  </si>
  <si>
    <t>3.4A1</t>
  </si>
  <si>
    <t>3.4A2</t>
  </si>
  <si>
    <t>3.4A3</t>
  </si>
  <si>
    <t>3.4B1</t>
  </si>
  <si>
    <t>3.5A1</t>
  </si>
  <si>
    <t>3.5A2</t>
  </si>
  <si>
    <t>3.5A3</t>
  </si>
  <si>
    <t>3.5B1</t>
  </si>
  <si>
    <t>3.5B2</t>
  </si>
  <si>
    <t>3.5C1</t>
  </si>
  <si>
    <t>3.5D1</t>
  </si>
  <si>
    <t>3.5E1</t>
  </si>
  <si>
    <t>3.5F1</t>
  </si>
  <si>
    <t>4.2A1</t>
  </si>
  <si>
    <t>4.2A2</t>
  </si>
  <si>
    <t>4.2A3</t>
  </si>
  <si>
    <t>4.2A4</t>
  </si>
  <si>
    <t>4.2B1</t>
  </si>
  <si>
    <t>4.2C1</t>
  </si>
  <si>
    <t>Appareils numériques Amorties (Va être déplacé dans 4.2)</t>
  </si>
  <si>
    <t>4.3A1</t>
  </si>
  <si>
    <t>4.3B1</t>
  </si>
  <si>
    <t>4.3B2</t>
  </si>
  <si>
    <t>4.3B3</t>
  </si>
  <si>
    <t>4.4A1</t>
  </si>
  <si>
    <t>4.4A2</t>
  </si>
  <si>
    <t>4.4A3</t>
  </si>
  <si>
    <t>4.4B1</t>
  </si>
  <si>
    <t>4.4C1</t>
  </si>
  <si>
    <t>4.5H1</t>
  </si>
  <si>
    <t>4.5L1</t>
  </si>
  <si>
    <t>4.5L2</t>
  </si>
  <si>
    <t>5.3A1</t>
  </si>
  <si>
    <t>5.3B1</t>
  </si>
  <si>
    <t>5.3B2</t>
  </si>
  <si>
    <t>5.4A1</t>
  </si>
  <si>
    <t>5.4A2</t>
  </si>
  <si>
    <t>Sous-catégorie</t>
  </si>
  <si>
    <t>Émissions directs</t>
  </si>
  <si>
    <t>Émissions indirects de l'énergie importée</t>
  </si>
  <si>
    <t>Émissions indirects des transports</t>
  </si>
  <si>
    <t>Émissions indirects des produits utilisés par l'organisation</t>
  </si>
  <si>
    <t>Émissions indirects à l'utilisation des produits de l'organisation</t>
  </si>
  <si>
    <t>Autres émissions indirects</t>
  </si>
  <si>
    <t>Combustions fixes</t>
  </si>
  <si>
    <t>Combustions mobiles</t>
  </si>
  <si>
    <t>Procédés</t>
  </si>
  <si>
    <t>Émissions fugitives</t>
  </si>
  <si>
    <t>Usage des sols</t>
  </si>
  <si>
    <t>Électricités</t>
  </si>
  <si>
    <t>Autres énergies importées</t>
  </si>
  <si>
    <t>Transport en amont</t>
  </si>
  <si>
    <t>Transport en aval</t>
  </si>
  <si>
    <t>Déplacement des clients</t>
  </si>
  <si>
    <t>Déplacement d'affaires</t>
  </si>
  <si>
    <t>Biens et matière première</t>
  </si>
  <si>
    <t>Biens immobiliés</t>
  </si>
  <si>
    <t>Utilisation des produits</t>
  </si>
  <si>
    <t>Location d'actifs en aval</t>
  </si>
  <si>
    <t>Investissements</t>
  </si>
  <si>
    <t>(Déplacer vers 1.4)</t>
  </si>
  <si>
    <t>(Déplacer vers 4.5)</t>
  </si>
  <si>
    <t>4.5T1</t>
  </si>
  <si>
    <t>4.5T2</t>
  </si>
  <si>
    <t>(Ancien 22B2 - Télétravail)</t>
  </si>
  <si>
    <t>(Ancien 9L2)</t>
  </si>
  <si>
    <t>(Ancien 9L1)</t>
  </si>
  <si>
    <t>(Ancien 9H1)</t>
  </si>
  <si>
    <t>4.1M1-1.1A1</t>
  </si>
  <si>
    <t>4.1M1-1.2A1</t>
  </si>
  <si>
    <t>4.1M1-1.2A2</t>
  </si>
  <si>
    <t>4.1M1-1.2A3</t>
  </si>
  <si>
    <t>4.1M1-1.2B1</t>
  </si>
  <si>
    <t>4.1M1-2.1A1</t>
  </si>
  <si>
    <t>Client</t>
  </si>
  <si>
    <t>Cégep Gaspésie</t>
  </si>
  <si>
    <t>2.2A2 -Importation d'énergie (Chaleur) en équivalent de combustible</t>
  </si>
  <si>
    <t>Producteur de chaleur : CSSI</t>
  </si>
  <si>
    <t>Chauffage - Gaz naturel [m3]</t>
  </si>
  <si>
    <t>4.1A2 - Appareils numérique (non-amortie)</t>
  </si>
  <si>
    <t>Type d'appareil numérique</t>
  </si>
  <si>
    <t>[nb]</t>
  </si>
  <si>
    <t>4.1B1 - Réseaux et transfert de données</t>
  </si>
  <si>
    <t>4.1C1 - Salles de serveurs</t>
  </si>
  <si>
    <t>Qunatité de données</t>
  </si>
  <si>
    <t>[Go]</t>
  </si>
  <si>
    <t>Type de réseau internet</t>
  </si>
  <si>
    <t>Type de salle de serveurs</t>
  </si>
  <si>
    <t>Superficie</t>
  </si>
  <si>
    <r>
      <t>[m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</si>
  <si>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t>Total des émissions</t>
  </si>
  <si>
    <t>% attribuable à la fabrication</t>
  </si>
  <si>
    <t>4.1D1 - Émissions liées à la production de papier d'imprimante</t>
  </si>
  <si>
    <t>Taille du papier</t>
  </si>
  <si>
    <t>Proportion de papier recyclé</t>
  </si>
  <si>
    <t>4.3A1 - Traitement des eaux usées</t>
  </si>
  <si>
    <t>Type de traitement des eaux usées</t>
  </si>
  <si>
    <t>3.5A1 - Déplacements d'affaires en voiture</t>
  </si>
  <si>
    <t>Quantité de carburant</t>
  </si>
  <si>
    <t>ou</t>
  </si>
  <si>
    <t>Camion lourd - Essence [L]</t>
  </si>
  <si>
    <t>Voiture légère - Diesel [L]</t>
  </si>
  <si>
    <t>3.5B1 - Déplacements d'affaires en avion, train ou bus</t>
  </si>
  <si>
    <t>Aller et retour ?</t>
  </si>
  <si>
    <r>
      <t>2.1B1 - Électricité provenant du réseaux électrique (</t>
    </r>
    <r>
      <rPr>
        <b/>
        <i/>
        <sz val="24"/>
        <color theme="0"/>
        <rFont val="Aptos Narrow"/>
        <family val="2"/>
        <scheme val="minor"/>
      </rPr>
      <t>Market based</t>
    </r>
    <r>
      <rPr>
        <b/>
        <sz val="24"/>
        <color theme="0"/>
        <rFont val="Aptos Narrow"/>
        <family val="2"/>
        <scheme val="minor"/>
      </rPr>
      <t>)</t>
    </r>
  </si>
  <si>
    <t>Bus</t>
  </si>
  <si>
    <t>3.5C1 - Déplacements d'affaires en traversier</t>
  </si>
  <si>
    <t>Origine et destination</t>
  </si>
  <si>
    <t>Nombre de passagers</t>
  </si>
  <si>
    <t>Nombre de véhicules</t>
  </si>
  <si>
    <t>3.4A1 - Déplacements des visiteurs en voiture</t>
  </si>
  <si>
    <t>3.4B1 - Déplacements des visiteurs en avion, train ou bus</t>
  </si>
  <si>
    <t>3.3A1 - Navettage des employés</t>
  </si>
  <si>
    <t>Nombre de jours de travail par années</t>
  </si>
  <si>
    <t>[jours/an]</t>
  </si>
  <si>
    <t xml:space="preserve">Véhicule utilitaire sport </t>
  </si>
  <si>
    <t xml:space="preserve">Pickup </t>
  </si>
  <si>
    <t>Voiture électrique</t>
  </si>
  <si>
    <t xml:space="preserve">Covoiturage </t>
  </si>
  <si>
    <t xml:space="preserve">Autobus </t>
  </si>
  <si>
    <t>Distance dimicile-travail</t>
  </si>
  <si>
    <t>Nombre d'employé avec un déplacements identiques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</si>
</sst>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 * #,##0.00_)\ &quot;$&quot;_ ;_ * \(#,##0.00\)\ &quot;$&quot;_ ;_ * &quot;-&quot;??_)\ &quot;$&quot;_ ;_ @_ "/>
    <numFmt numFmtId="43" formatCode="_ * #,##0.00_)_ ;_ * \(#,##0.00\)_ ;_ * &quot;-&quot;??_)_ ;_ @_ "/>
    <numFmt numFmtId="164" formatCode="[$-F800]dddd\,\ mmmm\ dd\,\ yyyy"/>
    <numFmt numFmtId="165" formatCode="_(* #,##0.00_);_(* \(#,##0.00\);_(* &quot;-&quot;??_);_(@_)"/>
    <numFmt numFmtId="166" formatCode="_(* #,##0_);_(* \(#,##0\);_(* &quot;-&quot;??_);_(@_)"/>
    <numFmt numFmtId="167" formatCode="_ * #,##0_)_ ;_ * \(#,##0\)_ ;_ * &quot;-&quot;??_)_ ;_ @_ "/>
    <numFmt numFmtId="168" formatCode="_ * #,##0.000_)_ ;_ * \(#,##0.000\)_ ;_ * &quot;-&quot;??_)_ ;_ @_ "/>
    <numFmt numFmtId="169" formatCode="_ * #,##0.00_)\ _$_ ;_ * \(#,##0.00\)\ _$_ ;_ * &quot;-&quot;??_)\ _$_ ;_ @_ "/>
    <numFmt numFmtId="170" formatCode="0.00000"/>
    <numFmt numFmtId="171" formatCode="0.0%"/>
    <numFmt numFmtId="172" formatCode="0.0000"/>
    <numFmt numFmtId="173" formatCode="0.0"/>
    <numFmt numFmtId="174" formatCode="0.000"/>
    <numFmt numFmtId="175" formatCode="_(* #,##0.0000_);_(* \(#,##0.0000\);_(* &quot;-&quot;??_);_(@_)"/>
    <numFmt numFmtId="176" formatCode="0.000000000"/>
    <numFmt numFmtId="177" formatCode="_(* #,##0.00000000_);_(* \(#,##0.00000000\);_(* &quot;-&quot;??_);_(@_)"/>
    <numFmt numFmtId="178" formatCode="_ * #,##0.0_)_ ;_ * \(#,##0.0\)_ ;_ * &quot;-&quot;??_)_ ;_ @_ "/>
    <numFmt numFmtId="179" formatCode="_ * #,##0.000000000_)\ _$_ ;_ * \(#,##0.000000000\)\ _$_ ;_ * &quot;-&quot;?????????_)\ _$_ ;_ @_ "/>
  </numFmts>
  <fonts count="7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bscript"/>
      <sz val="11"/>
      <color theme="1"/>
      <name val="Calibri (Corps)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b/>
      <i/>
      <vertAlign val="subscript"/>
      <sz val="11"/>
      <color theme="1"/>
      <name val="Calibri (Corps)"/>
    </font>
    <font>
      <b/>
      <i/>
      <sz val="11"/>
      <color theme="1"/>
      <name val="Calibri"/>
      <family val="2"/>
    </font>
    <font>
      <b/>
      <i/>
      <vertAlign val="subscript"/>
      <sz val="11"/>
      <color theme="1"/>
      <name val="Calibri"/>
      <family val="2"/>
    </font>
    <font>
      <b/>
      <sz val="11"/>
      <color theme="5"/>
      <name val="Aptos Narrow"/>
      <family val="2"/>
      <scheme val="minor"/>
    </font>
    <font>
      <b/>
      <sz val="20"/>
      <color theme="0"/>
      <name val="Arial"/>
      <family val="2"/>
    </font>
    <font>
      <b/>
      <sz val="22"/>
      <color theme="0"/>
      <name val="Aptos Narrow"/>
      <family val="2"/>
      <scheme val="minor"/>
    </font>
    <font>
      <sz val="8"/>
      <color theme="2" tint="0.79998168889431442"/>
      <name val="Aptos Narrow"/>
      <family val="2"/>
      <scheme val="minor"/>
    </font>
    <font>
      <sz val="11"/>
      <color theme="2"/>
      <name val="Aptos Narrow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b/>
      <sz val="12"/>
      <color theme="1"/>
      <name val="Calibri"/>
      <family val="2"/>
    </font>
    <font>
      <vertAlign val="super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10"/>
      <color theme="0"/>
      <name val="Corbel"/>
      <family val="2"/>
    </font>
    <font>
      <sz val="12"/>
      <color theme="0"/>
      <name val="Corbel"/>
      <family val="2"/>
    </font>
    <font>
      <b/>
      <sz val="11"/>
      <name val="Calibri"/>
      <family val="2"/>
    </font>
    <font>
      <b/>
      <vertAlign val="subscript"/>
      <sz val="11"/>
      <name val="Calibri"/>
      <family val="2"/>
    </font>
    <font>
      <b/>
      <vertAlign val="subscript"/>
      <sz val="11"/>
      <name val="Calibri (Corps)"/>
    </font>
    <font>
      <i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vertAlign val="subscript"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i/>
      <sz val="14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vertAlign val="subscript"/>
      <sz val="14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1"/>
      <color theme="1"/>
      <name val="Playbill"/>
      <family val="5"/>
    </font>
    <font>
      <b/>
      <sz val="12"/>
      <color theme="0"/>
      <name val="Aptos Narrow"/>
      <family val="2"/>
      <scheme val="minor"/>
    </font>
    <font>
      <sz val="11"/>
      <name val="Playbill"/>
      <family val="5"/>
    </font>
    <font>
      <sz val="8"/>
      <name val="Aptos Narrow"/>
      <family val="2"/>
      <scheme val="minor"/>
    </font>
    <font>
      <b/>
      <sz val="11"/>
      <color theme="0" tint="-0.34998626667073579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4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i/>
      <sz val="24"/>
      <color theme="0"/>
      <name val="Aptos Narrow"/>
      <family val="2"/>
      <scheme val="minor"/>
    </font>
    <font>
      <sz val="24"/>
      <color theme="0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2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DCE0E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499984740745262"/>
        <bgColor indexed="64"/>
      </patternFill>
    </fill>
  </fills>
  <borders count="238">
    <border>
      <left/>
      <right/>
      <top/>
      <bottom/>
      <diagonal/>
    </border>
    <border>
      <left style="thick">
        <color rgb="FFCBD1DC"/>
      </left>
      <right/>
      <top style="thick">
        <color rgb="FFCBD1DC"/>
      </top>
      <bottom/>
      <diagonal/>
    </border>
    <border>
      <left/>
      <right/>
      <top style="thick">
        <color rgb="FFCBD1DC"/>
      </top>
      <bottom/>
      <diagonal/>
    </border>
    <border>
      <left/>
      <right style="thick">
        <color rgb="FFCBD1DC"/>
      </right>
      <top style="thick">
        <color rgb="FFCBD1DC"/>
      </top>
      <bottom/>
      <diagonal/>
    </border>
    <border>
      <left style="thick">
        <color rgb="FFCBD1DC"/>
      </left>
      <right/>
      <top style="hair">
        <color auto="1"/>
      </top>
      <bottom style="thick">
        <color rgb="FFCBD1DC"/>
      </bottom>
      <diagonal/>
    </border>
    <border>
      <left style="hair">
        <color auto="1"/>
      </left>
      <right/>
      <top style="hair">
        <color auto="1"/>
      </top>
      <bottom style="thick">
        <color rgb="FFCBD1DC"/>
      </bottom>
      <diagonal/>
    </border>
    <border>
      <left/>
      <right style="hair">
        <color auto="1"/>
      </right>
      <top style="hair">
        <color auto="1"/>
      </top>
      <bottom style="thick">
        <color rgb="FFCBD1DC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rgb="FFCBD1DC"/>
      </bottom>
      <diagonal/>
    </border>
    <border>
      <left/>
      <right style="thick">
        <color rgb="FFCBD1DC"/>
      </right>
      <top style="hair">
        <color auto="1"/>
      </top>
      <bottom style="thick">
        <color rgb="FFCBD1DC"/>
      </bottom>
      <diagonal/>
    </border>
    <border>
      <left style="thick">
        <color rgb="FFCBD1DC"/>
      </left>
      <right/>
      <top style="thick">
        <color rgb="FFCBD1DC"/>
      </top>
      <bottom style="thick">
        <color rgb="FFCBD1DC"/>
      </bottom>
      <diagonal/>
    </border>
    <border>
      <left/>
      <right/>
      <top style="thick">
        <color rgb="FFCBD1DC"/>
      </top>
      <bottom style="thick">
        <color rgb="FFCBD1DC"/>
      </bottom>
      <diagonal/>
    </border>
    <border>
      <left style="hair">
        <color auto="1"/>
      </left>
      <right/>
      <top style="thick">
        <color rgb="FFCBD1DC"/>
      </top>
      <bottom style="thick">
        <color rgb="FFCBD1DC"/>
      </bottom>
      <diagonal/>
    </border>
    <border>
      <left/>
      <right style="hair">
        <color auto="1"/>
      </right>
      <top style="thick">
        <color rgb="FFCBD1DC"/>
      </top>
      <bottom style="thick">
        <color rgb="FFCBD1DC"/>
      </bottom>
      <diagonal/>
    </border>
    <border>
      <left style="thin">
        <color auto="1"/>
      </left>
      <right style="thin">
        <color auto="1"/>
      </right>
      <top style="thick">
        <color rgb="FFCBD1DC"/>
      </top>
      <bottom style="thick">
        <color rgb="FFCBD1DC"/>
      </bottom>
      <diagonal/>
    </border>
    <border>
      <left/>
      <right style="thick">
        <color rgb="FFCBD1DC"/>
      </right>
      <top style="thick">
        <color rgb="FFCBD1DC"/>
      </top>
      <bottom style="thick">
        <color rgb="FFCBD1DC"/>
      </bottom>
      <diagonal/>
    </border>
    <border>
      <left style="medium">
        <color rgb="FFCBD1DC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ck">
        <color theme="0" tint="-0.2499465926084170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theme="0" tint="-0.24994659260841701"/>
      </right>
      <top style="hair">
        <color auto="1"/>
      </top>
      <bottom style="hair">
        <color auto="1"/>
      </bottom>
      <diagonal/>
    </border>
    <border>
      <left style="medium">
        <color rgb="FFCBD1DC"/>
      </left>
      <right style="hair">
        <color auto="1"/>
      </right>
      <top style="hair">
        <color auto="1"/>
      </top>
      <bottom/>
      <diagonal/>
    </border>
    <border>
      <left style="medium">
        <color rgb="FFCBD1DC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rgb="FFCBD1DC"/>
      </left>
      <right style="hair">
        <color auto="1"/>
      </right>
      <top style="hair">
        <color auto="1"/>
      </top>
      <bottom style="medium">
        <color rgb="FFCBD1DC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rgb="FFCBD1DC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rgb="FFCBD1DC"/>
      </bottom>
      <diagonal/>
    </border>
    <border>
      <left style="medium">
        <color rgb="FFCBD1DC"/>
      </left>
      <right/>
      <top style="medium">
        <color rgb="FFCBD1DC"/>
      </top>
      <bottom/>
      <diagonal/>
    </border>
    <border>
      <left/>
      <right/>
      <top style="medium">
        <color rgb="FFCBD1DC"/>
      </top>
      <bottom/>
      <diagonal/>
    </border>
    <border>
      <left/>
      <right style="medium">
        <color rgb="FFCBD1DC"/>
      </right>
      <top style="medium">
        <color rgb="FFCBD1DC"/>
      </top>
      <bottom/>
      <diagonal/>
    </border>
    <border>
      <left style="medium">
        <color rgb="FFCBD1DC"/>
      </left>
      <right/>
      <top/>
      <bottom/>
      <diagonal/>
    </border>
    <border>
      <left/>
      <right style="medium">
        <color rgb="FFCBD1DC"/>
      </right>
      <top/>
      <bottom/>
      <diagonal/>
    </border>
    <border>
      <left style="medium">
        <color rgb="FFCBD1DC"/>
      </left>
      <right/>
      <top/>
      <bottom style="medium">
        <color rgb="FFCBD1DC"/>
      </bottom>
      <diagonal/>
    </border>
    <border>
      <left/>
      <right/>
      <top/>
      <bottom style="medium">
        <color rgb="FFCBD1DC"/>
      </bottom>
      <diagonal/>
    </border>
    <border>
      <left/>
      <right style="medium">
        <color rgb="FFCBD1DC"/>
      </right>
      <top/>
      <bottom style="medium">
        <color rgb="FFCBD1DC"/>
      </bottom>
      <diagonal/>
    </border>
    <border>
      <left style="medium">
        <color rgb="FFCBD1DC"/>
      </left>
      <right style="medium">
        <color rgb="FFCBD1DC"/>
      </right>
      <top style="medium">
        <color rgb="FFCBD1DC"/>
      </top>
      <bottom style="medium">
        <color rgb="FFCBD1DC"/>
      </bottom>
      <diagonal/>
    </border>
    <border>
      <left style="medium">
        <color rgb="FFCBD1DC"/>
      </left>
      <right/>
      <top style="medium">
        <color rgb="FFCBD1DC"/>
      </top>
      <bottom style="medium">
        <color rgb="FFCBD1DC"/>
      </bottom>
      <diagonal/>
    </border>
    <border>
      <left/>
      <right/>
      <top style="medium">
        <color rgb="FFCBD1DC"/>
      </top>
      <bottom style="medium">
        <color rgb="FFCBD1DC"/>
      </bottom>
      <diagonal/>
    </border>
    <border>
      <left/>
      <right style="medium">
        <color rgb="FFCBD1DC"/>
      </right>
      <top style="medium">
        <color rgb="FFCBD1DC"/>
      </top>
      <bottom style="medium">
        <color rgb="FFCBD1DC"/>
      </bottom>
      <diagonal/>
    </border>
    <border>
      <left style="medium">
        <color rgb="FFCBD1DC"/>
      </left>
      <right style="hair">
        <color auto="1"/>
      </right>
      <top style="medium">
        <color rgb="FFCBD1DC"/>
      </top>
      <bottom/>
      <diagonal/>
    </border>
    <border>
      <left style="hair">
        <color auto="1"/>
      </left>
      <right/>
      <top style="medium">
        <color rgb="FFCBD1DC"/>
      </top>
      <bottom/>
      <diagonal/>
    </border>
    <border>
      <left/>
      <right style="hair">
        <color auto="1"/>
      </right>
      <top style="medium">
        <color rgb="FFCBD1DC"/>
      </top>
      <bottom/>
      <diagonal/>
    </border>
    <border>
      <left style="medium">
        <color rgb="FFCBD1DC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rgb="FFCBD1DC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rgb="FFCBD1DC"/>
      </bottom>
      <diagonal/>
    </border>
    <border>
      <left/>
      <right/>
      <top style="hair">
        <color auto="1"/>
      </top>
      <bottom style="medium">
        <color rgb="FFCBD1DC"/>
      </bottom>
      <diagonal/>
    </border>
    <border>
      <left/>
      <right style="hair">
        <color auto="1"/>
      </right>
      <top style="hair">
        <color auto="1"/>
      </top>
      <bottom style="medium">
        <color rgb="FFCBD1DC"/>
      </bottom>
      <diagonal/>
    </border>
    <border>
      <left/>
      <right style="medium">
        <color rgb="FFCBD1DC"/>
      </right>
      <top style="hair">
        <color auto="1"/>
      </top>
      <bottom style="medium">
        <color rgb="FFCBD1DC"/>
      </bottom>
      <diagonal/>
    </border>
    <border>
      <left style="hair">
        <color auto="1"/>
      </left>
      <right style="medium">
        <color rgb="FFCBD1DC"/>
      </right>
      <top style="hair">
        <color auto="1"/>
      </top>
      <bottom style="medium">
        <color rgb="FFCBD1DC"/>
      </bottom>
      <diagonal/>
    </border>
    <border>
      <left style="hair">
        <color auto="1"/>
      </left>
      <right/>
      <top style="medium">
        <color rgb="FFCBD1DC"/>
      </top>
      <bottom style="hair">
        <color auto="1"/>
      </bottom>
      <diagonal/>
    </border>
    <border>
      <left/>
      <right/>
      <top style="medium">
        <color rgb="FFCBD1DC"/>
      </top>
      <bottom style="hair">
        <color auto="1"/>
      </bottom>
      <diagonal/>
    </border>
    <border>
      <left/>
      <right style="hair">
        <color auto="1"/>
      </right>
      <top style="medium">
        <color rgb="FFCBD1DC"/>
      </top>
      <bottom style="hair">
        <color auto="1"/>
      </bottom>
      <diagonal/>
    </border>
    <border>
      <left/>
      <right style="medium">
        <color rgb="FFCBD1DC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medium">
        <color rgb="FFCBD1DC"/>
      </top>
      <bottom style="medium">
        <color rgb="FFCBD1DC"/>
      </bottom>
      <diagonal/>
    </border>
    <border>
      <left style="hair">
        <color auto="1"/>
      </left>
      <right/>
      <top style="medium">
        <color rgb="FFCBD1DC"/>
      </top>
      <bottom style="medium">
        <color rgb="FFCBD1DC"/>
      </bottom>
      <diagonal/>
    </border>
    <border>
      <left style="hair">
        <color auto="1"/>
      </left>
      <right style="medium">
        <color rgb="FFCBD1DC"/>
      </right>
      <top style="medium">
        <color rgb="FFCBD1DC"/>
      </top>
      <bottom style="medium">
        <color rgb="FFCBD1DC"/>
      </bottom>
      <diagonal/>
    </border>
    <border>
      <left style="medium">
        <color rgb="FFCBD1DC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rgb="FFCBD1DC"/>
      </top>
      <bottom/>
      <diagonal/>
    </border>
    <border>
      <left style="hair">
        <color auto="1"/>
      </left>
      <right style="hair">
        <color auto="1"/>
      </right>
      <top style="medium">
        <color rgb="FFCBD1DC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medium">
        <color rgb="FFCBD1DC"/>
      </top>
      <bottom style="medium">
        <color rgb="FFCBD1DC"/>
      </bottom>
      <diagonal/>
    </border>
    <border>
      <left style="medium">
        <color rgb="FFCBD1DC"/>
      </left>
      <right style="medium">
        <color rgb="FFCBD1DC"/>
      </right>
      <top/>
      <bottom/>
      <diagonal/>
    </border>
    <border>
      <left style="medium">
        <color rgb="FFCBD1DC"/>
      </left>
      <right style="hair">
        <color auto="1"/>
      </right>
      <top style="medium">
        <color rgb="FFCBD1DC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medium">
        <color rgb="FFCBD1DC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medium">
        <color rgb="FFCBD1DC"/>
      </top>
      <bottom style="hair">
        <color auto="1"/>
      </bottom>
      <diagonal/>
    </border>
    <border>
      <left style="thin">
        <color indexed="64"/>
      </left>
      <right style="medium">
        <color rgb="FFCBD1DC"/>
      </right>
      <top style="medium">
        <color rgb="FFCBD1DC"/>
      </top>
      <bottom style="hair">
        <color auto="1"/>
      </bottom>
      <diagonal/>
    </border>
    <border>
      <left style="medium">
        <color rgb="FFCBD1DC"/>
      </left>
      <right style="medium">
        <color rgb="FFCBD1DC"/>
      </right>
      <top style="medium">
        <color rgb="FFCBD1DC"/>
      </top>
      <bottom style="hair">
        <color auto="1"/>
      </bottom>
      <diagonal/>
    </border>
    <border>
      <left style="medium">
        <color rgb="FFCBD1DC"/>
      </left>
      <right/>
      <top style="medium">
        <color rgb="FFCBD1DC"/>
      </top>
      <bottom style="hair">
        <color auto="1"/>
      </bottom>
      <diagonal/>
    </border>
    <border>
      <left style="medium">
        <color rgb="FFCBD1DC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double">
        <color auto="1"/>
      </right>
      <top/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medium">
        <color rgb="FFCBD1DC"/>
      </right>
      <top style="hair">
        <color auto="1"/>
      </top>
      <bottom style="thin">
        <color indexed="64"/>
      </bottom>
      <diagonal/>
    </border>
    <border>
      <left style="medium">
        <color rgb="FFCBD1DC"/>
      </left>
      <right style="medium">
        <color rgb="FFCBD1DC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thin">
        <color indexed="64"/>
      </left>
      <right style="medium">
        <color rgb="FFCBD1DC"/>
      </right>
      <top style="thin">
        <color indexed="64"/>
      </top>
      <bottom style="hair">
        <color auto="1"/>
      </bottom>
      <diagonal/>
    </border>
    <border>
      <left style="medium">
        <color rgb="FFCBD1DC"/>
      </left>
      <right style="medium">
        <color rgb="FFCBD1DC"/>
      </right>
      <top/>
      <bottom style="hair">
        <color auto="1"/>
      </bottom>
      <diagonal/>
    </border>
    <border>
      <left style="thin">
        <color indexed="64"/>
      </left>
      <right style="medium">
        <color rgb="FFCBD1DC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rgb="FFCBD1DC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medium">
        <color rgb="FFCBD1DC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medium">
        <color rgb="FFCBD1DC"/>
      </bottom>
      <diagonal/>
    </border>
    <border>
      <left style="double">
        <color auto="1"/>
      </left>
      <right style="double">
        <color auto="1"/>
      </right>
      <top/>
      <bottom style="medium">
        <color rgb="FFCBD1DC"/>
      </bottom>
      <diagonal/>
    </border>
    <border>
      <left/>
      <right style="hair">
        <color auto="1"/>
      </right>
      <top/>
      <bottom style="medium">
        <color rgb="FFCBD1DC"/>
      </bottom>
      <diagonal/>
    </border>
    <border>
      <left style="hair">
        <color auto="1"/>
      </left>
      <right/>
      <top/>
      <bottom style="medium">
        <color rgb="FFCBD1DC"/>
      </bottom>
      <diagonal/>
    </border>
    <border>
      <left style="thin">
        <color indexed="64"/>
      </left>
      <right style="medium">
        <color rgb="FFCBD1DC"/>
      </right>
      <top style="hair">
        <color auto="1"/>
      </top>
      <bottom style="medium">
        <color rgb="FFCBD1DC"/>
      </bottom>
      <diagonal/>
    </border>
    <border>
      <left style="medium">
        <color rgb="FFCBD1DC"/>
      </left>
      <right style="medium">
        <color rgb="FFCBD1DC"/>
      </right>
      <top/>
      <bottom style="medium">
        <color rgb="FFCBD1DC"/>
      </bottom>
      <diagonal/>
    </border>
    <border>
      <left style="medium">
        <color rgb="FFCBD1DC"/>
      </left>
      <right style="hair">
        <color indexed="64"/>
      </right>
      <top/>
      <bottom style="medium">
        <color rgb="FFCBD1DC"/>
      </bottom>
      <diagonal/>
    </border>
    <border>
      <left style="thin">
        <color indexed="64"/>
      </left>
      <right/>
      <top style="medium">
        <color rgb="FFCBD1DC"/>
      </top>
      <bottom/>
      <diagonal/>
    </border>
    <border>
      <left style="double">
        <color auto="1"/>
      </left>
      <right style="hair">
        <color auto="1"/>
      </right>
      <top style="medium">
        <color rgb="FFCBD1DC"/>
      </top>
      <bottom style="hair">
        <color auto="1"/>
      </bottom>
      <diagonal/>
    </border>
    <border>
      <left style="medium">
        <color rgb="FFCBD1DC"/>
      </left>
      <right style="hair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rgb="FFCBD1DC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medium">
        <color rgb="FFCBD1DC"/>
      </right>
      <top style="hair">
        <color auto="1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medium">
        <color rgb="FFCBD1DC"/>
      </bottom>
      <diagonal/>
    </border>
    <border>
      <left style="medium">
        <color rgb="FFCBD1DC"/>
      </left>
      <right style="medium">
        <color rgb="FFCBD1DC"/>
      </right>
      <top style="hair">
        <color auto="1"/>
      </top>
      <bottom style="medium">
        <color rgb="FFCBD1DC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 style="medium">
        <color rgb="FFCBD1DC"/>
      </right>
      <top/>
      <bottom style="medium">
        <color rgb="FFCBD1DC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rgb="FFCBD1DC"/>
      </left>
      <right style="hair">
        <color auto="1"/>
      </right>
      <top style="thin">
        <color indexed="64"/>
      </top>
      <bottom/>
      <diagonal/>
    </border>
    <border>
      <left style="double">
        <color auto="1"/>
      </left>
      <right style="hair">
        <color auto="1"/>
      </right>
      <top/>
      <bottom style="medium">
        <color rgb="FFCBD1DC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hair">
        <color auto="1"/>
      </right>
      <top/>
      <bottom/>
      <diagonal/>
    </border>
    <border>
      <left style="thin">
        <color indexed="64"/>
      </left>
      <right style="medium">
        <color rgb="FFCBD1DC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CBD1DC"/>
      </right>
      <top style="thin">
        <color indexed="64"/>
      </top>
      <bottom style="thin">
        <color indexed="64"/>
      </bottom>
      <diagonal/>
    </border>
    <border>
      <left style="medium">
        <color rgb="FFCBD1DC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medium">
        <color rgb="FFCBD1DC"/>
      </left>
      <right style="double">
        <color auto="1"/>
      </right>
      <top style="medium">
        <color rgb="FFCBD1DC"/>
      </top>
      <bottom style="hair">
        <color auto="1"/>
      </bottom>
      <diagonal/>
    </border>
    <border>
      <left style="medium">
        <color rgb="FFCBD1DC"/>
      </left>
      <right style="double">
        <color auto="1"/>
      </right>
      <top/>
      <bottom style="thin">
        <color indexed="64"/>
      </bottom>
      <diagonal/>
    </border>
    <border>
      <left style="medium">
        <color rgb="FFCBD1DC"/>
      </left>
      <right style="double">
        <color auto="1"/>
      </right>
      <top/>
      <bottom style="hair">
        <color auto="1"/>
      </bottom>
      <diagonal/>
    </border>
    <border>
      <left style="medium">
        <color rgb="FFCBD1DC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/>
      <diagonal/>
    </border>
    <border>
      <left style="medium">
        <color rgb="FFCBD1DC"/>
      </left>
      <right style="double">
        <color auto="1"/>
      </right>
      <top style="hair">
        <color auto="1"/>
      </top>
      <bottom/>
      <diagonal/>
    </border>
    <border>
      <left style="medium">
        <color rgb="FFCBD1DC"/>
      </left>
      <right style="double">
        <color auto="1"/>
      </right>
      <top style="hair">
        <color auto="1"/>
      </top>
      <bottom style="medium">
        <color rgb="FFCBD1DC"/>
      </bottom>
      <diagonal/>
    </border>
    <border>
      <left/>
      <right style="double">
        <color auto="1"/>
      </right>
      <top style="hair">
        <color auto="1"/>
      </top>
      <bottom style="medium">
        <color rgb="FFCBD1DC"/>
      </bottom>
      <diagonal/>
    </border>
    <border>
      <left style="medium">
        <color rgb="FFCBD1DC"/>
      </left>
      <right style="medium">
        <color rgb="FFCBD1DC"/>
      </right>
      <top style="thin">
        <color rgb="FF000000"/>
      </top>
      <bottom style="hair">
        <color auto="1"/>
      </bottom>
      <diagonal/>
    </border>
    <border>
      <left style="medium">
        <color rgb="FFCBD1DC"/>
      </left>
      <right style="medium">
        <color rgb="FFCBD1DC"/>
      </right>
      <top style="hair">
        <color auto="1"/>
      </top>
      <bottom style="hair">
        <color auto="1"/>
      </bottom>
      <diagonal/>
    </border>
    <border>
      <left style="medium">
        <color rgb="FFCBD1DC"/>
      </left>
      <right style="medium">
        <color rgb="FFCBD1DC"/>
      </right>
      <top style="hair">
        <color auto="1"/>
      </top>
      <bottom/>
      <diagonal/>
    </border>
    <border>
      <left style="medium">
        <color rgb="FFCBD1DC"/>
      </left>
      <right style="hair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 style="medium">
        <color rgb="FFCBD1DC"/>
      </right>
      <top style="double">
        <color auto="1"/>
      </top>
      <bottom style="hair">
        <color auto="1"/>
      </bottom>
      <diagonal/>
    </border>
    <border>
      <left style="medium">
        <color rgb="FFCBD1DC"/>
      </left>
      <right style="medium">
        <color rgb="FFCBD1DC"/>
      </right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/>
      <diagonal/>
    </border>
    <border>
      <left/>
      <right style="thin">
        <color indexed="64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rgb="FFCBD1DC"/>
      </left>
      <right style="medium">
        <color rgb="FFCBD1DC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medium">
        <color rgb="FFCBD1DC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/>
      <top style="hair">
        <color auto="1"/>
      </top>
      <bottom style="thin">
        <color indexed="64"/>
      </bottom>
      <diagonal/>
    </border>
    <border>
      <left/>
      <right style="medium">
        <color rgb="FFCBD1DC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medium">
        <color rgb="FFCBD1DC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rgb="FFCBD1DC"/>
      </bottom>
      <diagonal/>
    </border>
    <border>
      <left style="hair">
        <color auto="1"/>
      </left>
      <right style="medium">
        <color rgb="FFCBD1DC"/>
      </right>
      <top style="thin">
        <color indexed="64"/>
      </top>
      <bottom style="hair">
        <color auto="1"/>
      </bottom>
      <diagonal/>
    </border>
    <border>
      <left/>
      <right/>
      <top style="medium">
        <color rgb="FFDCE0E8"/>
      </top>
      <bottom style="medium">
        <color rgb="FFDCE0E8"/>
      </bottom>
      <diagonal/>
    </border>
    <border>
      <left style="hair">
        <color auto="1"/>
      </left>
      <right style="double">
        <color auto="1"/>
      </right>
      <top style="medium">
        <color rgb="FFCBD1DC"/>
      </top>
      <bottom/>
      <diagonal/>
    </border>
    <border>
      <left style="double">
        <color auto="1"/>
      </left>
      <right style="hair">
        <color auto="1"/>
      </right>
      <top style="medium">
        <color rgb="FFCBD1DC"/>
      </top>
      <bottom/>
      <diagonal/>
    </border>
    <border>
      <left style="thin">
        <color indexed="64"/>
      </left>
      <right style="medium">
        <color rgb="FFCBD1DC"/>
      </right>
      <top style="medium">
        <color rgb="FFCBD1DC"/>
      </top>
      <bottom/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thin">
        <color indexed="64"/>
      </left>
      <right style="medium">
        <color rgb="FFCBD1DC"/>
      </right>
      <top style="hair">
        <color indexed="64"/>
      </top>
      <bottom style="medium">
        <color rgb="FFDCE0E8"/>
      </bottom>
      <diagonal/>
    </border>
    <border>
      <left/>
      <right style="double">
        <color auto="1"/>
      </right>
      <top style="medium">
        <color rgb="FFCBD1DC"/>
      </top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rgb="FFCBD1DC"/>
      </right>
      <top/>
      <bottom style="thin">
        <color indexed="64"/>
      </bottom>
      <diagonal/>
    </border>
    <border>
      <left/>
      <right/>
      <top style="medium">
        <color rgb="FFDCE0E8"/>
      </top>
      <bottom/>
      <diagonal/>
    </border>
    <border>
      <left style="medium">
        <color rgb="FFCBD1DC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medium">
        <color rgb="FFCBD1DC"/>
      </right>
      <top style="medium">
        <color rgb="FFCBD1DC"/>
      </top>
      <bottom style="hair">
        <color auto="1"/>
      </bottom>
      <diagonal/>
    </border>
    <border>
      <left style="hair">
        <color auto="1"/>
      </left>
      <right style="medium">
        <color rgb="FFCBD1DC"/>
      </right>
      <top style="medium">
        <color rgb="FFCBD1DC"/>
      </top>
      <bottom style="hair">
        <color auto="1"/>
      </bottom>
      <diagonal/>
    </border>
    <border>
      <left style="hair">
        <color auto="1"/>
      </left>
      <right style="medium">
        <color rgb="FFCBD1DC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medium">
        <color rgb="FFCBD1DC"/>
      </right>
      <top/>
      <bottom style="medium">
        <color rgb="FFCBD1DC"/>
      </bottom>
      <diagonal/>
    </border>
    <border>
      <left style="hair">
        <color auto="1"/>
      </left>
      <right style="medium">
        <color rgb="FFCBD1DC"/>
      </right>
      <top style="hair">
        <color auto="1"/>
      </top>
      <bottom style="hair">
        <color auto="1"/>
      </bottom>
      <diagonal/>
    </border>
    <border>
      <left style="medium">
        <color rgb="FFCBD1DC"/>
      </left>
      <right style="medium">
        <color rgb="FFCBD1DC"/>
      </right>
      <top style="medium">
        <color rgb="FFCBD1DC"/>
      </top>
      <bottom/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medium">
        <color rgb="FFCBD1DC"/>
      </bottom>
      <diagonal/>
    </border>
    <border>
      <left/>
      <right style="medium">
        <color rgb="FFCBD1DC"/>
      </right>
      <top style="hair">
        <color auto="1"/>
      </top>
      <bottom/>
      <diagonal/>
    </border>
    <border>
      <left/>
      <right style="medium">
        <color rgb="FFCBD1DC"/>
      </right>
      <top style="hair">
        <color auto="1"/>
      </top>
      <bottom style="hair">
        <color auto="1"/>
      </bottom>
      <diagonal/>
    </border>
    <border>
      <left style="medium">
        <color theme="0" tint="-0.14996795556505021"/>
      </left>
      <right style="medium">
        <color rgb="FFCBD1DC"/>
      </right>
      <top style="medium">
        <color rgb="FFCBD1DC"/>
      </top>
      <bottom style="medium">
        <color rgb="FFCBD1DC"/>
      </bottom>
      <diagonal/>
    </border>
    <border>
      <left style="thin">
        <color indexed="64"/>
      </left>
      <right/>
      <top style="medium">
        <color rgb="FFCBD1DC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rgb="FFCBD1DC"/>
      </right>
      <top style="hair">
        <color auto="1"/>
      </top>
      <bottom/>
      <diagonal/>
    </border>
    <border>
      <left/>
      <right/>
      <top/>
      <bottom style="thick">
        <color rgb="FFCBD1DC"/>
      </bottom>
      <diagonal/>
    </border>
    <border>
      <left/>
      <right style="thick">
        <color rgb="FFCBD1DC"/>
      </right>
      <top/>
      <bottom style="thick">
        <color rgb="FFCBD1DC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/>
      <diagonal/>
    </border>
    <border>
      <left/>
      <right/>
      <top style="medium">
        <color theme="0" tint="-0.14996795556505021"/>
      </top>
      <bottom/>
      <diagonal/>
    </border>
    <border>
      <left/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/>
      <top/>
      <bottom/>
      <diagonal/>
    </border>
    <border>
      <left/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/>
      <top/>
      <bottom style="medium">
        <color theme="0" tint="-0.14996795556505021"/>
      </bottom>
      <diagonal/>
    </border>
    <border>
      <left/>
      <right/>
      <top/>
      <bottom style="medium">
        <color theme="0" tint="-0.14996795556505021"/>
      </bottom>
      <diagonal/>
    </border>
    <border>
      <left/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hair">
        <color auto="1"/>
      </left>
      <right/>
      <top style="medium">
        <color theme="0" tint="-0.14996795556505021"/>
      </top>
      <bottom/>
      <diagonal/>
    </border>
    <border>
      <left style="hair">
        <color auto="1"/>
      </left>
      <right/>
      <top/>
      <bottom style="medium">
        <color theme="0" tint="-0.14996795556505021"/>
      </bottom>
      <diagonal/>
    </border>
    <border>
      <left style="hair">
        <color auto="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rgb="FFCBD1DC"/>
      </left>
      <right style="hair">
        <color auto="1"/>
      </right>
      <top style="thick">
        <color rgb="FFCBD1DC"/>
      </top>
      <bottom/>
      <diagonal/>
    </border>
    <border>
      <left style="thick">
        <color theme="0" tint="-0.24994659260841701"/>
      </left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 style="thick">
        <color rgb="FFCBD1DC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/>
      <bottom style="hair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58" fillId="29" borderId="211" applyNumberFormat="0" applyAlignment="0" applyProtection="0"/>
  </cellStyleXfs>
  <cellXfs count="1333">
    <xf numFmtId="0" fontId="0" fillId="0" borderId="0" xfId="0"/>
    <xf numFmtId="0" fontId="0" fillId="3" borderId="0" xfId="0" applyFill="1"/>
    <xf numFmtId="0" fontId="6" fillId="4" borderId="4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6" fillId="4" borderId="1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 wrapText="1"/>
    </xf>
    <xf numFmtId="0" fontId="6" fillId="4" borderId="10" xfId="0" applyFont="1" applyFill="1" applyBorder="1" applyAlignment="1">
      <alignment horizontal="left" wrapText="1"/>
    </xf>
    <xf numFmtId="0" fontId="6" fillId="4" borderId="13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/>
    </xf>
    <xf numFmtId="0" fontId="0" fillId="6" borderId="17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/>
    </xf>
    <xf numFmtId="0" fontId="7" fillId="6" borderId="20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left" vertical="center" wrapText="1"/>
    </xf>
    <xf numFmtId="0" fontId="0" fillId="6" borderId="2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/>
    </xf>
    <xf numFmtId="0" fontId="0" fillId="7" borderId="22" xfId="0" applyFill="1" applyBorder="1" applyAlignment="1">
      <alignment vertical="center" wrapText="1"/>
    </xf>
    <xf numFmtId="0" fontId="0" fillId="7" borderId="23" xfId="0" applyFill="1" applyBorder="1" applyAlignment="1">
      <alignment horizontal="center" vertical="center"/>
    </xf>
    <xf numFmtId="0" fontId="8" fillId="7" borderId="24" xfId="0" applyFont="1" applyFill="1" applyBorder="1" applyAlignment="1">
      <alignment horizontal="left" vertical="center"/>
    </xf>
    <xf numFmtId="0" fontId="0" fillId="7" borderId="24" xfId="0" applyFill="1" applyBorder="1" applyAlignment="1">
      <alignment horizontal="left" vertical="center"/>
    </xf>
    <xf numFmtId="0" fontId="0" fillId="7" borderId="16" xfId="0" applyFill="1" applyBorder="1" applyAlignment="1">
      <alignment horizontal="center" vertical="center"/>
    </xf>
    <xf numFmtId="0" fontId="0" fillId="7" borderId="16" xfId="0" applyFill="1" applyBorder="1" applyAlignment="1">
      <alignment horizontal="left" vertical="center" wrapText="1"/>
    </xf>
    <xf numFmtId="0" fontId="0" fillId="6" borderId="22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left" vertical="center" wrapText="1"/>
    </xf>
    <xf numFmtId="0" fontId="0" fillId="6" borderId="23" xfId="0" applyFill="1" applyBorder="1" applyAlignment="1">
      <alignment horizontal="center" vertical="center"/>
    </xf>
    <xf numFmtId="0" fontId="3" fillId="6" borderId="24" xfId="0" applyFont="1" applyFill="1" applyBorder="1" applyAlignment="1">
      <alignment horizontal="left" vertical="center"/>
    </xf>
    <xf numFmtId="0" fontId="0" fillId="6" borderId="20" xfId="0" applyFill="1" applyBorder="1" applyAlignment="1">
      <alignment horizontal="center" vertical="center"/>
    </xf>
    <xf numFmtId="0" fontId="0" fillId="6" borderId="24" xfId="0" applyFill="1" applyBorder="1" applyAlignment="1">
      <alignment horizontal="left" vertical="center"/>
    </xf>
    <xf numFmtId="0" fontId="0" fillId="6" borderId="16" xfId="0" applyFill="1" applyBorder="1" applyAlignment="1">
      <alignment horizontal="center" vertical="center"/>
    </xf>
    <xf numFmtId="0" fontId="0" fillId="7" borderId="22" xfId="0" applyFill="1" applyBorder="1" applyAlignment="1">
      <alignment horizontal="left" vertical="center" wrapText="1"/>
    </xf>
    <xf numFmtId="0" fontId="3" fillId="7" borderId="24" xfId="0" applyFont="1" applyFill="1" applyBorder="1" applyAlignment="1">
      <alignment horizontal="left" vertical="center"/>
    </xf>
    <xf numFmtId="0" fontId="0" fillId="6" borderId="20" xfId="0" applyFill="1" applyBorder="1" applyAlignment="1">
      <alignment horizontal="left" vertical="center" wrapText="1"/>
    </xf>
    <xf numFmtId="0" fontId="0" fillId="12" borderId="23" xfId="0" applyFill="1" applyBorder="1" applyAlignment="1">
      <alignment horizontal="center" vertical="center"/>
    </xf>
    <xf numFmtId="0" fontId="7" fillId="12" borderId="23" xfId="0" applyFont="1" applyFill="1" applyBorder="1" applyAlignment="1">
      <alignment horizontal="center" vertical="center"/>
    </xf>
    <xf numFmtId="0" fontId="0" fillId="13" borderId="23" xfId="0" applyFill="1" applyBorder="1" applyAlignment="1">
      <alignment horizontal="center" vertical="center"/>
    </xf>
    <xf numFmtId="0" fontId="10" fillId="13" borderId="23" xfId="0" applyFont="1" applyFill="1" applyBorder="1" applyAlignment="1">
      <alignment horizontal="center" vertical="center"/>
    </xf>
    <xf numFmtId="0" fontId="7" fillId="13" borderId="23" xfId="0" applyFont="1" applyFill="1" applyBorder="1" applyAlignment="1">
      <alignment horizontal="center" vertical="center"/>
    </xf>
    <xf numFmtId="0" fontId="0" fillId="15" borderId="22" xfId="0" applyFill="1" applyBorder="1" applyAlignment="1">
      <alignment horizontal="left" vertical="center" wrapText="1"/>
    </xf>
    <xf numFmtId="0" fontId="10" fillId="12" borderId="23" xfId="0" applyFont="1" applyFill="1" applyBorder="1" applyAlignment="1">
      <alignment horizontal="center" vertical="center"/>
    </xf>
    <xf numFmtId="0" fontId="0" fillId="16" borderId="22" xfId="0" applyFill="1" applyBorder="1" applyAlignment="1">
      <alignment horizontal="center" vertical="center" wrapText="1"/>
    </xf>
    <xf numFmtId="0" fontId="0" fillId="16" borderId="22" xfId="0" applyFill="1" applyBorder="1" applyAlignment="1">
      <alignment horizontal="center" vertical="center"/>
    </xf>
    <xf numFmtId="0" fontId="0" fillId="16" borderId="23" xfId="0" applyFill="1" applyBorder="1" applyAlignment="1">
      <alignment horizontal="center" vertical="center"/>
    </xf>
    <xf numFmtId="0" fontId="0" fillId="16" borderId="24" xfId="0" applyFill="1" applyBorder="1" applyAlignment="1">
      <alignment horizontal="left" vertical="center"/>
    </xf>
    <xf numFmtId="0" fontId="0" fillId="15" borderId="22" xfId="0" applyFill="1" applyBorder="1" applyAlignment="1">
      <alignment horizontal="center" vertical="center"/>
    </xf>
    <xf numFmtId="0" fontId="0" fillId="15" borderId="23" xfId="0" applyFill="1" applyBorder="1" applyAlignment="1">
      <alignment horizontal="center" vertical="center"/>
    </xf>
    <xf numFmtId="0" fontId="0" fillId="15" borderId="24" xfId="0" applyFill="1" applyBorder="1" applyAlignment="1">
      <alignment horizontal="left" vertical="center"/>
    </xf>
    <xf numFmtId="0" fontId="3" fillId="2" borderId="28" xfId="0" applyFont="1" applyFill="1" applyBorder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0" fillId="17" borderId="34" xfId="0" applyFill="1" applyBorder="1" applyAlignment="1">
      <alignment vertical="center"/>
    </xf>
    <xf numFmtId="0" fontId="12" fillId="17" borderId="34" xfId="0" applyFont="1" applyFill="1" applyBorder="1" applyAlignment="1">
      <alignment vertical="center"/>
    </xf>
    <xf numFmtId="0" fontId="4" fillId="4" borderId="40" xfId="0" applyFont="1" applyFill="1" applyBorder="1"/>
    <xf numFmtId="0" fontId="0" fillId="19" borderId="0" xfId="0" applyFill="1"/>
    <xf numFmtId="0" fontId="3" fillId="20" borderId="22" xfId="0" applyFont="1" applyFill="1" applyBorder="1" applyAlignment="1">
      <alignment horizontal="center" vertical="center"/>
    </xf>
    <xf numFmtId="0" fontId="0" fillId="20" borderId="16" xfId="0" applyFill="1" applyBorder="1" applyAlignment="1">
      <alignment horizontal="center"/>
    </xf>
    <xf numFmtId="0" fontId="0" fillId="20" borderId="51" xfId="0" applyFill="1" applyBorder="1" applyAlignment="1">
      <alignment horizontal="center"/>
    </xf>
    <xf numFmtId="0" fontId="0" fillId="20" borderId="22" xfId="0" applyFill="1" applyBorder="1" applyAlignment="1">
      <alignment horizontal="center"/>
    </xf>
    <xf numFmtId="0" fontId="0" fillId="20" borderId="28" xfId="0" applyFill="1" applyBorder="1" applyAlignment="1">
      <alignment horizontal="center"/>
    </xf>
    <xf numFmtId="0" fontId="0" fillId="3" borderId="0" xfId="0" applyFill="1" applyAlignment="1">
      <alignment vertical="center"/>
    </xf>
    <xf numFmtId="0" fontId="3" fillId="20" borderId="50" xfId="0" applyFont="1" applyFill="1" applyBorder="1" applyAlignment="1">
      <alignment horizontal="center" vertical="center"/>
    </xf>
    <xf numFmtId="0" fontId="3" fillId="20" borderId="27" xfId="0" applyFont="1" applyFill="1" applyBorder="1" applyAlignment="1">
      <alignment horizontal="center" vertical="center"/>
    </xf>
    <xf numFmtId="0" fontId="3" fillId="20" borderId="28" xfId="0" applyFont="1" applyFill="1" applyBorder="1" applyAlignment="1">
      <alignment horizontal="center" vertical="center"/>
    </xf>
    <xf numFmtId="0" fontId="0" fillId="17" borderId="59" xfId="0" applyFill="1" applyBorder="1" applyAlignment="1" applyProtection="1">
      <alignment horizontal="center" vertical="center"/>
      <protection locked="0"/>
    </xf>
    <xf numFmtId="166" fontId="0" fillId="0" borderId="22" xfId="1" applyNumberFormat="1" applyFont="1" applyFill="1" applyBorder="1" applyAlignment="1" applyProtection="1">
      <alignment horizontal="center" vertical="center"/>
      <protection locked="0"/>
    </xf>
    <xf numFmtId="167" fontId="0" fillId="20" borderId="16" xfId="0" applyNumberFormat="1" applyFill="1" applyBorder="1" applyAlignment="1">
      <alignment horizontal="center" vertical="center"/>
    </xf>
    <xf numFmtId="43" fontId="2" fillId="18" borderId="65" xfId="1" applyFont="1" applyFill="1" applyBorder="1" applyAlignment="1">
      <alignment horizontal="center" vertical="center"/>
    </xf>
    <xf numFmtId="0" fontId="0" fillId="20" borderId="49" xfId="0" applyFill="1" applyBorder="1" applyAlignment="1">
      <alignment horizontal="center" vertical="center"/>
    </xf>
    <xf numFmtId="0" fontId="26" fillId="18" borderId="39" xfId="0" applyFont="1" applyFill="1" applyBorder="1" applyAlignment="1">
      <alignment horizontal="left" vertical="center"/>
    </xf>
    <xf numFmtId="0" fontId="2" fillId="18" borderId="40" xfId="0" applyFont="1" applyFill="1" applyBorder="1" applyAlignment="1">
      <alignment horizontal="right" vertical="center"/>
    </xf>
    <xf numFmtId="167" fontId="2" fillId="18" borderId="64" xfId="1" applyNumberFormat="1" applyFont="1" applyFill="1" applyBorder="1" applyAlignment="1">
      <alignment horizontal="center" vertical="center"/>
    </xf>
    <xf numFmtId="167" fontId="2" fillId="18" borderId="41" xfId="1" applyNumberFormat="1" applyFont="1" applyFill="1" applyBorder="1" applyAlignment="1">
      <alignment horizontal="center" vertical="center"/>
    </xf>
    <xf numFmtId="43" fontId="2" fillId="18" borderId="66" xfId="1" applyFont="1" applyFill="1" applyBorder="1" applyAlignment="1">
      <alignment horizontal="center" vertical="center"/>
    </xf>
    <xf numFmtId="43" fontId="2" fillId="18" borderId="39" xfId="1" applyFont="1" applyFill="1" applyBorder="1" applyAlignment="1">
      <alignment horizontal="center" vertical="center"/>
    </xf>
    <xf numFmtId="0" fontId="26" fillId="18" borderId="40" xfId="0" applyFont="1" applyFill="1" applyBorder="1" applyAlignment="1">
      <alignment horizontal="left" vertical="center"/>
    </xf>
    <xf numFmtId="0" fontId="3" fillId="20" borderId="16" xfId="0" applyFont="1" applyFill="1" applyBorder="1" applyAlignment="1">
      <alignment horizontal="center" vertical="center" wrapText="1"/>
    </xf>
    <xf numFmtId="0" fontId="0" fillId="17" borderId="22" xfId="0" applyFill="1" applyBorder="1" applyAlignment="1" applyProtection="1">
      <alignment horizontal="center" vertical="center"/>
      <protection locked="0"/>
    </xf>
    <xf numFmtId="0" fontId="3" fillId="3" borderId="0" xfId="0" applyFont="1" applyFill="1" applyAlignment="1">
      <alignment horizontal="right"/>
    </xf>
    <xf numFmtId="0" fontId="0" fillId="17" borderId="0" xfId="0" applyFill="1"/>
    <xf numFmtId="0" fontId="15" fillId="3" borderId="0" xfId="0" applyFont="1" applyFill="1"/>
    <xf numFmtId="0" fontId="0" fillId="17" borderId="70" xfId="0" applyFill="1" applyBorder="1"/>
    <xf numFmtId="0" fontId="0" fillId="19" borderId="0" xfId="0" applyFill="1" applyAlignment="1">
      <alignment horizontal="left"/>
    </xf>
    <xf numFmtId="0" fontId="29" fillId="19" borderId="0" xfId="0" applyFont="1" applyFill="1"/>
    <xf numFmtId="0" fontId="6" fillId="22" borderId="39" xfId="0" applyFont="1" applyFill="1" applyBorder="1"/>
    <xf numFmtId="0" fontId="4" fillId="22" borderId="40" xfId="0" applyFont="1" applyFill="1" applyBorder="1" applyAlignment="1">
      <alignment horizontal="center"/>
    </xf>
    <xf numFmtId="0" fontId="4" fillId="22" borderId="40" xfId="0" applyFont="1" applyFill="1" applyBorder="1"/>
    <xf numFmtId="0" fontId="4" fillId="19" borderId="76" xfId="0" applyFont="1" applyFill="1" applyBorder="1"/>
    <xf numFmtId="0" fontId="30" fillId="19" borderId="0" xfId="0" applyFont="1" applyFill="1" applyAlignment="1">
      <alignment horizontal="center"/>
    </xf>
    <xf numFmtId="0" fontId="21" fillId="20" borderId="77" xfId="0" applyFont="1" applyFill="1" applyBorder="1"/>
    <xf numFmtId="0" fontId="21" fillId="20" borderId="57" xfId="0" applyFont="1" applyFill="1" applyBorder="1"/>
    <xf numFmtId="0" fontId="21" fillId="20" borderId="69" xfId="0" applyFont="1" applyFill="1" applyBorder="1" applyAlignment="1">
      <alignment horizontal="center" vertical="center"/>
    </xf>
    <xf numFmtId="0" fontId="21" fillId="20" borderId="78" xfId="0" applyFont="1" applyFill="1" applyBorder="1" applyAlignment="1">
      <alignment horizontal="center" vertical="center"/>
    </xf>
    <xf numFmtId="0" fontId="21" fillId="20" borderId="79" xfId="0" applyFont="1" applyFill="1" applyBorder="1" applyAlignment="1">
      <alignment horizontal="center" vertical="center"/>
    </xf>
    <xf numFmtId="0" fontId="21" fillId="20" borderId="57" xfId="0" applyFont="1" applyFill="1" applyBorder="1" applyAlignment="1">
      <alignment horizontal="center"/>
    </xf>
    <xf numFmtId="0" fontId="3" fillId="20" borderId="80" xfId="0" applyFont="1" applyFill="1" applyBorder="1" applyAlignment="1">
      <alignment horizontal="center"/>
    </xf>
    <xf numFmtId="0" fontId="21" fillId="20" borderId="81" xfId="0" applyFont="1" applyFill="1" applyBorder="1" applyAlignment="1">
      <alignment horizontal="center"/>
    </xf>
    <xf numFmtId="0" fontId="21" fillId="20" borderId="77" xfId="0" applyFont="1" applyFill="1" applyBorder="1" applyAlignment="1">
      <alignment horizontal="center"/>
    </xf>
    <xf numFmtId="0" fontId="21" fillId="20" borderId="82" xfId="0" applyFont="1" applyFill="1" applyBorder="1" applyAlignment="1">
      <alignment horizontal="center"/>
    </xf>
    <xf numFmtId="0" fontId="0" fillId="20" borderId="81" xfId="0" applyFill="1" applyBorder="1" applyAlignment="1">
      <alignment horizontal="left"/>
    </xf>
    <xf numFmtId="0" fontId="3" fillId="20" borderId="83" xfId="0" applyFont="1" applyFill="1" applyBorder="1" applyAlignment="1">
      <alignment horizontal="center"/>
    </xf>
    <xf numFmtId="0" fontId="3" fillId="20" borderId="84" xfId="0" applyFont="1" applyFill="1" applyBorder="1" applyAlignment="1">
      <alignment horizontal="center"/>
    </xf>
    <xf numFmtId="0" fontId="21" fillId="20" borderId="85" xfId="0" applyFont="1" applyFill="1" applyBorder="1" applyAlignment="1">
      <alignment horizontal="center" vertical="center"/>
    </xf>
    <xf numFmtId="0" fontId="21" fillId="20" borderId="86" xfId="0" applyFont="1" applyFill="1" applyBorder="1" applyAlignment="1">
      <alignment horizontal="center" vertical="center"/>
    </xf>
    <xf numFmtId="0" fontId="21" fillId="20" borderId="87" xfId="0" applyFont="1" applyFill="1" applyBorder="1" applyAlignment="1">
      <alignment horizontal="center" vertical="center"/>
    </xf>
    <xf numFmtId="0" fontId="3" fillId="20" borderId="88" xfId="0" applyFont="1" applyFill="1" applyBorder="1" applyAlignment="1">
      <alignment horizontal="center"/>
    </xf>
    <xf numFmtId="0" fontId="3" fillId="20" borderId="89" xfId="0" applyFont="1" applyFill="1" applyBorder="1" applyAlignment="1">
      <alignment horizontal="center"/>
    </xf>
    <xf numFmtId="0" fontId="3" fillId="20" borderId="90" xfId="0" applyFont="1" applyFill="1" applyBorder="1" applyAlignment="1">
      <alignment horizontal="center"/>
    </xf>
    <xf numFmtId="0" fontId="0" fillId="20" borderId="90" xfId="0" applyFill="1" applyBorder="1" applyAlignment="1">
      <alignment horizontal="left"/>
    </xf>
    <xf numFmtId="0" fontId="0" fillId="20" borderId="26" xfId="0" applyFill="1" applyBorder="1" applyAlignment="1">
      <alignment horizontal="center"/>
    </xf>
    <xf numFmtId="0" fontId="31" fillId="20" borderId="16" xfId="0" applyFont="1" applyFill="1" applyBorder="1" applyAlignment="1">
      <alignment horizontal="center"/>
    </xf>
    <xf numFmtId="0" fontId="31" fillId="20" borderId="16" xfId="0" applyFont="1" applyFill="1" applyBorder="1" applyAlignment="1">
      <alignment horizontal="center" vertical="center"/>
    </xf>
    <xf numFmtId="0" fontId="31" fillId="20" borderId="91" xfId="0" applyFont="1" applyFill="1" applyBorder="1" applyAlignment="1">
      <alignment horizontal="center" vertical="center"/>
    </xf>
    <xf numFmtId="0" fontId="31" fillId="20" borderId="92" xfId="0" applyFont="1" applyFill="1" applyBorder="1" applyAlignment="1">
      <alignment horizontal="center" vertical="center"/>
    </xf>
    <xf numFmtId="0" fontId="31" fillId="20" borderId="48" xfId="0" applyFont="1" applyFill="1" applyBorder="1" applyAlignment="1">
      <alignment horizontal="center"/>
    </xf>
    <xf numFmtId="0" fontId="31" fillId="20" borderId="47" xfId="0" applyFont="1" applyFill="1" applyBorder="1" applyAlignment="1">
      <alignment horizontal="center"/>
    </xf>
    <xf numFmtId="0" fontId="0" fillId="20" borderId="93" xfId="0" applyFill="1" applyBorder="1" applyAlignment="1">
      <alignment horizontal="center"/>
    </xf>
    <xf numFmtId="0" fontId="31" fillId="20" borderId="94" xfId="0" applyFont="1" applyFill="1" applyBorder="1" applyAlignment="1">
      <alignment horizontal="center"/>
    </xf>
    <xf numFmtId="0" fontId="31" fillId="20" borderId="45" xfId="0" applyFont="1" applyFill="1" applyBorder="1" applyAlignment="1">
      <alignment horizontal="center"/>
    </xf>
    <xf numFmtId="0" fontId="31" fillId="20" borderId="67" xfId="0" applyFont="1" applyFill="1" applyBorder="1" applyAlignment="1">
      <alignment horizontal="center"/>
    </xf>
    <xf numFmtId="0" fontId="0" fillId="20" borderId="94" xfId="0" applyFill="1" applyBorder="1" applyAlignment="1">
      <alignment horizontal="left"/>
    </xf>
    <xf numFmtId="0" fontId="0" fillId="20" borderId="92" xfId="0" applyFill="1" applyBorder="1" applyAlignment="1">
      <alignment horizontal="center" vertical="center"/>
    </xf>
    <xf numFmtId="0" fontId="0" fillId="20" borderId="48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0" fillId="20" borderId="95" xfId="0" applyFill="1" applyBorder="1" applyAlignment="1">
      <alignment horizontal="center"/>
    </xf>
    <xf numFmtId="0" fontId="0" fillId="20" borderId="94" xfId="0" applyFill="1" applyBorder="1" applyAlignment="1">
      <alignment horizontal="center"/>
    </xf>
    <xf numFmtId="0" fontId="0" fillId="20" borderId="45" xfId="0" applyFill="1" applyBorder="1" applyAlignment="1">
      <alignment horizontal="center"/>
    </xf>
    <xf numFmtId="0" fontId="0" fillId="20" borderId="67" xfId="0" applyFill="1" applyBorder="1" applyAlignment="1">
      <alignment horizontal="center"/>
    </xf>
    <xf numFmtId="2" fontId="31" fillId="20" borderId="48" xfId="0" applyNumberFormat="1" applyFont="1" applyFill="1" applyBorder="1" applyAlignment="1">
      <alignment horizontal="center"/>
    </xf>
    <xf numFmtId="2" fontId="0" fillId="20" borderId="95" xfId="0" applyNumberFormat="1" applyFill="1" applyBorder="1" applyAlignment="1">
      <alignment horizontal="center"/>
    </xf>
    <xf numFmtId="0" fontId="31" fillId="20" borderId="94" xfId="0" applyFont="1" applyFill="1" applyBorder="1" applyAlignment="1">
      <alignment horizontal="left"/>
    </xf>
    <xf numFmtId="1" fontId="31" fillId="20" borderId="48" xfId="0" applyNumberFormat="1" applyFont="1" applyFill="1" applyBorder="1" applyAlignment="1">
      <alignment horizontal="center"/>
    </xf>
    <xf numFmtId="0" fontId="0" fillId="20" borderId="27" xfId="0" applyFill="1" applyBorder="1" applyAlignment="1">
      <alignment horizontal="center"/>
    </xf>
    <xf numFmtId="0" fontId="0" fillId="20" borderId="96" xfId="0" applyFill="1" applyBorder="1" applyAlignment="1">
      <alignment horizontal="center"/>
    </xf>
    <xf numFmtId="0" fontId="31" fillId="20" borderId="28" xfId="0" applyFont="1" applyFill="1" applyBorder="1" applyAlignment="1">
      <alignment horizontal="center" vertical="center"/>
    </xf>
    <xf numFmtId="0" fontId="31" fillId="20" borderId="97" xfId="0" applyFont="1" applyFill="1" applyBorder="1" applyAlignment="1">
      <alignment horizontal="center" vertical="center"/>
    </xf>
    <xf numFmtId="0" fontId="31" fillId="20" borderId="98" xfId="0" applyFont="1" applyFill="1" applyBorder="1" applyAlignment="1">
      <alignment horizontal="center" vertical="center"/>
    </xf>
    <xf numFmtId="0" fontId="0" fillId="20" borderId="99" xfId="0" applyFill="1" applyBorder="1" applyAlignment="1">
      <alignment horizontal="center" vertical="center"/>
    </xf>
    <xf numFmtId="0" fontId="0" fillId="20" borderId="100" xfId="0" applyFill="1" applyBorder="1" applyAlignment="1">
      <alignment horizontal="center"/>
    </xf>
    <xf numFmtId="0" fontId="0" fillId="20" borderId="101" xfId="0" applyFill="1" applyBorder="1" applyAlignment="1">
      <alignment horizontal="center"/>
    </xf>
    <xf numFmtId="0" fontId="0" fillId="20" borderId="102" xfId="0" applyFill="1" applyBorder="1" applyAlignment="1">
      <alignment horizontal="center"/>
    </xf>
    <xf numFmtId="0" fontId="0" fillId="20" borderId="103" xfId="0" applyFill="1" applyBorder="1" applyAlignment="1">
      <alignment horizontal="center"/>
    </xf>
    <xf numFmtId="0" fontId="0" fillId="20" borderId="104" xfId="0" applyFill="1" applyBorder="1" applyAlignment="1">
      <alignment horizontal="center"/>
    </xf>
    <xf numFmtId="0" fontId="0" fillId="20" borderId="35" xfId="0" applyFill="1" applyBorder="1" applyAlignment="1">
      <alignment horizontal="center"/>
    </xf>
    <xf numFmtId="0" fontId="0" fillId="20" borderId="103" xfId="0" applyFill="1" applyBorder="1" applyAlignment="1">
      <alignment horizontal="left"/>
    </xf>
    <xf numFmtId="0" fontId="6" fillId="22" borderId="30" xfId="0" applyFont="1" applyFill="1" applyBorder="1"/>
    <xf numFmtId="0" fontId="6" fillId="22" borderId="31" xfId="0" applyFont="1" applyFill="1" applyBorder="1"/>
    <xf numFmtId="0" fontId="6" fillId="22" borderId="31" xfId="0" applyFont="1" applyFill="1" applyBorder="1" applyAlignment="1">
      <alignment horizontal="left"/>
    </xf>
    <xf numFmtId="0" fontId="4" fillId="22" borderId="31" xfId="0" applyFont="1" applyFill="1" applyBorder="1"/>
    <xf numFmtId="0" fontId="6" fillId="22" borderId="105" xfId="0" applyFont="1" applyFill="1" applyBorder="1" applyAlignment="1">
      <alignment horizontal="center"/>
    </xf>
    <xf numFmtId="0" fontId="6" fillId="22" borderId="0" xfId="0" applyFont="1" applyFill="1" applyAlignment="1">
      <alignment horizontal="center"/>
    </xf>
    <xf numFmtId="0" fontId="6" fillId="22" borderId="32" xfId="0" applyFont="1" applyFill="1" applyBorder="1" applyAlignment="1">
      <alignment horizontal="left"/>
    </xf>
    <xf numFmtId="0" fontId="3" fillId="20" borderId="55" xfId="0" applyFont="1" applyFill="1" applyBorder="1" applyAlignment="1">
      <alignment horizontal="center"/>
    </xf>
    <xf numFmtId="0" fontId="3" fillId="20" borderId="56" xfId="0" applyFont="1" applyFill="1" applyBorder="1" applyAlignment="1">
      <alignment horizontal="center"/>
    </xf>
    <xf numFmtId="0" fontId="3" fillId="20" borderId="57" xfId="0" applyFont="1" applyFill="1" applyBorder="1"/>
    <xf numFmtId="0" fontId="3" fillId="20" borderId="106" xfId="0" applyFont="1" applyFill="1" applyBorder="1" applyAlignment="1">
      <alignment horizontal="center"/>
    </xf>
    <xf numFmtId="0" fontId="3" fillId="20" borderId="0" xfId="0" applyFont="1" applyFill="1" applyAlignment="1">
      <alignment horizontal="center"/>
    </xf>
    <xf numFmtId="0" fontId="31" fillId="20" borderId="81" xfId="0" applyFont="1" applyFill="1" applyBorder="1" applyAlignment="1">
      <alignment horizontal="left"/>
    </xf>
    <xf numFmtId="0" fontId="21" fillId="20" borderId="107" xfId="0" applyFont="1" applyFill="1" applyBorder="1" applyAlignment="1">
      <alignment horizontal="center"/>
    </xf>
    <xf numFmtId="0" fontId="21" fillId="20" borderId="108" xfId="0" applyFont="1" applyFill="1" applyBorder="1"/>
    <xf numFmtId="0" fontId="21" fillId="20" borderId="108" xfId="0" applyFont="1" applyFill="1" applyBorder="1" applyAlignment="1">
      <alignment horizontal="center"/>
    </xf>
    <xf numFmtId="0" fontId="3" fillId="20" borderId="109" xfId="0" applyFont="1" applyFill="1" applyBorder="1" applyAlignment="1">
      <alignment horizontal="center"/>
    </xf>
    <xf numFmtId="0" fontId="31" fillId="20" borderId="90" xfId="0" applyFont="1" applyFill="1" applyBorder="1" applyAlignment="1">
      <alignment horizontal="left"/>
    </xf>
    <xf numFmtId="0" fontId="31" fillId="20" borderId="45" xfId="0" applyFont="1" applyFill="1" applyBorder="1" applyAlignment="1">
      <alignment horizontal="left"/>
    </xf>
    <xf numFmtId="0" fontId="31" fillId="20" borderId="48" xfId="0" applyFont="1" applyFill="1" applyBorder="1"/>
    <xf numFmtId="2" fontId="31" fillId="20" borderId="61" xfId="0" applyNumberFormat="1" applyFont="1" applyFill="1" applyBorder="1" applyAlignment="1">
      <alignment horizontal="center" vertical="center"/>
    </xf>
    <xf numFmtId="1" fontId="0" fillId="20" borderId="47" xfId="0" applyNumberFormat="1" applyFill="1" applyBorder="1" applyAlignment="1">
      <alignment horizontal="center"/>
    </xf>
    <xf numFmtId="0" fontId="0" fillId="20" borderId="110" xfId="0" applyFill="1" applyBorder="1" applyAlignment="1">
      <alignment horizontal="center" vertical="center"/>
    </xf>
    <xf numFmtId="0" fontId="0" fillId="20" borderId="0" xfId="0" applyFill="1" applyAlignment="1">
      <alignment horizontal="center"/>
    </xf>
    <xf numFmtId="0" fontId="31" fillId="20" borderId="26" xfId="0" applyFont="1" applyFill="1" applyBorder="1" applyAlignment="1">
      <alignment horizontal="left"/>
    </xf>
    <xf numFmtId="0" fontId="31" fillId="20" borderId="61" xfId="0" applyFont="1" applyFill="1" applyBorder="1" applyAlignment="1">
      <alignment horizontal="center"/>
    </xf>
    <xf numFmtId="0" fontId="31" fillId="20" borderId="61" xfId="0" applyFont="1" applyFill="1" applyBorder="1"/>
    <xf numFmtId="0" fontId="0" fillId="20" borderId="111" xfId="0" applyFill="1" applyBorder="1" applyAlignment="1">
      <alignment horizontal="center" vertical="center"/>
    </xf>
    <xf numFmtId="0" fontId="0" fillId="20" borderId="112" xfId="0" applyFill="1" applyBorder="1" applyAlignment="1">
      <alignment horizontal="center"/>
    </xf>
    <xf numFmtId="0" fontId="31" fillId="20" borderId="25" xfId="0" applyFont="1" applyFill="1" applyBorder="1" applyAlignment="1">
      <alignment horizontal="left"/>
    </xf>
    <xf numFmtId="0" fontId="31" fillId="20" borderId="113" xfId="0" applyFont="1" applyFill="1" applyBorder="1" applyAlignment="1">
      <alignment horizontal="center"/>
    </xf>
    <xf numFmtId="0" fontId="31" fillId="20" borderId="113" xfId="0" applyFont="1" applyFill="1" applyBorder="1"/>
    <xf numFmtId="2" fontId="31" fillId="20" borderId="113" xfId="0" applyNumberFormat="1" applyFont="1" applyFill="1" applyBorder="1" applyAlignment="1">
      <alignment horizontal="center" vertical="center"/>
    </xf>
    <xf numFmtId="1" fontId="0" fillId="20" borderId="0" xfId="0" applyNumberFormat="1" applyFill="1" applyAlignment="1">
      <alignment horizontal="center"/>
    </xf>
    <xf numFmtId="0" fontId="0" fillId="20" borderId="114" xfId="0" applyFill="1" applyBorder="1" applyAlignment="1">
      <alignment horizontal="center" vertical="center"/>
    </xf>
    <xf numFmtId="0" fontId="0" fillId="20" borderId="115" xfId="0" applyFill="1" applyBorder="1" applyAlignment="1">
      <alignment horizontal="center"/>
    </xf>
    <xf numFmtId="0" fontId="31" fillId="20" borderId="27" xfId="0" applyFont="1" applyFill="1" applyBorder="1" applyAlignment="1">
      <alignment horizontal="left"/>
    </xf>
    <xf numFmtId="0" fontId="31" fillId="20" borderId="52" xfId="0" applyFont="1" applyFill="1" applyBorder="1" applyAlignment="1">
      <alignment horizontal="center"/>
    </xf>
    <xf numFmtId="0" fontId="31" fillId="20" borderId="52" xfId="0" applyFont="1" applyFill="1" applyBorder="1"/>
    <xf numFmtId="2" fontId="31" fillId="20" borderId="52" xfId="0" applyNumberFormat="1" applyFont="1" applyFill="1" applyBorder="1" applyAlignment="1">
      <alignment horizontal="center" vertical="center"/>
    </xf>
    <xf numFmtId="1" fontId="0" fillId="20" borderId="51" xfId="0" applyNumberFormat="1" applyFill="1" applyBorder="1" applyAlignment="1">
      <alignment horizontal="center"/>
    </xf>
    <xf numFmtId="0" fontId="0" fillId="20" borderId="116" xfId="0" applyFill="1" applyBorder="1" applyAlignment="1">
      <alignment horizontal="center" vertical="center"/>
    </xf>
    <xf numFmtId="0" fontId="31" fillId="20" borderId="117" xfId="0" applyFont="1" applyFill="1" applyBorder="1" applyAlignment="1">
      <alignment horizontal="left"/>
    </xf>
    <xf numFmtId="0" fontId="3" fillId="20" borderId="77" xfId="0" applyFont="1" applyFill="1" applyBorder="1" applyAlignment="1">
      <alignment horizontal="center"/>
    </xf>
    <xf numFmtId="0" fontId="3" fillId="20" borderId="69" xfId="0" applyFont="1" applyFill="1" applyBorder="1" applyAlignment="1">
      <alignment horizontal="center"/>
    </xf>
    <xf numFmtId="0" fontId="3" fillId="20" borderId="81" xfId="0" applyFont="1" applyFill="1" applyBorder="1" applyAlignment="1">
      <alignment horizontal="left"/>
    </xf>
    <xf numFmtId="0" fontId="3" fillId="20" borderId="90" xfId="0" applyFont="1" applyFill="1" applyBorder="1" applyAlignment="1">
      <alignment horizontal="left"/>
    </xf>
    <xf numFmtId="0" fontId="0" fillId="20" borderId="118" xfId="0" applyFill="1" applyBorder="1" applyAlignment="1">
      <alignment horizontal="center"/>
    </xf>
    <xf numFmtId="0" fontId="0" fillId="20" borderId="47" xfId="0" applyFill="1" applyBorder="1" applyAlignment="1">
      <alignment horizontal="center"/>
    </xf>
    <xf numFmtId="0" fontId="0" fillId="20" borderId="83" xfId="0" applyFill="1" applyBorder="1" applyAlignment="1">
      <alignment horizontal="center"/>
    </xf>
    <xf numFmtId="0" fontId="0" fillId="20" borderId="84" xfId="0" applyFill="1" applyBorder="1" applyAlignment="1">
      <alignment horizontal="center"/>
    </xf>
    <xf numFmtId="0" fontId="0" fillId="20" borderId="119" xfId="0" applyFill="1" applyBorder="1" applyAlignment="1">
      <alignment horizontal="center"/>
    </xf>
    <xf numFmtId="0" fontId="31" fillId="20" borderId="120" xfId="0" applyFont="1" applyFill="1" applyBorder="1" applyAlignment="1">
      <alignment horizontal="center" vertical="center"/>
    </xf>
    <xf numFmtId="0" fontId="0" fillId="20" borderId="121" xfId="0" applyFill="1" applyBorder="1" applyAlignment="1">
      <alignment horizontal="center"/>
    </xf>
    <xf numFmtId="0" fontId="0" fillId="20" borderId="89" xfId="0" applyFill="1" applyBorder="1" applyAlignment="1">
      <alignment horizontal="center"/>
    </xf>
    <xf numFmtId="0" fontId="0" fillId="20" borderId="36" xfId="0" applyFill="1" applyBorder="1" applyAlignment="1">
      <alignment horizontal="center"/>
    </xf>
    <xf numFmtId="0" fontId="31" fillId="20" borderId="99" xfId="0" applyFont="1" applyFill="1" applyBorder="1" applyAlignment="1">
      <alignment horizontal="center" vertical="center"/>
    </xf>
    <xf numFmtId="0" fontId="0" fillId="20" borderId="122" xfId="0" applyFill="1" applyBorder="1" applyAlignment="1">
      <alignment horizontal="center"/>
    </xf>
    <xf numFmtId="0" fontId="21" fillId="20" borderId="84" xfId="0" applyFont="1" applyFill="1" applyBorder="1" applyAlignment="1">
      <alignment horizontal="center" vertical="center"/>
    </xf>
    <xf numFmtId="0" fontId="3" fillId="20" borderId="123" xfId="0" applyFont="1" applyFill="1" applyBorder="1" applyAlignment="1">
      <alignment horizontal="center"/>
    </xf>
    <xf numFmtId="0" fontId="0" fillId="20" borderId="111" xfId="0" applyFill="1" applyBorder="1" applyAlignment="1">
      <alignment horizontal="center"/>
    </xf>
    <xf numFmtId="0" fontId="0" fillId="20" borderId="124" xfId="0" applyFill="1" applyBorder="1" applyAlignment="1">
      <alignment horizontal="center"/>
    </xf>
    <xf numFmtId="0" fontId="0" fillId="20" borderId="110" xfId="0" applyFill="1" applyBorder="1" applyAlignment="1">
      <alignment horizontal="center"/>
    </xf>
    <xf numFmtId="43" fontId="0" fillId="20" borderId="16" xfId="1" applyFont="1" applyFill="1" applyBorder="1" applyAlignment="1">
      <alignment horizontal="center"/>
    </xf>
    <xf numFmtId="0" fontId="3" fillId="20" borderId="119" xfId="0" applyFont="1" applyFill="1" applyBorder="1" applyAlignment="1">
      <alignment horizontal="center"/>
    </xf>
    <xf numFmtId="2" fontId="0" fillId="20" borderId="16" xfId="0" applyNumberFormat="1" applyFill="1" applyBorder="1" applyAlignment="1">
      <alignment horizontal="center"/>
    </xf>
    <xf numFmtId="0" fontId="0" fillId="20" borderId="104" xfId="0" applyFill="1" applyBorder="1" applyAlignment="1">
      <alignment horizontal="center" vertical="center"/>
    </xf>
    <xf numFmtId="2" fontId="0" fillId="20" borderId="96" xfId="0" applyNumberFormat="1" applyFill="1" applyBorder="1" applyAlignment="1">
      <alignment horizontal="center"/>
    </xf>
    <xf numFmtId="0" fontId="0" fillId="20" borderId="126" xfId="0" applyFill="1" applyBorder="1" applyAlignment="1">
      <alignment horizontal="center"/>
    </xf>
    <xf numFmtId="0" fontId="0" fillId="20" borderId="17" xfId="0" applyFill="1" applyBorder="1" applyAlignment="1">
      <alignment horizontal="center"/>
    </xf>
    <xf numFmtId="2" fontId="0" fillId="20" borderId="17" xfId="0" applyNumberFormat="1" applyFill="1" applyBorder="1" applyAlignment="1">
      <alignment horizontal="center"/>
    </xf>
    <xf numFmtId="0" fontId="31" fillId="20" borderId="127" xfId="0" applyFont="1" applyFill="1" applyBorder="1" applyAlignment="1">
      <alignment horizontal="center" vertical="center"/>
    </xf>
    <xf numFmtId="0" fontId="0" fillId="20" borderId="128" xfId="0" applyFill="1" applyBorder="1" applyAlignment="1">
      <alignment horizontal="center"/>
    </xf>
    <xf numFmtId="0" fontId="0" fillId="20" borderId="62" xfId="0" applyFill="1" applyBorder="1" applyAlignment="1">
      <alignment horizontal="center"/>
    </xf>
    <xf numFmtId="0" fontId="0" fillId="20" borderId="129" xfId="0" applyFill="1" applyBorder="1" applyAlignment="1">
      <alignment horizontal="center"/>
    </xf>
    <xf numFmtId="0" fontId="0" fillId="20" borderId="15" xfId="0" applyFill="1" applyBorder="1" applyAlignment="1">
      <alignment horizontal="center"/>
    </xf>
    <xf numFmtId="0" fontId="0" fillId="20" borderId="130" xfId="0" applyFill="1" applyBorder="1" applyAlignment="1">
      <alignment horizontal="center"/>
    </xf>
    <xf numFmtId="2" fontId="0" fillId="20" borderId="130" xfId="0" applyNumberFormat="1" applyFill="1" applyBorder="1" applyAlignment="1">
      <alignment horizontal="center"/>
    </xf>
    <xf numFmtId="0" fontId="31" fillId="20" borderId="131" xfId="0" applyFont="1" applyFill="1" applyBorder="1" applyAlignment="1">
      <alignment horizontal="center" vertical="center"/>
    </xf>
    <xf numFmtId="0" fontId="3" fillId="20" borderId="132" xfId="0" applyFont="1" applyFill="1" applyBorder="1" applyAlignment="1">
      <alignment horizontal="center"/>
    </xf>
    <xf numFmtId="0" fontId="3" fillId="20" borderId="130" xfId="0" applyFont="1" applyFill="1" applyBorder="1" applyAlignment="1">
      <alignment horizontal="center"/>
    </xf>
    <xf numFmtId="0" fontId="3" fillId="20" borderId="133" xfId="0" applyFont="1" applyFill="1" applyBorder="1" applyAlignment="1">
      <alignment horizontal="center"/>
    </xf>
    <xf numFmtId="0" fontId="3" fillId="20" borderId="134" xfId="0" applyFont="1" applyFill="1" applyBorder="1" applyAlignment="1">
      <alignment horizontal="center"/>
    </xf>
    <xf numFmtId="2" fontId="0" fillId="20" borderId="101" xfId="0" applyNumberFormat="1" applyFill="1" applyBorder="1" applyAlignment="1">
      <alignment horizontal="center"/>
    </xf>
    <xf numFmtId="0" fontId="0" fillId="20" borderId="98" xfId="0" applyFill="1" applyBorder="1" applyAlignment="1">
      <alignment horizontal="center"/>
    </xf>
    <xf numFmtId="0" fontId="0" fillId="20" borderId="16" xfId="0" applyFill="1" applyBorder="1" applyAlignment="1">
      <alignment horizontal="right"/>
    </xf>
    <xf numFmtId="43" fontId="0" fillId="20" borderId="110" xfId="1" applyFont="1" applyFill="1" applyBorder="1" applyAlignment="1">
      <alignment horizontal="center"/>
    </xf>
    <xf numFmtId="43" fontId="0" fillId="20" borderId="46" xfId="1" applyFont="1" applyFill="1" applyBorder="1" applyAlignment="1">
      <alignment horizontal="center"/>
    </xf>
    <xf numFmtId="43" fontId="0" fillId="20" borderId="95" xfId="1" applyFont="1" applyFill="1" applyBorder="1" applyAlignment="1">
      <alignment horizontal="center"/>
    </xf>
    <xf numFmtId="166" fontId="0" fillId="20" borderId="16" xfId="1" applyNumberFormat="1" applyFont="1" applyFill="1" applyBorder="1" applyAlignment="1">
      <alignment horizontal="center"/>
    </xf>
    <xf numFmtId="169" fontId="0" fillId="20" borderId="0" xfId="0" applyNumberFormat="1" applyFill="1" applyAlignment="1">
      <alignment horizontal="center"/>
    </xf>
    <xf numFmtId="166" fontId="0" fillId="23" borderId="16" xfId="1" applyNumberFormat="1" applyFont="1" applyFill="1" applyBorder="1" applyAlignment="1">
      <alignment horizontal="center"/>
    </xf>
    <xf numFmtId="0" fontId="0" fillId="24" borderId="0" xfId="0" applyFill="1" applyAlignment="1">
      <alignment horizontal="center"/>
    </xf>
    <xf numFmtId="166" fontId="0" fillId="24" borderId="16" xfId="1" applyNumberFormat="1" applyFont="1" applyFill="1" applyBorder="1" applyAlignment="1">
      <alignment horizontal="center"/>
    </xf>
    <xf numFmtId="0" fontId="0" fillId="20" borderId="28" xfId="0" applyFill="1" applyBorder="1" applyAlignment="1">
      <alignment horizontal="right"/>
    </xf>
    <xf numFmtId="166" fontId="0" fillId="20" borderId="28" xfId="1" applyNumberFormat="1" applyFont="1" applyFill="1" applyBorder="1" applyAlignment="1">
      <alignment horizontal="center"/>
    </xf>
    <xf numFmtId="0" fontId="3" fillId="23" borderId="77" xfId="0" applyFont="1" applyFill="1" applyBorder="1" applyAlignment="1">
      <alignment horizontal="center"/>
    </xf>
    <xf numFmtId="0" fontId="0" fillId="14" borderId="16" xfId="0" applyFill="1" applyBorder="1" applyAlignment="1">
      <alignment horizontal="center"/>
    </xf>
    <xf numFmtId="0" fontId="3" fillId="20" borderId="121" xfId="0" applyFont="1" applyFill="1" applyBorder="1" applyAlignment="1">
      <alignment horizontal="center"/>
    </xf>
    <xf numFmtId="0" fontId="3" fillId="20" borderId="135" xfId="0" applyFont="1" applyFill="1" applyBorder="1" applyAlignment="1">
      <alignment horizontal="center"/>
    </xf>
    <xf numFmtId="0" fontId="31" fillId="20" borderId="48" xfId="0" applyFont="1" applyFill="1" applyBorder="1" applyAlignment="1">
      <alignment horizontal="left"/>
    </xf>
    <xf numFmtId="170" fontId="31" fillId="20" borderId="48" xfId="0" applyNumberFormat="1" applyFont="1" applyFill="1" applyBorder="1" applyAlignment="1">
      <alignment horizontal="center"/>
    </xf>
    <xf numFmtId="0" fontId="31" fillId="20" borderId="27" xfId="0" applyFont="1" applyFill="1" applyBorder="1" applyAlignment="1">
      <alignment horizontal="center"/>
    </xf>
    <xf numFmtId="170" fontId="31" fillId="20" borderId="52" xfId="0" applyNumberFormat="1" applyFont="1" applyFill="1" applyBorder="1" applyAlignment="1">
      <alignment horizontal="center"/>
    </xf>
    <xf numFmtId="0" fontId="0" fillId="20" borderId="116" xfId="0" applyFill="1" applyBorder="1" applyAlignment="1">
      <alignment horizontal="center"/>
    </xf>
    <xf numFmtId="0" fontId="0" fillId="20" borderId="50" xfId="0" applyFill="1" applyBorder="1" applyAlignment="1">
      <alignment horizontal="center"/>
    </xf>
    <xf numFmtId="0" fontId="0" fillId="20" borderId="117" xfId="0" applyFill="1" applyBorder="1" applyAlignment="1">
      <alignment horizontal="left"/>
    </xf>
    <xf numFmtId="0" fontId="21" fillId="20" borderId="136" xfId="0" applyFont="1" applyFill="1" applyBorder="1"/>
    <xf numFmtId="0" fontId="21" fillId="20" borderId="106" xfId="0" applyFont="1" applyFill="1" applyBorder="1"/>
    <xf numFmtId="0" fontId="21" fillId="20" borderId="137" xfId="0" applyFont="1" applyFill="1" applyBorder="1" applyAlignment="1">
      <alignment horizontal="center"/>
    </xf>
    <xf numFmtId="0" fontId="31" fillId="20" borderId="138" xfId="0" applyFont="1" applyFill="1" applyBorder="1" applyAlignment="1">
      <alignment horizontal="center"/>
    </xf>
    <xf numFmtId="0" fontId="31" fillId="20" borderId="110" xfId="0" applyFont="1" applyFill="1" applyBorder="1" applyAlignment="1">
      <alignment horizontal="center"/>
    </xf>
    <xf numFmtId="9" fontId="31" fillId="20" borderId="48" xfId="2" applyFont="1" applyFill="1" applyBorder="1" applyAlignment="1">
      <alignment horizontal="center"/>
    </xf>
    <xf numFmtId="171" fontId="31" fillId="20" borderId="48" xfId="2" applyNumberFormat="1" applyFont="1" applyFill="1" applyBorder="1" applyAlignment="1">
      <alignment horizontal="center"/>
    </xf>
    <xf numFmtId="171" fontId="0" fillId="20" borderId="47" xfId="2" applyNumberFormat="1" applyFont="1" applyFill="1" applyBorder="1" applyAlignment="1">
      <alignment horizontal="center"/>
    </xf>
    <xf numFmtId="0" fontId="31" fillId="20" borderId="139" xfId="0" applyFont="1" applyFill="1" applyBorder="1" applyAlignment="1">
      <alignment horizontal="center"/>
    </xf>
    <xf numFmtId="0" fontId="31" fillId="20" borderId="22" xfId="0" applyFont="1" applyFill="1" applyBorder="1" applyAlignment="1">
      <alignment horizontal="center"/>
    </xf>
    <xf numFmtId="171" fontId="0" fillId="20" borderId="140" xfId="2" applyNumberFormat="1" applyFont="1" applyFill="1" applyBorder="1" applyAlignment="1">
      <alignment horizontal="center"/>
    </xf>
    <xf numFmtId="0" fontId="31" fillId="20" borderId="60" xfId="0" applyFont="1" applyFill="1" applyBorder="1"/>
    <xf numFmtId="0" fontId="0" fillId="20" borderId="76" xfId="0" applyFill="1" applyBorder="1" applyAlignment="1">
      <alignment horizontal="left"/>
    </xf>
    <xf numFmtId="0" fontId="31" fillId="20" borderId="20" xfId="0" applyFont="1" applyFill="1" applyBorder="1" applyAlignment="1">
      <alignment horizontal="center"/>
    </xf>
    <xf numFmtId="171" fontId="0" fillId="20" borderId="141" xfId="2" applyNumberFormat="1" applyFont="1" applyFill="1" applyBorder="1" applyAlignment="1">
      <alignment horizontal="center"/>
    </xf>
    <xf numFmtId="0" fontId="0" fillId="20" borderId="114" xfId="0" applyFill="1" applyBorder="1" applyAlignment="1">
      <alignment horizontal="center"/>
    </xf>
    <xf numFmtId="0" fontId="31" fillId="20" borderId="74" xfId="0" applyFont="1" applyFill="1" applyBorder="1"/>
    <xf numFmtId="0" fontId="31" fillId="20" borderId="142" xfId="0" applyFont="1" applyFill="1" applyBorder="1" applyAlignment="1">
      <alignment horizontal="center"/>
    </xf>
    <xf numFmtId="0" fontId="31" fillId="20" borderId="143" xfId="0" applyFont="1" applyFill="1" applyBorder="1" applyAlignment="1">
      <alignment horizontal="center"/>
    </xf>
    <xf numFmtId="0" fontId="0" fillId="20" borderId="52" xfId="0" applyFill="1" applyBorder="1" applyAlignment="1">
      <alignment horizontal="center"/>
    </xf>
    <xf numFmtId="0" fontId="31" fillId="20" borderId="28" xfId="0" applyFont="1" applyFill="1" applyBorder="1"/>
    <xf numFmtId="0" fontId="0" fillId="20" borderId="144" xfId="0" applyFill="1" applyBorder="1" applyAlignment="1">
      <alignment horizontal="center"/>
    </xf>
    <xf numFmtId="0" fontId="35" fillId="20" borderId="77" xfId="0" applyFont="1" applyFill="1" applyBorder="1" applyAlignment="1">
      <alignment horizontal="center"/>
    </xf>
    <xf numFmtId="0" fontId="31" fillId="20" borderId="76" xfId="0" applyFont="1" applyFill="1" applyBorder="1" applyAlignment="1">
      <alignment horizontal="left"/>
    </xf>
    <xf numFmtId="0" fontId="31" fillId="20" borderId="48" xfId="0" applyFont="1" applyFill="1" applyBorder="1" applyAlignment="1">
      <alignment horizontal="center" vertical="center"/>
    </xf>
    <xf numFmtId="0" fontId="0" fillId="20" borderId="145" xfId="0" applyFill="1" applyBorder="1" applyAlignment="1">
      <alignment horizontal="left"/>
    </xf>
    <xf numFmtId="172" fontId="31" fillId="20" borderId="48" xfId="0" applyNumberFormat="1" applyFont="1" applyFill="1" applyBorder="1"/>
    <xf numFmtId="0" fontId="0" fillId="20" borderId="146" xfId="0" applyFill="1" applyBorder="1" applyAlignment="1">
      <alignment horizontal="left"/>
    </xf>
    <xf numFmtId="0" fontId="31" fillId="20" borderId="15" xfId="0" applyFont="1" applyFill="1" applyBorder="1" applyAlignment="1">
      <alignment horizontal="center"/>
    </xf>
    <xf numFmtId="0" fontId="31" fillId="20" borderId="63" xfId="0" applyFont="1" applyFill="1" applyBorder="1" applyAlignment="1">
      <alignment horizontal="center"/>
    </xf>
    <xf numFmtId="0" fontId="31" fillId="20" borderId="63" xfId="0" applyFont="1" applyFill="1" applyBorder="1"/>
    <xf numFmtId="0" fontId="0" fillId="20" borderId="128" xfId="0" applyFill="1" applyBorder="1" applyAlignment="1">
      <alignment horizontal="center" vertical="center"/>
    </xf>
    <xf numFmtId="0" fontId="31" fillId="20" borderId="63" xfId="0" applyFont="1" applyFill="1" applyBorder="1" applyAlignment="1">
      <alignment horizontal="center" vertical="center"/>
    </xf>
    <xf numFmtId="0" fontId="0" fillId="20" borderId="147" xfId="0" applyFill="1" applyBorder="1" applyAlignment="1">
      <alignment horizontal="left"/>
    </xf>
    <xf numFmtId="0" fontId="31" fillId="20" borderId="148" xfId="0" applyFont="1" applyFill="1" applyBorder="1" applyAlignment="1">
      <alignment horizontal="center"/>
    </xf>
    <xf numFmtId="0" fontId="31" fillId="20" borderId="149" xfId="0" applyFont="1" applyFill="1" applyBorder="1" applyAlignment="1">
      <alignment horizontal="center"/>
    </xf>
    <xf numFmtId="0" fontId="31" fillId="20" borderId="149" xfId="0" applyFont="1" applyFill="1" applyBorder="1"/>
    <xf numFmtId="0" fontId="0" fillId="20" borderId="150" xfId="0" applyFill="1" applyBorder="1" applyAlignment="1">
      <alignment horizontal="center"/>
    </xf>
    <xf numFmtId="0" fontId="0" fillId="20" borderId="151" xfId="0" applyFill="1" applyBorder="1" applyAlignment="1">
      <alignment horizontal="center" vertical="center"/>
    </xf>
    <xf numFmtId="0" fontId="0" fillId="20" borderId="152" xfId="0" applyFill="1" applyBorder="1" applyAlignment="1">
      <alignment horizontal="center" vertical="center"/>
    </xf>
    <xf numFmtId="0" fontId="0" fillId="20" borderId="153" xfId="0" applyFill="1" applyBorder="1" applyAlignment="1">
      <alignment horizontal="center" vertical="center"/>
    </xf>
    <xf numFmtId="0" fontId="0" fillId="20" borderId="154" xfId="0" applyFill="1" applyBorder="1" applyAlignment="1">
      <alignment horizontal="center"/>
    </xf>
    <xf numFmtId="0" fontId="0" fillId="20" borderId="155" xfId="0" applyFill="1" applyBorder="1" applyAlignment="1">
      <alignment horizontal="left"/>
    </xf>
    <xf numFmtId="0" fontId="31" fillId="20" borderId="26" xfId="0" applyFont="1" applyFill="1" applyBorder="1" applyAlignment="1">
      <alignment horizontal="center"/>
    </xf>
    <xf numFmtId="0" fontId="0" fillId="20" borderId="60" xfId="0" applyFill="1" applyBorder="1" applyAlignment="1">
      <alignment horizontal="center"/>
    </xf>
    <xf numFmtId="0" fontId="31" fillId="20" borderId="61" xfId="0" applyFont="1" applyFill="1" applyBorder="1" applyAlignment="1">
      <alignment horizontal="center" vertical="center"/>
    </xf>
    <xf numFmtId="0" fontId="31" fillId="20" borderId="156" xfId="0" applyFont="1" applyFill="1" applyBorder="1" applyAlignment="1">
      <alignment horizontal="center" vertical="center"/>
    </xf>
    <xf numFmtId="0" fontId="31" fillId="20" borderId="25" xfId="0" applyFont="1" applyFill="1" applyBorder="1" applyAlignment="1">
      <alignment horizontal="center"/>
    </xf>
    <xf numFmtId="0" fontId="0" fillId="20" borderId="74" xfId="0" applyFill="1" applyBorder="1" applyAlignment="1">
      <alignment horizontal="center"/>
    </xf>
    <xf numFmtId="0" fontId="31" fillId="20" borderId="113" xfId="0" applyFont="1" applyFill="1" applyBorder="1" applyAlignment="1">
      <alignment horizontal="center" vertical="center"/>
    </xf>
    <xf numFmtId="0" fontId="31" fillId="20" borderId="157" xfId="0" applyFont="1" applyFill="1" applyBorder="1" applyAlignment="1">
      <alignment horizontal="center" vertical="center"/>
    </xf>
    <xf numFmtId="0" fontId="31" fillId="20" borderId="152" xfId="0" applyFont="1" applyFill="1" applyBorder="1" applyAlignment="1">
      <alignment horizontal="center" vertical="center"/>
    </xf>
    <xf numFmtId="0" fontId="31" fillId="20" borderId="158" xfId="0" applyFont="1" applyFill="1" applyBorder="1" applyAlignment="1">
      <alignment horizontal="center" vertical="center"/>
    </xf>
    <xf numFmtId="0" fontId="0" fillId="20" borderId="34" xfId="0" applyFill="1" applyBorder="1" applyAlignment="1">
      <alignment horizontal="center"/>
    </xf>
    <xf numFmtId="0" fontId="0" fillId="19" borderId="76" xfId="0" applyFill="1" applyBorder="1"/>
    <xf numFmtId="0" fontId="31" fillId="20" borderId="155" xfId="0" applyFont="1" applyFill="1" applyBorder="1" applyAlignment="1">
      <alignment horizontal="left"/>
    </xf>
    <xf numFmtId="0" fontId="35" fillId="20" borderId="148" xfId="0" applyFont="1" applyFill="1" applyBorder="1" applyAlignment="1">
      <alignment horizontal="center"/>
    </xf>
    <xf numFmtId="0" fontId="21" fillId="20" borderId="149" xfId="0" applyFont="1" applyFill="1" applyBorder="1"/>
    <xf numFmtId="0" fontId="3" fillId="20" borderId="150" xfId="0" applyFont="1" applyFill="1" applyBorder="1" applyAlignment="1">
      <alignment horizontal="center"/>
    </xf>
    <xf numFmtId="0" fontId="3" fillId="20" borderId="151" xfId="0" applyFont="1" applyFill="1" applyBorder="1" applyAlignment="1">
      <alignment horizontal="center"/>
    </xf>
    <xf numFmtId="0" fontId="21" fillId="20" borderId="149" xfId="0" applyFont="1" applyFill="1" applyBorder="1" applyAlignment="1">
      <alignment horizontal="center"/>
    </xf>
    <xf numFmtId="0" fontId="3" fillId="20" borderId="154" xfId="0" applyFont="1" applyFill="1" applyBorder="1" applyAlignment="1">
      <alignment horizontal="center"/>
    </xf>
    <xf numFmtId="0" fontId="3" fillId="20" borderId="34" xfId="0" applyFont="1" applyFill="1" applyBorder="1" applyAlignment="1">
      <alignment horizontal="center"/>
    </xf>
    <xf numFmtId="0" fontId="31" fillId="20" borderId="159" xfId="0" applyFont="1" applyFill="1" applyBorder="1" applyAlignment="1">
      <alignment horizontal="center"/>
    </xf>
    <xf numFmtId="0" fontId="31" fillId="20" borderId="159" xfId="0" applyFont="1" applyFill="1" applyBorder="1"/>
    <xf numFmtId="0" fontId="0" fillId="20" borderId="160" xfId="0" applyFill="1" applyBorder="1" applyAlignment="1">
      <alignment horizontal="center"/>
    </xf>
    <xf numFmtId="0" fontId="0" fillId="20" borderId="161" xfId="0" applyFill="1" applyBorder="1" applyAlignment="1">
      <alignment horizontal="center" vertical="center"/>
    </xf>
    <xf numFmtId="0" fontId="31" fillId="20" borderId="118" xfId="0" applyFont="1" applyFill="1" applyBorder="1" applyAlignment="1">
      <alignment horizontal="center" vertical="center"/>
    </xf>
    <xf numFmtId="0" fontId="31" fillId="20" borderId="162" xfId="0" applyFont="1" applyFill="1" applyBorder="1" applyAlignment="1">
      <alignment horizontal="center" vertical="center"/>
    </xf>
    <xf numFmtId="0" fontId="0" fillId="20" borderId="163" xfId="0" applyFill="1" applyBorder="1" applyAlignment="1">
      <alignment horizontal="left"/>
    </xf>
    <xf numFmtId="0" fontId="31" fillId="20" borderId="47" xfId="0" applyFont="1" applyFill="1" applyBorder="1" applyAlignment="1">
      <alignment horizontal="center" vertical="center"/>
    </xf>
    <xf numFmtId="0" fontId="31" fillId="20" borderId="100" xfId="0" applyFont="1" applyFill="1" applyBorder="1" applyAlignment="1">
      <alignment horizontal="center"/>
    </xf>
    <xf numFmtId="0" fontId="31" fillId="20" borderId="100" xfId="0" applyFont="1" applyFill="1" applyBorder="1"/>
    <xf numFmtId="0" fontId="0" fillId="20" borderId="126" xfId="0" applyFill="1" applyBorder="1" applyAlignment="1">
      <alignment horizontal="center" vertical="center"/>
    </xf>
    <xf numFmtId="0" fontId="31" fillId="20" borderId="100" xfId="0" applyFont="1" applyFill="1" applyBorder="1" applyAlignment="1">
      <alignment horizontal="center" vertical="center"/>
    </xf>
    <xf numFmtId="0" fontId="4" fillId="22" borderId="31" xfId="0" applyFont="1" applyFill="1" applyBorder="1" applyAlignment="1">
      <alignment horizontal="center"/>
    </xf>
    <xf numFmtId="173" fontId="0" fillId="20" borderId="95" xfId="0" applyNumberFormat="1" applyFill="1" applyBorder="1" applyAlignment="1">
      <alignment horizontal="center"/>
    </xf>
    <xf numFmtId="173" fontId="0" fillId="20" borderId="0" xfId="0" applyNumberFormat="1" applyFill="1" applyAlignment="1">
      <alignment horizontal="center"/>
    </xf>
    <xf numFmtId="174" fontId="0" fillId="20" borderId="16" xfId="0" applyNumberFormat="1" applyFill="1" applyBorder="1" applyAlignment="1">
      <alignment horizontal="center"/>
    </xf>
    <xf numFmtId="173" fontId="0" fillId="20" borderId="112" xfId="0" applyNumberFormat="1" applyFill="1" applyBorder="1" applyAlignment="1">
      <alignment horizontal="center"/>
    </xf>
    <xf numFmtId="173" fontId="0" fillId="20" borderId="102" xfId="0" applyNumberFormat="1" applyFill="1" applyBorder="1" applyAlignment="1">
      <alignment horizontal="center"/>
    </xf>
    <xf numFmtId="0" fontId="21" fillId="20" borderId="69" xfId="0" applyFont="1" applyFill="1" applyBorder="1" applyAlignment="1">
      <alignment vertical="center"/>
    </xf>
    <xf numFmtId="0" fontId="21" fillId="20" borderId="164" xfId="0" applyFont="1" applyFill="1" applyBorder="1" applyAlignment="1">
      <alignment vertical="center"/>
    </xf>
    <xf numFmtId="0" fontId="21" fillId="20" borderId="108" xfId="0" applyFont="1" applyFill="1" applyBorder="1" applyAlignment="1">
      <alignment horizontal="center" vertical="center"/>
    </xf>
    <xf numFmtId="0" fontId="0" fillId="20" borderId="16" xfId="0" applyFill="1" applyBorder="1" applyAlignment="1">
      <alignment horizontal="center" vertical="center"/>
    </xf>
    <xf numFmtId="1" fontId="0" fillId="20" borderId="95" xfId="0" applyNumberFormat="1" applyFill="1" applyBorder="1" applyAlignment="1">
      <alignment horizontal="center"/>
    </xf>
    <xf numFmtId="0" fontId="0" fillId="3" borderId="110" xfId="0" applyFill="1" applyBorder="1" applyAlignment="1">
      <alignment horizontal="center" vertical="center"/>
    </xf>
    <xf numFmtId="0" fontId="31" fillId="3" borderId="48" xfId="0" applyFont="1" applyFill="1" applyBorder="1" applyAlignment="1">
      <alignment horizontal="center"/>
    </xf>
    <xf numFmtId="0" fontId="0" fillId="3" borderId="95" xfId="0" applyFill="1" applyBorder="1" applyAlignment="1">
      <alignment horizontal="center"/>
    </xf>
    <xf numFmtId="0" fontId="31" fillId="20" borderId="104" xfId="0" applyFont="1" applyFill="1" applyBorder="1" applyAlignment="1">
      <alignment horizontal="center"/>
    </xf>
    <xf numFmtId="2" fontId="0" fillId="20" borderId="0" xfId="0" applyNumberFormat="1" applyFill="1" applyAlignment="1">
      <alignment horizontal="center"/>
    </xf>
    <xf numFmtId="0" fontId="21" fillId="20" borderId="107" xfId="0" applyFont="1" applyFill="1" applyBorder="1" applyAlignment="1">
      <alignment horizontal="left"/>
    </xf>
    <xf numFmtId="0" fontId="0" fillId="20" borderId="48" xfId="0" applyFill="1" applyBorder="1" applyAlignment="1">
      <alignment horizontal="center" vertical="center"/>
    </xf>
    <xf numFmtId="0" fontId="38" fillId="25" borderId="31" xfId="0" applyFont="1" applyFill="1" applyBorder="1"/>
    <xf numFmtId="0" fontId="39" fillId="25" borderId="31" xfId="0" applyFont="1" applyFill="1" applyBorder="1"/>
    <xf numFmtId="0" fontId="0" fillId="19" borderId="165" xfId="0" applyFill="1" applyBorder="1"/>
    <xf numFmtId="9" fontId="31" fillId="20" borderId="48" xfId="2" quotePrefix="1" applyFont="1" applyFill="1" applyBorder="1" applyAlignment="1">
      <alignment horizontal="center"/>
    </xf>
    <xf numFmtId="0" fontId="0" fillId="19" borderId="18" xfId="0" applyFill="1" applyBorder="1"/>
    <xf numFmtId="0" fontId="0" fillId="19" borderId="166" xfId="0" applyFill="1" applyBorder="1"/>
    <xf numFmtId="0" fontId="31" fillId="20" borderId="83" xfId="0" applyFont="1" applyFill="1" applyBorder="1" applyAlignment="1">
      <alignment horizontal="center"/>
    </xf>
    <xf numFmtId="9" fontId="31" fillId="20" borderId="88" xfId="2" applyFont="1" applyFill="1" applyBorder="1" applyAlignment="1">
      <alignment horizontal="center"/>
    </xf>
    <xf numFmtId="0" fontId="31" fillId="20" borderId="88" xfId="0" applyFont="1" applyFill="1" applyBorder="1"/>
    <xf numFmtId="9" fontId="31" fillId="20" borderId="100" xfId="2" applyFont="1" applyFill="1" applyBorder="1" applyAlignment="1">
      <alignment horizontal="center"/>
    </xf>
    <xf numFmtId="0" fontId="31" fillId="20" borderId="103" xfId="0" applyFont="1" applyFill="1" applyBorder="1" applyAlignment="1">
      <alignment horizontal="left"/>
    </xf>
    <xf numFmtId="9" fontId="31" fillId="20" borderId="22" xfId="2" applyFont="1" applyFill="1" applyBorder="1" applyAlignment="1">
      <alignment horizontal="center"/>
    </xf>
    <xf numFmtId="0" fontId="3" fillId="20" borderId="167" xfId="0" applyFont="1" applyFill="1" applyBorder="1" applyAlignment="1">
      <alignment horizontal="center"/>
    </xf>
    <xf numFmtId="0" fontId="3" fillId="20" borderId="168" xfId="0" applyFont="1" applyFill="1" applyBorder="1" applyAlignment="1">
      <alignment horizontal="center"/>
    </xf>
    <xf numFmtId="175" fontId="31" fillId="20" borderId="48" xfId="1" applyNumberFormat="1" applyFont="1" applyFill="1" applyBorder="1"/>
    <xf numFmtId="175" fontId="31" fillId="20" borderId="100" xfId="1" applyNumberFormat="1" applyFont="1" applyFill="1" applyBorder="1"/>
    <xf numFmtId="0" fontId="21" fillId="20" borderId="77" xfId="0" applyFont="1" applyFill="1" applyBorder="1" applyAlignment="1">
      <alignment horizontal="center" vertical="center"/>
    </xf>
    <xf numFmtId="0" fontId="21" fillId="20" borderId="57" xfId="0" applyFont="1" applyFill="1" applyBorder="1" applyAlignment="1">
      <alignment horizontal="center" vertical="center"/>
    </xf>
    <xf numFmtId="0" fontId="21" fillId="20" borderId="57" xfId="0" applyFont="1" applyFill="1" applyBorder="1" applyAlignment="1">
      <alignment horizontal="center" vertical="center" wrapText="1"/>
    </xf>
    <xf numFmtId="169" fontId="31" fillId="20" borderId="48" xfId="0" applyNumberFormat="1" applyFont="1" applyFill="1" applyBorder="1" applyAlignment="1">
      <alignment horizontal="center" vertical="center"/>
    </xf>
    <xf numFmtId="169" fontId="0" fillId="20" borderId="95" xfId="0" applyNumberFormat="1" applyFill="1" applyBorder="1" applyAlignment="1">
      <alignment horizontal="center"/>
    </xf>
    <xf numFmtId="9" fontId="31" fillId="23" borderId="48" xfId="2" applyFont="1" applyFill="1" applyBorder="1" applyAlignment="1">
      <alignment horizontal="center"/>
    </xf>
    <xf numFmtId="0" fontId="0" fillId="23" borderId="94" xfId="0" applyFill="1" applyBorder="1" applyAlignment="1">
      <alignment horizontal="left"/>
    </xf>
    <xf numFmtId="0" fontId="21" fillId="20" borderId="169" xfId="0" applyFont="1" applyFill="1" applyBorder="1"/>
    <xf numFmtId="0" fontId="21" fillId="20" borderId="169" xfId="0" applyFont="1" applyFill="1" applyBorder="1" applyAlignment="1">
      <alignment horizontal="center"/>
    </xf>
    <xf numFmtId="0" fontId="3" fillId="20" borderId="170" xfId="0" applyFont="1" applyFill="1" applyBorder="1" applyAlignment="1">
      <alignment horizontal="center"/>
    </xf>
    <xf numFmtId="174" fontId="31" fillId="20" borderId="48" xfId="0" applyNumberFormat="1" applyFont="1" applyFill="1" applyBorder="1" applyAlignment="1">
      <alignment horizontal="center" vertical="center"/>
    </xf>
    <xf numFmtId="43" fontId="31" fillId="20" borderId="48" xfId="1" applyFont="1" applyFill="1" applyBorder="1"/>
    <xf numFmtId="0" fontId="21" fillId="20" borderId="169" xfId="0" applyFont="1" applyFill="1" applyBorder="1" applyAlignment="1">
      <alignment horizontal="center" vertical="center"/>
    </xf>
    <xf numFmtId="0" fontId="21" fillId="20" borderId="169" xfId="0" applyFont="1" applyFill="1" applyBorder="1" applyAlignment="1">
      <alignment horizontal="left" vertical="center"/>
    </xf>
    <xf numFmtId="0" fontId="3" fillId="20" borderId="170" xfId="0" applyFont="1" applyFill="1" applyBorder="1" applyAlignment="1">
      <alignment horizontal="center" vertical="center"/>
    </xf>
    <xf numFmtId="0" fontId="3" fillId="20" borderId="132" xfId="0" applyFont="1" applyFill="1" applyBorder="1" applyAlignment="1">
      <alignment horizontal="center" vertical="center"/>
    </xf>
    <xf numFmtId="0" fontId="3" fillId="20" borderId="130" xfId="0" applyFont="1" applyFill="1" applyBorder="1" applyAlignment="1">
      <alignment horizontal="center" vertical="center"/>
    </xf>
    <xf numFmtId="0" fontId="3" fillId="20" borderId="133" xfId="0" applyFont="1" applyFill="1" applyBorder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94" xfId="0" applyFill="1" applyBorder="1" applyAlignment="1">
      <alignment horizontal="center" vertical="center"/>
    </xf>
    <xf numFmtId="9" fontId="31" fillId="20" borderId="48" xfId="0" applyNumberFormat="1" applyFont="1" applyFill="1" applyBorder="1" applyAlignment="1">
      <alignment horizontal="center" vertical="center"/>
    </xf>
    <xf numFmtId="0" fontId="31" fillId="20" borderId="104" xfId="0" applyFont="1" applyFill="1" applyBorder="1" applyAlignment="1">
      <alignment horizontal="left"/>
    </xf>
    <xf numFmtId="0" fontId="31" fillId="20" borderId="100" xfId="0" applyFont="1" applyFill="1" applyBorder="1" applyAlignment="1">
      <alignment horizontal="left"/>
    </xf>
    <xf numFmtId="43" fontId="31" fillId="20" borderId="48" xfId="1" applyFont="1" applyFill="1" applyBorder="1" applyAlignment="1">
      <alignment horizontal="center" vertical="center"/>
    </xf>
    <xf numFmtId="0" fontId="21" fillId="20" borderId="56" xfId="0" applyFont="1" applyFill="1" applyBorder="1" applyAlignment="1">
      <alignment horizontal="center"/>
    </xf>
    <xf numFmtId="0" fontId="21" fillId="20" borderId="171" xfId="0" applyFont="1" applyFill="1" applyBorder="1" applyAlignment="1">
      <alignment horizontal="center"/>
    </xf>
    <xf numFmtId="9" fontId="31" fillId="20" borderId="48" xfId="2" applyFont="1" applyFill="1" applyBorder="1"/>
    <xf numFmtId="1" fontId="0" fillId="23" borderId="95" xfId="1" applyNumberFormat="1" applyFont="1" applyFill="1" applyBorder="1" applyAlignment="1">
      <alignment horizontal="center"/>
    </xf>
    <xf numFmtId="0" fontId="9" fillId="23" borderId="94" xfId="0" applyFont="1" applyFill="1" applyBorder="1" applyAlignment="1">
      <alignment horizontal="left"/>
    </xf>
    <xf numFmtId="0" fontId="0" fillId="23" borderId="95" xfId="0" applyFill="1" applyBorder="1" applyAlignment="1">
      <alignment horizontal="center"/>
    </xf>
    <xf numFmtId="9" fontId="31" fillId="20" borderId="52" xfId="2" applyFont="1" applyFill="1" applyBorder="1" applyAlignment="1">
      <alignment horizontal="center"/>
    </xf>
    <xf numFmtId="0" fontId="31" fillId="20" borderId="52" xfId="0" applyFont="1" applyFill="1" applyBorder="1" applyAlignment="1">
      <alignment horizontal="center" vertical="center"/>
    </xf>
    <xf numFmtId="0" fontId="21" fillId="20" borderId="69" xfId="0" applyFont="1" applyFill="1" applyBorder="1" applyAlignment="1">
      <alignment horizontal="center"/>
    </xf>
    <xf numFmtId="0" fontId="21" fillId="20" borderId="172" xfId="0" applyFont="1" applyFill="1" applyBorder="1" applyAlignment="1">
      <alignment horizontal="center" vertical="center"/>
    </xf>
    <xf numFmtId="0" fontId="3" fillId="20" borderId="78" xfId="0" applyFont="1" applyFill="1" applyBorder="1" applyAlignment="1">
      <alignment horizontal="center"/>
    </xf>
    <xf numFmtId="0" fontId="21" fillId="20" borderId="55" xfId="0" applyFont="1" applyFill="1" applyBorder="1"/>
    <xf numFmtId="0" fontId="21" fillId="20" borderId="26" xfId="0" applyFont="1" applyFill="1" applyBorder="1"/>
    <xf numFmtId="0" fontId="21" fillId="20" borderId="22" xfId="0" applyFont="1" applyFill="1" applyBorder="1" applyAlignment="1">
      <alignment horizontal="center"/>
    </xf>
    <xf numFmtId="0" fontId="21" fillId="20" borderId="22" xfId="0" applyFont="1" applyFill="1" applyBorder="1" applyAlignment="1">
      <alignment horizontal="center" vertical="center"/>
    </xf>
    <xf numFmtId="0" fontId="21" fillId="20" borderId="59" xfId="0" applyFont="1" applyFill="1" applyBorder="1" applyAlignment="1">
      <alignment horizontal="center" vertical="center"/>
    </xf>
    <xf numFmtId="0" fontId="21" fillId="20" borderId="173" xfId="0" applyFont="1" applyFill="1" applyBorder="1" applyAlignment="1">
      <alignment horizontal="center" vertical="center"/>
    </xf>
    <xf numFmtId="0" fontId="21" fillId="20" borderId="22" xfId="0" applyFont="1" applyFill="1" applyBorder="1"/>
    <xf numFmtId="0" fontId="3" fillId="20" borderId="174" xfId="0" applyFont="1" applyFill="1" applyBorder="1" applyAlignment="1">
      <alignment horizontal="center"/>
    </xf>
    <xf numFmtId="0" fontId="3" fillId="20" borderId="111" xfId="0" applyFont="1" applyFill="1" applyBorder="1" applyAlignment="1">
      <alignment horizontal="center"/>
    </xf>
    <xf numFmtId="0" fontId="21" fillId="20" borderId="59" xfId="0" applyFont="1" applyFill="1" applyBorder="1"/>
    <xf numFmtId="0" fontId="3" fillId="20" borderId="112" xfId="0" applyFont="1" applyFill="1" applyBorder="1" applyAlignment="1">
      <alignment horizontal="center"/>
    </xf>
    <xf numFmtId="0" fontId="21" fillId="20" borderId="25" xfId="0" applyFont="1" applyFill="1" applyBorder="1"/>
    <xf numFmtId="0" fontId="21" fillId="20" borderId="20" xfId="0" applyFont="1" applyFill="1" applyBorder="1" applyAlignment="1">
      <alignment horizontal="center"/>
    </xf>
    <xf numFmtId="0" fontId="21" fillId="20" borderId="20" xfId="0" applyFont="1" applyFill="1" applyBorder="1" applyAlignment="1">
      <alignment horizontal="center" vertical="center"/>
    </xf>
    <xf numFmtId="43" fontId="21" fillId="20" borderId="175" xfId="1" applyFont="1" applyFill="1" applyBorder="1" applyAlignment="1">
      <alignment horizontal="center" vertical="center"/>
    </xf>
    <xf numFmtId="0" fontId="21" fillId="20" borderId="176" xfId="0" applyFont="1" applyFill="1" applyBorder="1" applyAlignment="1">
      <alignment horizontal="right" vertical="center"/>
    </xf>
    <xf numFmtId="0" fontId="21" fillId="20" borderId="22" xfId="0" applyFont="1" applyFill="1" applyBorder="1" applyAlignment="1">
      <alignment horizontal="left"/>
    </xf>
    <xf numFmtId="0" fontId="21" fillId="20" borderId="83" xfId="0" applyFont="1" applyFill="1" applyBorder="1" applyAlignment="1">
      <alignment horizontal="center"/>
    </xf>
    <xf numFmtId="0" fontId="21" fillId="20" borderId="121" xfId="0" applyFont="1" applyFill="1" applyBorder="1" applyAlignment="1">
      <alignment horizontal="center" vertical="center"/>
    </xf>
    <xf numFmtId="0" fontId="21" fillId="20" borderId="177" xfId="0" applyFont="1" applyFill="1" applyBorder="1" applyAlignment="1">
      <alignment horizontal="center" vertical="center"/>
    </xf>
    <xf numFmtId="0" fontId="21" fillId="20" borderId="84" xfId="0" applyFont="1" applyFill="1" applyBorder="1" applyAlignment="1">
      <alignment horizontal="center"/>
    </xf>
    <xf numFmtId="0" fontId="21" fillId="20" borderId="121" xfId="0" applyFont="1" applyFill="1" applyBorder="1"/>
    <xf numFmtId="169" fontId="31" fillId="20" borderId="178" xfId="0" applyNumberFormat="1" applyFont="1" applyFill="1" applyBorder="1"/>
    <xf numFmtId="169" fontId="31" fillId="20" borderId="179" xfId="0" applyNumberFormat="1" applyFont="1" applyFill="1" applyBorder="1"/>
    <xf numFmtId="0" fontId="31" fillId="20" borderId="118" xfId="0" applyFont="1" applyFill="1" applyBorder="1"/>
    <xf numFmtId="169" fontId="31" fillId="20" borderId="59" xfId="0" applyNumberFormat="1" applyFont="1" applyFill="1" applyBorder="1"/>
    <xf numFmtId="169" fontId="31" fillId="20" borderId="173" xfId="0" applyNumberFormat="1" applyFont="1" applyFill="1" applyBorder="1"/>
    <xf numFmtId="0" fontId="31" fillId="20" borderId="22" xfId="0" applyFont="1" applyFill="1" applyBorder="1"/>
    <xf numFmtId="0" fontId="31" fillId="23" borderId="48" xfId="0" applyFont="1" applyFill="1" applyBorder="1" applyAlignment="1">
      <alignment horizontal="center"/>
    </xf>
    <xf numFmtId="0" fontId="31" fillId="20" borderId="48" xfId="2" applyNumberFormat="1" applyFont="1" applyFill="1" applyBorder="1" applyAlignment="1">
      <alignment horizontal="center"/>
    </xf>
    <xf numFmtId="0" fontId="31" fillId="20" borderId="22" xfId="0" applyFont="1" applyFill="1" applyBorder="1" applyAlignment="1">
      <alignment horizontal="center" vertical="center"/>
    </xf>
    <xf numFmtId="2" fontId="31" fillId="20" borderId="48" xfId="2" applyNumberFormat="1" applyFont="1" applyFill="1" applyBorder="1" applyAlignment="1">
      <alignment horizontal="center"/>
    </xf>
    <xf numFmtId="0" fontId="31" fillId="20" borderId="59" xfId="0" applyFont="1" applyFill="1" applyBorder="1" applyAlignment="1">
      <alignment horizontal="center" vertical="center"/>
    </xf>
    <xf numFmtId="0" fontId="31" fillId="20" borderId="173" xfId="0" applyFont="1" applyFill="1" applyBorder="1" applyAlignment="1">
      <alignment horizontal="center" vertical="center"/>
    </xf>
    <xf numFmtId="0" fontId="31" fillId="20" borderId="36" xfId="0" applyFont="1" applyFill="1" applyBorder="1"/>
    <xf numFmtId="0" fontId="31" fillId="20" borderId="180" xfId="0" applyFont="1" applyFill="1" applyBorder="1"/>
    <xf numFmtId="0" fontId="0" fillId="20" borderId="181" xfId="0" applyFill="1" applyBorder="1" applyAlignment="1">
      <alignment horizontal="center"/>
    </xf>
    <xf numFmtId="0" fontId="0" fillId="20" borderId="54" xfId="0" applyFill="1" applyBorder="1" applyAlignment="1">
      <alignment horizontal="center"/>
    </xf>
    <xf numFmtId="0" fontId="0" fillId="19" borderId="0" xfId="0" applyFill="1" applyAlignment="1">
      <alignment vertical="center"/>
    </xf>
    <xf numFmtId="0" fontId="21" fillId="20" borderId="77" xfId="0" applyFont="1" applyFill="1" applyBorder="1" applyAlignment="1">
      <alignment vertical="center"/>
    </xf>
    <xf numFmtId="0" fontId="21" fillId="20" borderId="57" xfId="0" applyFont="1" applyFill="1" applyBorder="1" applyAlignment="1">
      <alignment vertical="center"/>
    </xf>
    <xf numFmtId="0" fontId="3" fillId="20" borderId="56" xfId="0" applyFont="1" applyFill="1" applyBorder="1" applyAlignment="1">
      <alignment horizontal="center" vertical="center" wrapText="1"/>
    </xf>
    <xf numFmtId="0" fontId="3" fillId="20" borderId="106" xfId="0" applyFont="1" applyFill="1" applyBorder="1" applyAlignment="1">
      <alignment horizontal="center" vertical="center" wrapText="1"/>
    </xf>
    <xf numFmtId="0" fontId="3" fillId="20" borderId="80" xfId="0" applyFont="1" applyFill="1" applyBorder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0" fontId="31" fillId="20" borderId="81" xfId="0" applyFont="1" applyFill="1" applyBorder="1" applyAlignment="1">
      <alignment horizontal="left" vertical="center"/>
    </xf>
    <xf numFmtId="9" fontId="31" fillId="20" borderId="63" xfId="2" applyFont="1" applyFill="1" applyBorder="1"/>
    <xf numFmtId="0" fontId="0" fillId="19" borderId="182" xfId="0" applyFill="1" applyBorder="1"/>
    <xf numFmtId="0" fontId="0" fillId="19" borderId="182" xfId="0" applyFill="1" applyBorder="1" applyAlignment="1">
      <alignment horizontal="left"/>
    </xf>
    <xf numFmtId="9" fontId="31" fillId="20" borderId="61" xfId="2" applyFont="1" applyFill="1" applyBorder="1"/>
    <xf numFmtId="10" fontId="31" fillId="20" borderId="100" xfId="0" applyNumberFormat="1" applyFont="1" applyFill="1" applyBorder="1"/>
    <xf numFmtId="0" fontId="21" fillId="20" borderId="68" xfId="0" applyFont="1" applyFill="1" applyBorder="1" applyAlignment="1">
      <alignment horizontal="center" wrapText="1"/>
    </xf>
    <xf numFmtId="0" fontId="21" fillId="20" borderId="85" xfId="0" applyFont="1" applyFill="1" applyBorder="1" applyAlignment="1">
      <alignment horizontal="center" wrapText="1"/>
    </xf>
    <xf numFmtId="2" fontId="0" fillId="20" borderId="46" xfId="0" quotePrefix="1" applyNumberFormat="1" applyFill="1" applyBorder="1" applyAlignment="1">
      <alignment horizontal="center" vertical="center"/>
    </xf>
    <xf numFmtId="2" fontId="0" fillId="20" borderId="46" xfId="0" applyNumberFormat="1" applyFill="1" applyBorder="1" applyAlignment="1">
      <alignment horizontal="center" vertical="center"/>
    </xf>
    <xf numFmtId="2" fontId="31" fillId="20" borderId="48" xfId="0" applyNumberFormat="1" applyFont="1" applyFill="1" applyBorder="1" applyAlignment="1">
      <alignment horizontal="center" vertical="center"/>
    </xf>
    <xf numFmtId="2" fontId="31" fillId="20" borderId="47" xfId="0" applyNumberFormat="1" applyFont="1" applyFill="1" applyBorder="1" applyAlignment="1">
      <alignment horizontal="center" vertical="center"/>
    </xf>
    <xf numFmtId="0" fontId="0" fillId="23" borderId="110" xfId="0" applyFill="1" applyBorder="1" applyAlignment="1">
      <alignment horizontal="center" vertical="center"/>
    </xf>
    <xf numFmtId="0" fontId="9" fillId="20" borderId="94" xfId="0" applyFont="1" applyFill="1" applyBorder="1" applyAlignment="1">
      <alignment horizontal="left"/>
    </xf>
    <xf numFmtId="2" fontId="0" fillId="20" borderId="97" xfId="0" quotePrefix="1" applyNumberFormat="1" applyFill="1" applyBorder="1" applyAlignment="1">
      <alignment horizontal="center" vertical="center"/>
    </xf>
    <xf numFmtId="0" fontId="21" fillId="20" borderId="42" xfId="0" applyFont="1" applyFill="1" applyBorder="1"/>
    <xf numFmtId="0" fontId="21" fillId="20" borderId="44" xfId="0" applyFont="1" applyFill="1" applyBorder="1"/>
    <xf numFmtId="0" fontId="3" fillId="20" borderId="184" xfId="0" applyFont="1" applyFill="1" applyBorder="1" applyAlignment="1">
      <alignment horizontal="center"/>
    </xf>
    <xf numFmtId="0" fontId="21" fillId="20" borderId="44" xfId="0" applyFont="1" applyFill="1" applyBorder="1" applyAlignment="1">
      <alignment horizontal="center"/>
    </xf>
    <xf numFmtId="0" fontId="3" fillId="20" borderId="185" xfId="0" applyFont="1" applyFill="1" applyBorder="1" applyAlignment="1">
      <alignment horizontal="center"/>
    </xf>
    <xf numFmtId="0" fontId="40" fillId="20" borderId="108" xfId="0" applyFont="1" applyFill="1" applyBorder="1" applyAlignment="1">
      <alignment horizontal="center"/>
    </xf>
    <xf numFmtId="0" fontId="40" fillId="20" borderId="84" xfId="0" applyFont="1" applyFill="1" applyBorder="1" applyAlignment="1">
      <alignment horizontal="center" vertical="center"/>
    </xf>
    <xf numFmtId="0" fontId="8" fillId="20" borderId="109" xfId="0" applyFont="1" applyFill="1" applyBorder="1" applyAlignment="1">
      <alignment horizontal="center"/>
    </xf>
    <xf numFmtId="0" fontId="8" fillId="20" borderId="186" xfId="0" applyFont="1" applyFill="1" applyBorder="1" applyAlignment="1">
      <alignment horizontal="center"/>
    </xf>
    <xf numFmtId="2" fontId="31" fillId="20" borderId="46" xfId="0" applyNumberFormat="1" applyFont="1" applyFill="1" applyBorder="1" applyAlignment="1">
      <alignment horizontal="center" vertical="center"/>
    </xf>
    <xf numFmtId="0" fontId="0" fillId="20" borderId="187" xfId="0" applyFill="1" applyBorder="1" applyAlignment="1">
      <alignment horizontal="center"/>
    </xf>
    <xf numFmtId="2" fontId="0" fillId="20" borderId="48" xfId="0" quotePrefix="1" applyNumberFormat="1" applyFill="1" applyBorder="1" applyAlignment="1">
      <alignment horizontal="center" vertical="center"/>
    </xf>
    <xf numFmtId="2" fontId="0" fillId="20" borderId="188" xfId="0" quotePrefix="1" applyNumberFormat="1" applyFill="1" applyBorder="1" applyAlignment="1">
      <alignment horizontal="center" vertical="center"/>
    </xf>
    <xf numFmtId="176" fontId="0" fillId="20" borderId="110" xfId="0" applyNumberFormat="1" applyFill="1" applyBorder="1" applyAlignment="1">
      <alignment horizontal="center" vertical="center"/>
    </xf>
    <xf numFmtId="177" fontId="31" fillId="20" borderId="48" xfId="1" applyNumberFormat="1" applyFont="1" applyFill="1" applyBorder="1" applyAlignment="1">
      <alignment horizontal="center"/>
    </xf>
    <xf numFmtId="177" fontId="31" fillId="20" borderId="48" xfId="1" applyNumberFormat="1" applyFont="1" applyFill="1" applyBorder="1" applyAlignment="1">
      <alignment horizontal="center" vertical="center"/>
    </xf>
    <xf numFmtId="173" fontId="31" fillId="20" borderId="47" xfId="0" applyNumberFormat="1" applyFont="1" applyFill="1" applyBorder="1" applyAlignment="1">
      <alignment horizontal="center" vertical="center"/>
    </xf>
    <xf numFmtId="173" fontId="0" fillId="20" borderId="46" xfId="0" applyNumberFormat="1" applyFill="1" applyBorder="1" applyAlignment="1">
      <alignment horizontal="center" vertical="center"/>
    </xf>
    <xf numFmtId="0" fontId="0" fillId="20" borderId="189" xfId="0" applyFill="1" applyBorder="1" applyAlignment="1">
      <alignment horizontal="center"/>
    </xf>
    <xf numFmtId="0" fontId="24" fillId="20" borderId="108" xfId="0" applyFont="1" applyFill="1" applyBorder="1" applyAlignment="1">
      <alignment horizontal="center"/>
    </xf>
    <xf numFmtId="9" fontId="43" fillId="20" borderId="48" xfId="2" applyFont="1" applyFill="1" applyBorder="1" applyAlignment="1">
      <alignment horizontal="center"/>
    </xf>
    <xf numFmtId="0" fontId="43" fillId="20" borderId="48" xfId="0" applyFont="1" applyFill="1" applyBorder="1" applyAlignment="1">
      <alignment horizontal="center"/>
    </xf>
    <xf numFmtId="0" fontId="43" fillId="26" borderId="48" xfId="0" applyFont="1" applyFill="1" applyBorder="1" applyAlignment="1">
      <alignment horizontal="center" vertical="center"/>
    </xf>
    <xf numFmtId="0" fontId="9" fillId="20" borderId="146" xfId="0" applyFont="1" applyFill="1" applyBorder="1" applyAlignment="1">
      <alignment horizontal="left"/>
    </xf>
    <xf numFmtId="43" fontId="31" fillId="20" borderId="48" xfId="1" applyFont="1" applyFill="1" applyBorder="1" applyAlignment="1">
      <alignment horizontal="center"/>
    </xf>
    <xf numFmtId="165" fontId="31" fillId="20" borderId="48" xfId="0" applyNumberFormat="1" applyFont="1" applyFill="1" applyBorder="1" applyAlignment="1">
      <alignment horizontal="center" vertical="center"/>
    </xf>
    <xf numFmtId="0" fontId="21" fillId="20" borderId="57" xfId="0" applyFont="1" applyFill="1" applyBorder="1" applyAlignment="1">
      <alignment horizontal="center" wrapText="1"/>
    </xf>
    <xf numFmtId="0" fontId="21" fillId="20" borderId="57" xfId="0" applyFont="1" applyFill="1" applyBorder="1" applyAlignment="1">
      <alignment vertical="center" wrapText="1"/>
    </xf>
    <xf numFmtId="0" fontId="31" fillId="20" borderId="48" xfId="1" applyNumberFormat="1" applyFont="1" applyFill="1" applyBorder="1" applyAlignment="1">
      <alignment horizontal="center"/>
    </xf>
    <xf numFmtId="0" fontId="31" fillId="20" borderId="48" xfId="1" applyNumberFormat="1" applyFont="1" applyFill="1" applyBorder="1" applyAlignment="1">
      <alignment horizontal="center" vertical="center"/>
    </xf>
    <xf numFmtId="0" fontId="21" fillId="20" borderId="61" xfId="0" applyFont="1" applyFill="1" applyBorder="1" applyAlignment="1">
      <alignment horizontal="center" vertical="center" wrapText="1"/>
    </xf>
    <xf numFmtId="0" fontId="21" fillId="20" borderId="61" xfId="0" applyFont="1" applyFill="1" applyBorder="1" applyAlignment="1">
      <alignment horizontal="center"/>
    </xf>
    <xf numFmtId="0" fontId="31" fillId="20" borderId="76" xfId="0" applyFont="1" applyFill="1" applyBorder="1" applyAlignment="1">
      <alignment horizontal="left" vertical="center"/>
    </xf>
    <xf numFmtId="0" fontId="3" fillId="20" borderId="191" xfId="0" applyFont="1" applyFill="1" applyBorder="1" applyAlignment="1">
      <alignment horizontal="center"/>
    </xf>
    <xf numFmtId="0" fontId="3" fillId="20" borderId="192" xfId="0" applyFont="1" applyFill="1" applyBorder="1" applyAlignment="1">
      <alignment horizontal="center"/>
    </xf>
    <xf numFmtId="0" fontId="0" fillId="20" borderId="46" xfId="0" applyFill="1" applyBorder="1" applyAlignment="1">
      <alignment horizontal="center" vertical="center"/>
    </xf>
    <xf numFmtId="0" fontId="0" fillId="20" borderId="46" xfId="0" quotePrefix="1" applyFill="1" applyBorder="1" applyAlignment="1">
      <alignment horizontal="center" vertical="center"/>
    </xf>
    <xf numFmtId="0" fontId="43" fillId="20" borderId="48" xfId="2" applyNumberFormat="1" applyFont="1" applyFill="1" applyBorder="1" applyAlignment="1">
      <alignment horizontal="center"/>
    </xf>
    <xf numFmtId="43" fontId="0" fillId="20" borderId="110" xfId="1" applyFont="1" applyFill="1" applyBorder="1" applyAlignment="1">
      <alignment horizontal="center" vertical="center"/>
    </xf>
    <xf numFmtId="43" fontId="0" fillId="20" borderId="112" xfId="1" applyFont="1" applyFill="1" applyBorder="1" applyAlignment="1">
      <alignment horizontal="center"/>
    </xf>
    <xf numFmtId="0" fontId="6" fillId="22" borderId="31" xfId="0" applyFont="1" applyFill="1" applyBorder="1" applyAlignment="1">
      <alignment horizontal="center"/>
    </xf>
    <xf numFmtId="0" fontId="3" fillId="20" borderId="111" xfId="0" applyFont="1" applyFill="1" applyBorder="1" applyAlignment="1">
      <alignment horizontal="center" vertical="center"/>
    </xf>
    <xf numFmtId="0" fontId="21" fillId="20" borderId="61" xfId="0" applyFont="1" applyFill="1" applyBorder="1" applyAlignment="1">
      <alignment horizontal="center" vertical="center"/>
    </xf>
    <xf numFmtId="0" fontId="3" fillId="20" borderId="112" xfId="0" applyFont="1" applyFill="1" applyBorder="1" applyAlignment="1">
      <alignment horizontal="center" vertical="center"/>
    </xf>
    <xf numFmtId="0" fontId="3" fillId="20" borderId="191" xfId="0" applyFont="1" applyFill="1" applyBorder="1" applyAlignment="1">
      <alignment horizontal="center" vertical="center"/>
    </xf>
    <xf numFmtId="0" fontId="3" fillId="20" borderId="192" xfId="0" applyFont="1" applyFill="1" applyBorder="1" applyAlignment="1">
      <alignment horizontal="center" vertical="center"/>
    </xf>
    <xf numFmtId="2" fontId="31" fillId="20" borderId="48" xfId="1" applyNumberFormat="1" applyFont="1" applyFill="1" applyBorder="1" applyAlignment="1">
      <alignment horizontal="center" vertical="center"/>
    </xf>
    <xf numFmtId="9" fontId="31" fillId="20" borderId="48" xfId="2" applyFont="1" applyFill="1" applyBorder="1" applyAlignment="1">
      <alignment horizontal="center" vertical="center"/>
    </xf>
    <xf numFmtId="0" fontId="0" fillId="19" borderId="193" xfId="0" applyFill="1" applyBorder="1"/>
    <xf numFmtId="0" fontId="0" fillId="19" borderId="193" xfId="0" applyFill="1" applyBorder="1" applyAlignment="1">
      <alignment horizontal="left"/>
    </xf>
    <xf numFmtId="0" fontId="21" fillId="20" borderId="48" xfId="0" applyFont="1" applyFill="1" applyBorder="1" applyAlignment="1">
      <alignment horizontal="center" vertical="center" wrapText="1"/>
    </xf>
    <xf numFmtId="0" fontId="3" fillId="20" borderId="106" xfId="0" applyFont="1" applyFill="1" applyBorder="1" applyAlignment="1">
      <alignment horizontal="center" vertical="center"/>
    </xf>
    <xf numFmtId="43" fontId="31" fillId="20" borderId="47" xfId="1" applyFont="1" applyFill="1" applyBorder="1" applyAlignment="1">
      <alignment horizontal="center" vertical="center"/>
    </xf>
    <xf numFmtId="43" fontId="0" fillId="20" borderId="0" xfId="1" applyFont="1" applyFill="1" applyAlignment="1">
      <alignment horizontal="center"/>
    </xf>
    <xf numFmtId="0" fontId="2" fillId="22" borderId="40" xfId="0" applyFont="1" applyFill="1" applyBorder="1" applyAlignment="1">
      <alignment horizontal="center"/>
    </xf>
    <xf numFmtId="0" fontId="21" fillId="20" borderId="85" xfId="0" applyFont="1" applyFill="1" applyBorder="1" applyAlignment="1">
      <alignment horizontal="center"/>
    </xf>
    <xf numFmtId="0" fontId="31" fillId="20" borderId="194" xfId="0" applyFont="1" applyFill="1" applyBorder="1" applyAlignment="1">
      <alignment horizontal="center"/>
    </xf>
    <xf numFmtId="10" fontId="31" fillId="20" borderId="48" xfId="2" applyNumberFormat="1" applyFont="1" applyFill="1" applyBorder="1" applyAlignment="1">
      <alignment horizontal="center" vertical="center"/>
    </xf>
    <xf numFmtId="175" fontId="0" fillId="20" borderId="111" xfId="1" applyNumberFormat="1" applyFont="1" applyFill="1" applyBorder="1" applyAlignment="1">
      <alignment horizontal="center" vertical="center"/>
    </xf>
    <xf numFmtId="175" fontId="0" fillId="20" borderId="22" xfId="1" applyNumberFormat="1" applyFont="1" applyFill="1" applyBorder="1" applyAlignment="1">
      <alignment horizontal="center" vertical="center"/>
    </xf>
    <xf numFmtId="175" fontId="0" fillId="20" borderId="124" xfId="1" applyNumberFormat="1" applyFont="1" applyFill="1" applyBorder="1" applyAlignment="1">
      <alignment horizontal="center" vertical="center"/>
    </xf>
    <xf numFmtId="175" fontId="0" fillId="20" borderId="110" xfId="1" applyNumberFormat="1" applyFont="1" applyFill="1" applyBorder="1" applyAlignment="1">
      <alignment horizontal="center" vertical="center"/>
    </xf>
    <xf numFmtId="10" fontId="31" fillId="20" borderId="48" xfId="2" applyNumberFormat="1" applyFont="1" applyFill="1" applyBorder="1" applyAlignment="1">
      <alignment horizontal="center"/>
    </xf>
    <xf numFmtId="175" fontId="31" fillId="20" borderId="48" xfId="1" applyNumberFormat="1" applyFont="1" applyFill="1" applyBorder="1" applyAlignment="1">
      <alignment horizontal="center" vertical="center"/>
    </xf>
    <xf numFmtId="175" fontId="31" fillId="20" borderId="22" xfId="1" applyNumberFormat="1" applyFont="1" applyFill="1" applyBorder="1" applyAlignment="1">
      <alignment horizontal="center" vertical="center"/>
    </xf>
    <xf numFmtId="0" fontId="31" fillId="20" borderId="48" xfId="2" applyNumberFormat="1" applyFont="1" applyFill="1" applyBorder="1" applyAlignment="1">
      <alignment horizontal="center" vertical="center"/>
    </xf>
    <xf numFmtId="0" fontId="11" fillId="20" borderId="94" xfId="3" applyFill="1" applyBorder="1" applyAlignment="1">
      <alignment horizontal="left"/>
    </xf>
    <xf numFmtId="0" fontId="6" fillId="22" borderId="39" xfId="0" applyFont="1" applyFill="1" applyBorder="1" applyAlignment="1">
      <alignment horizontal="left"/>
    </xf>
    <xf numFmtId="0" fontId="4" fillId="22" borderId="41" xfId="0" applyFont="1" applyFill="1" applyBorder="1" applyAlignment="1">
      <alignment horizontal="center"/>
    </xf>
    <xf numFmtId="0" fontId="0" fillId="20" borderId="77" xfId="0" applyFill="1" applyBorder="1" applyAlignment="1">
      <alignment horizontal="center"/>
    </xf>
    <xf numFmtId="0" fontId="0" fillId="20" borderId="55" xfId="0" applyFill="1" applyBorder="1" applyAlignment="1">
      <alignment horizontal="left"/>
    </xf>
    <xf numFmtId="0" fontId="0" fillId="20" borderId="56" xfId="0" applyFill="1" applyBorder="1" applyAlignment="1">
      <alignment horizontal="left"/>
    </xf>
    <xf numFmtId="0" fontId="0" fillId="20" borderId="195" xfId="0" applyFill="1" applyBorder="1" applyAlignment="1">
      <alignment horizontal="left"/>
    </xf>
    <xf numFmtId="0" fontId="0" fillId="20" borderId="46" xfId="0" applyFill="1" applyBorder="1" applyAlignment="1">
      <alignment horizontal="left"/>
    </xf>
    <xf numFmtId="0" fontId="0" fillId="20" borderId="47" xfId="0" applyFill="1" applyBorder="1" applyAlignment="1">
      <alignment horizontal="left"/>
    </xf>
    <xf numFmtId="0" fontId="0" fillId="20" borderId="58" xfId="0" applyFill="1" applyBorder="1" applyAlignment="1">
      <alignment horizontal="left"/>
    </xf>
    <xf numFmtId="0" fontId="0" fillId="20" borderId="101" xfId="0" applyFill="1" applyBorder="1" applyAlignment="1">
      <alignment horizontal="left"/>
    </xf>
    <xf numFmtId="0" fontId="0" fillId="20" borderId="36" xfId="0" applyFill="1" applyBorder="1" applyAlignment="1">
      <alignment horizontal="left"/>
    </xf>
    <xf numFmtId="0" fontId="0" fillId="20" borderId="37" xfId="0" applyFill="1" applyBorder="1" applyAlignment="1">
      <alignment horizontal="left"/>
    </xf>
    <xf numFmtId="0" fontId="6" fillId="4" borderId="41" xfId="0" applyFont="1" applyFill="1" applyBorder="1" applyAlignment="1">
      <alignment horizontal="left"/>
    </xf>
    <xf numFmtId="0" fontId="6" fillId="4" borderId="40" xfId="0" applyFont="1" applyFill="1" applyBorder="1"/>
    <xf numFmtId="0" fontId="4" fillId="4" borderId="40" xfId="0" applyFont="1" applyFill="1" applyBorder="1" applyAlignment="1">
      <alignment horizontal="center"/>
    </xf>
    <xf numFmtId="0" fontId="6" fillId="4" borderId="75" xfId="0" applyFont="1" applyFill="1" applyBorder="1" applyAlignment="1">
      <alignment horizontal="center"/>
    </xf>
    <xf numFmtId="0" fontId="6" fillId="4" borderId="39" xfId="0" applyFont="1" applyFill="1" applyBorder="1"/>
    <xf numFmtId="0" fontId="6" fillId="4" borderId="39" xfId="0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left" vertical="center"/>
    </xf>
    <xf numFmtId="0" fontId="9" fillId="20" borderId="196" xfId="0" applyFont="1" applyFill="1" applyBorder="1" applyAlignment="1">
      <alignment horizontal="center"/>
    </xf>
    <xf numFmtId="0" fontId="3" fillId="20" borderId="197" xfId="0" applyFont="1" applyFill="1" applyBorder="1" applyAlignment="1">
      <alignment horizontal="center"/>
    </xf>
    <xf numFmtId="0" fontId="0" fillId="20" borderId="45" xfId="0" applyFill="1" applyBorder="1" applyAlignment="1">
      <alignment horizontal="center" vertical="center"/>
    </xf>
    <xf numFmtId="0" fontId="0" fillId="20" borderId="96" xfId="0" applyFill="1" applyBorder="1" applyAlignment="1">
      <alignment horizontal="center" vertical="center"/>
    </xf>
    <xf numFmtId="0" fontId="0" fillId="20" borderId="198" xfId="0" applyFill="1" applyBorder="1" applyAlignment="1">
      <alignment horizontal="center" vertical="center"/>
    </xf>
    <xf numFmtId="167" fontId="0" fillId="20" borderId="48" xfId="1" applyNumberFormat="1" applyFont="1" applyFill="1" applyBorder="1" applyAlignment="1">
      <alignment horizontal="center"/>
    </xf>
    <xf numFmtId="167" fontId="0" fillId="20" borderId="16" xfId="1" applyNumberFormat="1" applyFont="1" applyFill="1" applyBorder="1" applyAlignment="1">
      <alignment horizontal="center"/>
    </xf>
    <xf numFmtId="0" fontId="0" fillId="20" borderId="49" xfId="0" applyFill="1" applyBorder="1" applyAlignment="1">
      <alignment horizontal="center"/>
    </xf>
    <xf numFmtId="9" fontId="0" fillId="20" borderId="48" xfId="2" applyFont="1" applyFill="1" applyBorder="1" applyAlignment="1">
      <alignment horizontal="center"/>
    </xf>
    <xf numFmtId="9" fontId="0" fillId="20" borderId="16" xfId="2" applyFont="1" applyFill="1" applyBorder="1" applyAlignment="1">
      <alignment horizontal="center"/>
    </xf>
    <xf numFmtId="43" fontId="0" fillId="20" borderId="48" xfId="1" applyFont="1" applyFill="1" applyBorder="1" applyAlignment="1">
      <alignment horizontal="center"/>
    </xf>
    <xf numFmtId="171" fontId="0" fillId="20" borderId="16" xfId="2" applyNumberFormat="1" applyFont="1" applyFill="1" applyBorder="1" applyAlignment="1">
      <alignment horizontal="center"/>
    </xf>
    <xf numFmtId="1" fontId="3" fillId="20" borderId="49" xfId="0" applyNumberFormat="1" applyFont="1" applyFill="1" applyBorder="1" applyAlignment="1">
      <alignment horizontal="center"/>
    </xf>
    <xf numFmtId="171" fontId="0" fillId="20" borderId="48" xfId="2" applyNumberFormat="1" applyFont="1" applyFill="1" applyBorder="1" applyAlignment="1">
      <alignment horizontal="center"/>
    </xf>
    <xf numFmtId="1" fontId="0" fillId="20" borderId="49" xfId="0" applyNumberFormat="1" applyFill="1" applyBorder="1" applyAlignment="1">
      <alignment horizontal="center"/>
    </xf>
    <xf numFmtId="9" fontId="0" fillId="20" borderId="61" xfId="2" applyFont="1" applyFill="1" applyBorder="1" applyAlignment="1">
      <alignment horizontal="center"/>
    </xf>
    <xf numFmtId="9" fontId="0" fillId="20" borderId="22" xfId="2" applyFont="1" applyFill="1" applyBorder="1" applyAlignment="1">
      <alignment horizontal="center"/>
    </xf>
    <xf numFmtId="0" fontId="0" fillId="20" borderId="199" xfId="0" applyFill="1" applyBorder="1" applyAlignment="1">
      <alignment horizontal="center"/>
    </xf>
    <xf numFmtId="0" fontId="0" fillId="20" borderId="198" xfId="0" applyFill="1" applyBorder="1" applyAlignment="1">
      <alignment horizontal="center"/>
    </xf>
    <xf numFmtId="0" fontId="0" fillId="20" borderId="94" xfId="0" applyFill="1" applyBorder="1" applyAlignment="1">
      <alignment horizontal="left" vertical="center"/>
    </xf>
    <xf numFmtId="0" fontId="0" fillId="20" borderId="103" xfId="0" applyFill="1" applyBorder="1" applyAlignment="1">
      <alignment horizontal="left" vertical="center"/>
    </xf>
    <xf numFmtId="0" fontId="0" fillId="3" borderId="0" xfId="0" applyFill="1" applyAlignment="1">
      <alignment horizontal="left"/>
    </xf>
    <xf numFmtId="0" fontId="50" fillId="4" borderId="40" xfId="0" applyFont="1" applyFill="1" applyBorder="1" applyAlignment="1">
      <alignment horizontal="center" vertical="center" wrapText="1"/>
    </xf>
    <xf numFmtId="0" fontId="52" fillId="4" borderId="41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0" fillId="6" borderId="31" xfId="0" applyFill="1" applyBorder="1" applyAlignment="1">
      <alignment horizontal="left" vertical="center"/>
    </xf>
    <xf numFmtId="43" fontId="0" fillId="6" borderId="31" xfId="1" applyFont="1" applyFill="1" applyBorder="1" applyAlignment="1">
      <alignment horizontal="center" vertical="center"/>
    </xf>
    <xf numFmtId="9" fontId="0" fillId="6" borderId="31" xfId="2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43" fontId="0" fillId="7" borderId="0" xfId="1" applyFont="1" applyFill="1" applyAlignment="1">
      <alignment horizontal="center" vertical="center"/>
    </xf>
    <xf numFmtId="9" fontId="0" fillId="7" borderId="0" xfId="2" applyFont="1" applyFill="1" applyAlignment="1">
      <alignment horizontal="center" vertical="center"/>
    </xf>
    <xf numFmtId="0" fontId="3" fillId="17" borderId="76" xfId="0" applyFont="1" applyFill="1" applyBorder="1" applyAlignment="1" applyProtection="1">
      <alignment horizontal="center" vertical="center"/>
      <protection locked="0"/>
    </xf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43" fontId="0" fillId="6" borderId="0" xfId="1" applyFont="1" applyFill="1" applyAlignment="1">
      <alignment horizontal="center" vertical="center"/>
    </xf>
    <xf numFmtId="9" fontId="0" fillId="6" borderId="0" xfId="2" applyFont="1" applyFill="1" applyAlignment="1">
      <alignment horizontal="center" vertical="center"/>
    </xf>
    <xf numFmtId="0" fontId="3" fillId="3" borderId="76" xfId="0" applyFont="1" applyFill="1" applyBorder="1" applyAlignment="1" applyProtection="1">
      <alignment horizontal="center" vertical="center"/>
      <protection locked="0"/>
    </xf>
    <xf numFmtId="0" fontId="3" fillId="6" borderId="36" xfId="0" applyFont="1" applyFill="1" applyBorder="1" applyAlignment="1">
      <alignment horizontal="center" vertical="center"/>
    </xf>
    <xf numFmtId="0" fontId="0" fillId="6" borderId="36" xfId="0" applyFill="1" applyBorder="1" applyAlignment="1">
      <alignment horizontal="left" vertical="center"/>
    </xf>
    <xf numFmtId="43" fontId="0" fillId="6" borderId="36" xfId="1" applyFont="1" applyFill="1" applyBorder="1" applyAlignment="1">
      <alignment horizontal="center" vertical="center"/>
    </xf>
    <xf numFmtId="9" fontId="0" fillId="6" borderId="36" xfId="2" applyFont="1" applyFill="1" applyBorder="1" applyAlignment="1">
      <alignment horizontal="center" vertical="center"/>
    </xf>
    <xf numFmtId="0" fontId="3" fillId="8" borderId="31" xfId="0" applyFont="1" applyFill="1" applyBorder="1" applyAlignment="1">
      <alignment horizontal="center" vertical="center"/>
    </xf>
    <xf numFmtId="0" fontId="3" fillId="13" borderId="36" xfId="0" applyFont="1" applyFill="1" applyBorder="1" applyAlignment="1">
      <alignment horizontal="center" vertical="center"/>
    </xf>
    <xf numFmtId="0" fontId="3" fillId="9" borderId="40" xfId="0" applyFont="1" applyFill="1" applyBorder="1" applyAlignment="1">
      <alignment horizontal="center" vertical="center"/>
    </xf>
    <xf numFmtId="0" fontId="3" fillId="15" borderId="40" xfId="0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vertical="center"/>
    </xf>
    <xf numFmtId="0" fontId="6" fillId="4" borderId="40" xfId="0" applyFont="1" applyFill="1" applyBorder="1" applyAlignment="1">
      <alignment vertical="center"/>
    </xf>
    <xf numFmtId="0" fontId="6" fillId="4" borderId="40" xfId="0" applyFont="1" applyFill="1" applyBorder="1" applyAlignment="1">
      <alignment horizontal="right" vertical="center"/>
    </xf>
    <xf numFmtId="43" fontId="6" fillId="4" borderId="40" xfId="1" applyFont="1" applyFill="1" applyBorder="1" applyAlignment="1">
      <alignment horizontal="center" vertical="center"/>
    </xf>
    <xf numFmtId="43" fontId="49" fillId="4" borderId="103" xfId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0" fillId="7" borderId="24" xfId="0" applyFont="1" applyFill="1" applyBorder="1" applyAlignment="1">
      <alignment horizontal="left" vertical="center"/>
    </xf>
    <xf numFmtId="0" fontId="10" fillId="3" borderId="0" xfId="0" applyFont="1" applyFill="1"/>
    <xf numFmtId="43" fontId="10" fillId="6" borderId="74" xfId="1" applyFont="1" applyFill="1" applyBorder="1" applyAlignment="1">
      <alignment horizontal="center" vertical="center"/>
    </xf>
    <xf numFmtId="43" fontId="10" fillId="7" borderId="60" xfId="1" applyFont="1" applyFill="1" applyBorder="1" applyAlignment="1">
      <alignment horizontal="center" vertical="center"/>
    </xf>
    <xf numFmtId="43" fontId="10" fillId="7" borderId="47" xfId="1" applyFont="1" applyFill="1" applyBorder="1" applyAlignment="1">
      <alignment horizontal="center" vertical="center"/>
    </xf>
    <xf numFmtId="43" fontId="10" fillId="6" borderId="60" xfId="1" applyFont="1" applyFill="1" applyBorder="1" applyAlignment="1">
      <alignment horizontal="center" vertical="center"/>
    </xf>
    <xf numFmtId="43" fontId="10" fillId="12" borderId="60" xfId="1" applyFont="1" applyFill="1" applyBorder="1" applyAlignment="1">
      <alignment horizontal="center" vertical="center"/>
    </xf>
    <xf numFmtId="43" fontId="10" fillId="13" borderId="60" xfId="1" applyFont="1" applyFill="1" applyBorder="1" applyAlignment="1">
      <alignment horizontal="center" vertical="center"/>
    </xf>
    <xf numFmtId="43" fontId="10" fillId="16" borderId="60" xfId="1" applyFont="1" applyFill="1" applyBorder="1" applyAlignment="1">
      <alignment horizontal="center" vertical="center"/>
    </xf>
    <xf numFmtId="43" fontId="10" fillId="2" borderId="51" xfId="1" applyFont="1" applyFill="1" applyBorder="1" applyAlignment="1">
      <alignment horizontal="center" vertical="center"/>
    </xf>
    <xf numFmtId="9" fontId="10" fillId="6" borderId="60" xfId="2" applyFont="1" applyFill="1" applyBorder="1" applyAlignment="1">
      <alignment horizontal="center" vertical="center"/>
    </xf>
    <xf numFmtId="9" fontId="10" fillId="6" borderId="74" xfId="2" applyFont="1" applyFill="1" applyBorder="1" applyAlignment="1">
      <alignment horizontal="center" vertical="center"/>
    </xf>
    <xf numFmtId="9" fontId="10" fillId="7" borderId="60" xfId="2" applyFont="1" applyFill="1" applyBorder="1" applyAlignment="1">
      <alignment horizontal="center" vertical="center"/>
    </xf>
    <xf numFmtId="9" fontId="10" fillId="7" borderId="47" xfId="2" applyFont="1" applyFill="1" applyBorder="1" applyAlignment="1">
      <alignment horizontal="center" vertical="center"/>
    </xf>
    <xf numFmtId="9" fontId="10" fillId="12" borderId="60" xfId="2" applyFont="1" applyFill="1" applyBorder="1" applyAlignment="1">
      <alignment horizontal="center" vertical="center"/>
    </xf>
    <xf numFmtId="9" fontId="10" fillId="13" borderId="60" xfId="2" applyFont="1" applyFill="1" applyBorder="1" applyAlignment="1">
      <alignment horizontal="center" vertical="center"/>
    </xf>
    <xf numFmtId="9" fontId="10" fillId="12" borderId="60" xfId="2" applyFont="1" applyFill="1" applyBorder="1" applyAlignment="1">
      <alignment horizontal="center" vertical="center" wrapText="1"/>
    </xf>
    <xf numFmtId="9" fontId="10" fillId="12" borderId="74" xfId="2" applyFont="1" applyFill="1" applyBorder="1" applyAlignment="1">
      <alignment horizontal="center" vertical="center" wrapText="1"/>
    </xf>
    <xf numFmtId="9" fontId="10" fillId="2" borderId="51" xfId="2" applyFont="1" applyFill="1" applyBorder="1" applyAlignment="1">
      <alignment horizontal="center" vertical="center"/>
    </xf>
    <xf numFmtId="43" fontId="10" fillId="6" borderId="81" xfId="1" applyFont="1" applyFill="1" applyBorder="1" applyAlignment="1">
      <alignment horizontal="center" vertical="center"/>
    </xf>
    <xf numFmtId="43" fontId="10" fillId="6" borderId="147" xfId="1" applyFont="1" applyFill="1" applyBorder="1" applyAlignment="1">
      <alignment horizontal="center" vertical="center"/>
    </xf>
    <xf numFmtId="43" fontId="10" fillId="7" borderId="146" xfId="1" applyFont="1" applyFill="1" applyBorder="1" applyAlignment="1">
      <alignment horizontal="center" vertical="center"/>
    </xf>
    <xf numFmtId="43" fontId="10" fillId="7" borderId="94" xfId="1" applyFont="1" applyFill="1" applyBorder="1" applyAlignment="1">
      <alignment horizontal="center" vertical="center"/>
    </xf>
    <xf numFmtId="43" fontId="10" fillId="6" borderId="146" xfId="1" applyFont="1" applyFill="1" applyBorder="1" applyAlignment="1">
      <alignment horizontal="center" vertical="center"/>
    </xf>
    <xf numFmtId="43" fontId="10" fillId="12" borderId="146" xfId="1" applyFont="1" applyFill="1" applyBorder="1" applyAlignment="1">
      <alignment horizontal="center" vertical="center"/>
    </xf>
    <xf numFmtId="43" fontId="10" fillId="13" borderId="146" xfId="1" applyFont="1" applyFill="1" applyBorder="1" applyAlignment="1">
      <alignment horizontal="center" vertical="center"/>
    </xf>
    <xf numFmtId="43" fontId="10" fillId="12" borderId="146" xfId="1" applyFont="1" applyFill="1" applyBorder="1" applyAlignment="1">
      <alignment horizontal="center" vertical="center" wrapText="1"/>
    </xf>
    <xf numFmtId="43" fontId="10" fillId="12" borderId="147" xfId="1" applyFont="1" applyFill="1" applyBorder="1" applyAlignment="1">
      <alignment horizontal="center" vertical="center" wrapText="1"/>
    </xf>
    <xf numFmtId="43" fontId="6" fillId="4" borderId="38" xfId="1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52" fillId="4" borderId="41" xfId="0" applyFont="1" applyFill="1" applyBorder="1" applyAlignment="1">
      <alignment horizontal="left" vertical="center"/>
    </xf>
    <xf numFmtId="43" fontId="55" fillId="6" borderId="195" xfId="1" applyFont="1" applyFill="1" applyBorder="1" applyAlignment="1">
      <alignment horizontal="left" vertical="center"/>
    </xf>
    <xf numFmtId="43" fontId="55" fillId="6" borderId="203" xfId="1" applyFont="1" applyFill="1" applyBorder="1" applyAlignment="1">
      <alignment horizontal="left" vertical="center"/>
    </xf>
    <xf numFmtId="43" fontId="55" fillId="7" borderId="204" xfId="1" applyFont="1" applyFill="1" applyBorder="1" applyAlignment="1">
      <alignment horizontal="left" vertical="center"/>
    </xf>
    <xf numFmtId="43" fontId="55" fillId="7" borderId="58" xfId="1" applyFont="1" applyFill="1" applyBorder="1" applyAlignment="1">
      <alignment horizontal="left" vertical="center"/>
    </xf>
    <xf numFmtId="43" fontId="55" fillId="6" borderId="204" xfId="1" applyFont="1" applyFill="1" applyBorder="1" applyAlignment="1">
      <alignment horizontal="left" vertical="center"/>
    </xf>
    <xf numFmtId="43" fontId="55" fillId="12" borderId="204" xfId="1" applyFont="1" applyFill="1" applyBorder="1" applyAlignment="1">
      <alignment horizontal="left" vertical="center"/>
    </xf>
    <xf numFmtId="43" fontId="55" fillId="13" borderId="204" xfId="1" applyFont="1" applyFill="1" applyBorder="1" applyAlignment="1">
      <alignment horizontal="left" vertical="center"/>
    </xf>
    <xf numFmtId="43" fontId="55" fillId="12" borderId="204" xfId="1" applyFont="1" applyFill="1" applyBorder="1" applyAlignment="1">
      <alignment horizontal="left" vertical="center" wrapText="1"/>
    </xf>
    <xf numFmtId="43" fontId="55" fillId="12" borderId="203" xfId="1" applyFont="1" applyFill="1" applyBorder="1" applyAlignment="1">
      <alignment horizontal="left" vertical="center" wrapText="1"/>
    </xf>
    <xf numFmtId="43" fontId="55" fillId="2" borderId="53" xfId="1" applyFont="1" applyFill="1" applyBorder="1" applyAlignment="1">
      <alignment horizontal="left" vertical="center"/>
    </xf>
    <xf numFmtId="2" fontId="6" fillId="4" borderId="41" xfId="0" applyNumberFormat="1" applyFont="1" applyFill="1" applyBorder="1" applyAlignment="1">
      <alignment horizontal="left" vertical="center"/>
    </xf>
    <xf numFmtId="43" fontId="53" fillId="6" borderId="32" xfId="1" applyFont="1" applyFill="1" applyBorder="1" applyAlignment="1">
      <alignment horizontal="left" vertical="center"/>
    </xf>
    <xf numFmtId="43" fontId="53" fillId="7" borderId="34" xfId="1" applyFont="1" applyFill="1" applyBorder="1" applyAlignment="1">
      <alignment horizontal="left" vertical="center"/>
    </xf>
    <xf numFmtId="43" fontId="53" fillId="6" borderId="34" xfId="1" applyFont="1" applyFill="1" applyBorder="1" applyAlignment="1">
      <alignment horizontal="left" vertical="center"/>
    </xf>
    <xf numFmtId="43" fontId="53" fillId="6" borderId="37" xfId="1" applyFont="1" applyFill="1" applyBorder="1" applyAlignment="1">
      <alignment horizontal="left" vertical="center"/>
    </xf>
    <xf numFmtId="167" fontId="0" fillId="20" borderId="96" xfId="0" applyNumberFormat="1" applyFill="1" applyBorder="1" applyAlignment="1">
      <alignment horizontal="center" vertical="center"/>
    </xf>
    <xf numFmtId="0" fontId="0" fillId="17" borderId="16" xfId="0" applyFill="1" applyBorder="1" applyAlignment="1" applyProtection="1">
      <alignment horizontal="center" vertical="center"/>
      <protection locked="0"/>
    </xf>
    <xf numFmtId="178" fontId="0" fillId="20" borderId="61" xfId="1" applyNumberFormat="1" applyFont="1" applyFill="1" applyBorder="1" applyAlignment="1"/>
    <xf numFmtId="0" fontId="5" fillId="4" borderId="0" xfId="0" applyFont="1" applyFill="1" applyAlignment="1">
      <alignment horizontal="center" vertical="center"/>
    </xf>
    <xf numFmtId="0" fontId="54" fillId="4" borderId="0" xfId="0" applyFont="1" applyFill="1" applyAlignment="1">
      <alignment horizontal="center" vertical="center"/>
    </xf>
    <xf numFmtId="0" fontId="0" fillId="17" borderId="70" xfId="0" applyFill="1" applyBorder="1" applyAlignment="1">
      <alignment horizontal="center" vertical="center"/>
    </xf>
    <xf numFmtId="0" fontId="3" fillId="11" borderId="3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20" borderId="43" xfId="0" applyFont="1" applyFill="1" applyBorder="1" applyAlignment="1">
      <alignment horizontal="center" vertical="center" wrapText="1"/>
    </xf>
    <xf numFmtId="0" fontId="3" fillId="20" borderId="46" xfId="0" applyFont="1" applyFill="1" applyBorder="1" applyAlignment="1">
      <alignment horizontal="center" vertical="center" wrapText="1"/>
    </xf>
    <xf numFmtId="0" fontId="3" fillId="20" borderId="68" xfId="0" applyFont="1" applyFill="1" applyBorder="1" applyAlignment="1">
      <alignment horizontal="center" vertical="center" wrapText="1"/>
    </xf>
    <xf numFmtId="179" fontId="0" fillId="20" borderId="112" xfId="0" applyNumberFormat="1" applyFill="1" applyBorder="1" applyAlignment="1">
      <alignment horizontal="center"/>
    </xf>
    <xf numFmtId="169" fontId="0" fillId="20" borderId="112" xfId="0" applyNumberFormat="1" applyFill="1" applyBorder="1" applyAlignment="1">
      <alignment horizontal="center"/>
    </xf>
    <xf numFmtId="0" fontId="7" fillId="6" borderId="21" xfId="0" applyFont="1" applyFill="1" applyBorder="1" applyAlignment="1">
      <alignment horizontal="center" vertical="center"/>
    </xf>
    <xf numFmtId="0" fontId="9" fillId="20" borderId="28" xfId="0" applyFont="1" applyFill="1" applyBorder="1" applyAlignment="1">
      <alignment horizontal="center" vertical="center"/>
    </xf>
    <xf numFmtId="164" fontId="0" fillId="17" borderId="47" xfId="0" applyNumberFormat="1" applyFill="1" applyBorder="1" applyAlignment="1" applyProtection="1">
      <alignment horizontal="center" vertical="center"/>
      <protection locked="0"/>
    </xf>
    <xf numFmtId="164" fontId="0" fillId="17" borderId="60" xfId="0" applyNumberFormat="1" applyFill="1" applyBorder="1" applyAlignment="1" applyProtection="1">
      <alignment horizontal="center" vertical="center"/>
      <protection locked="0"/>
    </xf>
    <xf numFmtId="167" fontId="2" fillId="18" borderId="205" xfId="1" applyNumberFormat="1" applyFont="1" applyFill="1" applyBorder="1" applyAlignment="1">
      <alignment horizontal="center" vertical="center"/>
    </xf>
    <xf numFmtId="43" fontId="0" fillId="17" borderId="16" xfId="1" applyFont="1" applyFill="1" applyBorder="1" applyAlignment="1" applyProtection="1">
      <alignment horizontal="center" vertical="center"/>
      <protection locked="0"/>
    </xf>
    <xf numFmtId="44" fontId="2" fillId="18" borderId="64" xfId="4" applyFont="1" applyFill="1" applyBorder="1" applyAlignment="1">
      <alignment horizontal="center" vertical="center"/>
    </xf>
    <xf numFmtId="44" fontId="0" fillId="17" borderId="22" xfId="4" applyFont="1" applyFill="1" applyBorder="1" applyAlignment="1" applyProtection="1">
      <alignment horizontal="center" vertical="center"/>
      <protection locked="0"/>
    </xf>
    <xf numFmtId="0" fontId="0" fillId="6" borderId="206" xfId="0" applyFill="1" applyBorder="1" applyAlignment="1">
      <alignment vertical="center" wrapText="1"/>
    </xf>
    <xf numFmtId="0" fontId="0" fillId="6" borderId="201" xfId="0" applyFill="1" applyBorder="1" applyAlignment="1">
      <alignment vertical="center" wrapText="1"/>
    </xf>
    <xf numFmtId="0" fontId="0" fillId="7" borderId="201" xfId="0" applyFill="1" applyBorder="1" applyAlignment="1">
      <alignment vertical="center" wrapText="1"/>
    </xf>
    <xf numFmtId="0" fontId="0" fillId="12" borderId="201" xfId="0" applyFill="1" applyBorder="1" applyAlignment="1">
      <alignment vertical="center" wrapText="1"/>
    </xf>
    <xf numFmtId="0" fontId="0" fillId="13" borderId="201" xfId="0" applyFill="1" applyBorder="1" applyAlignment="1">
      <alignment vertical="center" wrapText="1"/>
    </xf>
    <xf numFmtId="43" fontId="10" fillId="6" borderId="56" xfId="1" applyFont="1" applyFill="1" applyBorder="1" applyAlignment="1">
      <alignment horizontal="center" vertical="center"/>
    </xf>
    <xf numFmtId="0" fontId="54" fillId="4" borderId="40" xfId="0" applyFont="1" applyFill="1" applyBorder="1" applyAlignment="1">
      <alignment horizontal="center" vertical="center" wrapText="1"/>
    </xf>
    <xf numFmtId="0" fontId="5" fillId="4" borderId="63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62" xfId="0" applyFont="1" applyFill="1" applyBorder="1" applyAlignment="1">
      <alignment horizontal="center" vertical="center"/>
    </xf>
    <xf numFmtId="0" fontId="54" fillId="4" borderId="113" xfId="0" applyFont="1" applyFill="1" applyBorder="1" applyAlignment="1">
      <alignment horizontal="center" vertical="center"/>
    </xf>
    <xf numFmtId="0" fontId="54" fillId="4" borderId="20" xfId="0" applyFont="1" applyFill="1" applyBorder="1" applyAlignment="1">
      <alignment horizontal="center" vertical="center"/>
    </xf>
    <xf numFmtId="0" fontId="54" fillId="4" borderId="175" xfId="0" applyFont="1" applyFill="1" applyBorder="1" applyAlignment="1">
      <alignment horizontal="center" vertical="center"/>
    </xf>
    <xf numFmtId="43" fontId="0" fillId="6" borderId="200" xfId="1" applyFont="1" applyFill="1" applyBorder="1" applyAlignment="1">
      <alignment horizontal="center" vertical="center"/>
    </xf>
    <xf numFmtId="43" fontId="0" fillId="7" borderId="76" xfId="1" applyFont="1" applyFill="1" applyBorder="1" applyAlignment="1">
      <alignment horizontal="center" vertical="center"/>
    </xf>
    <xf numFmtId="43" fontId="0" fillId="6" borderId="76" xfId="1" applyFont="1" applyFill="1" applyBorder="1" applyAlignment="1">
      <alignment horizontal="center" vertical="center"/>
    </xf>
    <xf numFmtId="43" fontId="0" fillId="6" borderId="103" xfId="1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horizontal="center" vertical="center" wrapText="1"/>
    </xf>
    <xf numFmtId="43" fontId="0" fillId="10" borderId="69" xfId="1" applyFont="1" applyFill="1" applyBorder="1" applyAlignment="1">
      <alignment horizontal="center" vertical="center"/>
    </xf>
    <xf numFmtId="9" fontId="0" fillId="10" borderId="69" xfId="2" applyFont="1" applyFill="1" applyBorder="1" applyAlignment="1">
      <alignment horizontal="center" vertical="center"/>
    </xf>
    <xf numFmtId="43" fontId="53" fillId="10" borderId="69" xfId="1" applyFont="1" applyFill="1" applyBorder="1" applyAlignment="1">
      <alignment horizontal="left" vertical="center"/>
    </xf>
    <xf numFmtId="43" fontId="0" fillId="17" borderId="22" xfId="1" applyFont="1" applyFill="1" applyBorder="1" applyAlignment="1">
      <alignment horizontal="center" vertical="center"/>
    </xf>
    <xf numFmtId="9" fontId="0" fillId="17" borderId="22" xfId="2" applyFont="1" applyFill="1" applyBorder="1" applyAlignment="1">
      <alignment horizontal="center" vertical="center"/>
    </xf>
    <xf numFmtId="43" fontId="53" fillId="17" borderId="22" xfId="1" applyFont="1" applyFill="1" applyBorder="1" applyAlignment="1">
      <alignment horizontal="left" vertical="center"/>
    </xf>
    <xf numFmtId="43" fontId="0" fillId="10" borderId="22" xfId="1" applyFont="1" applyFill="1" applyBorder="1" applyAlignment="1">
      <alignment horizontal="center" vertical="center"/>
    </xf>
    <xf numFmtId="9" fontId="0" fillId="10" borderId="22" xfId="2" applyFont="1" applyFill="1" applyBorder="1" applyAlignment="1">
      <alignment horizontal="center" vertical="center"/>
    </xf>
    <xf numFmtId="43" fontId="53" fillId="10" borderId="22" xfId="1" applyFont="1" applyFill="1" applyBorder="1" applyAlignment="1">
      <alignment horizontal="left" vertical="center"/>
    </xf>
    <xf numFmtId="0" fontId="0" fillId="10" borderId="69" xfId="1" applyNumberFormat="1" applyFont="1" applyFill="1" applyBorder="1" applyAlignment="1">
      <alignment horizontal="center" vertical="center"/>
    </xf>
    <xf numFmtId="0" fontId="0" fillId="17" borderId="22" xfId="1" applyNumberFormat="1" applyFont="1" applyFill="1" applyBorder="1" applyAlignment="1">
      <alignment horizontal="center" vertical="center"/>
    </xf>
    <xf numFmtId="0" fontId="0" fillId="10" borderId="22" xfId="1" applyNumberFormat="1" applyFont="1" applyFill="1" applyBorder="1" applyAlignment="1">
      <alignment horizontal="center" vertical="center"/>
    </xf>
    <xf numFmtId="167" fontId="2" fillId="18" borderId="40" xfId="1" applyNumberFormat="1" applyFont="1" applyFill="1" applyBorder="1" applyAlignment="1">
      <alignment horizontal="center" vertical="center"/>
    </xf>
    <xf numFmtId="0" fontId="2" fillId="18" borderId="65" xfId="0" applyFont="1" applyFill="1" applyBorder="1" applyAlignment="1">
      <alignment horizontal="right" vertical="center"/>
    </xf>
    <xf numFmtId="167" fontId="0" fillId="20" borderId="46" xfId="0" applyNumberFormat="1" applyFill="1" applyBorder="1" applyAlignment="1">
      <alignment horizontal="center" vertical="center"/>
    </xf>
    <xf numFmtId="0" fontId="3" fillId="20" borderId="207" xfId="0" applyFont="1" applyFill="1" applyBorder="1" applyAlignment="1">
      <alignment horizontal="center" vertical="center" wrapText="1"/>
    </xf>
    <xf numFmtId="0" fontId="3" fillId="20" borderId="208" xfId="0" applyFont="1" applyFill="1" applyBorder="1" applyAlignment="1">
      <alignment horizontal="center" vertical="center" wrapText="1"/>
    </xf>
    <xf numFmtId="0" fontId="3" fillId="20" borderId="208" xfId="0" applyFont="1" applyFill="1" applyBorder="1" applyAlignment="1">
      <alignment horizontal="center" vertical="center" textRotation="90" wrapText="1"/>
    </xf>
    <xf numFmtId="43" fontId="0" fillId="27" borderId="70" xfId="1" applyFont="1" applyFill="1" applyBorder="1"/>
    <xf numFmtId="0" fontId="3" fillId="21" borderId="70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57" fillId="18" borderId="40" xfId="0" applyFont="1" applyFill="1" applyBorder="1" applyAlignment="1">
      <alignment horizontal="center" vertical="center"/>
    </xf>
    <xf numFmtId="0" fontId="0" fillId="21" borderId="70" xfId="0" applyFill="1" applyBorder="1"/>
    <xf numFmtId="43" fontId="0" fillId="21" borderId="70" xfId="0" applyNumberFormat="1" applyFill="1" applyBorder="1"/>
    <xf numFmtId="0" fontId="3" fillId="20" borderId="208" xfId="0" applyFont="1" applyFill="1" applyBorder="1" applyAlignment="1">
      <alignment vertical="center" wrapText="1"/>
    </xf>
    <xf numFmtId="43" fontId="10" fillId="12" borderId="74" xfId="1" applyFont="1" applyFill="1" applyBorder="1" applyAlignment="1">
      <alignment horizontal="center" vertical="center"/>
    </xf>
    <xf numFmtId="0" fontId="3" fillId="20" borderId="48" xfId="0" applyFont="1" applyFill="1" applyBorder="1" applyAlignment="1">
      <alignment horizontal="center" vertical="center" wrapText="1"/>
    </xf>
    <xf numFmtId="0" fontId="3" fillId="20" borderId="52" xfId="0" applyFont="1" applyFill="1" applyBorder="1" applyAlignment="1">
      <alignment horizontal="center" vertical="center"/>
    </xf>
    <xf numFmtId="166" fontId="0" fillId="0" borderId="28" xfId="1" applyNumberFormat="1" applyFont="1" applyFill="1" applyBorder="1" applyAlignment="1" applyProtection="1">
      <alignment horizontal="center" vertical="center"/>
      <protection locked="0"/>
    </xf>
    <xf numFmtId="0" fontId="59" fillId="0" borderId="40" xfId="0" applyFont="1" applyBorder="1" applyAlignment="1">
      <alignment horizontal="center" vertical="center"/>
    </xf>
    <xf numFmtId="0" fontId="0" fillId="17" borderId="69" xfId="0" applyFill="1" applyBorder="1" applyAlignment="1" applyProtection="1">
      <alignment horizontal="center" vertical="center"/>
      <protection locked="0"/>
    </xf>
    <xf numFmtId="0" fontId="0" fillId="17" borderId="28" xfId="0" applyFill="1" applyBorder="1" applyAlignment="1" applyProtection="1">
      <alignment horizontal="center" vertical="center"/>
      <protection locked="0"/>
    </xf>
    <xf numFmtId="0" fontId="3" fillId="20" borderId="61" xfId="0" applyFont="1" applyFill="1" applyBorder="1" applyAlignment="1">
      <alignment horizontal="center" vertical="center"/>
    </xf>
    <xf numFmtId="167" fontId="0" fillId="20" borderId="48" xfId="0" applyNumberFormat="1" applyFill="1" applyBorder="1" applyAlignment="1">
      <alignment horizontal="center" vertical="center"/>
    </xf>
    <xf numFmtId="0" fontId="3" fillId="20" borderId="59" xfId="0" applyFont="1" applyFill="1" applyBorder="1" applyAlignment="1">
      <alignment horizontal="center" vertical="center"/>
    </xf>
    <xf numFmtId="0" fontId="21" fillId="20" borderId="28" xfId="0" applyFont="1" applyFill="1" applyBorder="1" applyAlignment="1">
      <alignment horizontal="center" vertical="center"/>
    </xf>
    <xf numFmtId="168" fontId="3" fillId="20" borderId="16" xfId="0" applyNumberFormat="1" applyFont="1" applyFill="1" applyBorder="1" applyAlignment="1">
      <alignment horizontal="center" vertical="center"/>
    </xf>
    <xf numFmtId="168" fontId="3" fillId="20" borderId="96" xfId="0" applyNumberFormat="1" applyFont="1" applyFill="1" applyBorder="1" applyAlignment="1">
      <alignment horizontal="center" vertical="center"/>
    </xf>
    <xf numFmtId="0" fontId="18" fillId="20" borderId="28" xfId="0" applyFont="1" applyFill="1" applyBorder="1" applyAlignment="1">
      <alignment horizontal="center" vertical="center"/>
    </xf>
    <xf numFmtId="0" fontId="24" fillId="20" borderId="28" xfId="0" applyFont="1" applyFill="1" applyBorder="1" applyAlignment="1">
      <alignment horizontal="center" vertical="center"/>
    </xf>
    <xf numFmtId="167" fontId="9" fillId="20" borderId="16" xfId="0" applyNumberFormat="1" applyFont="1" applyFill="1" applyBorder="1" applyAlignment="1">
      <alignment horizontal="center" vertical="center"/>
    </xf>
    <xf numFmtId="168" fontId="18" fillId="20" borderId="16" xfId="0" applyNumberFormat="1" applyFont="1" applyFill="1" applyBorder="1" applyAlignment="1">
      <alignment horizontal="center" vertical="center"/>
    </xf>
    <xf numFmtId="167" fontId="9" fillId="20" borderId="96" xfId="0" applyNumberFormat="1" applyFont="1" applyFill="1" applyBorder="1" applyAlignment="1">
      <alignment horizontal="center" vertical="center"/>
    </xf>
    <xf numFmtId="168" fontId="18" fillId="20" borderId="96" xfId="0" applyNumberFormat="1" applyFont="1" applyFill="1" applyBorder="1" applyAlignment="1">
      <alignment horizontal="center" vertical="center"/>
    </xf>
    <xf numFmtId="167" fontId="3" fillId="20" borderId="16" xfId="1" applyNumberFormat="1" applyFont="1" applyFill="1" applyBorder="1" applyAlignment="1">
      <alignment horizontal="center" vertical="center"/>
    </xf>
    <xf numFmtId="167" fontId="3" fillId="20" borderId="96" xfId="1" applyNumberFormat="1" applyFont="1" applyFill="1" applyBorder="1" applyAlignment="1">
      <alignment horizontal="center" vertical="center"/>
    </xf>
    <xf numFmtId="0" fontId="3" fillId="20" borderId="69" xfId="0" applyFont="1" applyFill="1" applyBorder="1" applyAlignment="1">
      <alignment horizontal="center" vertical="center" wrapText="1"/>
    </xf>
    <xf numFmtId="0" fontId="10" fillId="17" borderId="22" xfId="5" applyFont="1" applyFill="1" applyBorder="1" applyAlignment="1" applyProtection="1">
      <alignment horizontal="center"/>
      <protection locked="0"/>
    </xf>
    <xf numFmtId="171" fontId="0" fillId="20" borderId="16" xfId="2" applyNumberFormat="1" applyFont="1" applyFill="1" applyBorder="1" applyAlignment="1">
      <alignment horizontal="center" vertical="center"/>
    </xf>
    <xf numFmtId="178" fontId="0" fillId="20" borderId="48" xfId="0" applyNumberFormat="1" applyFill="1" applyBorder="1" applyAlignment="1">
      <alignment horizontal="center" vertical="center"/>
    </xf>
    <xf numFmtId="167" fontId="0" fillId="0" borderId="16" xfId="0" applyNumberFormat="1" applyBorder="1" applyAlignment="1">
      <alignment horizontal="center" vertical="center"/>
    </xf>
    <xf numFmtId="0" fontId="0" fillId="23" borderId="22" xfId="0" applyFill="1" applyBorder="1" applyAlignment="1" applyProtection="1">
      <alignment horizontal="center" vertical="center"/>
      <protection locked="0"/>
    </xf>
    <xf numFmtId="0" fontId="0" fillId="3" borderId="0" xfId="0" quotePrefix="1" applyFill="1"/>
    <xf numFmtId="0" fontId="9" fillId="20" borderId="50" xfId="0" applyFont="1" applyFill="1" applyBorder="1" applyAlignment="1">
      <alignment horizontal="center" vertical="center"/>
    </xf>
    <xf numFmtId="0" fontId="62" fillId="28" borderId="72" xfId="0" applyFont="1" applyFill="1" applyBorder="1" applyAlignment="1">
      <alignment vertical="center"/>
    </xf>
    <xf numFmtId="0" fontId="62" fillId="28" borderId="73" xfId="0" applyFont="1" applyFill="1" applyBorder="1" applyAlignment="1">
      <alignment vertical="center"/>
    </xf>
    <xf numFmtId="0" fontId="0" fillId="3" borderId="166" xfId="0" applyFill="1" applyBorder="1"/>
    <xf numFmtId="0" fontId="15" fillId="20" borderId="207" xfId="0" applyFont="1" applyFill="1" applyBorder="1" applyAlignment="1">
      <alignment horizontal="center" vertical="center" wrapText="1"/>
    </xf>
    <xf numFmtId="0" fontId="15" fillId="20" borderId="208" xfId="0" applyFont="1" applyFill="1" applyBorder="1" applyAlignment="1">
      <alignment horizontal="center" vertical="center" wrapText="1"/>
    </xf>
    <xf numFmtId="0" fontId="15" fillId="20" borderId="209" xfId="0" applyFont="1" applyFill="1" applyBorder="1" applyAlignment="1">
      <alignment vertical="center" wrapText="1"/>
    </xf>
    <xf numFmtId="0" fontId="15" fillId="20" borderId="210" xfId="0" applyFont="1" applyFill="1" applyBorder="1" applyAlignment="1">
      <alignment vertical="center" wrapText="1"/>
    </xf>
    <xf numFmtId="0" fontId="15" fillId="20" borderId="212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left" vertical="center" wrapText="1"/>
    </xf>
    <xf numFmtId="167" fontId="63" fillId="18" borderId="40" xfId="0" applyNumberFormat="1" applyFont="1" applyFill="1" applyBorder="1" applyAlignment="1">
      <alignment horizontal="center" vertical="center"/>
    </xf>
    <xf numFmtId="43" fontId="0" fillId="0" borderId="16" xfId="1" applyFont="1" applyBorder="1" applyAlignment="1">
      <alignment horizontal="center" vertical="center"/>
    </xf>
    <xf numFmtId="0" fontId="2" fillId="18" borderId="40" xfId="0" applyFont="1" applyFill="1" applyBorder="1" applyAlignment="1">
      <alignment horizontal="center" vertical="center"/>
    </xf>
    <xf numFmtId="0" fontId="0" fillId="21" borderId="70" xfId="0" applyFill="1" applyBorder="1" applyAlignment="1">
      <alignment horizontal="center" vertical="center"/>
    </xf>
    <xf numFmtId="0" fontId="10" fillId="3" borderId="60" xfId="1" applyNumberFormat="1" applyFont="1" applyFill="1" applyBorder="1" applyAlignment="1">
      <alignment horizontal="center" vertical="center"/>
    </xf>
    <xf numFmtId="0" fontId="10" fillId="3" borderId="47" xfId="1" applyNumberFormat="1" applyFont="1" applyFill="1" applyBorder="1" applyAlignment="1">
      <alignment horizontal="center" vertical="center"/>
    </xf>
    <xf numFmtId="0" fontId="10" fillId="3" borderId="74" xfId="1" applyNumberFormat="1" applyFont="1" applyFill="1" applyBorder="1" applyAlignment="1">
      <alignment horizontal="center" vertical="center"/>
    </xf>
    <xf numFmtId="0" fontId="10" fillId="3" borderId="60" xfId="1" applyNumberFormat="1" applyFont="1" applyFill="1" applyBorder="1" applyAlignment="1">
      <alignment horizontal="center" vertical="center" wrapText="1"/>
    </xf>
    <xf numFmtId="0" fontId="10" fillId="3" borderId="74" xfId="1" applyNumberFormat="1" applyFont="1" applyFill="1" applyBorder="1" applyAlignment="1">
      <alignment horizontal="center" vertical="center" wrapText="1"/>
    </xf>
    <xf numFmtId="0" fontId="27" fillId="18" borderId="71" xfId="0" applyFont="1" applyFill="1" applyBorder="1"/>
    <xf numFmtId="0" fontId="4" fillId="18" borderId="72" xfId="0" applyFont="1" applyFill="1" applyBorder="1"/>
    <xf numFmtId="0" fontId="17" fillId="18" borderId="71" xfId="0" applyFont="1" applyFill="1" applyBorder="1" applyAlignment="1">
      <alignment vertical="center"/>
    </xf>
    <xf numFmtId="0" fontId="17" fillId="18" borderId="72" xfId="0" applyFont="1" applyFill="1" applyBorder="1" applyAlignment="1">
      <alignment vertical="center"/>
    </xf>
    <xf numFmtId="0" fontId="17" fillId="18" borderId="73" xfId="0" applyFont="1" applyFill="1" applyBorder="1" applyAlignment="1">
      <alignment vertical="center"/>
    </xf>
    <xf numFmtId="0" fontId="49" fillId="4" borderId="17" xfId="0" applyFont="1" applyFill="1" applyBorder="1" applyAlignment="1">
      <alignment horizontal="center" vertical="center"/>
    </xf>
    <xf numFmtId="0" fontId="3" fillId="3" borderId="0" xfId="0" applyFont="1" applyFill="1"/>
    <xf numFmtId="0" fontId="3" fillId="6" borderId="23" xfId="0" applyFont="1" applyFill="1" applyBorder="1" applyAlignment="1">
      <alignment horizontal="center" vertical="center"/>
    </xf>
    <xf numFmtId="0" fontId="64" fillId="6" borderId="21" xfId="0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64" fillId="7" borderId="23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15" borderId="23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left" vertical="center"/>
    </xf>
    <xf numFmtId="178" fontId="0" fillId="24" borderId="61" xfId="1" applyNumberFormat="1" applyFont="1" applyFill="1" applyBorder="1" applyAlignment="1"/>
    <xf numFmtId="167" fontId="0" fillId="24" borderId="16" xfId="0" applyNumberFormat="1" applyFill="1" applyBorder="1" applyAlignment="1">
      <alignment horizontal="center" vertical="center"/>
    </xf>
    <xf numFmtId="0" fontId="0" fillId="24" borderId="16" xfId="0" applyFill="1" applyBorder="1" applyAlignment="1" applyProtection="1">
      <alignment horizontal="center" vertical="center"/>
      <protection locked="0"/>
    </xf>
    <xf numFmtId="0" fontId="3" fillId="27" borderId="0" xfId="0" applyFont="1" applyFill="1" applyAlignment="1">
      <alignment horizontal="right"/>
    </xf>
    <xf numFmtId="0" fontId="3" fillId="27" borderId="0" xfId="0" applyFont="1" applyFill="1" applyAlignment="1">
      <alignment horizontal="center" vertical="center"/>
    </xf>
    <xf numFmtId="0" fontId="0" fillId="23" borderId="0" xfId="0" applyFill="1" applyAlignment="1">
      <alignment horizontal="left" vertical="center"/>
    </xf>
    <xf numFmtId="167" fontId="2" fillId="31" borderId="205" xfId="1" applyNumberFormat="1" applyFont="1" applyFill="1" applyBorder="1" applyAlignment="1">
      <alignment horizontal="center" vertical="center"/>
    </xf>
    <xf numFmtId="43" fontId="2" fillId="31" borderId="39" xfId="1" applyFont="1" applyFill="1" applyBorder="1" applyAlignment="1">
      <alignment horizontal="center" vertical="center"/>
    </xf>
    <xf numFmtId="43" fontId="2" fillId="31" borderId="66" xfId="1" applyFont="1" applyFill="1" applyBorder="1" applyAlignment="1">
      <alignment horizontal="center" vertical="center"/>
    </xf>
    <xf numFmtId="43" fontId="2" fillId="31" borderId="65" xfId="1" applyFont="1" applyFill="1" applyBorder="1" applyAlignment="1">
      <alignment horizontal="center" vertical="center"/>
    </xf>
    <xf numFmtId="0" fontId="26" fillId="31" borderId="39" xfId="0" applyFont="1" applyFill="1" applyBorder="1" applyAlignment="1">
      <alignment horizontal="left" vertical="center"/>
    </xf>
    <xf numFmtId="0" fontId="26" fillId="31" borderId="40" xfId="0" applyFont="1" applyFill="1" applyBorder="1" applyAlignment="1">
      <alignment horizontal="left" vertical="center"/>
    </xf>
    <xf numFmtId="0" fontId="57" fillId="31" borderId="40" xfId="0" applyFont="1" applyFill="1" applyBorder="1" applyAlignment="1">
      <alignment horizontal="center" vertical="center"/>
    </xf>
    <xf numFmtId="0" fontId="2" fillId="31" borderId="40" xfId="0" applyFont="1" applyFill="1" applyBorder="1" applyAlignment="1">
      <alignment horizontal="right" vertical="center"/>
    </xf>
    <xf numFmtId="167" fontId="0" fillId="20" borderId="16" xfId="0" quotePrefix="1" applyNumberFormat="1" applyFill="1" applyBorder="1" applyAlignment="1">
      <alignment horizontal="center" vertical="center"/>
    </xf>
    <xf numFmtId="167" fontId="57" fillId="31" borderId="40" xfId="0" applyNumberFormat="1" applyFont="1" applyFill="1" applyBorder="1" applyAlignment="1">
      <alignment horizontal="center" vertical="center"/>
    </xf>
    <xf numFmtId="9" fontId="0" fillId="17" borderId="22" xfId="2" applyFont="1" applyFill="1" applyBorder="1" applyAlignment="1" applyProtection="1">
      <alignment horizontal="center"/>
      <protection locked="0"/>
    </xf>
    <xf numFmtId="0" fontId="0" fillId="17" borderId="22" xfId="2" applyNumberFormat="1" applyFont="1" applyFill="1" applyBorder="1" applyAlignment="1" applyProtection="1">
      <alignment horizontal="center"/>
      <protection locked="0"/>
    </xf>
    <xf numFmtId="167" fontId="0" fillId="20" borderId="16" xfId="0" applyNumberFormat="1" applyFill="1" applyBorder="1" applyAlignment="1">
      <alignment horizontal="center"/>
    </xf>
    <xf numFmtId="0" fontId="3" fillId="23" borderId="208" xfId="0" applyFont="1" applyFill="1" applyBorder="1" applyAlignment="1">
      <alignment horizontal="center" vertical="center" wrapText="1"/>
    </xf>
    <xf numFmtId="0" fontId="26" fillId="28" borderId="39" xfId="0" applyFont="1" applyFill="1" applyBorder="1" applyAlignment="1">
      <alignment horizontal="left" vertical="center"/>
    </xf>
    <xf numFmtId="0" fontId="26" fillId="28" borderId="40" xfId="0" applyFont="1" applyFill="1" applyBorder="1" applyAlignment="1">
      <alignment horizontal="left" vertical="center"/>
    </xf>
    <xf numFmtId="0" fontId="57" fillId="28" borderId="40" xfId="0" applyFont="1" applyFill="1" applyBorder="1" applyAlignment="1">
      <alignment horizontal="center" vertical="center"/>
    </xf>
    <xf numFmtId="167" fontId="57" fillId="28" borderId="40" xfId="0" applyNumberFormat="1" applyFont="1" applyFill="1" applyBorder="1" applyAlignment="1">
      <alignment horizontal="center" vertical="center"/>
    </xf>
    <xf numFmtId="0" fontId="2" fillId="28" borderId="40" xfId="0" applyFont="1" applyFill="1" applyBorder="1" applyAlignment="1">
      <alignment horizontal="right" vertical="center"/>
    </xf>
    <xf numFmtId="43" fontId="2" fillId="28" borderId="65" xfId="1" applyFont="1" applyFill="1" applyBorder="1" applyAlignment="1">
      <alignment horizontal="center" vertical="center"/>
    </xf>
    <xf numFmtId="43" fontId="2" fillId="28" borderId="66" xfId="1" applyFont="1" applyFill="1" applyBorder="1" applyAlignment="1">
      <alignment horizontal="center" vertical="center"/>
    </xf>
    <xf numFmtId="43" fontId="2" fillId="28" borderId="39" xfId="1" applyFont="1" applyFill="1" applyBorder="1" applyAlignment="1">
      <alignment horizontal="center" vertical="center"/>
    </xf>
    <xf numFmtId="167" fontId="2" fillId="28" borderId="205" xfId="1" applyNumberFormat="1" applyFont="1" applyFill="1" applyBorder="1" applyAlignment="1">
      <alignment horizontal="center" vertical="center"/>
    </xf>
    <xf numFmtId="0" fontId="3" fillId="20" borderId="68" xfId="0" applyFont="1" applyFill="1" applyBorder="1" applyAlignment="1">
      <alignment vertical="center" wrapText="1"/>
    </xf>
    <xf numFmtId="0" fontId="3" fillId="20" borderId="16" xfId="0" applyFont="1" applyFill="1" applyBorder="1" applyAlignment="1">
      <alignment vertical="center" wrapText="1"/>
    </xf>
    <xf numFmtId="165" fontId="0" fillId="20" borderId="16" xfId="0" applyNumberFormat="1" applyFill="1" applyBorder="1" applyAlignment="1">
      <alignment horizontal="center"/>
    </xf>
    <xf numFmtId="0" fontId="3" fillId="20" borderId="68" xfId="0" applyFont="1" applyFill="1" applyBorder="1" applyAlignment="1">
      <alignment vertical="center" textRotation="90" wrapText="1"/>
    </xf>
    <xf numFmtId="0" fontId="3" fillId="20" borderId="16" xfId="0" applyFont="1" applyFill="1" applyBorder="1" applyAlignment="1">
      <alignment vertical="center" textRotation="90" wrapText="1"/>
    </xf>
    <xf numFmtId="0" fontId="6" fillId="4" borderId="14" xfId="0" applyFont="1" applyFill="1" applyBorder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164" fontId="3" fillId="17" borderId="0" xfId="0" applyNumberFormat="1" applyFont="1" applyFill="1" applyAlignment="1">
      <alignment horizontal="center" vertical="center" wrapText="1"/>
    </xf>
    <xf numFmtId="0" fontId="66" fillId="4" borderId="0" xfId="0" applyFont="1" applyFill="1" applyAlignment="1">
      <alignment horizontal="center" vertical="center"/>
    </xf>
    <xf numFmtId="0" fontId="66" fillId="4" borderId="34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vertical="center"/>
    </xf>
    <xf numFmtId="0" fontId="4" fillId="4" borderId="40" xfId="0" applyFont="1" applyFill="1" applyBorder="1" applyAlignment="1">
      <alignment vertical="center"/>
    </xf>
    <xf numFmtId="0" fontId="5" fillId="4" borderId="40" xfId="0" applyFont="1" applyFill="1" applyBorder="1" applyAlignment="1">
      <alignment vertical="center"/>
    </xf>
    <xf numFmtId="0" fontId="5" fillId="4" borderId="40" xfId="0" applyFont="1" applyFill="1" applyBorder="1" applyAlignment="1">
      <alignment horizontal="left" vertical="center"/>
    </xf>
    <xf numFmtId="0" fontId="4" fillId="4" borderId="41" xfId="0" applyFont="1" applyFill="1" applyBorder="1" applyAlignment="1">
      <alignment vertical="center"/>
    </xf>
    <xf numFmtId="0" fontId="12" fillId="17" borderId="33" xfId="0" applyFont="1" applyFill="1" applyBorder="1" applyAlignment="1">
      <alignment vertical="center"/>
    </xf>
    <xf numFmtId="0" fontId="0" fillId="17" borderId="33" xfId="0" applyFill="1" applyBorder="1" applyAlignment="1">
      <alignment vertical="center"/>
    </xf>
    <xf numFmtId="0" fontId="4" fillId="4" borderId="30" xfId="0" applyFont="1" applyFill="1" applyBorder="1" applyAlignment="1">
      <alignment vertical="center"/>
    </xf>
    <xf numFmtId="0" fontId="4" fillId="4" borderId="31" xfId="0" applyFont="1" applyFill="1" applyBorder="1" applyAlignment="1">
      <alignment vertical="center"/>
    </xf>
    <xf numFmtId="0" fontId="5" fillId="4" borderId="31" xfId="0" applyFont="1" applyFill="1" applyBorder="1" applyAlignment="1">
      <alignment vertical="center"/>
    </xf>
    <xf numFmtId="0" fontId="5" fillId="4" borderId="31" xfId="0" applyFont="1" applyFill="1" applyBorder="1" applyAlignment="1">
      <alignment horizontal="left" vertical="center"/>
    </xf>
    <xf numFmtId="0" fontId="4" fillId="4" borderId="32" xfId="0" applyFont="1" applyFill="1" applyBorder="1" applyAlignment="1">
      <alignment vertical="center"/>
    </xf>
    <xf numFmtId="0" fontId="4" fillId="4" borderId="33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0" fontId="4" fillId="4" borderId="34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4" fillId="4" borderId="35" xfId="0" applyFont="1" applyFill="1" applyBorder="1" applyAlignment="1">
      <alignment vertical="center"/>
    </xf>
    <xf numFmtId="0" fontId="4" fillId="4" borderId="36" xfId="0" applyFont="1" applyFill="1" applyBorder="1" applyAlignment="1">
      <alignment vertical="center"/>
    </xf>
    <xf numFmtId="0" fontId="4" fillId="4" borderId="37" xfId="0" applyFont="1" applyFill="1" applyBorder="1" applyAlignment="1">
      <alignment vertical="center"/>
    </xf>
    <xf numFmtId="0" fontId="3" fillId="17" borderId="33" xfId="0" applyFont="1" applyFill="1" applyBorder="1" applyAlignment="1">
      <alignment horizontal="center" vertical="center"/>
    </xf>
    <xf numFmtId="0" fontId="65" fillId="4" borderId="33" xfId="0" applyFont="1" applyFill="1" applyBorder="1" applyAlignment="1">
      <alignment horizontal="center" vertical="center"/>
    </xf>
    <xf numFmtId="0" fontId="65" fillId="4" borderId="0" xfId="0" applyFont="1" applyFill="1" applyAlignment="1">
      <alignment horizontal="center" vertical="center"/>
    </xf>
    <xf numFmtId="0" fontId="65" fillId="4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center" vertical="center"/>
    </xf>
    <xf numFmtId="0" fontId="50" fillId="4" borderId="40" xfId="0" applyFont="1" applyFill="1" applyBorder="1" applyAlignment="1">
      <alignment horizontal="center" vertical="center"/>
    </xf>
    <xf numFmtId="0" fontId="54" fillId="4" borderId="40" xfId="0" applyFont="1" applyFill="1" applyBorder="1" applyAlignment="1">
      <alignment horizontal="center" vertical="center"/>
    </xf>
    <xf numFmtId="0" fontId="7" fillId="12" borderId="21" xfId="0" applyFont="1" applyFill="1" applyBorder="1" applyAlignment="1">
      <alignment horizontal="center" vertical="center"/>
    </xf>
    <xf numFmtId="43" fontId="6" fillId="4" borderId="103" xfId="1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vertical="center"/>
    </xf>
    <xf numFmtId="0" fontId="6" fillId="4" borderId="36" xfId="0" applyFont="1" applyFill="1" applyBorder="1" applyAlignment="1">
      <alignment vertical="center"/>
    </xf>
    <xf numFmtId="0" fontId="6" fillId="4" borderId="36" xfId="0" applyFont="1" applyFill="1" applyBorder="1" applyAlignment="1">
      <alignment horizontal="right" vertical="center"/>
    </xf>
    <xf numFmtId="43" fontId="6" fillId="4" borderId="36" xfId="1" applyFont="1" applyFill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/>
    </xf>
    <xf numFmtId="2" fontId="6" fillId="4" borderId="37" xfId="0" applyNumberFormat="1" applyFont="1" applyFill="1" applyBorder="1" applyAlignment="1">
      <alignment horizontal="left" vertical="center"/>
    </xf>
    <xf numFmtId="0" fontId="3" fillId="12" borderId="218" xfId="0" applyFont="1" applyFill="1" applyBorder="1" applyAlignment="1">
      <alignment horizontal="center" vertical="center"/>
    </xf>
    <xf numFmtId="0" fontId="0" fillId="12" borderId="218" xfId="0" applyFill="1" applyBorder="1" applyAlignment="1">
      <alignment horizontal="left" vertical="center"/>
    </xf>
    <xf numFmtId="43" fontId="0" fillId="12" borderId="218" xfId="1" applyFont="1" applyFill="1" applyBorder="1" applyAlignment="1">
      <alignment horizontal="center" vertical="center"/>
    </xf>
    <xf numFmtId="9" fontId="0" fillId="12" borderId="218" xfId="2" applyFont="1" applyFill="1" applyBorder="1" applyAlignment="1">
      <alignment horizontal="center" vertical="center"/>
    </xf>
    <xf numFmtId="0" fontId="53" fillId="12" borderId="219" xfId="0" applyFont="1" applyFill="1" applyBorder="1" applyAlignment="1">
      <alignment horizontal="left" vertical="center"/>
    </xf>
    <xf numFmtId="0" fontId="3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left" vertical="center"/>
    </xf>
    <xf numFmtId="43" fontId="0" fillId="13" borderId="0" xfId="1" applyFont="1" applyFill="1" applyBorder="1" applyAlignment="1">
      <alignment horizontal="center" vertical="center"/>
    </xf>
    <xf numFmtId="9" fontId="0" fillId="13" borderId="0" xfId="2" applyFont="1" applyFill="1" applyBorder="1" applyAlignment="1">
      <alignment horizontal="center" vertical="center"/>
    </xf>
    <xf numFmtId="0" fontId="53" fillId="13" borderId="221" xfId="0" applyFont="1" applyFill="1" applyBorder="1" applyAlignment="1">
      <alignment horizontal="left" vertical="center"/>
    </xf>
    <xf numFmtId="0" fontId="0" fillId="12" borderId="0" xfId="0" applyFill="1" applyAlignment="1">
      <alignment horizontal="left" vertical="center"/>
    </xf>
    <xf numFmtId="43" fontId="0" fillId="12" borderId="0" xfId="1" applyFont="1" applyFill="1" applyBorder="1" applyAlignment="1">
      <alignment horizontal="center" vertical="center"/>
    </xf>
    <xf numFmtId="9" fontId="0" fillId="12" borderId="0" xfId="2" applyFont="1" applyFill="1" applyBorder="1" applyAlignment="1">
      <alignment horizontal="center" vertical="center"/>
    </xf>
    <xf numFmtId="0" fontId="53" fillId="12" borderId="221" xfId="0" applyFont="1" applyFill="1" applyBorder="1" applyAlignment="1">
      <alignment horizontal="left" vertical="center"/>
    </xf>
    <xf numFmtId="0" fontId="3" fillId="12" borderId="223" xfId="0" applyFont="1" applyFill="1" applyBorder="1" applyAlignment="1">
      <alignment horizontal="center" vertical="center"/>
    </xf>
    <xf numFmtId="0" fontId="0" fillId="12" borderId="223" xfId="0" applyFill="1" applyBorder="1" applyAlignment="1">
      <alignment horizontal="left" vertical="center"/>
    </xf>
    <xf numFmtId="43" fontId="0" fillId="12" borderId="223" xfId="1" applyFont="1" applyFill="1" applyBorder="1" applyAlignment="1">
      <alignment horizontal="center" vertical="center"/>
    </xf>
    <xf numFmtId="9" fontId="0" fillId="12" borderId="223" xfId="2" applyFont="1" applyFill="1" applyBorder="1" applyAlignment="1">
      <alignment horizontal="center" vertical="center"/>
    </xf>
    <xf numFmtId="0" fontId="53" fillId="12" borderId="224" xfId="0" applyFont="1" applyFill="1" applyBorder="1" applyAlignment="1">
      <alignment horizontal="left" vertical="center"/>
    </xf>
    <xf numFmtId="43" fontId="0" fillId="12" borderId="225" xfId="1" applyFont="1" applyFill="1" applyBorder="1" applyAlignment="1">
      <alignment horizontal="left" vertical="center"/>
    </xf>
    <xf numFmtId="43" fontId="0" fillId="13" borderId="226" xfId="1" applyFont="1" applyFill="1" applyBorder="1" applyAlignment="1">
      <alignment horizontal="left" vertical="center"/>
    </xf>
    <xf numFmtId="43" fontId="0" fillId="12" borderId="226" xfId="1" applyFont="1" applyFill="1" applyBorder="1" applyAlignment="1">
      <alignment horizontal="left" vertical="center"/>
    </xf>
    <xf numFmtId="43" fontId="0" fillId="12" borderId="227" xfId="1" applyFont="1" applyFill="1" applyBorder="1" applyAlignment="1">
      <alignment horizontal="left" vertical="center"/>
    </xf>
    <xf numFmtId="0" fontId="3" fillId="16" borderId="218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left" vertical="center"/>
    </xf>
    <xf numFmtId="43" fontId="0" fillId="15" borderId="0" xfId="1" applyFont="1" applyFill="1" applyBorder="1" applyAlignment="1">
      <alignment horizontal="center" vertical="center"/>
    </xf>
    <xf numFmtId="9" fontId="0" fillId="15" borderId="0" xfId="2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16" borderId="223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0" fillId="16" borderId="201" xfId="0" applyFill="1" applyBorder="1" applyAlignment="1">
      <alignment vertical="center" wrapText="1"/>
    </xf>
    <xf numFmtId="0" fontId="68" fillId="6" borderId="23" xfId="0" applyFont="1" applyFill="1" applyBorder="1" applyAlignment="1">
      <alignment horizontal="center" vertical="center"/>
    </xf>
    <xf numFmtId="0" fontId="68" fillId="7" borderId="23" xfId="0" applyFont="1" applyFill="1" applyBorder="1" applyAlignment="1">
      <alignment horizontal="center" vertical="center"/>
    </xf>
    <xf numFmtId="0" fontId="0" fillId="14" borderId="21" xfId="0" applyFill="1" applyBorder="1" applyAlignment="1">
      <alignment horizontal="center" vertical="center"/>
    </xf>
    <xf numFmtId="0" fontId="0" fillId="14" borderId="201" xfId="0" applyFill="1" applyBorder="1" applyAlignment="1">
      <alignment vertical="center" wrapText="1"/>
    </xf>
    <xf numFmtId="43" fontId="10" fillId="14" borderId="74" xfId="1" applyFont="1" applyFill="1" applyBorder="1" applyAlignment="1">
      <alignment horizontal="center" vertical="center"/>
    </xf>
    <xf numFmtId="9" fontId="10" fillId="14" borderId="74" xfId="2" applyFont="1" applyFill="1" applyBorder="1" applyAlignment="1">
      <alignment horizontal="center" vertical="center"/>
    </xf>
    <xf numFmtId="43" fontId="55" fillId="14" borderId="203" xfId="1" applyFont="1" applyFill="1" applyBorder="1" applyAlignment="1">
      <alignment horizontal="left" vertical="center"/>
    </xf>
    <xf numFmtId="0" fontId="7" fillId="14" borderId="21" xfId="0" applyFont="1" applyFill="1" applyBorder="1" applyAlignment="1">
      <alignment horizontal="center" vertical="center"/>
    </xf>
    <xf numFmtId="0" fontId="10" fillId="14" borderId="21" xfId="0" applyFont="1" applyFill="1" applyBorder="1" applyAlignment="1">
      <alignment horizontal="center" vertical="center"/>
    </xf>
    <xf numFmtId="43" fontId="10" fillId="14" borderId="147" xfId="1" applyFont="1" applyFill="1" applyBorder="1" applyAlignment="1">
      <alignment horizontal="center" vertical="center"/>
    </xf>
    <xf numFmtId="9" fontId="10" fillId="16" borderId="60" xfId="2" applyFont="1" applyFill="1" applyBorder="1" applyAlignment="1">
      <alignment horizontal="center" vertical="center"/>
    </xf>
    <xf numFmtId="43" fontId="55" fillId="16" borderId="204" xfId="1" applyFont="1" applyFill="1" applyBorder="1" applyAlignment="1">
      <alignment horizontal="left" vertical="center"/>
    </xf>
    <xf numFmtId="0" fontId="7" fillId="16" borderId="23" xfId="0" applyFont="1" applyFill="1" applyBorder="1" applyAlignment="1">
      <alignment horizontal="center" vertical="center"/>
    </xf>
    <xf numFmtId="43" fontId="10" fillId="16" borderId="146" xfId="1" applyFont="1" applyFill="1" applyBorder="1" applyAlignment="1">
      <alignment horizontal="center" vertical="center"/>
    </xf>
    <xf numFmtId="0" fontId="68" fillId="12" borderId="21" xfId="0" applyFont="1" applyFill="1" applyBorder="1" applyAlignment="1">
      <alignment horizontal="center" vertical="center"/>
    </xf>
    <xf numFmtId="43" fontId="2" fillId="33" borderId="65" xfId="1" applyFont="1" applyFill="1" applyBorder="1" applyAlignment="1">
      <alignment horizontal="center" vertical="center"/>
    </xf>
    <xf numFmtId="43" fontId="2" fillId="33" borderId="66" xfId="1" applyFont="1" applyFill="1" applyBorder="1" applyAlignment="1">
      <alignment horizontal="center" vertical="center"/>
    </xf>
    <xf numFmtId="43" fontId="2" fillId="33" borderId="39" xfId="1" applyFont="1" applyFill="1" applyBorder="1" applyAlignment="1">
      <alignment horizontal="center" vertical="center"/>
    </xf>
    <xf numFmtId="167" fontId="2" fillId="33" borderId="205" xfId="1" applyNumberFormat="1" applyFont="1" applyFill="1" applyBorder="1" applyAlignment="1">
      <alignment horizontal="center" vertical="center"/>
    </xf>
    <xf numFmtId="0" fontId="26" fillId="33" borderId="39" xfId="0" applyFont="1" applyFill="1" applyBorder="1" applyAlignment="1">
      <alignment horizontal="left" vertical="center"/>
    </xf>
    <xf numFmtId="0" fontId="26" fillId="33" borderId="40" xfId="0" applyFont="1" applyFill="1" applyBorder="1" applyAlignment="1">
      <alignment horizontal="left" vertical="center"/>
    </xf>
    <xf numFmtId="0" fontId="57" fillId="33" borderId="40" xfId="0" applyFont="1" applyFill="1" applyBorder="1" applyAlignment="1">
      <alignment horizontal="center" vertical="center"/>
    </xf>
    <xf numFmtId="167" fontId="63" fillId="33" borderId="40" xfId="0" applyNumberFormat="1" applyFont="1" applyFill="1" applyBorder="1" applyAlignment="1">
      <alignment horizontal="center" vertical="center"/>
    </xf>
    <xf numFmtId="0" fontId="2" fillId="33" borderId="40" xfId="0" applyFont="1" applyFill="1" applyBorder="1" applyAlignment="1">
      <alignment horizontal="right" vertical="center"/>
    </xf>
    <xf numFmtId="0" fontId="69" fillId="7" borderId="201" xfId="0" applyFont="1" applyFill="1" applyBorder="1" applyAlignment="1">
      <alignment vertical="center" wrapText="1"/>
    </xf>
    <xf numFmtId="0" fontId="0" fillId="11" borderId="23" xfId="0" applyFill="1" applyBorder="1" applyAlignment="1">
      <alignment horizontal="center" vertical="center"/>
    </xf>
    <xf numFmtId="0" fontId="0" fillId="11" borderId="201" xfId="0" applyFill="1" applyBorder="1" applyAlignment="1">
      <alignment vertical="center" wrapText="1"/>
    </xf>
    <xf numFmtId="43" fontId="10" fillId="11" borderId="60" xfId="1" applyFont="1" applyFill="1" applyBorder="1" applyAlignment="1">
      <alignment horizontal="center" vertical="center"/>
    </xf>
    <xf numFmtId="9" fontId="10" fillId="11" borderId="60" xfId="2" applyFont="1" applyFill="1" applyBorder="1" applyAlignment="1">
      <alignment horizontal="center" vertical="center" wrapText="1"/>
    </xf>
    <xf numFmtId="43" fontId="55" fillId="11" borderId="204" xfId="1" applyFont="1" applyFill="1" applyBorder="1" applyAlignment="1">
      <alignment horizontal="left" vertical="center" wrapText="1"/>
    </xf>
    <xf numFmtId="0" fontId="69" fillId="11" borderId="201" xfId="0" applyFont="1" applyFill="1" applyBorder="1" applyAlignment="1">
      <alignment vertical="center" wrapText="1"/>
    </xf>
    <xf numFmtId="0" fontId="68" fillId="11" borderId="23" xfId="0" applyFont="1" applyFill="1" applyBorder="1" applyAlignment="1">
      <alignment horizontal="center" vertical="center"/>
    </xf>
    <xf numFmtId="43" fontId="10" fillId="11" borderId="146" xfId="1" applyFont="1" applyFill="1" applyBorder="1" applyAlignment="1">
      <alignment horizontal="center" vertical="center" wrapText="1"/>
    </xf>
    <xf numFmtId="0" fontId="3" fillId="28" borderId="22" xfId="0" applyFont="1" applyFill="1" applyBorder="1" applyAlignment="1">
      <alignment horizontal="center" vertical="center"/>
    </xf>
    <xf numFmtId="0" fontId="0" fillId="28" borderId="23" xfId="0" applyFill="1" applyBorder="1" applyAlignment="1">
      <alignment horizontal="center" vertical="center"/>
    </xf>
    <xf numFmtId="0" fontId="0" fillId="28" borderId="201" xfId="0" applyFill="1" applyBorder="1" applyAlignment="1">
      <alignment vertical="center" wrapText="1"/>
    </xf>
    <xf numFmtId="43" fontId="10" fillId="28" borderId="60" xfId="1" applyFont="1" applyFill="1" applyBorder="1" applyAlignment="1">
      <alignment horizontal="center" vertical="center"/>
    </xf>
    <xf numFmtId="9" fontId="10" fillId="28" borderId="60" xfId="2" applyFont="1" applyFill="1" applyBorder="1" applyAlignment="1">
      <alignment horizontal="center" vertical="center" wrapText="1"/>
    </xf>
    <xf numFmtId="43" fontId="55" fillId="28" borderId="204" xfId="1" applyFont="1" applyFill="1" applyBorder="1" applyAlignment="1">
      <alignment horizontal="left" vertical="center" wrapText="1"/>
    </xf>
    <xf numFmtId="43" fontId="10" fillId="28" borderId="146" xfId="1" applyFont="1" applyFill="1" applyBorder="1" applyAlignment="1">
      <alignment horizontal="center" vertical="center" wrapText="1"/>
    </xf>
    <xf numFmtId="0" fontId="3" fillId="11" borderId="22" xfId="0" applyFont="1" applyFill="1" applyBorder="1" applyAlignment="1">
      <alignment horizontal="center" vertical="center"/>
    </xf>
    <xf numFmtId="0" fontId="3" fillId="28" borderId="22" xfId="0" applyFont="1" applyFill="1" applyBorder="1" applyAlignment="1">
      <alignment horizontal="center" vertical="center" wrapText="1"/>
    </xf>
    <xf numFmtId="0" fontId="3" fillId="11" borderId="22" xfId="0" applyFont="1" applyFill="1" applyBorder="1" applyAlignment="1">
      <alignment horizontal="center" vertical="center" wrapText="1"/>
    </xf>
    <xf numFmtId="0" fontId="3" fillId="28" borderId="39" xfId="0" applyFont="1" applyFill="1" applyBorder="1" applyAlignment="1">
      <alignment horizontal="center" vertical="center"/>
    </xf>
    <xf numFmtId="0" fontId="3" fillId="11" borderId="40" xfId="0" applyFont="1" applyFill="1" applyBorder="1" applyAlignment="1">
      <alignment horizontal="center" vertical="center"/>
    </xf>
    <xf numFmtId="0" fontId="0" fillId="11" borderId="40" xfId="0" applyFill="1" applyBorder="1" applyAlignment="1">
      <alignment horizontal="left" vertical="center" wrapText="1"/>
    </xf>
    <xf numFmtId="43" fontId="0" fillId="11" borderId="40" xfId="1" applyFont="1" applyFill="1" applyBorder="1" applyAlignment="1">
      <alignment horizontal="center" vertical="center"/>
    </xf>
    <xf numFmtId="9" fontId="0" fillId="11" borderId="40" xfId="2" applyFont="1" applyFill="1" applyBorder="1" applyAlignment="1">
      <alignment horizontal="center" vertical="center"/>
    </xf>
    <xf numFmtId="43" fontId="53" fillId="11" borderId="41" xfId="1" applyFont="1" applyFill="1" applyBorder="1" applyAlignment="1">
      <alignment horizontal="left" vertical="center"/>
    </xf>
    <xf numFmtId="43" fontId="0" fillId="11" borderId="38" xfId="1" applyFont="1" applyFill="1" applyBorder="1" applyAlignment="1">
      <alignment horizontal="center" vertical="center"/>
    </xf>
    <xf numFmtId="0" fontId="3" fillId="31" borderId="39" xfId="0" applyFont="1" applyFill="1" applyBorder="1" applyAlignment="1">
      <alignment horizontal="center" vertical="center"/>
    </xf>
    <xf numFmtId="0" fontId="3" fillId="28" borderId="40" xfId="0" applyFont="1" applyFill="1" applyBorder="1" applyAlignment="1">
      <alignment horizontal="center" vertical="center"/>
    </xf>
    <xf numFmtId="0" fontId="0" fillId="28" borderId="40" xfId="0" applyFill="1" applyBorder="1" applyAlignment="1">
      <alignment horizontal="left" vertical="center" wrapText="1"/>
    </xf>
    <xf numFmtId="43" fontId="0" fillId="28" borderId="40" xfId="1" applyFont="1" applyFill="1" applyBorder="1" applyAlignment="1">
      <alignment horizontal="center" vertical="center"/>
    </xf>
    <xf numFmtId="9" fontId="0" fillId="28" borderId="40" xfId="2" applyFont="1" applyFill="1" applyBorder="1" applyAlignment="1">
      <alignment horizontal="center" vertical="center"/>
    </xf>
    <xf numFmtId="43" fontId="53" fillId="28" borderId="41" xfId="1" applyFont="1" applyFill="1" applyBorder="1" applyAlignment="1">
      <alignment horizontal="left" vertical="center"/>
    </xf>
    <xf numFmtId="43" fontId="0" fillId="28" borderId="38" xfId="1" applyFont="1" applyFill="1" applyBorder="1" applyAlignment="1">
      <alignment horizontal="center" vertical="center"/>
    </xf>
    <xf numFmtId="0" fontId="3" fillId="12" borderId="36" xfId="0" applyFont="1" applyFill="1" applyBorder="1" applyAlignment="1">
      <alignment horizontal="center" vertical="center"/>
    </xf>
    <xf numFmtId="0" fontId="0" fillId="12" borderId="36" xfId="0" applyFill="1" applyBorder="1" applyAlignment="1">
      <alignment horizontal="left" vertical="center"/>
    </xf>
    <xf numFmtId="43" fontId="0" fillId="12" borderId="36" xfId="1" applyFont="1" applyFill="1" applyBorder="1" applyAlignment="1">
      <alignment horizontal="center" vertical="center"/>
    </xf>
    <xf numFmtId="9" fontId="0" fillId="12" borderId="36" xfId="2" applyFont="1" applyFill="1" applyBorder="1" applyAlignment="1">
      <alignment horizontal="center" vertical="center"/>
    </xf>
    <xf numFmtId="43" fontId="53" fillId="12" borderId="37" xfId="1" applyFont="1" applyFill="1" applyBorder="1" applyAlignment="1">
      <alignment horizontal="left" vertical="center"/>
    </xf>
    <xf numFmtId="43" fontId="0" fillId="12" borderId="103" xfId="1" applyFont="1" applyFill="1" applyBorder="1" applyAlignment="1">
      <alignment horizontal="center" vertical="center"/>
    </xf>
    <xf numFmtId="0" fontId="3" fillId="28" borderId="40" xfId="0" applyFont="1" applyFill="1" applyBorder="1" applyAlignment="1">
      <alignment horizontal="center" vertical="center" wrapText="1"/>
    </xf>
    <xf numFmtId="0" fontId="3" fillId="32" borderId="30" xfId="0" applyFont="1" applyFill="1" applyBorder="1" applyAlignment="1">
      <alignment horizontal="center" vertical="center"/>
    </xf>
    <xf numFmtId="0" fontId="3" fillId="16" borderId="31" xfId="0" applyFont="1" applyFill="1" applyBorder="1" applyAlignment="1">
      <alignment horizontal="center" vertical="center"/>
    </xf>
    <xf numFmtId="0" fontId="0" fillId="16" borderId="31" xfId="0" applyFill="1" applyBorder="1" applyAlignment="1">
      <alignment horizontal="left" vertical="center"/>
    </xf>
    <xf numFmtId="43" fontId="0" fillId="16" borderId="31" xfId="1" applyFont="1" applyFill="1" applyBorder="1" applyAlignment="1">
      <alignment horizontal="center" vertical="center"/>
    </xf>
    <xf numFmtId="9" fontId="0" fillId="16" borderId="31" xfId="2" applyFont="1" applyFill="1" applyBorder="1" applyAlignment="1">
      <alignment horizontal="center" vertical="center"/>
    </xf>
    <xf numFmtId="43" fontId="53" fillId="16" borderId="32" xfId="1" applyFont="1" applyFill="1" applyBorder="1" applyAlignment="1">
      <alignment horizontal="left" vertical="center"/>
    </xf>
    <xf numFmtId="43" fontId="0" fillId="16" borderId="200" xfId="1" applyFont="1" applyFill="1" applyBorder="1" applyAlignment="1">
      <alignment horizontal="center" vertical="center"/>
    </xf>
    <xf numFmtId="0" fontId="3" fillId="32" borderId="31" xfId="0" applyFont="1" applyFill="1" applyBorder="1" applyAlignment="1">
      <alignment horizontal="center" vertical="center"/>
    </xf>
    <xf numFmtId="0" fontId="3" fillId="32" borderId="0" xfId="0" applyFont="1" applyFill="1" applyAlignment="1">
      <alignment horizontal="center" vertical="center"/>
    </xf>
    <xf numFmtId="0" fontId="3" fillId="32" borderId="31" xfId="0" applyFont="1" applyFill="1" applyBorder="1" applyAlignment="1">
      <alignment horizontal="center" vertical="center" wrapText="1"/>
    </xf>
    <xf numFmtId="0" fontId="3" fillId="5" borderId="31" xfId="0" applyFont="1" applyFill="1" applyBorder="1" applyAlignment="1">
      <alignment horizontal="center" vertical="center" wrapText="1"/>
    </xf>
    <xf numFmtId="0" fontId="3" fillId="11" borderId="36" xfId="0" applyFont="1" applyFill="1" applyBorder="1" applyAlignment="1">
      <alignment horizontal="center" vertical="center" wrapText="1"/>
    </xf>
    <xf numFmtId="0" fontId="3" fillId="31" borderId="40" xfId="0" applyFont="1" applyFill="1" applyBorder="1" applyAlignment="1">
      <alignment horizontal="center" vertical="center" wrapText="1"/>
    </xf>
    <xf numFmtId="0" fontId="3" fillId="31" borderId="218" xfId="0" applyFont="1" applyFill="1" applyBorder="1" applyAlignment="1">
      <alignment horizontal="center" vertical="center"/>
    </xf>
    <xf numFmtId="0" fontId="3" fillId="31" borderId="0" xfId="0" applyFont="1" applyFill="1" applyAlignment="1">
      <alignment horizontal="center" vertical="center"/>
    </xf>
    <xf numFmtId="0" fontId="3" fillId="31" borderId="223" xfId="0" applyFont="1" applyFill="1" applyBorder="1" applyAlignment="1">
      <alignment horizontal="center" vertical="center"/>
    </xf>
    <xf numFmtId="0" fontId="3" fillId="11" borderId="218" xfId="0" applyFont="1" applyFill="1" applyBorder="1" applyAlignment="1">
      <alignment horizontal="center" vertical="center"/>
    </xf>
    <xf numFmtId="0" fontId="3" fillId="11" borderId="223" xfId="0" applyFont="1" applyFill="1" applyBorder="1" applyAlignment="1">
      <alignment horizontal="center" vertical="center"/>
    </xf>
    <xf numFmtId="43" fontId="53" fillId="15" borderId="34" xfId="1" applyFont="1" applyFill="1" applyBorder="1" applyAlignment="1">
      <alignment horizontal="left" vertical="center"/>
    </xf>
    <xf numFmtId="43" fontId="0" fillId="15" borderId="76" xfId="1" applyFont="1" applyFill="1" applyBorder="1" applyAlignment="1">
      <alignment horizontal="center" vertical="center"/>
    </xf>
    <xf numFmtId="0" fontId="0" fillId="11" borderId="218" xfId="0" applyFill="1" applyBorder="1" applyAlignment="1">
      <alignment horizontal="left" vertical="center"/>
    </xf>
    <xf numFmtId="43" fontId="0" fillId="11" borderId="218" xfId="1" applyFont="1" applyFill="1" applyBorder="1" applyAlignment="1">
      <alignment horizontal="center" vertical="center"/>
    </xf>
    <xf numFmtId="9" fontId="0" fillId="11" borderId="218" xfId="2" applyFont="1" applyFill="1" applyBorder="1" applyAlignment="1">
      <alignment horizontal="center" vertical="center"/>
    </xf>
    <xf numFmtId="0" fontId="53" fillId="11" borderId="219" xfId="0" applyFont="1" applyFill="1" applyBorder="1" applyAlignment="1">
      <alignment horizontal="left" vertical="center"/>
    </xf>
    <xf numFmtId="43" fontId="0" fillId="11" borderId="225" xfId="1" applyFont="1" applyFill="1" applyBorder="1" applyAlignment="1">
      <alignment horizontal="left" vertical="center"/>
    </xf>
    <xf numFmtId="43" fontId="0" fillId="11" borderId="226" xfId="1" applyFont="1" applyFill="1" applyBorder="1" applyAlignment="1">
      <alignment horizontal="left" vertical="center"/>
    </xf>
    <xf numFmtId="0" fontId="0" fillId="11" borderId="0" xfId="0" applyFill="1" applyAlignment="1">
      <alignment horizontal="left" vertical="center"/>
    </xf>
    <xf numFmtId="43" fontId="0" fillId="11" borderId="0" xfId="1" applyFont="1" applyFill="1" applyBorder="1" applyAlignment="1">
      <alignment horizontal="center" vertical="center"/>
    </xf>
    <xf numFmtId="9" fontId="0" fillId="11" borderId="0" xfId="2" applyFont="1" applyFill="1" applyBorder="1" applyAlignment="1">
      <alignment horizontal="center" vertical="center"/>
    </xf>
    <xf numFmtId="0" fontId="53" fillId="11" borderId="221" xfId="0" applyFont="1" applyFill="1" applyBorder="1" applyAlignment="1">
      <alignment horizontal="left" vertical="center"/>
    </xf>
    <xf numFmtId="0" fontId="0" fillId="11" borderId="223" xfId="0" applyFill="1" applyBorder="1" applyAlignment="1">
      <alignment horizontal="left" vertical="center"/>
    </xf>
    <xf numFmtId="43" fontId="0" fillId="11" borderId="223" xfId="1" applyFont="1" applyFill="1" applyBorder="1" applyAlignment="1">
      <alignment horizontal="center" vertical="center"/>
    </xf>
    <xf numFmtId="9" fontId="0" fillId="11" borderId="223" xfId="2" applyFont="1" applyFill="1" applyBorder="1" applyAlignment="1">
      <alignment horizontal="center" vertical="center"/>
    </xf>
    <xf numFmtId="0" fontId="53" fillId="11" borderId="224" xfId="0" applyFont="1" applyFill="1" applyBorder="1" applyAlignment="1">
      <alignment horizontal="left" vertical="center"/>
    </xf>
    <xf numFmtId="43" fontId="0" fillId="11" borderId="227" xfId="1" applyFont="1" applyFill="1" applyBorder="1" applyAlignment="1">
      <alignment horizontal="left" vertical="center"/>
    </xf>
    <xf numFmtId="0" fontId="3" fillId="28" borderId="218" xfId="0" applyFont="1" applyFill="1" applyBorder="1" applyAlignment="1">
      <alignment horizontal="center" vertical="center"/>
    </xf>
    <xf numFmtId="0" fontId="0" fillId="28" borderId="218" xfId="0" applyFill="1" applyBorder="1" applyAlignment="1">
      <alignment horizontal="left" vertical="center" wrapText="1"/>
    </xf>
    <xf numFmtId="43" fontId="0" fillId="28" borderId="218" xfId="1" applyFont="1" applyFill="1" applyBorder="1" applyAlignment="1">
      <alignment horizontal="center" vertical="center"/>
    </xf>
    <xf numFmtId="9" fontId="0" fillId="28" borderId="218" xfId="2" applyFont="1" applyFill="1" applyBorder="1" applyAlignment="1">
      <alignment horizontal="center" vertical="center" wrapText="1"/>
    </xf>
    <xf numFmtId="0" fontId="53" fillId="28" borderId="219" xfId="0" applyFont="1" applyFill="1" applyBorder="1" applyAlignment="1">
      <alignment horizontal="left" vertical="center" wrapText="1"/>
    </xf>
    <xf numFmtId="43" fontId="0" fillId="28" borderId="225" xfId="1" applyFont="1" applyFill="1" applyBorder="1" applyAlignment="1">
      <alignment horizontal="left" vertical="center"/>
    </xf>
    <xf numFmtId="43" fontId="0" fillId="28" borderId="226" xfId="1" applyFont="1" applyFill="1" applyBorder="1" applyAlignment="1">
      <alignment horizontal="left" vertical="center"/>
    </xf>
    <xf numFmtId="0" fontId="3" fillId="28" borderId="0" xfId="0" applyFont="1" applyFill="1" applyAlignment="1">
      <alignment horizontal="center" vertical="center"/>
    </xf>
    <xf numFmtId="0" fontId="0" fillId="28" borderId="0" xfId="0" applyFill="1" applyAlignment="1">
      <alignment horizontal="left" vertical="center" wrapText="1"/>
    </xf>
    <xf numFmtId="43" fontId="0" fillId="28" borderId="0" xfId="1" applyFont="1" applyFill="1" applyBorder="1" applyAlignment="1">
      <alignment horizontal="center" vertical="center"/>
    </xf>
    <xf numFmtId="9" fontId="0" fillId="28" borderId="0" xfId="2" applyFont="1" applyFill="1" applyBorder="1" applyAlignment="1">
      <alignment horizontal="center" vertical="center" wrapText="1"/>
    </xf>
    <xf numFmtId="0" fontId="53" fillId="28" borderId="221" xfId="0" applyFont="1" applyFill="1" applyBorder="1" applyAlignment="1">
      <alignment horizontal="left" vertical="center" wrapText="1"/>
    </xf>
    <xf numFmtId="0" fontId="0" fillId="16" borderId="20" xfId="0" applyFill="1" applyBorder="1" applyAlignment="1">
      <alignment horizontal="center" vertical="center"/>
    </xf>
    <xf numFmtId="0" fontId="0" fillId="16" borderId="20" xfId="0" applyFill="1" applyBorder="1" applyAlignment="1">
      <alignment horizontal="left" vertical="center" wrapText="1"/>
    </xf>
    <xf numFmtId="0" fontId="8" fillId="16" borderId="21" xfId="0" applyFont="1" applyFill="1" applyBorder="1" applyAlignment="1">
      <alignment horizontal="center" vertical="center"/>
    </xf>
    <xf numFmtId="0" fontId="7" fillId="16" borderId="20" xfId="0" applyFont="1" applyFill="1" applyBorder="1" applyAlignment="1">
      <alignment horizontal="center" vertical="center"/>
    </xf>
    <xf numFmtId="0" fontId="7" fillId="16" borderId="20" xfId="0" applyFont="1" applyFill="1" applyBorder="1" applyAlignment="1">
      <alignment horizontal="left" vertical="center" wrapText="1"/>
    </xf>
    <xf numFmtId="0" fontId="10" fillId="16" borderId="20" xfId="0" applyFont="1" applyFill="1" applyBorder="1" applyAlignment="1">
      <alignment horizontal="center" vertical="center"/>
    </xf>
    <xf numFmtId="0" fontId="7" fillId="15" borderId="22" xfId="0" applyFont="1" applyFill="1" applyBorder="1" applyAlignment="1">
      <alignment horizontal="center" vertical="center"/>
    </xf>
    <xf numFmtId="0" fontId="7" fillId="15" borderId="22" xfId="0" applyFont="1" applyFill="1" applyBorder="1" applyAlignment="1">
      <alignment horizontal="left" vertical="center" wrapText="1"/>
    </xf>
    <xf numFmtId="0" fontId="64" fillId="15" borderId="23" xfId="0" applyFont="1" applyFill="1" applyBorder="1" applyAlignment="1">
      <alignment horizontal="center" vertical="center"/>
    </xf>
    <xf numFmtId="0" fontId="7" fillId="15" borderId="16" xfId="0" applyFont="1" applyFill="1" applyBorder="1" applyAlignment="1">
      <alignment horizontal="center" vertical="center"/>
    </xf>
    <xf numFmtId="0" fontId="7" fillId="15" borderId="16" xfId="0" applyFont="1" applyFill="1" applyBorder="1" applyAlignment="1">
      <alignment horizontal="center" vertical="center" wrapText="1"/>
    </xf>
    <xf numFmtId="0" fontId="0" fillId="3" borderId="235" xfId="0" applyFill="1" applyBorder="1"/>
    <xf numFmtId="0" fontId="0" fillId="6" borderId="236" xfId="0" applyFill="1" applyBorder="1" applyAlignment="1">
      <alignment horizontal="center" vertical="center"/>
    </xf>
    <xf numFmtId="0" fontId="0" fillId="6" borderId="237" xfId="0" applyFill="1" applyBorder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43" fontId="10" fillId="12" borderId="23" xfId="1" applyFont="1" applyFill="1" applyBorder="1" applyAlignment="1">
      <alignment horizontal="center" vertical="center"/>
    </xf>
    <xf numFmtId="43" fontId="10" fillId="13" borderId="23" xfId="1" applyFont="1" applyFill="1" applyBorder="1" applyAlignment="1">
      <alignment horizontal="center" vertical="center"/>
    </xf>
    <xf numFmtId="43" fontId="10" fillId="12" borderId="21" xfId="1" applyFont="1" applyFill="1" applyBorder="1" applyAlignment="1">
      <alignment horizontal="center" vertical="center"/>
    </xf>
    <xf numFmtId="43" fontId="10" fillId="11" borderId="23" xfId="1" applyFont="1" applyFill="1" applyBorder="1" applyAlignment="1">
      <alignment horizontal="center" vertical="center"/>
    </xf>
    <xf numFmtId="43" fontId="10" fillId="28" borderId="23" xfId="1" applyFont="1" applyFill="1" applyBorder="1" applyAlignment="1">
      <alignment horizontal="center" vertical="center"/>
    </xf>
    <xf numFmtId="43" fontId="10" fillId="2" borderId="29" xfId="1" applyFont="1" applyFill="1" applyBorder="1" applyAlignment="1">
      <alignment horizontal="center" vertical="center"/>
    </xf>
    <xf numFmtId="0" fontId="69" fillId="6" borderId="201" xfId="0" applyFont="1" applyFill="1" applyBorder="1" applyAlignment="1">
      <alignment vertical="center" wrapText="1"/>
    </xf>
    <xf numFmtId="0" fontId="69" fillId="12" borderId="201" xfId="0" applyFont="1" applyFill="1" applyBorder="1" applyAlignment="1">
      <alignment vertical="center" wrapText="1"/>
    </xf>
    <xf numFmtId="0" fontId="0" fillId="13" borderId="29" xfId="0" applyFill="1" applyBorder="1" applyAlignment="1">
      <alignment horizontal="center" vertical="center"/>
    </xf>
    <xf numFmtId="43" fontId="10" fillId="13" borderId="51" xfId="1" applyFont="1" applyFill="1" applyBorder="1" applyAlignment="1">
      <alignment horizontal="center" vertical="center"/>
    </xf>
    <xf numFmtId="0" fontId="3" fillId="12" borderId="27" xfId="0" applyFont="1" applyFill="1" applyBorder="1" applyAlignment="1">
      <alignment horizontal="center" vertical="center"/>
    </xf>
    <xf numFmtId="0" fontId="10" fillId="12" borderId="51" xfId="1" applyNumberFormat="1" applyFont="1" applyFill="1" applyBorder="1" applyAlignment="1">
      <alignment horizontal="center" vertical="center"/>
    </xf>
    <xf numFmtId="0" fontId="3" fillId="12" borderId="28" xfId="0" applyFont="1" applyFill="1" applyBorder="1" applyAlignment="1">
      <alignment horizontal="center" vertical="center" wrapText="1"/>
    </xf>
    <xf numFmtId="0" fontId="3" fillId="13" borderId="28" xfId="0" applyFont="1" applyFill="1" applyBorder="1" applyAlignment="1">
      <alignment horizontal="center" vertical="center"/>
    </xf>
    <xf numFmtId="0" fontId="10" fillId="13" borderId="51" xfId="1" applyNumberFormat="1" applyFont="1" applyFill="1" applyBorder="1" applyAlignment="1">
      <alignment horizontal="center" vertical="center"/>
    </xf>
    <xf numFmtId="0" fontId="3" fillId="13" borderId="28" xfId="0" applyFont="1" applyFill="1" applyBorder="1" applyAlignment="1">
      <alignment horizontal="center" vertical="center" wrapText="1"/>
    </xf>
    <xf numFmtId="0" fontId="0" fillId="13" borderId="202" xfId="0" applyFill="1" applyBorder="1" applyAlignment="1">
      <alignment horizontal="left" vertical="center" wrapText="1"/>
    </xf>
    <xf numFmtId="9" fontId="10" fillId="13" borderId="51" xfId="2" applyFont="1" applyFill="1" applyBorder="1" applyAlignment="1">
      <alignment horizontal="center" vertical="center"/>
    </xf>
    <xf numFmtId="43" fontId="55" fillId="13" borderId="53" xfId="1" applyFont="1" applyFill="1" applyBorder="1" applyAlignment="1">
      <alignment horizontal="left" vertical="center"/>
    </xf>
    <xf numFmtId="43" fontId="10" fillId="13" borderId="117" xfId="1" applyFont="1" applyFill="1" applyBorder="1" applyAlignment="1">
      <alignment horizontal="center" vertical="center"/>
    </xf>
    <xf numFmtId="0" fontId="3" fillId="12" borderId="39" xfId="0" applyFont="1" applyFill="1" applyBorder="1" applyAlignment="1">
      <alignment horizontal="center" vertical="center"/>
    </xf>
    <xf numFmtId="0" fontId="3" fillId="12" borderId="40" xfId="0" applyFont="1" applyFill="1" applyBorder="1" applyAlignment="1">
      <alignment horizontal="center" vertical="center"/>
    </xf>
    <xf numFmtId="0" fontId="3" fillId="12" borderId="40" xfId="0" applyFont="1" applyFill="1" applyBorder="1" applyAlignment="1">
      <alignment horizontal="center" vertical="center" wrapText="1"/>
    </xf>
    <xf numFmtId="0" fontId="3" fillId="12" borderId="228" xfId="0" applyFont="1" applyFill="1" applyBorder="1" applyAlignment="1">
      <alignment horizontal="center" vertical="center"/>
    </xf>
    <xf numFmtId="0" fontId="3" fillId="12" borderId="229" xfId="0" applyFont="1" applyFill="1" applyBorder="1" applyAlignment="1">
      <alignment horizontal="center" vertical="center"/>
    </xf>
    <xf numFmtId="0" fontId="3" fillId="12" borderId="233" xfId="0" applyFont="1" applyFill="1" applyBorder="1" applyAlignment="1">
      <alignment horizontal="center" vertical="center" wrapText="1"/>
    </xf>
    <xf numFmtId="0" fontId="3" fillId="13" borderId="40" xfId="0" applyFont="1" applyFill="1" applyBorder="1" applyAlignment="1">
      <alignment horizontal="center" vertical="center"/>
    </xf>
    <xf numFmtId="0" fontId="0" fillId="13" borderId="40" xfId="0" applyFill="1" applyBorder="1" applyAlignment="1">
      <alignment horizontal="left" vertical="center"/>
    </xf>
    <xf numFmtId="43" fontId="0" fillId="13" borderId="40" xfId="1" applyFont="1" applyFill="1" applyBorder="1" applyAlignment="1">
      <alignment horizontal="center" vertical="center"/>
    </xf>
    <xf numFmtId="9" fontId="0" fillId="13" borderId="40" xfId="2" applyFont="1" applyFill="1" applyBorder="1" applyAlignment="1">
      <alignment horizontal="center" vertical="center"/>
    </xf>
    <xf numFmtId="43" fontId="53" fillId="13" borderId="41" xfId="1" applyFont="1" applyFill="1" applyBorder="1" applyAlignment="1">
      <alignment horizontal="left" vertical="center"/>
    </xf>
    <xf numFmtId="43" fontId="0" fillId="13" borderId="38" xfId="1" applyFont="1" applyFill="1" applyBorder="1" applyAlignment="1">
      <alignment horizontal="center" vertical="center"/>
    </xf>
    <xf numFmtId="43" fontId="0" fillId="13" borderId="216" xfId="1" applyFont="1" applyFill="1" applyBorder="1" applyAlignment="1">
      <alignment horizontal="left" vertical="center"/>
    </xf>
    <xf numFmtId="0" fontId="3" fillId="13" borderId="229" xfId="0" applyFont="1" applyFill="1" applyBorder="1" applyAlignment="1">
      <alignment horizontal="center" vertical="center"/>
    </xf>
    <xf numFmtId="0" fontId="0" fillId="13" borderId="229" xfId="0" applyFill="1" applyBorder="1" applyAlignment="1">
      <alignment horizontal="left" vertical="center"/>
    </xf>
    <xf numFmtId="43" fontId="0" fillId="13" borderId="229" xfId="1" applyFont="1" applyFill="1" applyBorder="1" applyAlignment="1">
      <alignment horizontal="center" vertical="center"/>
    </xf>
    <xf numFmtId="9" fontId="0" fillId="13" borderId="229" xfId="2" applyFont="1" applyFill="1" applyBorder="1" applyAlignment="1">
      <alignment horizontal="center" vertical="center"/>
    </xf>
    <xf numFmtId="0" fontId="53" fillId="13" borderId="230" xfId="0" applyFont="1" applyFill="1" applyBorder="1" applyAlignment="1">
      <alignment horizontal="left" vertical="center"/>
    </xf>
    <xf numFmtId="1" fontId="0" fillId="20" borderId="16" xfId="0" applyNumberFormat="1" applyFill="1" applyBorder="1" applyAlignment="1">
      <alignment horizontal="center"/>
    </xf>
    <xf numFmtId="171" fontId="31" fillId="20" borderId="16" xfId="2" applyNumberFormat="1" applyFont="1" applyFill="1" applyBorder="1" applyAlignment="1">
      <alignment horizontal="center" vertical="center"/>
    </xf>
    <xf numFmtId="0" fontId="31" fillId="20" borderId="16" xfId="0" applyFont="1" applyFill="1" applyBorder="1"/>
    <xf numFmtId="1" fontId="0" fillId="20" borderId="96" xfId="0" applyNumberFormat="1" applyFill="1" applyBorder="1" applyAlignment="1">
      <alignment horizontal="center"/>
    </xf>
    <xf numFmtId="171" fontId="31" fillId="20" borderId="96" xfId="2" applyNumberFormat="1" applyFont="1" applyFill="1" applyBorder="1" applyAlignment="1">
      <alignment horizontal="center" vertical="center"/>
    </xf>
    <xf numFmtId="0" fontId="31" fillId="20" borderId="96" xfId="0" applyFont="1" applyFill="1" applyBorder="1"/>
    <xf numFmtId="0" fontId="0" fillId="17" borderId="22" xfId="0" applyFill="1" applyBorder="1" applyAlignment="1" applyProtection="1">
      <alignment horizontal="center"/>
      <protection locked="0"/>
    </xf>
    <xf numFmtId="0" fontId="13" fillId="17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right" vertical="center"/>
    </xf>
    <xf numFmtId="0" fontId="16" fillId="17" borderId="0" xfId="0" applyFont="1" applyFill="1" applyAlignment="1">
      <alignment horizontal="center" vertical="center" wrapText="1"/>
    </xf>
    <xf numFmtId="0" fontId="14" fillId="17" borderId="0" xfId="0" applyFont="1" applyFill="1" applyAlignment="1">
      <alignment horizontal="center" vertical="center" wrapText="1"/>
    </xf>
    <xf numFmtId="0" fontId="3" fillId="17" borderId="0" xfId="0" applyFont="1" applyFill="1" applyAlignment="1">
      <alignment horizontal="left" vertical="center" wrapText="1"/>
    </xf>
    <xf numFmtId="0" fontId="3" fillId="17" borderId="34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right" vertical="center"/>
    </xf>
    <xf numFmtId="0" fontId="11" fillId="4" borderId="0" xfId="3" applyFill="1" applyBorder="1" applyAlignment="1">
      <alignment horizontal="left" vertical="center"/>
    </xf>
    <xf numFmtId="0" fontId="2" fillId="4" borderId="0" xfId="3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4" fillId="4" borderId="36" xfId="0" applyFont="1" applyFill="1" applyBorder="1" applyAlignment="1">
      <alignment horizontal="center" vertical="center"/>
    </xf>
    <xf numFmtId="0" fontId="67" fillId="4" borderId="39" xfId="0" applyFont="1" applyFill="1" applyBorder="1" applyAlignment="1">
      <alignment horizontal="center" vertical="center"/>
    </xf>
    <xf numFmtId="0" fontId="67" fillId="4" borderId="40" xfId="0" applyFont="1" applyFill="1" applyBorder="1" applyAlignment="1">
      <alignment horizontal="center" vertical="center"/>
    </xf>
    <xf numFmtId="0" fontId="67" fillId="4" borderId="41" xfId="0" applyFont="1" applyFill="1" applyBorder="1" applyAlignment="1">
      <alignment horizontal="center" vertical="center"/>
    </xf>
    <xf numFmtId="0" fontId="3" fillId="17" borderId="0" xfId="0" quotePrefix="1" applyFont="1" applyFill="1" applyAlignment="1">
      <alignment horizontal="left" vertical="center" wrapText="1"/>
    </xf>
    <xf numFmtId="0" fontId="3" fillId="11" borderId="20" xfId="0" applyFont="1" applyFill="1" applyBorder="1" applyAlignment="1">
      <alignment horizontal="center" vertical="center" wrapText="1"/>
    </xf>
    <xf numFmtId="0" fontId="3" fillId="11" borderId="17" xfId="0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 wrapText="1"/>
    </xf>
    <xf numFmtId="0" fontId="3" fillId="12" borderId="20" xfId="0" applyFont="1" applyFill="1" applyBorder="1" applyAlignment="1">
      <alignment horizontal="center" vertical="center" wrapText="1"/>
    </xf>
    <xf numFmtId="0" fontId="3" fillId="12" borderId="17" xfId="0" applyFont="1" applyFill="1" applyBorder="1" applyAlignment="1">
      <alignment horizontal="center"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12" borderId="22" xfId="0" applyFont="1" applyFill="1" applyBorder="1" applyAlignment="1">
      <alignment horizontal="center" vertical="center" wrapText="1"/>
    </xf>
    <xf numFmtId="0" fontId="3" fillId="32" borderId="20" xfId="0" applyFont="1" applyFill="1" applyBorder="1" applyAlignment="1">
      <alignment horizontal="center" vertical="center" wrapText="1"/>
    </xf>
    <xf numFmtId="0" fontId="3" fillId="32" borderId="17" xfId="0" applyFont="1" applyFill="1" applyBorder="1" applyAlignment="1">
      <alignment horizontal="center" vertical="center" wrapText="1"/>
    </xf>
    <xf numFmtId="0" fontId="3" fillId="28" borderId="17" xfId="0" applyFont="1" applyFill="1" applyBorder="1" applyAlignment="1">
      <alignment horizontal="center" vertical="center" wrapText="1"/>
    </xf>
    <xf numFmtId="0" fontId="3" fillId="31" borderId="22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horizontal="center" vertical="center" wrapText="1"/>
    </xf>
    <xf numFmtId="0" fontId="3" fillId="14" borderId="17" xfId="0" applyFont="1" applyFill="1" applyBorder="1" applyAlignment="1">
      <alignment horizontal="center" vertical="center" wrapText="1"/>
    </xf>
    <xf numFmtId="0" fontId="3" fillId="14" borderId="16" xfId="0" applyFont="1" applyFill="1" applyBorder="1" applyAlignment="1">
      <alignment horizontal="center" vertical="center" wrapText="1"/>
    </xf>
    <xf numFmtId="0" fontId="3" fillId="16" borderId="20" xfId="0" applyFont="1" applyFill="1" applyBorder="1" applyAlignment="1">
      <alignment horizontal="center" vertical="center" wrapText="1"/>
    </xf>
    <xf numFmtId="0" fontId="3" fillId="16" borderId="17" xfId="0" applyFont="1" applyFill="1" applyBorder="1" applyAlignment="1">
      <alignment horizontal="center" vertical="center" wrapText="1"/>
    </xf>
    <xf numFmtId="0" fontId="3" fillId="13" borderId="20" xfId="0" applyFont="1" applyFill="1" applyBorder="1" applyAlignment="1">
      <alignment horizontal="center" vertical="center" wrapText="1"/>
    </xf>
    <xf numFmtId="0" fontId="3" fillId="13" borderId="17" xfId="0" applyFont="1" applyFill="1" applyBorder="1" applyAlignment="1">
      <alignment horizontal="center"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5" borderId="68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30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11" borderId="217" xfId="0" applyFont="1" applyFill="1" applyBorder="1" applyAlignment="1">
      <alignment horizontal="center" vertical="center"/>
    </xf>
    <xf numFmtId="0" fontId="3" fillId="11" borderId="220" xfId="0" applyFont="1" applyFill="1" applyBorder="1" applyAlignment="1">
      <alignment horizontal="center" vertical="center"/>
    </xf>
    <xf numFmtId="0" fontId="3" fillId="11" borderId="222" xfId="0" applyFont="1" applyFill="1" applyBorder="1" applyAlignment="1">
      <alignment horizontal="center" vertical="center"/>
    </xf>
    <xf numFmtId="0" fontId="3" fillId="28" borderId="217" xfId="0" applyFont="1" applyFill="1" applyBorder="1" applyAlignment="1">
      <alignment horizontal="center" vertical="center"/>
    </xf>
    <xf numFmtId="0" fontId="3" fillId="28" borderId="220" xfId="0" applyFont="1" applyFill="1" applyBorder="1" applyAlignment="1">
      <alignment horizontal="center" vertical="center"/>
    </xf>
    <xf numFmtId="0" fontId="3" fillId="28" borderId="222" xfId="0" applyFont="1" applyFill="1" applyBorder="1" applyAlignment="1">
      <alignment horizontal="center" vertical="center"/>
    </xf>
    <xf numFmtId="0" fontId="3" fillId="31" borderId="217" xfId="0" applyFont="1" applyFill="1" applyBorder="1" applyAlignment="1">
      <alignment horizontal="center" vertical="center"/>
    </xf>
    <xf numFmtId="0" fontId="3" fillId="31" borderId="220" xfId="0" applyFont="1" applyFill="1" applyBorder="1" applyAlignment="1">
      <alignment horizontal="center" vertical="center"/>
    </xf>
    <xf numFmtId="0" fontId="3" fillId="31" borderId="222" xfId="0" applyFont="1" applyFill="1" applyBorder="1" applyAlignment="1">
      <alignment horizontal="center" vertical="center"/>
    </xf>
    <xf numFmtId="0" fontId="6" fillId="4" borderId="200" xfId="0" applyFont="1" applyFill="1" applyBorder="1" applyAlignment="1">
      <alignment horizontal="center" vertical="center"/>
    </xf>
    <xf numFmtId="0" fontId="6" fillId="4" borderId="76" xfId="0" applyFont="1" applyFill="1" applyBorder="1" applyAlignment="1">
      <alignment horizontal="center" vertical="center"/>
    </xf>
    <xf numFmtId="0" fontId="6" fillId="4" borderId="103" xfId="0" applyFont="1" applyFill="1" applyBorder="1" applyAlignment="1">
      <alignment horizontal="center" vertical="center"/>
    </xf>
    <xf numFmtId="0" fontId="3" fillId="32" borderId="30" xfId="0" applyFont="1" applyFill="1" applyBorder="1" applyAlignment="1">
      <alignment horizontal="center" vertical="center"/>
    </xf>
    <xf numFmtId="0" fontId="3" fillId="32" borderId="33" xfId="0" applyFont="1" applyFill="1" applyBorder="1" applyAlignment="1">
      <alignment horizontal="center" vertical="center"/>
    </xf>
    <xf numFmtId="0" fontId="49" fillId="4" borderId="200" xfId="0" applyFont="1" applyFill="1" applyBorder="1" applyAlignment="1">
      <alignment horizontal="center" vertical="center"/>
    </xf>
    <xf numFmtId="0" fontId="49" fillId="4" borderId="76" xfId="0" applyFont="1" applyFill="1" applyBorder="1" applyAlignment="1">
      <alignment horizontal="center" vertical="center"/>
    </xf>
    <xf numFmtId="0" fontId="49" fillId="4" borderId="103" xfId="0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 vertical="center" wrapText="1"/>
    </xf>
    <xf numFmtId="0" fontId="3" fillId="5" borderId="62" xfId="0" applyFont="1" applyFill="1" applyBorder="1" applyAlignment="1">
      <alignment horizontal="center" vertical="center" wrapText="1"/>
    </xf>
    <xf numFmtId="0" fontId="3" fillId="5" borderId="101" xfId="0" applyFont="1" applyFill="1" applyBorder="1" applyAlignment="1">
      <alignment horizontal="center" vertical="center" wrapText="1"/>
    </xf>
    <xf numFmtId="0" fontId="3" fillId="32" borderId="43" xfId="0" applyFont="1" applyFill="1" applyBorder="1" applyAlignment="1">
      <alignment horizontal="center" vertical="center" wrapText="1"/>
    </xf>
    <xf numFmtId="0" fontId="3" fillId="32" borderId="62" xfId="0" applyFont="1" applyFill="1" applyBorder="1" applyAlignment="1">
      <alignment horizontal="center" vertical="center" wrapText="1"/>
    </xf>
    <xf numFmtId="0" fontId="3" fillId="11" borderId="231" xfId="0" applyFont="1" applyFill="1" applyBorder="1" applyAlignment="1">
      <alignment horizontal="center" vertical="center" wrapText="1"/>
    </xf>
    <xf numFmtId="0" fontId="3" fillId="11" borderId="62" xfId="0" applyFont="1" applyFill="1" applyBorder="1" applyAlignment="1">
      <alignment horizontal="center" vertical="center" wrapText="1"/>
    </xf>
    <xf numFmtId="0" fontId="3" fillId="11" borderId="232" xfId="0" applyFont="1" applyFill="1" applyBorder="1" applyAlignment="1">
      <alignment horizontal="center" vertical="center" wrapText="1"/>
    </xf>
    <xf numFmtId="0" fontId="3" fillId="28" borderId="231" xfId="0" applyFont="1" applyFill="1" applyBorder="1" applyAlignment="1">
      <alignment horizontal="center" vertical="center" wrapText="1"/>
    </xf>
    <xf numFmtId="0" fontId="3" fillId="28" borderId="62" xfId="0" applyFont="1" applyFill="1" applyBorder="1" applyAlignment="1">
      <alignment horizontal="center" vertical="center" wrapText="1"/>
    </xf>
    <xf numFmtId="0" fontId="3" fillId="28" borderId="232" xfId="0" applyFont="1" applyFill="1" applyBorder="1" applyAlignment="1">
      <alignment horizontal="center" vertical="center" wrapText="1"/>
    </xf>
    <xf numFmtId="0" fontId="3" fillId="31" borderId="231" xfId="0" applyFont="1" applyFill="1" applyBorder="1" applyAlignment="1">
      <alignment horizontal="center" vertical="center" wrapText="1"/>
    </xf>
    <xf numFmtId="0" fontId="3" fillId="31" borderId="62" xfId="0" applyFont="1" applyFill="1" applyBorder="1" applyAlignment="1">
      <alignment horizontal="center" vertical="center" wrapText="1"/>
    </xf>
    <xf numFmtId="0" fontId="3" fillId="31" borderId="232" xfId="0" applyFont="1" applyFill="1" applyBorder="1" applyAlignment="1">
      <alignment horizontal="center" vertical="center" wrapText="1"/>
    </xf>
    <xf numFmtId="0" fontId="48" fillId="4" borderId="30" xfId="0" applyFont="1" applyFill="1" applyBorder="1" applyAlignment="1">
      <alignment horizontal="center" vertical="center"/>
    </xf>
    <xf numFmtId="0" fontId="48" fillId="4" borderId="31" xfId="0" applyFont="1" applyFill="1" applyBorder="1" applyAlignment="1">
      <alignment horizontal="center" vertical="center"/>
    </xf>
    <xf numFmtId="0" fontId="48" fillId="4" borderId="32" xfId="0" applyFont="1" applyFill="1" applyBorder="1" applyAlignment="1">
      <alignment horizontal="center" vertical="center"/>
    </xf>
    <xf numFmtId="0" fontId="48" fillId="4" borderId="33" xfId="0" applyFont="1" applyFill="1" applyBorder="1" applyAlignment="1">
      <alignment horizontal="center" vertical="center"/>
    </xf>
    <xf numFmtId="0" fontId="48" fillId="4" borderId="0" xfId="0" applyFont="1" applyFill="1" applyAlignment="1">
      <alignment horizontal="center" vertical="center"/>
    </xf>
    <xf numFmtId="0" fontId="48" fillId="4" borderId="34" xfId="0" applyFont="1" applyFill="1" applyBorder="1" applyAlignment="1">
      <alignment horizontal="center" vertical="center"/>
    </xf>
    <xf numFmtId="0" fontId="48" fillId="4" borderId="35" xfId="0" applyFont="1" applyFill="1" applyBorder="1" applyAlignment="1">
      <alignment horizontal="center" vertical="center"/>
    </xf>
    <xf numFmtId="0" fontId="48" fillId="4" borderId="36" xfId="0" applyFont="1" applyFill="1" applyBorder="1" applyAlignment="1">
      <alignment horizontal="center" vertical="center"/>
    </xf>
    <xf numFmtId="0" fontId="48" fillId="4" borderId="37" xfId="0" applyFont="1" applyFill="1" applyBorder="1" applyAlignment="1">
      <alignment horizontal="center" vertical="center"/>
    </xf>
    <xf numFmtId="0" fontId="59" fillId="0" borderId="40" xfId="0" applyFont="1" applyBorder="1" applyAlignment="1">
      <alignment horizontal="center" vertical="center"/>
    </xf>
    <xf numFmtId="0" fontId="6" fillId="4" borderId="40" xfId="0" applyFont="1" applyFill="1" applyBorder="1" applyAlignment="1">
      <alignment horizontal="center" vertical="center"/>
    </xf>
    <xf numFmtId="0" fontId="3" fillId="32" borderId="25" xfId="0" applyFont="1" applyFill="1" applyBorder="1" applyAlignment="1">
      <alignment horizontal="center" vertical="center"/>
    </xf>
    <xf numFmtId="0" fontId="3" fillId="32" borderId="15" xfId="0" applyFont="1" applyFill="1" applyBorder="1" applyAlignment="1">
      <alignment horizontal="center" vertical="center"/>
    </xf>
    <xf numFmtId="0" fontId="3" fillId="16" borderId="20" xfId="0" applyFont="1" applyFill="1" applyBorder="1" applyAlignment="1">
      <alignment horizontal="center" vertical="center"/>
    </xf>
    <xf numFmtId="0" fontId="3" fillId="16" borderId="17" xfId="0" applyFont="1" applyFill="1" applyBorder="1" applyAlignment="1">
      <alignment horizontal="center" vertical="center"/>
    </xf>
    <xf numFmtId="0" fontId="3" fillId="14" borderId="20" xfId="0" applyFont="1" applyFill="1" applyBorder="1" applyAlignment="1">
      <alignment horizontal="center" vertical="center"/>
    </xf>
    <xf numFmtId="0" fontId="3" fillId="14" borderId="17" xfId="0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0" fontId="3" fillId="12" borderId="16" xfId="0" applyFont="1" applyFill="1" applyBorder="1" applyAlignment="1">
      <alignment horizontal="center" vertical="center"/>
    </xf>
    <xf numFmtId="0" fontId="3" fillId="13" borderId="20" xfId="0" applyFont="1" applyFill="1" applyBorder="1" applyAlignment="1">
      <alignment horizontal="center" vertical="center"/>
    </xf>
    <xf numFmtId="0" fontId="3" fillId="13" borderId="17" xfId="0" applyFont="1" applyFill="1" applyBorder="1" applyAlignment="1">
      <alignment horizontal="center" vertical="center"/>
    </xf>
    <xf numFmtId="0" fontId="3" fillId="31" borderId="26" xfId="0" applyFont="1" applyFill="1" applyBorder="1" applyAlignment="1">
      <alignment horizontal="center" vertical="center"/>
    </xf>
    <xf numFmtId="0" fontId="3" fillId="28" borderId="20" xfId="0" applyFont="1" applyFill="1" applyBorder="1" applyAlignment="1">
      <alignment horizontal="center" vertical="center"/>
    </xf>
    <xf numFmtId="0" fontId="3" fillId="28" borderId="17" xfId="0" applyFont="1" applyFill="1" applyBorder="1" applyAlignment="1">
      <alignment horizontal="center" vertical="center"/>
    </xf>
    <xf numFmtId="0" fontId="3" fillId="28" borderId="16" xfId="0" applyFont="1" applyFill="1" applyBorder="1" applyAlignment="1">
      <alignment horizontal="center" vertical="center"/>
    </xf>
    <xf numFmtId="0" fontId="3" fillId="11" borderId="20" xfId="0" applyFont="1" applyFill="1" applyBorder="1" applyAlignment="1">
      <alignment horizontal="center" vertical="center"/>
    </xf>
    <xf numFmtId="0" fontId="3" fillId="11" borderId="16" xfId="0" applyFont="1" applyFill="1" applyBorder="1" applyAlignment="1">
      <alignment horizontal="center" vertical="center"/>
    </xf>
    <xf numFmtId="0" fontId="3" fillId="28" borderId="20" xfId="0" applyFont="1" applyFill="1" applyBorder="1" applyAlignment="1">
      <alignment horizontal="center" vertical="center" wrapText="1"/>
    </xf>
    <xf numFmtId="0" fontId="3" fillId="28" borderId="16" xfId="0" applyFont="1" applyFill="1" applyBorder="1" applyAlignment="1">
      <alignment horizontal="center" vertical="center" wrapText="1"/>
    </xf>
    <xf numFmtId="0" fontId="3" fillId="11" borderId="74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1" borderId="47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2" borderId="22" xfId="0" applyFont="1" applyFill="1" applyBorder="1" applyAlignment="1">
      <alignment horizontal="center" vertical="center"/>
    </xf>
    <xf numFmtId="0" fontId="3" fillId="28" borderId="15" xfId="0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0" fontId="3" fillId="20" borderId="50" xfId="0" applyFont="1" applyFill="1" applyBorder="1" applyAlignment="1">
      <alignment horizontal="center" vertical="center"/>
    </xf>
    <xf numFmtId="0" fontId="3" fillId="20" borderId="52" xfId="0" applyFont="1" applyFill="1" applyBorder="1" applyAlignment="1">
      <alignment horizontal="center" vertical="center"/>
    </xf>
    <xf numFmtId="0" fontId="17" fillId="31" borderId="33" xfId="0" applyFont="1" applyFill="1" applyBorder="1" applyAlignment="1">
      <alignment horizontal="left" vertical="center"/>
    </xf>
    <xf numFmtId="0" fontId="17" fillId="31" borderId="0" xfId="0" applyFont="1" applyFill="1" applyAlignment="1">
      <alignment horizontal="left" vertical="center"/>
    </xf>
    <xf numFmtId="0" fontId="5" fillId="31" borderId="33" xfId="0" applyFont="1" applyFill="1" applyBorder="1" applyAlignment="1">
      <alignment horizontal="center" vertical="center"/>
    </xf>
    <xf numFmtId="0" fontId="5" fillId="31" borderId="0" xfId="0" applyFont="1" applyFill="1" applyAlignment="1">
      <alignment horizontal="center" vertical="center"/>
    </xf>
    <xf numFmtId="0" fontId="5" fillId="31" borderId="39" xfId="0" applyFont="1" applyFill="1" applyBorder="1" applyAlignment="1">
      <alignment horizontal="center" vertical="center"/>
    </xf>
    <xf numFmtId="0" fontId="5" fillId="31" borderId="40" xfId="0" applyFont="1" applyFill="1" applyBorder="1" applyAlignment="1">
      <alignment horizontal="center" vertical="center"/>
    </xf>
    <xf numFmtId="0" fontId="5" fillId="31" borderId="41" xfId="0" applyFont="1" applyFill="1" applyBorder="1" applyAlignment="1">
      <alignment horizontal="center" vertical="center"/>
    </xf>
    <xf numFmtId="0" fontId="3" fillId="20" borderId="42" xfId="0" applyFont="1" applyFill="1" applyBorder="1" applyAlignment="1">
      <alignment horizontal="center" vertical="center" wrapText="1"/>
    </xf>
    <xf numFmtId="0" fontId="3" fillId="20" borderId="45" xfId="0" applyFont="1" applyFill="1" applyBorder="1" applyAlignment="1">
      <alignment horizontal="center" vertical="center" wrapText="1"/>
    </xf>
    <xf numFmtId="0" fontId="3" fillId="20" borderId="68" xfId="0" applyFont="1" applyFill="1" applyBorder="1" applyAlignment="1">
      <alignment horizontal="center" vertical="center" wrapText="1"/>
    </xf>
    <xf numFmtId="0" fontId="3" fillId="20" borderId="16" xfId="0" applyFont="1" applyFill="1" applyBorder="1" applyAlignment="1">
      <alignment horizontal="center" vertical="center" wrapText="1"/>
    </xf>
    <xf numFmtId="0" fontId="3" fillId="20" borderId="68" xfId="0" applyFont="1" applyFill="1" applyBorder="1" applyAlignment="1">
      <alignment horizontal="center" vertical="center" textRotation="90" wrapText="1"/>
    </xf>
    <xf numFmtId="0" fontId="3" fillId="20" borderId="16" xfId="0" applyFont="1" applyFill="1" applyBorder="1" applyAlignment="1">
      <alignment horizontal="center" vertical="center" textRotation="90" wrapText="1"/>
    </xf>
    <xf numFmtId="0" fontId="3" fillId="20" borderId="43" xfId="0" applyFont="1" applyFill="1" applyBorder="1" applyAlignment="1">
      <alignment horizontal="center" vertical="center" wrapText="1"/>
    </xf>
    <xf numFmtId="0" fontId="3" fillId="20" borderId="44" xfId="0" applyFont="1" applyFill="1" applyBorder="1" applyAlignment="1">
      <alignment horizontal="center" vertical="center" wrapText="1"/>
    </xf>
    <xf numFmtId="0" fontId="3" fillId="20" borderId="46" xfId="0" applyFont="1" applyFill="1" applyBorder="1" applyAlignment="1">
      <alignment horizontal="center" vertical="center" wrapText="1"/>
    </xf>
    <xf numFmtId="0" fontId="3" fillId="20" borderId="48" xfId="0" applyFont="1" applyFill="1" applyBorder="1" applyAlignment="1">
      <alignment horizontal="center" vertical="center" wrapText="1"/>
    </xf>
    <xf numFmtId="0" fontId="3" fillId="20" borderId="31" xfId="0" applyFont="1" applyFill="1" applyBorder="1" applyAlignment="1">
      <alignment horizontal="center" vertical="center"/>
    </xf>
    <xf numFmtId="0" fontId="3" fillId="20" borderId="43" xfId="0" applyFont="1" applyFill="1" applyBorder="1" applyAlignment="1">
      <alignment horizontal="center" vertical="center"/>
    </xf>
    <xf numFmtId="0" fontId="3" fillId="20" borderId="44" xfId="0" applyFont="1" applyFill="1" applyBorder="1" applyAlignment="1">
      <alignment horizontal="center" vertical="center"/>
    </xf>
    <xf numFmtId="0" fontId="3" fillId="20" borderId="46" xfId="0" applyFont="1" applyFill="1" applyBorder="1" applyAlignment="1">
      <alignment horizontal="center" vertical="center"/>
    </xf>
    <xf numFmtId="0" fontId="3" fillId="20" borderId="48" xfId="0" applyFont="1" applyFill="1" applyBorder="1" applyAlignment="1">
      <alignment horizontal="center" vertical="center"/>
    </xf>
    <xf numFmtId="0" fontId="18" fillId="20" borderId="43" xfId="0" applyFont="1" applyFill="1" applyBorder="1" applyAlignment="1">
      <alignment horizontal="center" vertical="center" wrapText="1"/>
    </xf>
    <xf numFmtId="0" fontId="18" fillId="20" borderId="44" xfId="0" applyFont="1" applyFill="1" applyBorder="1" applyAlignment="1">
      <alignment horizontal="center" vertical="center" wrapText="1"/>
    </xf>
    <xf numFmtId="0" fontId="18" fillId="20" borderId="46" xfId="0" applyFont="1" applyFill="1" applyBorder="1" applyAlignment="1">
      <alignment horizontal="center" vertical="center" wrapText="1"/>
    </xf>
    <xf numFmtId="0" fontId="18" fillId="20" borderId="48" xfId="0" applyFont="1" applyFill="1" applyBorder="1" applyAlignment="1">
      <alignment horizontal="center" vertical="center" wrapText="1"/>
    </xf>
    <xf numFmtId="0" fontId="3" fillId="20" borderId="28" xfId="0" applyFont="1" applyFill="1" applyBorder="1" applyAlignment="1">
      <alignment horizontal="center" vertical="center"/>
    </xf>
    <xf numFmtId="0" fontId="17" fillId="33" borderId="33" xfId="0" applyFont="1" applyFill="1" applyBorder="1" applyAlignment="1">
      <alignment horizontal="left" vertical="center"/>
    </xf>
    <xf numFmtId="0" fontId="17" fillId="33" borderId="0" xfId="0" applyFont="1" applyFill="1" applyAlignment="1">
      <alignment horizontal="left" vertical="center"/>
    </xf>
    <xf numFmtId="0" fontId="5" fillId="33" borderId="33" xfId="0" applyFont="1" applyFill="1" applyBorder="1" applyAlignment="1">
      <alignment horizontal="center" vertical="center"/>
    </xf>
    <xf numFmtId="0" fontId="5" fillId="33" borderId="0" xfId="0" applyFont="1" applyFill="1" applyAlignment="1">
      <alignment horizontal="center" vertical="center"/>
    </xf>
    <xf numFmtId="0" fontId="5" fillId="33" borderId="39" xfId="0" applyFont="1" applyFill="1" applyBorder="1" applyAlignment="1">
      <alignment horizontal="center" vertical="center"/>
    </xf>
    <xf numFmtId="0" fontId="5" fillId="33" borderId="40" xfId="0" applyFont="1" applyFill="1" applyBorder="1" applyAlignment="1">
      <alignment horizontal="center" vertical="center"/>
    </xf>
    <xf numFmtId="0" fontId="5" fillId="33" borderId="41" xfId="0" applyFont="1" applyFill="1" applyBorder="1" applyAlignment="1">
      <alignment horizontal="center" vertical="center"/>
    </xf>
    <xf numFmtId="0" fontId="17" fillId="18" borderId="30" xfId="0" applyFont="1" applyFill="1" applyBorder="1" applyAlignment="1">
      <alignment horizontal="left" vertical="center"/>
    </xf>
    <xf numFmtId="0" fontId="17" fillId="18" borderId="31" xfId="0" applyFont="1" applyFill="1" applyBorder="1" applyAlignment="1">
      <alignment horizontal="left" vertical="center"/>
    </xf>
    <xf numFmtId="0" fontId="17" fillId="18" borderId="32" xfId="0" applyFont="1" applyFill="1" applyBorder="1" applyAlignment="1">
      <alignment horizontal="left" vertical="center"/>
    </xf>
    <xf numFmtId="0" fontId="3" fillId="20" borderId="51" xfId="0" applyFont="1" applyFill="1" applyBorder="1" applyAlignment="1">
      <alignment horizontal="center" vertical="center"/>
    </xf>
    <xf numFmtId="0" fontId="3" fillId="20" borderId="55" xfId="0" applyFont="1" applyFill="1" applyBorder="1" applyAlignment="1">
      <alignment horizontal="center" vertical="center" wrapText="1"/>
    </xf>
    <xf numFmtId="0" fontId="3" fillId="20" borderId="56" xfId="0" applyFont="1" applyFill="1" applyBorder="1" applyAlignment="1">
      <alignment horizontal="center" vertical="center" wrapText="1"/>
    </xf>
    <xf numFmtId="0" fontId="3" fillId="20" borderId="57" xfId="0" applyFont="1" applyFill="1" applyBorder="1" applyAlignment="1">
      <alignment horizontal="center" vertical="center" wrapText="1"/>
    </xf>
    <xf numFmtId="0" fontId="3" fillId="20" borderId="31" xfId="0" applyFont="1" applyFill="1" applyBorder="1" applyAlignment="1">
      <alignment horizontal="center" vertical="center" wrapText="1"/>
    </xf>
    <xf numFmtId="0" fontId="3" fillId="20" borderId="47" xfId="0" applyFont="1" applyFill="1" applyBorder="1" applyAlignment="1">
      <alignment horizontal="center" vertical="center" wrapText="1"/>
    </xf>
    <xf numFmtId="0" fontId="3" fillId="20" borderId="59" xfId="0" applyFont="1" applyFill="1" applyBorder="1" applyAlignment="1">
      <alignment horizontal="center" vertical="center" wrapText="1"/>
    </xf>
    <xf numFmtId="0" fontId="3" fillId="20" borderId="60" xfId="0" applyFont="1" applyFill="1" applyBorder="1" applyAlignment="1">
      <alignment horizontal="center" vertical="center" wrapText="1"/>
    </xf>
    <xf numFmtId="0" fontId="5" fillId="18" borderId="39" xfId="0" applyFont="1" applyFill="1" applyBorder="1" applyAlignment="1">
      <alignment horizontal="center" vertical="center"/>
    </xf>
    <xf numFmtId="0" fontId="5" fillId="18" borderId="40" xfId="0" applyFont="1" applyFill="1" applyBorder="1" applyAlignment="1">
      <alignment horizontal="center" vertical="center"/>
    </xf>
    <xf numFmtId="0" fontId="5" fillId="18" borderId="41" xfId="0" applyFont="1" applyFill="1" applyBorder="1" applyAlignment="1">
      <alignment horizontal="center" vertical="center"/>
    </xf>
    <xf numFmtId="0" fontId="17" fillId="18" borderId="33" xfId="0" applyFont="1" applyFill="1" applyBorder="1" applyAlignment="1">
      <alignment horizontal="left" vertical="center"/>
    </xf>
    <xf numFmtId="0" fontId="17" fillId="18" borderId="0" xfId="0" applyFont="1" applyFill="1" applyAlignment="1">
      <alignment horizontal="left" vertical="center"/>
    </xf>
    <xf numFmtId="0" fontId="3" fillId="20" borderId="209" xfId="0" applyFont="1" applyFill="1" applyBorder="1" applyAlignment="1">
      <alignment horizontal="center" vertical="center" wrapText="1"/>
    </xf>
    <xf numFmtId="0" fontId="3" fillId="20" borderId="210" xfId="0" applyFont="1" applyFill="1" applyBorder="1" applyAlignment="1">
      <alignment horizontal="center" vertical="center" wrapText="1"/>
    </xf>
    <xf numFmtId="0" fontId="5" fillId="18" borderId="33" xfId="0" applyFont="1" applyFill="1" applyBorder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17" fillId="30" borderId="33" xfId="0" applyFont="1" applyFill="1" applyBorder="1" applyAlignment="1">
      <alignment horizontal="left" vertical="center"/>
    </xf>
    <xf numFmtId="0" fontId="17" fillId="30" borderId="0" xfId="0" applyFont="1" applyFill="1" applyAlignment="1">
      <alignment horizontal="left" vertical="center"/>
    </xf>
    <xf numFmtId="0" fontId="17" fillId="28" borderId="33" xfId="0" applyFont="1" applyFill="1" applyBorder="1" applyAlignment="1">
      <alignment horizontal="left" vertical="center"/>
    </xf>
    <xf numFmtId="0" fontId="17" fillId="28" borderId="0" xfId="0" applyFont="1" applyFill="1" applyAlignment="1">
      <alignment horizontal="left" vertical="center"/>
    </xf>
    <xf numFmtId="0" fontId="5" fillId="28" borderId="33" xfId="0" applyFont="1" applyFill="1" applyBorder="1" applyAlignment="1">
      <alignment horizontal="center" vertical="center"/>
    </xf>
    <xf numFmtId="0" fontId="5" fillId="28" borderId="0" xfId="0" applyFont="1" applyFill="1" applyAlignment="1">
      <alignment horizontal="center" vertical="center"/>
    </xf>
    <xf numFmtId="0" fontId="5" fillId="28" borderId="39" xfId="0" applyFont="1" applyFill="1" applyBorder="1" applyAlignment="1">
      <alignment horizontal="center" vertical="center"/>
    </xf>
    <xf numFmtId="0" fontId="5" fillId="28" borderId="40" xfId="0" applyFont="1" applyFill="1" applyBorder="1" applyAlignment="1">
      <alignment horizontal="center" vertical="center"/>
    </xf>
    <xf numFmtId="0" fontId="5" fillId="28" borderId="41" xfId="0" applyFont="1" applyFill="1" applyBorder="1" applyAlignment="1">
      <alignment horizontal="center" vertical="center"/>
    </xf>
    <xf numFmtId="0" fontId="3" fillId="28" borderId="25" xfId="0" applyFont="1" applyFill="1" applyBorder="1" applyAlignment="1">
      <alignment horizontal="center" vertical="center"/>
    </xf>
    <xf numFmtId="0" fontId="3" fillId="28" borderId="45" xfId="0" applyFont="1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16" borderId="20" xfId="0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 wrapText="1"/>
    </xf>
    <xf numFmtId="0" fontId="0" fillId="16" borderId="17" xfId="0" applyFill="1" applyBorder="1" applyAlignment="1">
      <alignment horizontal="center" vertical="center" wrapText="1"/>
    </xf>
    <xf numFmtId="0" fontId="3" fillId="15" borderId="20" xfId="0" applyFont="1" applyFill="1" applyBorder="1" applyAlignment="1">
      <alignment horizontal="center" vertical="center"/>
    </xf>
    <xf numFmtId="0" fontId="3" fillId="15" borderId="17" xfId="0" applyFont="1" applyFill="1" applyBorder="1" applyAlignment="1">
      <alignment horizontal="center" vertical="center"/>
    </xf>
    <xf numFmtId="0" fontId="0" fillId="15" borderId="20" xfId="0" applyFill="1" applyBorder="1" applyAlignment="1">
      <alignment horizontal="center" vertical="center" wrapText="1"/>
    </xf>
    <xf numFmtId="0" fontId="0" fillId="15" borderId="17" xfId="0" applyFill="1" applyBorder="1" applyAlignment="1">
      <alignment horizontal="center" vertical="center" wrapText="1"/>
    </xf>
    <xf numFmtId="0" fontId="0" fillId="15" borderId="20" xfId="0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 wrapText="1"/>
    </xf>
    <xf numFmtId="0" fontId="3" fillId="16" borderId="16" xfId="0" applyFont="1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 wrapText="1"/>
    </xf>
    <xf numFmtId="0" fontId="49" fillId="4" borderId="74" xfId="0" applyFont="1" applyFill="1" applyBorder="1" applyAlignment="1">
      <alignment horizontal="center" vertical="center" wrapText="1"/>
    </xf>
    <xf numFmtId="0" fontId="49" fillId="4" borderId="213" xfId="0" applyFont="1" applyFill="1" applyBorder="1" applyAlignment="1">
      <alignment horizontal="center" vertical="center" wrapText="1"/>
    </xf>
    <xf numFmtId="0" fontId="49" fillId="4" borderId="214" xfId="0" applyFont="1" applyFill="1" applyBorder="1" applyAlignment="1">
      <alignment horizontal="center" vertical="center" wrapText="1"/>
    </xf>
    <xf numFmtId="0" fontId="49" fillId="4" borderId="21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3" fillId="5" borderId="234" xfId="0" applyFont="1" applyFill="1" applyBorder="1" applyAlignment="1">
      <alignment horizontal="center" vertical="center"/>
    </xf>
    <xf numFmtId="0" fontId="3" fillId="5" borderId="45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28" fillId="4" borderId="30" xfId="0" applyFont="1" applyFill="1" applyBorder="1" applyAlignment="1">
      <alignment horizontal="left" vertical="center"/>
    </xf>
    <xf numFmtId="0" fontId="28" fillId="4" borderId="31" xfId="0" applyFont="1" applyFill="1" applyBorder="1" applyAlignment="1">
      <alignment horizontal="left" vertical="center"/>
    </xf>
    <xf numFmtId="0" fontId="28" fillId="4" borderId="32" xfId="0" applyFont="1" applyFill="1" applyBorder="1" applyAlignment="1">
      <alignment horizontal="left" vertical="center"/>
    </xf>
    <xf numFmtId="0" fontId="28" fillId="4" borderId="35" xfId="0" applyFont="1" applyFill="1" applyBorder="1" applyAlignment="1">
      <alignment horizontal="left" vertical="center"/>
    </xf>
    <xf numFmtId="0" fontId="28" fillId="4" borderId="3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/>
    </xf>
    <xf numFmtId="0" fontId="3" fillId="20" borderId="55" xfId="0" applyFont="1" applyFill="1" applyBorder="1" applyAlignment="1">
      <alignment horizontal="center"/>
    </xf>
    <xf numFmtId="0" fontId="3" fillId="20" borderId="56" xfId="0" applyFont="1" applyFill="1" applyBorder="1" applyAlignment="1">
      <alignment horizontal="center"/>
    </xf>
    <xf numFmtId="0" fontId="3" fillId="20" borderId="57" xfId="0" applyFont="1" applyFill="1" applyBorder="1" applyAlignment="1">
      <alignment horizont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7" xfId="0" applyFont="1" applyFill="1" applyBorder="1" applyAlignment="1">
      <alignment horizontal="center" vertical="center"/>
    </xf>
    <xf numFmtId="0" fontId="21" fillId="20" borderId="15" xfId="0" applyFont="1" applyFill="1" applyBorder="1" applyAlignment="1">
      <alignment horizontal="center" vertical="center"/>
    </xf>
    <xf numFmtId="0" fontId="21" fillId="20" borderId="55" xfId="0" applyFont="1" applyFill="1" applyBorder="1" applyAlignment="1">
      <alignment horizontal="center" vertical="center"/>
    </xf>
    <xf numFmtId="0" fontId="21" fillId="20" borderId="56" xfId="0" applyFont="1" applyFill="1" applyBorder="1" applyAlignment="1">
      <alignment horizontal="center" vertical="center"/>
    </xf>
    <xf numFmtId="0" fontId="21" fillId="20" borderId="57" xfId="0" applyFont="1" applyFill="1" applyBorder="1" applyAlignment="1">
      <alignment horizontal="center" vertical="center"/>
    </xf>
    <xf numFmtId="0" fontId="21" fillId="20" borderId="55" xfId="0" applyFont="1" applyFill="1" applyBorder="1" applyAlignment="1">
      <alignment horizontal="center" vertical="center" wrapText="1"/>
    </xf>
    <xf numFmtId="0" fontId="21" fillId="20" borderId="56" xfId="0" applyFont="1" applyFill="1" applyBorder="1" applyAlignment="1">
      <alignment horizontal="center" vertical="center" wrapText="1"/>
    </xf>
    <xf numFmtId="0" fontId="21" fillId="20" borderId="190" xfId="0" applyFont="1" applyFill="1" applyBorder="1" applyAlignment="1">
      <alignment horizontal="center" vertical="center" wrapText="1"/>
    </xf>
    <xf numFmtId="0" fontId="21" fillId="20" borderId="20" xfId="0" applyFont="1" applyFill="1" applyBorder="1" applyAlignment="1">
      <alignment horizontal="center" vertical="center" wrapText="1"/>
    </xf>
    <xf numFmtId="0" fontId="21" fillId="20" borderId="85" xfId="0" applyFont="1" applyFill="1" applyBorder="1" applyAlignment="1">
      <alignment horizontal="center" vertical="center" wrapText="1"/>
    </xf>
    <xf numFmtId="0" fontId="21" fillId="20" borderId="57" xfId="0" applyFont="1" applyFill="1" applyBorder="1" applyAlignment="1">
      <alignment horizontal="center" vertical="center" wrapText="1"/>
    </xf>
    <xf numFmtId="0" fontId="6" fillId="22" borderId="30" xfId="0" applyFont="1" applyFill="1" applyBorder="1" applyAlignment="1">
      <alignment horizontal="left"/>
    </xf>
    <xf numFmtId="0" fontId="6" fillId="22" borderId="31" xfId="0" applyFont="1" applyFill="1" applyBorder="1" applyAlignment="1">
      <alignment horizontal="left"/>
    </xf>
    <xf numFmtId="0" fontId="21" fillId="20" borderId="68" xfId="0" applyFont="1" applyFill="1" applyBorder="1" applyAlignment="1">
      <alignment horizontal="center" wrapText="1"/>
    </xf>
    <xf numFmtId="0" fontId="21" fillId="20" borderId="85" xfId="0" applyFont="1" applyFill="1" applyBorder="1" applyAlignment="1">
      <alignment horizontal="center" wrapText="1"/>
    </xf>
    <xf numFmtId="0" fontId="3" fillId="20" borderId="68" xfId="0" applyFont="1" applyFill="1" applyBorder="1" applyAlignment="1">
      <alignment horizontal="center" wrapText="1"/>
    </xf>
    <xf numFmtId="0" fontId="3" fillId="20" borderId="85" xfId="0" applyFont="1" applyFill="1" applyBorder="1" applyAlignment="1">
      <alignment horizontal="center" wrapText="1"/>
    </xf>
    <xf numFmtId="0" fontId="0" fillId="20" borderId="125" xfId="0" applyFill="1" applyBorder="1" applyAlignment="1">
      <alignment horizontal="center" vertical="center"/>
    </xf>
    <xf numFmtId="0" fontId="0" fillId="20" borderId="15" xfId="0" applyFill="1" applyBorder="1" applyAlignment="1">
      <alignment horizontal="center" vertical="center"/>
    </xf>
    <xf numFmtId="0" fontId="0" fillId="20" borderId="104" xfId="0" applyFill="1" applyBorder="1" applyAlignment="1">
      <alignment horizontal="center" vertical="center"/>
    </xf>
    <xf numFmtId="0" fontId="31" fillId="20" borderId="25" xfId="0" applyFont="1" applyFill="1" applyBorder="1" applyAlignment="1">
      <alignment horizontal="center" vertical="center"/>
    </xf>
    <xf numFmtId="0" fontId="31" fillId="20" borderId="15" xfId="0" applyFont="1" applyFill="1" applyBorder="1" applyAlignment="1">
      <alignment horizontal="center" vertical="center"/>
    </xf>
    <xf numFmtId="0" fontId="31" fillId="20" borderId="45" xfId="0" applyFont="1" applyFill="1" applyBorder="1" applyAlignment="1">
      <alignment horizontal="center" vertical="center"/>
    </xf>
    <xf numFmtId="0" fontId="3" fillId="20" borderId="183" xfId="0" applyFont="1" applyFill="1" applyBorder="1" applyAlignment="1">
      <alignment horizontal="center" wrapText="1"/>
    </xf>
    <xf numFmtId="0" fontId="3" fillId="20" borderId="86" xfId="0" applyFont="1" applyFill="1" applyBorder="1" applyAlignment="1">
      <alignment horizontal="center" wrapText="1"/>
    </xf>
    <xf numFmtId="0" fontId="17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49" fillId="4" borderId="17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5" fillId="4" borderId="62" xfId="0" applyFont="1" applyFill="1" applyBorder="1" applyAlignment="1">
      <alignment horizontal="center" vertical="center"/>
    </xf>
    <xf numFmtId="0" fontId="5" fillId="4" borderId="63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 vertical="center"/>
    </xf>
    <xf numFmtId="0" fontId="5" fillId="4" borderId="48" xfId="0" applyFont="1" applyFill="1" applyBorder="1" applyAlignment="1">
      <alignment horizontal="center" vertical="center"/>
    </xf>
    <xf numFmtId="0" fontId="3" fillId="20" borderId="22" xfId="0" applyFont="1" applyFill="1" applyBorder="1" applyAlignment="1">
      <alignment horizontal="center" vertical="center" wrapText="1"/>
    </xf>
    <xf numFmtId="0" fontId="0" fillId="12" borderId="23" xfId="0" quotePrefix="1" applyFill="1" applyBorder="1" applyAlignment="1">
      <alignment horizontal="center" vertical="center"/>
    </xf>
    <xf numFmtId="0" fontId="10" fillId="15" borderId="22" xfId="0" applyFont="1" applyFill="1" applyBorder="1" applyAlignment="1">
      <alignment horizontal="center" vertical="center"/>
    </xf>
    <xf numFmtId="0" fontId="10" fillId="12" borderId="60" xfId="1" applyNumberFormat="1" applyFont="1" applyFill="1" applyBorder="1" applyAlignment="1">
      <alignment horizontal="center" vertical="center"/>
    </xf>
    <xf numFmtId="0" fontId="10" fillId="13" borderId="60" xfId="1" applyNumberFormat="1" applyFont="1" applyFill="1" applyBorder="1" applyAlignment="1">
      <alignment horizontal="center" vertical="center"/>
    </xf>
    <xf numFmtId="0" fontId="10" fillId="12" borderId="74" xfId="1" applyNumberFormat="1" applyFont="1" applyFill="1" applyBorder="1" applyAlignment="1">
      <alignment horizontal="center" vertical="center"/>
    </xf>
    <xf numFmtId="0" fontId="10" fillId="11" borderId="60" xfId="1" applyNumberFormat="1" applyFont="1" applyFill="1" applyBorder="1" applyAlignment="1">
      <alignment horizontal="center" vertical="center"/>
    </xf>
    <xf numFmtId="0" fontId="10" fillId="28" borderId="60" xfId="1" applyNumberFormat="1" applyFont="1" applyFill="1" applyBorder="1" applyAlignment="1">
      <alignment horizontal="center" vertical="center"/>
    </xf>
  </cellXfs>
  <cellStyles count="6">
    <cellStyle name="Entrée" xfId="5" builtinId="20"/>
    <cellStyle name="Lien hypertexte" xfId="3" builtinId="8"/>
    <cellStyle name="Milliers" xfId="1" builtinId="3"/>
    <cellStyle name="Monétaire" xfId="4" builtinId="4"/>
    <cellStyle name="Normal" xfId="0" builtinId="0"/>
    <cellStyle name="Pourcentage" xfId="2" builtinId="5"/>
  </cellStyles>
  <dxfs count="19"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ill>
        <patternFill patternType="solid">
          <fgColor indexed="64"/>
          <bgColor rgb="FFDCE0E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CE0E8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CE0E8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/>
        <bottom style="hair">
          <color auto="1"/>
        </bottom>
        <vertical/>
        <horizontal/>
      </border>
    </dxf>
    <dxf>
      <fill>
        <patternFill patternType="solid">
          <fgColor indexed="64"/>
          <bgColor rgb="FFDCE0E8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rgb="FFDCE0E8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/>
        <top/>
        <bottom style="hair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rgb="FFDCE0E8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/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indexed="64"/>
          <bgColor rgb="FFDCE0E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indexed="64"/>
          <bgColor rgb="FFDCE0E8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CE0E8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CE0E8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CE0E8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/>
        <bottom style="hair">
          <color auto="1"/>
        </bottom>
        <vertical/>
        <horizontal/>
      </border>
    </dxf>
    <dxf>
      <border outline="0">
        <left style="medium">
          <color rgb="FFCBD1DC"/>
        </left>
        <right style="medium">
          <color rgb="FFCBD1DC"/>
        </right>
        <top style="hair">
          <color auto="1"/>
        </top>
        <bottom style="medium">
          <color rgb="FFCBD1DC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CE0E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235409</xdr:colOff>
      <xdr:row>12</xdr:row>
      <xdr:rowOff>161925</xdr:rowOff>
    </xdr:from>
    <xdr:to>
      <xdr:col>3</xdr:col>
      <xdr:colOff>104776</xdr:colOff>
      <xdr:row>16</xdr:row>
      <xdr:rowOff>183565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CB5D235-A9E2-404A-80F9-ED3EB1EE9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859" y="2647950"/>
          <a:ext cx="1993442" cy="9360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247650</xdr:colOff>
          <xdr:row>9</xdr:row>
          <xdr:rowOff>9525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4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247650</xdr:colOff>
          <xdr:row>9</xdr:row>
          <xdr:rowOff>9525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6</xdr:col>
          <xdr:colOff>247650</xdr:colOff>
          <xdr:row>10</xdr:row>
          <xdr:rowOff>9525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4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6</xdr:col>
          <xdr:colOff>247650</xdr:colOff>
          <xdr:row>10</xdr:row>
          <xdr:rowOff>9525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4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</xdr:row>
          <xdr:rowOff>0</xdr:rowOff>
        </xdr:from>
        <xdr:to>
          <xdr:col>6</xdr:col>
          <xdr:colOff>247650</xdr:colOff>
          <xdr:row>11</xdr:row>
          <xdr:rowOff>9525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4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</xdr:row>
          <xdr:rowOff>0</xdr:rowOff>
        </xdr:from>
        <xdr:to>
          <xdr:col>6</xdr:col>
          <xdr:colOff>247650</xdr:colOff>
          <xdr:row>11</xdr:row>
          <xdr:rowOff>9525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4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</xdr:row>
          <xdr:rowOff>0</xdr:rowOff>
        </xdr:from>
        <xdr:to>
          <xdr:col>6</xdr:col>
          <xdr:colOff>247650</xdr:colOff>
          <xdr:row>12</xdr:row>
          <xdr:rowOff>9525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4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</xdr:row>
          <xdr:rowOff>0</xdr:rowOff>
        </xdr:from>
        <xdr:to>
          <xdr:col>6</xdr:col>
          <xdr:colOff>247650</xdr:colOff>
          <xdr:row>12</xdr:row>
          <xdr:rowOff>9525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4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273843</xdr:colOff>
      <xdr:row>2</xdr:row>
      <xdr:rowOff>166687</xdr:rowOff>
    </xdr:from>
    <xdr:to>
      <xdr:col>22</xdr:col>
      <xdr:colOff>678655</xdr:colOff>
      <xdr:row>12</xdr:row>
      <xdr:rowOff>107156</xdr:rowOff>
    </xdr:to>
    <xdr:sp macro="" textlink="">
      <xdr:nvSpPr>
        <xdr:cNvPr id="2" name="Bulle narrative : rectangle à coins arrondis 1">
          <a:extLst>
            <a:ext uri="{FF2B5EF4-FFF2-40B4-BE49-F238E27FC236}">
              <a16:creationId xmlns:a16="http://schemas.microsoft.com/office/drawing/2014/main" id="{2B08689E-399C-4A6B-10A7-6BF3ABDD848B}"/>
            </a:ext>
          </a:extLst>
        </xdr:cNvPr>
        <xdr:cNvSpPr/>
      </xdr:nvSpPr>
      <xdr:spPr>
        <a:xfrm>
          <a:off x="16109156" y="869156"/>
          <a:ext cx="5738812" cy="3143250"/>
        </a:xfrm>
        <a:prstGeom prst="wedgeRoundRectCallout">
          <a:avLst>
            <a:gd name="adj1" fmla="val -53210"/>
            <a:gd name="adj2" fmla="val -22348"/>
            <a:gd name="adj3" fmla="val 16667"/>
          </a:avLst>
        </a:prstGeom>
        <a:solidFill>
          <a:schemeClr val="accent4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A" sz="1100"/>
            <a:t>PROCÉDURE</a:t>
          </a:r>
          <a:r>
            <a:rPr lang="fr-CA" sz="1100" baseline="0"/>
            <a:t> D'AJOUT DE MÉTHODOLOGIE</a:t>
          </a:r>
          <a:br>
            <a:rPr lang="fr-CA" sz="1100" baseline="0"/>
          </a:br>
          <a:r>
            <a:rPr lang="fr-CA" sz="1100" baseline="0"/>
            <a:t>1) Onglet "CALCULS"</a:t>
          </a:r>
        </a:p>
        <a:p>
          <a:pPr algn="l"/>
          <a:r>
            <a:rPr lang="fr-CA" sz="1100" baseline="0"/>
            <a:t>   a) Ajouter un tableau avec le nom de méthodologie correspondant</a:t>
          </a:r>
        </a:p>
        <a:p>
          <a:pPr algn="l"/>
          <a:r>
            <a:rPr lang="fr-CA" sz="1100" baseline="0"/>
            <a:t>   b) Réutilisé les colonnes existantes (s'il y a lieu) et ajouter de nouvelles colonnes au besoin.</a:t>
          </a:r>
        </a:p>
        <a:p>
          <a:pPr algn="l"/>
          <a:r>
            <a:rPr lang="fr-CA" sz="1100" baseline="0"/>
            <a:t> 2) Onglet "LISTES DES MÉTHODOLOGIES"</a:t>
          </a:r>
        </a:p>
        <a:p>
          <a:pPr algn="l"/>
          <a:r>
            <a:rPr lang="fr-CA" sz="1100" baseline="0"/>
            <a:t>   a) Ajouter une ligne  correspondant au code de la méthodologie</a:t>
          </a:r>
        </a:p>
        <a:p>
          <a:pPr algn="l"/>
          <a:r>
            <a:rPr lang="fr-CA" sz="1100" baseline="0"/>
            <a:t>   b) Programmer le Mapping</a:t>
          </a:r>
        </a:p>
        <a:p>
          <a:pPr algn="l"/>
          <a:r>
            <a:rPr lang="fr-CA" sz="1100" baseline="0"/>
            <a:t>3) Onglet "ISO 14064-1"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A" sz="1100" baseline="0"/>
            <a:t>   a) </a:t>
          </a:r>
          <a:r>
            <a:rPr lang="fr-CA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Ajouter une ligne  correspondant au code de la méthodologie</a:t>
          </a:r>
          <a:endParaRPr lang="fr-CA">
            <a:effectLst/>
          </a:endParaRPr>
        </a:p>
        <a:p>
          <a:pPr algn="l"/>
          <a:endParaRPr lang="fr-CA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ierre-&#201;mile\Dropbox\i-GES%20S.E.N.C\-%20Version%202.0\loGiciElS%20inc\Back-End%20-%20Donn&#233;es%20V&#233;hicules%20Canadiens%20(v1.0.1).xlsx" TargetMode="External"/><Relationship Id="rId1" Type="http://schemas.openxmlformats.org/officeDocument/2006/relationships/externalLinkPath" Target="Back-End%20-%20Donn&#233;es%20V&#233;hicules%20Canadiens%20(v1.0.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-V"/>
      <sheetName val="Listes déroulantes"/>
      <sheetName val="Back-End - Données Véhicules Ca"/>
    </sheetNames>
    <sheetDataSet>
      <sheetData sheetId="0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577CB-143B-41EF-B6CD-DFE97EC306C8}" name="Tableau1" displayName="Tableau1" ref="B761:L815" totalsRowShown="0" headerRowDxfId="18" headerRowBorderDxfId="17" tableBorderDxfId="16">
  <autoFilter ref="B761:L815" xr:uid="{393577CB-143B-41EF-B6CD-DFE97EC306C8}"/>
  <sortState xmlns:xlrd2="http://schemas.microsoft.com/office/spreadsheetml/2017/richdata2" ref="B762:L815">
    <sortCondition descending="1" ref="I761:I815"/>
  </sortState>
  <tableColumns count="11">
    <tableColumn id="1" xr3:uid="{635E1558-60C3-497A-9830-CE2FFB71980F}" name="Type d'aliments" dataDxfId="15"/>
    <tableColumn id="2" xr3:uid="{8044EA77-8B53-4850-81D7-934A7408707F}" name="Aliments" dataDxfId="14" dataCellStyle="Pourcentage"/>
    <tableColumn id="3" xr3:uid="{46C08D23-CB05-4030-B2EA-66385D87ECD8}" name="Colonne1" dataDxfId="13"/>
    <tableColumn id="4" xr3:uid="{5E877B42-CFCC-4FCE-BD42-D688082DAB0D}" name="Colonne2" dataDxfId="12"/>
    <tableColumn id="11" xr3:uid="{6EC68651-0C3B-42FD-AB16-BB182CA74CAD}" name="Unité" dataDxfId="11"/>
    <tableColumn id="5" xr3:uid="{0EF678D4-6F63-42A3-B73C-801AC65A51BB}" name="Colonne3" dataDxfId="10"/>
    <tableColumn id="6" xr3:uid="{C09AA860-7CDC-449D-9D26-BE3E54BD1FF0}" name="Colonne4" dataDxfId="9"/>
    <tableColumn id="7" xr3:uid="{33FDBD41-14D5-4ACF-AB22-AD1CCCAE47F7}" name="[g CO2 / kg]" dataDxfId="8"/>
    <tableColumn id="8" xr3:uid="{1E8B42A6-34FD-44FB-8BBF-B5113EAF9BA3}" name="[g CH4 / kg]" dataDxfId="7"/>
    <tableColumn id="9" xr3:uid="{DEF2E137-80EC-46A8-B6F3-0938CFCB0613}" name="[g N2O / kg]" dataDxfId="6"/>
    <tableColumn id="10" xr3:uid="{3827F546-4EC8-4E44-8282-2DBCF01A8627}" name="[gCO2eq/kg]" dataDxfId="5">
      <calculatedColumnFormula>Tableau1[[#This Row],['[g CO2 / kg']]]*PRP!$J$8+Tableau1[[#This Row],['[g CH4 / kg']]]*PRP!$J$9+Tableau1[[#This Row],['[g N2O / kg']]]*PRP!$J$10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i-GES Calculateur">
      <a:dk1>
        <a:sysClr val="windowText" lastClr="000000"/>
      </a:dk1>
      <a:lt1>
        <a:sysClr val="window" lastClr="FFFFFF"/>
      </a:lt1>
      <a:dk2>
        <a:srgbClr val="0D2738"/>
      </a:dk2>
      <a:lt2>
        <a:srgbClr val="FFF9E1"/>
      </a:lt2>
      <a:accent1>
        <a:srgbClr val="FFE07D"/>
      </a:accent1>
      <a:accent2>
        <a:srgbClr val="184D6D"/>
      </a:accent2>
      <a:accent3>
        <a:srgbClr val="EE7B08"/>
      </a:accent3>
      <a:accent4>
        <a:srgbClr val="396264"/>
      </a:accent4>
      <a:accent5>
        <a:srgbClr val="83B6B9"/>
      </a:accent5>
      <a:accent6>
        <a:srgbClr val="FFC91D"/>
      </a:accent6>
      <a:hlink>
        <a:srgbClr val="0070C0"/>
      </a:hlink>
      <a:folHlink>
        <a:srgbClr val="7030A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e.leblanc-comtois@i-ges.ca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niboard.com/images/centre-de-documentation/ENG/Panels/Environment/2024/Password_Protected_Uniboard_PB_et_TFL_Translation_EPD_FR.pdf" TargetMode="External"/><Relationship Id="rId2" Type="http://schemas.openxmlformats.org/officeDocument/2006/relationships/hyperlink" Target="https://www.aqua-calc.com/calculate/volume-to-weight" TargetMode="External"/><Relationship Id="rId1" Type="http://schemas.openxmlformats.org/officeDocument/2006/relationships/hyperlink" Target="https://www.unitconverters.net/length/miles-to-km.htm" TargetMode="External"/><Relationship Id="rId6" Type="http://schemas.openxmlformats.org/officeDocument/2006/relationships/comments" Target="../comments2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CF970-8EA9-4DB8-A8F6-3493AD5371FA}">
  <sheetPr codeName="Feuil1">
    <tabColor theme="3"/>
  </sheetPr>
  <dimension ref="B1:P33"/>
  <sheetViews>
    <sheetView workbookViewId="0">
      <selection activeCell="C6" sqref="C6:O6"/>
    </sheetView>
  </sheetViews>
  <sheetFormatPr baseColWidth="10" defaultRowHeight="15"/>
  <cols>
    <col min="1" max="1" width="2.5703125" style="63" customWidth="1"/>
    <col min="2" max="2" width="14.140625" style="63" bestFit="1" customWidth="1"/>
    <col min="3" max="3" width="17.7109375" style="63" customWidth="1"/>
    <col min="4" max="16384" width="11.42578125" style="63"/>
  </cols>
  <sheetData>
    <row r="1" spans="2:16" ht="15.75" thickBot="1"/>
    <row r="2" spans="2:16" ht="80.25" customHeight="1" thickBot="1">
      <c r="B2" s="812"/>
      <c r="C2" s="813"/>
      <c r="D2" s="814"/>
      <c r="E2" s="814"/>
      <c r="F2" s="814"/>
      <c r="G2" s="815"/>
      <c r="H2" s="814"/>
      <c r="I2" s="814"/>
      <c r="J2" s="814"/>
      <c r="K2" s="813"/>
      <c r="L2" s="813"/>
      <c r="M2" s="813"/>
      <c r="N2" s="813"/>
      <c r="O2" s="813"/>
      <c r="P2" s="816"/>
    </row>
    <row r="3" spans="2:16" ht="15.75">
      <c r="B3" s="817"/>
      <c r="C3" s="1051"/>
      <c r="D3" s="1051"/>
      <c r="E3" s="1051"/>
      <c r="F3" s="1051"/>
      <c r="G3" s="1051"/>
      <c r="H3" s="1051"/>
      <c r="I3" s="1051"/>
      <c r="J3" s="1051"/>
      <c r="K3" s="1051"/>
      <c r="L3" s="1051"/>
      <c r="M3" s="1051"/>
      <c r="N3" s="1051"/>
      <c r="O3" s="1051"/>
      <c r="P3" s="55"/>
    </row>
    <row r="4" spans="2:16" ht="63.75">
      <c r="B4" s="818"/>
      <c r="C4" s="1054" t="s">
        <v>104</v>
      </c>
      <c r="D4" s="1054"/>
      <c r="E4" s="1054"/>
      <c r="F4" s="1054"/>
      <c r="G4" s="1054"/>
      <c r="H4" s="1054"/>
      <c r="I4" s="1054"/>
      <c r="J4" s="1054"/>
      <c r="K4" s="1054"/>
      <c r="L4" s="1054"/>
      <c r="M4" s="1054"/>
      <c r="N4" s="1054"/>
      <c r="O4" s="1054"/>
      <c r="P4" s="54"/>
    </row>
    <row r="5" spans="2:16" ht="24">
      <c r="B5" s="817"/>
      <c r="C5" s="1053" t="s">
        <v>105</v>
      </c>
      <c r="D5" s="1053"/>
      <c r="E5" s="1053"/>
      <c r="F5" s="1053"/>
      <c r="G5" s="1053"/>
      <c r="H5" s="1053"/>
      <c r="I5" s="1053"/>
      <c r="J5" s="1053"/>
      <c r="K5" s="1053"/>
      <c r="L5" s="1053"/>
      <c r="M5" s="1053"/>
      <c r="N5" s="1053"/>
      <c r="O5" s="1053"/>
      <c r="P5" s="55"/>
    </row>
    <row r="6" spans="2:16" ht="15.75">
      <c r="B6" s="817"/>
      <c r="C6" s="1051" t="s">
        <v>6423</v>
      </c>
      <c r="D6" s="1051"/>
      <c r="E6" s="1051"/>
      <c r="F6" s="1051"/>
      <c r="G6" s="1051"/>
      <c r="H6" s="1051"/>
      <c r="I6" s="1051"/>
      <c r="J6" s="1051"/>
      <c r="K6" s="1051"/>
      <c r="L6" s="1051"/>
      <c r="M6" s="1051"/>
      <c r="N6" s="1051"/>
      <c r="O6" s="1051"/>
      <c r="P6" s="55"/>
    </row>
    <row r="7" spans="2:16" ht="15.75">
      <c r="B7" s="817"/>
      <c r="C7" s="1051"/>
      <c r="D7" s="1051"/>
      <c r="E7" s="1051"/>
      <c r="F7" s="1051"/>
      <c r="G7" s="1051"/>
      <c r="H7" s="1051"/>
      <c r="I7" s="1051"/>
      <c r="J7" s="1051"/>
      <c r="K7" s="1051"/>
      <c r="L7" s="1051"/>
      <c r="M7" s="1051"/>
      <c r="N7" s="1051"/>
      <c r="O7" s="1051"/>
      <c r="P7" s="55"/>
    </row>
    <row r="8" spans="2:16" ht="15.75">
      <c r="B8" s="817"/>
      <c r="C8" s="1051"/>
      <c r="D8" s="1051"/>
      <c r="E8" s="1051"/>
      <c r="F8" s="1051"/>
      <c r="G8" s="1051"/>
      <c r="H8" s="1051"/>
      <c r="I8" s="1051"/>
      <c r="J8" s="1051"/>
      <c r="K8" s="1051"/>
      <c r="L8" s="1051"/>
      <c r="M8" s="1051"/>
      <c r="N8" s="1051"/>
      <c r="O8" s="1051"/>
      <c r="P8" s="55"/>
    </row>
    <row r="9" spans="2:16" ht="15.75">
      <c r="B9" s="817"/>
      <c r="C9" s="1051"/>
      <c r="D9" s="1051"/>
      <c r="E9" s="1051"/>
      <c r="F9" s="1051"/>
      <c r="G9" s="1051"/>
      <c r="H9" s="1051"/>
      <c r="I9" s="1051"/>
      <c r="J9" s="1051"/>
      <c r="K9" s="1051"/>
      <c r="L9" s="1051"/>
      <c r="M9" s="1051"/>
      <c r="N9" s="1051"/>
      <c r="O9" s="1051"/>
      <c r="P9" s="55"/>
    </row>
    <row r="10" spans="2:16" ht="15.75">
      <c r="B10" s="817"/>
      <c r="C10" s="1051"/>
      <c r="D10" s="1051"/>
      <c r="E10" s="1051"/>
      <c r="F10" s="1051"/>
      <c r="G10" s="1051"/>
      <c r="H10" s="1051"/>
      <c r="I10" s="1051"/>
      <c r="J10" s="1051"/>
      <c r="K10" s="1051"/>
      <c r="L10" s="1051"/>
      <c r="M10" s="1051"/>
      <c r="N10" s="1051"/>
      <c r="O10" s="1051"/>
      <c r="P10" s="55"/>
    </row>
    <row r="11" spans="2:16" ht="15.75">
      <c r="B11" s="817"/>
      <c r="C11" s="1051"/>
      <c r="D11" s="1051"/>
      <c r="E11" s="1051"/>
      <c r="F11" s="1051"/>
      <c r="G11" s="1051"/>
      <c r="H11" s="1051"/>
      <c r="I11" s="1051"/>
      <c r="J11" s="1051"/>
      <c r="K11" s="1051"/>
      <c r="L11" s="1051"/>
      <c r="M11" s="1051"/>
      <c r="N11" s="1051"/>
      <c r="O11" s="1051"/>
      <c r="P11" s="55"/>
    </row>
    <row r="12" spans="2:16" ht="16.5" thickBot="1">
      <c r="B12" s="817"/>
      <c r="C12" s="1051"/>
      <c r="D12" s="1051"/>
      <c r="E12" s="1051"/>
      <c r="F12" s="1051"/>
      <c r="G12" s="1051"/>
      <c r="H12" s="1051"/>
      <c r="I12" s="1051"/>
      <c r="J12" s="1051"/>
      <c r="K12" s="1051"/>
      <c r="L12" s="1051"/>
      <c r="M12" s="1051"/>
      <c r="N12" s="1051"/>
      <c r="O12" s="1051"/>
      <c r="P12" s="55"/>
    </row>
    <row r="13" spans="2:16" ht="21">
      <c r="B13" s="819"/>
      <c r="C13" s="820"/>
      <c r="D13" s="821"/>
      <c r="E13" s="821"/>
      <c r="F13" s="821"/>
      <c r="G13" s="822"/>
      <c r="H13" s="821"/>
      <c r="I13" s="821"/>
      <c r="J13" s="821"/>
      <c r="K13" s="820"/>
      <c r="L13" s="820"/>
      <c r="M13" s="820"/>
      <c r="N13" s="820"/>
      <c r="O13" s="820"/>
      <c r="P13" s="823"/>
    </row>
    <row r="14" spans="2:16" ht="21">
      <c r="B14" s="824"/>
      <c r="C14" s="825"/>
      <c r="D14" s="53"/>
      <c r="E14" s="826" t="s">
        <v>103</v>
      </c>
      <c r="F14" s="826"/>
      <c r="G14" s="826"/>
      <c r="H14" s="826"/>
      <c r="I14" s="826"/>
      <c r="J14" s="827"/>
      <c r="K14" s="1052"/>
      <c r="L14" s="1052"/>
      <c r="M14" s="1052"/>
      <c r="N14" s="1052"/>
      <c r="O14" s="825"/>
      <c r="P14" s="828"/>
    </row>
    <row r="15" spans="2:16">
      <c r="B15" s="824"/>
      <c r="C15" s="825"/>
      <c r="D15" s="53"/>
      <c r="E15" s="827" t="s">
        <v>99</v>
      </c>
      <c r="F15" s="827"/>
      <c r="G15" s="827"/>
      <c r="H15" s="827"/>
      <c r="I15" s="827"/>
      <c r="J15" s="827"/>
      <c r="K15" s="1057"/>
      <c r="L15" s="1057"/>
      <c r="M15" s="1057"/>
      <c r="N15" s="1057"/>
      <c r="O15" s="825"/>
      <c r="P15" s="828"/>
    </row>
    <row r="16" spans="2:16">
      <c r="B16" s="824"/>
      <c r="C16" s="825"/>
      <c r="D16" s="825"/>
      <c r="E16" s="1058" t="s">
        <v>100</v>
      </c>
      <c r="F16" s="1059"/>
      <c r="G16" s="1059"/>
      <c r="H16" s="1059"/>
      <c r="I16" s="1059"/>
      <c r="J16" s="1059"/>
      <c r="K16" s="825"/>
      <c r="L16" s="825"/>
      <c r="M16" s="825"/>
      <c r="N16" s="825"/>
      <c r="O16" s="825"/>
      <c r="P16" s="828"/>
    </row>
    <row r="17" spans="2:16">
      <c r="B17" s="824"/>
      <c r="C17" s="825"/>
      <c r="D17" s="829"/>
      <c r="E17" s="1060" t="s">
        <v>98</v>
      </c>
      <c r="F17" s="1060"/>
      <c r="G17" s="1060"/>
      <c r="H17" s="1060"/>
      <c r="I17" s="1060"/>
      <c r="J17" s="827"/>
      <c r="K17" s="825"/>
      <c r="L17" s="825"/>
      <c r="M17" s="825"/>
      <c r="N17" s="825"/>
      <c r="O17" s="825"/>
      <c r="P17" s="828"/>
    </row>
    <row r="18" spans="2:16">
      <c r="B18" s="824"/>
      <c r="C18" s="825"/>
      <c r="D18" s="829"/>
      <c r="E18" s="827"/>
      <c r="F18" s="827"/>
      <c r="G18" s="827"/>
      <c r="H18" s="827"/>
      <c r="I18" s="827"/>
      <c r="J18" s="827"/>
      <c r="K18" s="825"/>
      <c r="L18" s="825"/>
      <c r="M18" s="825"/>
      <c r="N18" s="825"/>
      <c r="O18" s="825"/>
      <c r="P18" s="828"/>
    </row>
    <row r="19" spans="2:16" ht="15.75" thickBot="1">
      <c r="B19" s="830"/>
      <c r="C19" s="831" t="s">
        <v>101</v>
      </c>
      <c r="D19" s="831"/>
      <c r="E19" s="831"/>
      <c r="F19" s="831"/>
      <c r="G19" s="831"/>
      <c r="H19" s="831"/>
      <c r="I19" s="831"/>
      <c r="J19" s="831"/>
      <c r="K19" s="831"/>
      <c r="L19" s="831"/>
      <c r="M19" s="1061" t="s">
        <v>102</v>
      </c>
      <c r="N19" s="1061"/>
      <c r="O19" s="1061"/>
      <c r="P19" s="832"/>
    </row>
    <row r="20" spans="2:16" ht="75" customHeight="1" thickBot="1"/>
    <row r="21" spans="2:16" ht="29.25" thickBot="1">
      <c r="B21" s="1062" t="s">
        <v>6422</v>
      </c>
      <c r="C21" s="1063"/>
      <c r="D21" s="1063"/>
      <c r="E21" s="1063"/>
      <c r="F21" s="1063"/>
      <c r="G21" s="1063"/>
      <c r="H21" s="1063"/>
      <c r="I21" s="1063"/>
      <c r="J21" s="1063"/>
      <c r="K21" s="1063"/>
      <c r="L21" s="1063"/>
      <c r="M21" s="1063"/>
      <c r="N21" s="1063"/>
      <c r="O21" s="1063"/>
      <c r="P21" s="1064"/>
    </row>
    <row r="22" spans="2:16" ht="21">
      <c r="B22" s="834" t="s">
        <v>6424</v>
      </c>
      <c r="C22" s="835" t="s">
        <v>6425</v>
      </c>
      <c r="D22" s="836" t="s">
        <v>7</v>
      </c>
      <c r="E22" s="835"/>
      <c r="F22" s="810"/>
      <c r="G22" s="810"/>
      <c r="H22" s="810"/>
      <c r="I22" s="810"/>
      <c r="J22" s="810"/>
      <c r="K22" s="810"/>
      <c r="L22" s="810"/>
      <c r="M22" s="810"/>
      <c r="N22" s="810"/>
      <c r="O22" s="810"/>
      <c r="P22" s="811"/>
    </row>
    <row r="23" spans="2:16">
      <c r="B23" s="833" t="s">
        <v>6426</v>
      </c>
      <c r="C23" s="809">
        <v>45992</v>
      </c>
      <c r="D23" s="1065" t="s">
        <v>6427</v>
      </c>
      <c r="E23" s="1055"/>
      <c r="F23" s="1055"/>
      <c r="G23" s="1055"/>
      <c r="H23" s="1055"/>
      <c r="I23" s="1055"/>
      <c r="J23" s="1055"/>
      <c r="K23" s="1055"/>
      <c r="L23" s="1055"/>
      <c r="M23" s="1055"/>
      <c r="N23" s="1055"/>
      <c r="O23" s="1055"/>
      <c r="P23" s="1056"/>
    </row>
    <row r="24" spans="2:16">
      <c r="B24" s="833"/>
      <c r="C24" s="808"/>
      <c r="D24" s="1055"/>
      <c r="E24" s="1055"/>
      <c r="F24" s="1055"/>
      <c r="G24" s="1055"/>
      <c r="H24" s="1055"/>
      <c r="I24" s="1055"/>
      <c r="J24" s="1055"/>
      <c r="K24" s="1055"/>
      <c r="L24" s="1055"/>
      <c r="M24" s="1055"/>
      <c r="N24" s="1055"/>
      <c r="O24" s="1055"/>
      <c r="P24" s="1056"/>
    </row>
    <row r="25" spans="2:16">
      <c r="B25" s="833"/>
      <c r="C25" s="808"/>
      <c r="D25" s="1055"/>
      <c r="E25" s="1055"/>
      <c r="F25" s="1055"/>
      <c r="G25" s="1055"/>
      <c r="H25" s="1055"/>
      <c r="I25" s="1055"/>
      <c r="J25" s="1055"/>
      <c r="K25" s="1055"/>
      <c r="L25" s="1055"/>
      <c r="M25" s="1055"/>
      <c r="N25" s="1055"/>
      <c r="O25" s="1055"/>
      <c r="P25" s="1056"/>
    </row>
    <row r="26" spans="2:16">
      <c r="B26" s="833"/>
      <c r="C26" s="808"/>
      <c r="D26" s="1055"/>
      <c r="E26" s="1055"/>
      <c r="F26" s="1055"/>
      <c r="G26" s="1055"/>
      <c r="H26" s="1055"/>
      <c r="I26" s="1055"/>
      <c r="J26" s="1055"/>
      <c r="K26" s="1055"/>
      <c r="L26" s="1055"/>
      <c r="M26" s="1055"/>
      <c r="N26" s="1055"/>
      <c r="O26" s="1055"/>
      <c r="P26" s="1056"/>
    </row>
    <row r="27" spans="2:16">
      <c r="B27" s="833"/>
      <c r="C27" s="808"/>
      <c r="D27" s="1055"/>
      <c r="E27" s="1055"/>
      <c r="F27" s="1055"/>
      <c r="G27" s="1055"/>
      <c r="H27" s="1055"/>
      <c r="I27" s="1055"/>
      <c r="J27" s="1055"/>
      <c r="K27" s="1055"/>
      <c r="L27" s="1055"/>
      <c r="M27" s="1055"/>
      <c r="N27" s="1055"/>
      <c r="O27" s="1055"/>
      <c r="P27" s="1056"/>
    </row>
    <row r="28" spans="2:16">
      <c r="B28" s="833"/>
      <c r="C28" s="808"/>
      <c r="D28" s="1055"/>
      <c r="E28" s="1055"/>
      <c r="F28" s="1055"/>
      <c r="G28" s="1055"/>
      <c r="H28" s="1055"/>
      <c r="I28" s="1055"/>
      <c r="J28" s="1055"/>
      <c r="K28" s="1055"/>
      <c r="L28" s="1055"/>
      <c r="M28" s="1055"/>
      <c r="N28" s="1055"/>
      <c r="O28" s="1055"/>
      <c r="P28" s="1056"/>
    </row>
    <row r="29" spans="2:16">
      <c r="B29" s="833"/>
      <c r="C29" s="808"/>
      <c r="D29" s="1055"/>
      <c r="E29" s="1055"/>
      <c r="F29" s="1055"/>
      <c r="G29" s="1055"/>
      <c r="H29" s="1055"/>
      <c r="I29" s="1055"/>
      <c r="J29" s="1055"/>
      <c r="K29" s="1055"/>
      <c r="L29" s="1055"/>
      <c r="M29" s="1055"/>
      <c r="N29" s="1055"/>
      <c r="O29" s="1055"/>
      <c r="P29" s="1056"/>
    </row>
    <row r="30" spans="2:16">
      <c r="B30" s="833"/>
      <c r="C30" s="808"/>
      <c r="D30" s="1055"/>
      <c r="E30" s="1055"/>
      <c r="F30" s="1055"/>
      <c r="G30" s="1055"/>
      <c r="H30" s="1055"/>
      <c r="I30" s="1055"/>
      <c r="J30" s="1055"/>
      <c r="K30" s="1055"/>
      <c r="L30" s="1055"/>
      <c r="M30" s="1055"/>
      <c r="N30" s="1055"/>
      <c r="O30" s="1055"/>
      <c r="P30" s="1056"/>
    </row>
    <row r="31" spans="2:16">
      <c r="B31" s="833"/>
      <c r="C31" s="808"/>
      <c r="D31" s="1055"/>
      <c r="E31" s="1055"/>
      <c r="F31" s="1055"/>
      <c r="G31" s="1055"/>
      <c r="H31" s="1055"/>
      <c r="I31" s="1055"/>
      <c r="J31" s="1055"/>
      <c r="K31" s="1055"/>
      <c r="L31" s="1055"/>
      <c r="M31" s="1055"/>
      <c r="N31" s="1055"/>
      <c r="O31" s="1055"/>
      <c r="P31" s="1056"/>
    </row>
    <row r="32" spans="2:16" ht="15.75" thickBot="1">
      <c r="B32" s="833"/>
      <c r="C32" s="808"/>
      <c r="D32" s="1055"/>
      <c r="E32" s="1055"/>
      <c r="F32" s="1055"/>
      <c r="G32" s="1055"/>
      <c r="H32" s="1055"/>
      <c r="I32" s="1055"/>
      <c r="J32" s="1055"/>
      <c r="K32" s="1055"/>
      <c r="L32" s="1055"/>
      <c r="M32" s="1055"/>
      <c r="N32" s="1055"/>
      <c r="O32" s="1055"/>
      <c r="P32" s="1056"/>
    </row>
    <row r="33" spans="2:16" ht="21.75" thickBot="1">
      <c r="B33" s="812"/>
      <c r="C33" s="813"/>
      <c r="D33" s="814"/>
      <c r="E33" s="814"/>
      <c r="F33" s="814"/>
      <c r="G33" s="815"/>
      <c r="H33" s="814"/>
      <c r="I33" s="814"/>
      <c r="J33" s="814"/>
      <c r="K33" s="813"/>
      <c r="L33" s="813"/>
      <c r="M33" s="813"/>
      <c r="N33" s="813"/>
      <c r="O33" s="813"/>
      <c r="P33" s="816"/>
    </row>
  </sheetData>
  <mergeCells count="26">
    <mergeCell ref="D28:P28"/>
    <mergeCell ref="D29:P29"/>
    <mergeCell ref="D30:P30"/>
    <mergeCell ref="D31:P31"/>
    <mergeCell ref="D32:P32"/>
    <mergeCell ref="D27:P27"/>
    <mergeCell ref="K15:N15"/>
    <mergeCell ref="E16:J16"/>
    <mergeCell ref="E17:I17"/>
    <mergeCell ref="M19:O19"/>
    <mergeCell ref="B21:P21"/>
    <mergeCell ref="D23:P23"/>
    <mergeCell ref="D24:P24"/>
    <mergeCell ref="D25:P25"/>
    <mergeCell ref="D26:P26"/>
    <mergeCell ref="C3:O3"/>
    <mergeCell ref="C5:O5"/>
    <mergeCell ref="C6:O6"/>
    <mergeCell ref="C7:O7"/>
    <mergeCell ref="C8:O8"/>
    <mergeCell ref="C4:O4"/>
    <mergeCell ref="C9:O9"/>
    <mergeCell ref="C10:O10"/>
    <mergeCell ref="C11:O11"/>
    <mergeCell ref="C12:O12"/>
    <mergeCell ref="K14:N14"/>
  </mergeCells>
  <hyperlinks>
    <hyperlink ref="E16" r:id="rId1" xr:uid="{B1BB6A30-394F-45C4-97E0-6560AD42132A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77D5-A608-4469-9172-29F867798E66}">
  <sheetPr codeName="Feuil3">
    <tabColor theme="7" tint="-0.249977111117893"/>
  </sheetPr>
  <dimension ref="B1:Y199"/>
  <sheetViews>
    <sheetView topLeftCell="A74" zoomScale="85" zoomScaleNormal="85" workbookViewId="0">
      <selection activeCell="I92" sqref="I92"/>
    </sheetView>
  </sheetViews>
  <sheetFormatPr baseColWidth="10" defaultRowHeight="15"/>
  <cols>
    <col min="1" max="1" width="2.85546875" style="1" customWidth="1"/>
    <col min="2" max="2" width="12.28515625" style="1" bestFit="1" customWidth="1"/>
    <col min="3" max="3" width="11.28515625" style="1" hidden="1" customWidth="1"/>
    <col min="4" max="4" width="34.28515625" style="1" customWidth="1"/>
    <col min="5" max="5" width="13.140625" style="1" bestFit="1" customWidth="1"/>
    <col min="6" max="6" width="4" style="1" hidden="1" customWidth="1"/>
    <col min="7" max="7" width="25.42578125" style="1" customWidth="1"/>
    <col min="8" max="8" width="14.28515625" style="1" bestFit="1" customWidth="1"/>
    <col min="9" max="9" width="85.28515625" style="570" bestFit="1" customWidth="1"/>
    <col min="10" max="10" width="11.5703125" style="1" customWidth="1"/>
    <col min="11" max="14" width="11.42578125" style="1"/>
    <col min="15" max="15" width="20.28515625" style="630" bestFit="1" customWidth="1"/>
    <col min="16" max="16" width="2.42578125" style="1" customWidth="1"/>
    <col min="17" max="17" width="20.42578125" style="1" bestFit="1" customWidth="1"/>
    <col min="18" max="18" width="2.140625" style="1" customWidth="1"/>
    <col min="19" max="19" width="19.5703125" style="1" bestFit="1" customWidth="1"/>
    <col min="20" max="20" width="2.85546875" style="1" customWidth="1"/>
    <col min="21" max="21" width="13.5703125" style="1" bestFit="1" customWidth="1"/>
    <col min="22" max="23" width="19.7109375" style="1" customWidth="1"/>
    <col min="24" max="24" width="11.42578125" style="1"/>
    <col min="25" max="25" width="15.28515625" style="1" bestFit="1" customWidth="1"/>
    <col min="26" max="16384" width="11.42578125" style="1"/>
  </cols>
  <sheetData>
    <row r="1" spans="2:19" ht="15.75" thickBot="1"/>
    <row r="2" spans="2:19" ht="27" thickBot="1">
      <c r="B2" s="1136" t="s">
        <v>6366</v>
      </c>
      <c r="C2" s="1137"/>
      <c r="D2" s="1137"/>
      <c r="E2" s="1137"/>
      <c r="F2" s="1137"/>
      <c r="G2" s="1137"/>
      <c r="H2" s="1137"/>
      <c r="I2" s="1137"/>
      <c r="J2" s="1137"/>
      <c r="K2" s="1137"/>
      <c r="L2" s="1137"/>
      <c r="M2" s="1137"/>
      <c r="N2" s="1137"/>
      <c r="O2" s="1138"/>
      <c r="Q2" s="1119" t="s">
        <v>1396</v>
      </c>
      <c r="S2" s="1114" t="s">
        <v>1395</v>
      </c>
    </row>
    <row r="3" spans="2:19" ht="41.25" thickBot="1">
      <c r="B3" s="544" t="s">
        <v>1397</v>
      </c>
      <c r="C3" s="571"/>
      <c r="D3" s="571"/>
      <c r="E3" s="571"/>
      <c r="F3" s="571"/>
      <c r="G3" s="571"/>
      <c r="H3" s="838"/>
      <c r="I3" s="545" t="s">
        <v>7</v>
      </c>
      <c r="J3" s="685" t="s">
        <v>6329</v>
      </c>
      <c r="K3" s="685" t="s">
        <v>6330</v>
      </c>
      <c r="L3" s="685" t="s">
        <v>6331</v>
      </c>
      <c r="M3" s="685" t="s">
        <v>6332</v>
      </c>
      <c r="N3" s="545" t="s">
        <v>901</v>
      </c>
      <c r="O3" s="631" t="s">
        <v>1394</v>
      </c>
      <c r="Q3" s="1121"/>
      <c r="S3" s="1116"/>
    </row>
    <row r="4" spans="2:19" ht="15.75" thickBot="1">
      <c r="B4" s="654" t="s">
        <v>12</v>
      </c>
      <c r="C4" s="573"/>
      <c r="D4" s="954" t="s">
        <v>6575</v>
      </c>
      <c r="E4" s="573"/>
      <c r="F4" s="573"/>
      <c r="G4" s="573"/>
      <c r="H4" s="573"/>
      <c r="I4" s="574" t="s">
        <v>6309</v>
      </c>
      <c r="J4" s="575">
        <f t="shared" ref="J4:M9" si="0">SUMIFS(J$42:J$154,$C$42:$C$154,$B4)</f>
        <v>13.252840516458168</v>
      </c>
      <c r="K4" s="575">
        <f t="shared" si="0"/>
        <v>9.0484535053788867E-2</v>
      </c>
      <c r="L4" s="575">
        <f t="shared" si="0"/>
        <v>9.4192803630367139E-2</v>
      </c>
      <c r="M4" s="575">
        <f t="shared" si="0"/>
        <v>20.371226077513423</v>
      </c>
      <c r="N4" s="576">
        <f t="shared" ref="N4:N9" si="1">M4/$M$10</f>
        <v>0.11470822458520435</v>
      </c>
      <c r="O4" s="643" t="str">
        <f t="shared" ref="O4:O9" si="2">REPT("|",N4*(100/MAX($N$4:$N$9)))</f>
        <v>||||||||||||||||||</v>
      </c>
      <c r="Q4" s="681">
        <f t="shared" ref="Q4:Q9" si="3">SUMIFS(Q$42:Q$154,$C$42:$C$154,$B4)</f>
        <v>2.6985000000000001</v>
      </c>
      <c r="S4" s="586"/>
    </row>
    <row r="5" spans="2:19" ht="30">
      <c r="B5" s="944" t="s">
        <v>59</v>
      </c>
      <c r="C5" s="591"/>
      <c r="D5" s="953" t="s">
        <v>6576</v>
      </c>
      <c r="E5" s="945"/>
      <c r="F5" s="945"/>
      <c r="G5" s="945"/>
      <c r="H5" s="945"/>
      <c r="I5" s="946" t="s">
        <v>6310</v>
      </c>
      <c r="J5" s="947">
        <f t="shared" si="0"/>
        <v>27.880882058385406</v>
      </c>
      <c r="K5" s="947">
        <f t="shared" si="0"/>
        <v>1.6389352210154084E-2</v>
      </c>
      <c r="L5" s="947">
        <f t="shared" si="0"/>
        <v>0.1309009522101541</v>
      </c>
      <c r="M5" s="947">
        <f t="shared" si="0"/>
        <v>28.028172362805712</v>
      </c>
      <c r="N5" s="948">
        <f t="shared" si="1"/>
        <v>0.15782368119975115</v>
      </c>
      <c r="O5" s="949" t="str">
        <f t="shared" si="2"/>
        <v>|||||||||||||||||||||||||</v>
      </c>
      <c r="Q5" s="950">
        <f t="shared" si="3"/>
        <v>0</v>
      </c>
      <c r="S5" s="581"/>
    </row>
    <row r="6" spans="2:19" ht="15.75" thickBot="1">
      <c r="B6" s="653" t="s">
        <v>81</v>
      </c>
      <c r="C6" s="592"/>
      <c r="D6" s="955" t="s">
        <v>6577</v>
      </c>
      <c r="E6" s="937"/>
      <c r="F6" s="937"/>
      <c r="G6" s="937"/>
      <c r="H6" s="937"/>
      <c r="I6" s="938" t="s">
        <v>6312</v>
      </c>
      <c r="J6" s="939">
        <f t="shared" si="0"/>
        <v>19.802851477565341</v>
      </c>
      <c r="K6" s="939">
        <f t="shared" si="0"/>
        <v>1.4693906518640146E-2</v>
      </c>
      <c r="L6" s="939">
        <f t="shared" si="0"/>
        <v>0.19019935267024435</v>
      </c>
      <c r="M6" s="939">
        <f t="shared" si="0"/>
        <v>20.00774473675423</v>
      </c>
      <c r="N6" s="940">
        <f t="shared" si="1"/>
        <v>0.11266149950789738</v>
      </c>
      <c r="O6" s="941" t="str">
        <f t="shared" si="2"/>
        <v>||||||||||||||||||</v>
      </c>
      <c r="Q6" s="942">
        <f t="shared" si="3"/>
        <v>0</v>
      </c>
      <c r="S6" s="586"/>
    </row>
    <row r="7" spans="2:19" ht="30.75" thickBot="1">
      <c r="B7" s="923" t="s">
        <v>70</v>
      </c>
      <c r="C7" s="594"/>
      <c r="D7" s="943" t="s">
        <v>6578</v>
      </c>
      <c r="E7" s="924"/>
      <c r="F7" s="924"/>
      <c r="G7" s="924"/>
      <c r="H7" s="924"/>
      <c r="I7" s="925" t="s">
        <v>6311</v>
      </c>
      <c r="J7" s="926">
        <f t="shared" si="0"/>
        <v>109.16113680000001</v>
      </c>
      <c r="K7" s="926">
        <f t="shared" si="0"/>
        <v>2.3397962130000005E-2</v>
      </c>
      <c r="L7" s="926">
        <f t="shared" si="0"/>
        <v>0</v>
      </c>
      <c r="M7" s="926">
        <f t="shared" si="0"/>
        <v>109.18453476213001</v>
      </c>
      <c r="N7" s="927">
        <f t="shared" si="1"/>
        <v>0.61480659470714716</v>
      </c>
      <c r="O7" s="928" t="str">
        <f t="shared" si="2"/>
        <v>||||||||||||||||||||||||||||||||||||||||||||||||||||||||||||||||||||||||||||||||||||||||||||||||||||</v>
      </c>
      <c r="Q7" s="929">
        <f t="shared" si="3"/>
        <v>0</v>
      </c>
      <c r="S7" s="586"/>
    </row>
    <row r="8" spans="2:19" ht="30.75" thickBot="1">
      <c r="B8" s="930" t="s">
        <v>87</v>
      </c>
      <c r="C8" s="593"/>
      <c r="D8" s="956" t="s">
        <v>6579</v>
      </c>
      <c r="E8" s="931"/>
      <c r="F8" s="931"/>
      <c r="G8" s="931"/>
      <c r="H8" s="931"/>
      <c r="I8" s="932" t="s">
        <v>6313</v>
      </c>
      <c r="J8" s="933">
        <f t="shared" si="0"/>
        <v>0</v>
      </c>
      <c r="K8" s="933">
        <f t="shared" si="0"/>
        <v>0</v>
      </c>
      <c r="L8" s="933">
        <f t="shared" si="0"/>
        <v>0</v>
      </c>
      <c r="M8" s="933">
        <f t="shared" si="0"/>
        <v>0</v>
      </c>
      <c r="N8" s="934">
        <f t="shared" si="1"/>
        <v>0</v>
      </c>
      <c r="O8" s="935" t="str">
        <f t="shared" si="2"/>
        <v/>
      </c>
      <c r="Q8" s="936">
        <f t="shared" si="3"/>
        <v>0</v>
      </c>
      <c r="S8" s="581"/>
    </row>
    <row r="9" spans="2:19" ht="15.75" thickBot="1">
      <c r="B9" s="1026" t="s">
        <v>96</v>
      </c>
      <c r="C9" s="1027"/>
      <c r="D9" s="1028" t="s">
        <v>6580</v>
      </c>
      <c r="E9" s="1032"/>
      <c r="F9" s="1032"/>
      <c r="G9" s="1032"/>
      <c r="H9" s="1032"/>
      <c r="I9" s="1033" t="s">
        <v>97</v>
      </c>
      <c r="J9" s="1034">
        <f t="shared" si="0"/>
        <v>0</v>
      </c>
      <c r="K9" s="1034">
        <f t="shared" si="0"/>
        <v>0</v>
      </c>
      <c r="L9" s="1034">
        <f t="shared" si="0"/>
        <v>0</v>
      </c>
      <c r="M9" s="1034">
        <f t="shared" si="0"/>
        <v>0</v>
      </c>
      <c r="N9" s="1035">
        <f t="shared" si="1"/>
        <v>0</v>
      </c>
      <c r="O9" s="1036" t="str">
        <f t="shared" si="2"/>
        <v/>
      </c>
      <c r="Q9" s="1037">
        <f t="shared" si="3"/>
        <v>0</v>
      </c>
      <c r="S9" s="581"/>
    </row>
    <row r="10" spans="2:19" ht="22.5" thickBot="1">
      <c r="B10" s="595"/>
      <c r="C10" s="596"/>
      <c r="D10" s="596"/>
      <c r="E10" s="596"/>
      <c r="F10" s="596"/>
      <c r="G10" s="596"/>
      <c r="H10" s="596"/>
      <c r="I10" s="597" t="s">
        <v>126</v>
      </c>
      <c r="J10" s="598">
        <f>SUM(J4:J9)</f>
        <v>170.09771085240891</v>
      </c>
      <c r="K10" s="598">
        <f>SUM(K4:K9)</f>
        <v>0.14496575591258309</v>
      </c>
      <c r="L10" s="598">
        <f>SUM(L4:L9)</f>
        <v>0.41529310851076562</v>
      </c>
      <c r="M10" s="598">
        <f>SUM(M4:M9)</f>
        <v>177.59167793920338</v>
      </c>
      <c r="N10" s="545" t="s">
        <v>1393</v>
      </c>
      <c r="O10" s="642"/>
      <c r="Q10" s="629">
        <f>SUM(Q4:Q9)</f>
        <v>2.6985000000000001</v>
      </c>
      <c r="S10" s="599"/>
    </row>
    <row r="11" spans="2:19" ht="15.75" thickBot="1"/>
    <row r="12" spans="2:19" ht="27" thickBot="1">
      <c r="B12" s="1136" t="s">
        <v>6367</v>
      </c>
      <c r="C12" s="1137"/>
      <c r="D12" s="1137"/>
      <c r="E12" s="1137"/>
      <c r="F12" s="1137"/>
      <c r="G12" s="1137"/>
      <c r="H12" s="1137"/>
      <c r="I12" s="1137"/>
      <c r="J12" s="1137"/>
      <c r="K12" s="1137"/>
      <c r="L12" s="1137"/>
      <c r="M12" s="1137"/>
      <c r="N12" s="1137"/>
      <c r="O12" s="1138"/>
      <c r="Q12" s="1119" t="s">
        <v>1396</v>
      </c>
      <c r="S12" s="1114" t="s">
        <v>1395</v>
      </c>
    </row>
    <row r="13" spans="2:19" ht="41.25" thickBot="1">
      <c r="B13" s="544" t="s">
        <v>1397</v>
      </c>
      <c r="C13" s="571"/>
      <c r="D13" s="571"/>
      <c r="E13" s="674" t="s">
        <v>1398</v>
      </c>
      <c r="F13" s="571"/>
      <c r="G13" s="571"/>
      <c r="H13" s="838"/>
      <c r="I13" s="545" t="s">
        <v>7</v>
      </c>
      <c r="J13" s="685" t="s">
        <v>6329</v>
      </c>
      <c r="K13" s="685" t="s">
        <v>6330</v>
      </c>
      <c r="L13" s="685" t="s">
        <v>6331</v>
      </c>
      <c r="M13" s="685" t="s">
        <v>6332</v>
      </c>
      <c r="N13" s="545" t="s">
        <v>901</v>
      </c>
      <c r="O13" s="631" t="s">
        <v>1394</v>
      </c>
      <c r="Q13" s="1121"/>
      <c r="S13" s="1116"/>
    </row>
    <row r="14" spans="2:19">
      <c r="B14" s="1102" t="s">
        <v>12</v>
      </c>
      <c r="C14" s="573"/>
      <c r="D14" s="1122" t="s">
        <v>6575</v>
      </c>
      <c r="E14" s="582" t="s">
        <v>6428</v>
      </c>
      <c r="F14" s="573"/>
      <c r="G14" s="573" t="s">
        <v>6581</v>
      </c>
      <c r="H14" s="573"/>
      <c r="I14" s="574" t="s">
        <v>13</v>
      </c>
      <c r="J14" s="575">
        <f t="shared" ref="J14:M35" si="4">SUMIFS(J$42:J$154,$F$42:$F$154,$E14)</f>
        <v>4.2679999999999998</v>
      </c>
      <c r="K14" s="575">
        <f t="shared" si="4"/>
        <v>3.1915799999999994E-2</v>
      </c>
      <c r="L14" s="575">
        <f t="shared" si="4"/>
        <v>6.9478499999999999E-2</v>
      </c>
      <c r="M14" s="575">
        <f t="shared" si="4"/>
        <v>4.3693943000000006</v>
      </c>
      <c r="N14" s="576">
        <f t="shared" ref="N14:N21" si="5">M14/$M$36</f>
        <v>2.460359826937283E-2</v>
      </c>
      <c r="O14" s="643" t="str">
        <f t="shared" ref="O14:O35" si="6">REPT("|",N14*(100/MAX($N$14:$N$35)))</f>
        <v>||||</v>
      </c>
      <c r="Q14" s="681">
        <f t="shared" ref="Q14:Q35" si="7">SUMIFS(Q$42:Q$154,$F$42:$F$154,$E14)</f>
        <v>2.6985000000000001</v>
      </c>
      <c r="S14" s="586"/>
    </row>
    <row r="15" spans="2:19">
      <c r="B15" s="1103"/>
      <c r="C15" s="577"/>
      <c r="D15" s="1123"/>
      <c r="E15" s="577" t="s">
        <v>6429</v>
      </c>
      <c r="F15" s="577"/>
      <c r="G15" s="577" t="s">
        <v>6582</v>
      </c>
      <c r="H15" s="577"/>
      <c r="I15" s="578" t="s">
        <v>19</v>
      </c>
      <c r="J15" s="579">
        <f t="shared" si="4"/>
        <v>8.9848405164581671</v>
      </c>
      <c r="K15" s="579">
        <f t="shared" si="4"/>
        <v>5.8568735053788873E-2</v>
      </c>
      <c r="L15" s="579">
        <f t="shared" si="4"/>
        <v>2.4714303630367144E-2</v>
      </c>
      <c r="M15" s="579">
        <f t="shared" si="4"/>
        <v>9.0681235551423214</v>
      </c>
      <c r="N15" s="580">
        <f t="shared" si="5"/>
        <v>5.1061646921578718E-2</v>
      </c>
      <c r="O15" s="644" t="str">
        <f t="shared" si="6"/>
        <v>||||||||</v>
      </c>
      <c r="Q15" s="682">
        <f t="shared" si="7"/>
        <v>0</v>
      </c>
      <c r="S15" s="581"/>
    </row>
    <row r="16" spans="2:19">
      <c r="B16" s="1103"/>
      <c r="C16" s="582"/>
      <c r="D16" s="1123"/>
      <c r="E16" s="582" t="s">
        <v>6430</v>
      </c>
      <c r="F16" s="582"/>
      <c r="G16" s="582" t="s">
        <v>6583</v>
      </c>
      <c r="H16" s="582"/>
      <c r="I16" s="583" t="s">
        <v>28</v>
      </c>
      <c r="J16" s="584">
        <f t="shared" si="4"/>
        <v>0</v>
      </c>
      <c r="K16" s="584">
        <f t="shared" si="4"/>
        <v>0</v>
      </c>
      <c r="L16" s="584">
        <f t="shared" si="4"/>
        <v>0</v>
      </c>
      <c r="M16" s="584">
        <f t="shared" si="4"/>
        <v>0</v>
      </c>
      <c r="N16" s="585">
        <f t="shared" si="5"/>
        <v>0</v>
      </c>
      <c r="O16" s="645" t="str">
        <f t="shared" si="6"/>
        <v/>
      </c>
      <c r="Q16" s="683">
        <f t="shared" si="7"/>
        <v>0</v>
      </c>
      <c r="S16" s="586"/>
    </row>
    <row r="17" spans="2:19">
      <c r="B17" s="1103"/>
      <c r="C17" s="577"/>
      <c r="D17" s="1123"/>
      <c r="E17" s="577" t="s">
        <v>6431</v>
      </c>
      <c r="F17" s="577"/>
      <c r="G17" s="577" t="s">
        <v>6584</v>
      </c>
      <c r="H17" s="577"/>
      <c r="I17" s="578" t="s">
        <v>43</v>
      </c>
      <c r="J17" s="579">
        <f t="shared" si="4"/>
        <v>0</v>
      </c>
      <c r="K17" s="579">
        <f t="shared" si="4"/>
        <v>0</v>
      </c>
      <c r="L17" s="579">
        <f t="shared" si="4"/>
        <v>0</v>
      </c>
      <c r="M17" s="579">
        <f t="shared" si="4"/>
        <v>6.9337082223711022</v>
      </c>
      <c r="N17" s="580">
        <f t="shared" si="5"/>
        <v>3.9042979394252837E-2</v>
      </c>
      <c r="O17" s="644" t="str">
        <f t="shared" si="6"/>
        <v>||||||</v>
      </c>
      <c r="Q17" s="682">
        <f t="shared" si="7"/>
        <v>0</v>
      </c>
      <c r="S17" s="581"/>
    </row>
    <row r="18" spans="2:19" ht="15.75" thickBot="1">
      <c r="B18" s="1104"/>
      <c r="C18" s="587"/>
      <c r="D18" s="1124"/>
      <c r="E18" s="582" t="s">
        <v>6432</v>
      </c>
      <c r="F18" s="587"/>
      <c r="G18" s="587" t="s">
        <v>6585</v>
      </c>
      <c r="H18" s="587"/>
      <c r="I18" s="588" t="s">
        <v>48</v>
      </c>
      <c r="J18" s="589">
        <f t="shared" si="4"/>
        <v>0</v>
      </c>
      <c r="K18" s="589">
        <f t="shared" si="4"/>
        <v>0</v>
      </c>
      <c r="L18" s="589">
        <f t="shared" si="4"/>
        <v>0</v>
      </c>
      <c r="M18" s="589">
        <f t="shared" si="4"/>
        <v>0</v>
      </c>
      <c r="N18" s="590">
        <f t="shared" si="5"/>
        <v>0</v>
      </c>
      <c r="O18" s="646" t="str">
        <f t="shared" si="6"/>
        <v/>
      </c>
      <c r="Q18" s="684">
        <f t="shared" si="7"/>
        <v>0</v>
      </c>
      <c r="S18" s="586"/>
    </row>
    <row r="19" spans="2:19">
      <c r="B19" s="1117" t="s">
        <v>59</v>
      </c>
      <c r="C19" s="951"/>
      <c r="D19" s="1125" t="s">
        <v>6576</v>
      </c>
      <c r="E19" s="945" t="s">
        <v>6433</v>
      </c>
      <c r="F19" s="945"/>
      <c r="G19" s="945" t="s">
        <v>6586</v>
      </c>
      <c r="H19" s="945"/>
      <c r="I19" s="946" t="s">
        <v>60</v>
      </c>
      <c r="J19" s="947">
        <f t="shared" si="4"/>
        <v>1.5888820583854042</v>
      </c>
      <c r="K19" s="947">
        <f t="shared" si="4"/>
        <v>9.5295221015408345E-4</v>
      </c>
      <c r="L19" s="947">
        <f t="shared" si="4"/>
        <v>9.5295221015408345E-4</v>
      </c>
      <c r="M19" s="947">
        <f t="shared" si="4"/>
        <v>1.5907879628057124</v>
      </c>
      <c r="N19" s="948">
        <f t="shared" si="5"/>
        <v>8.9575591675545851E-3</v>
      </c>
      <c r="O19" s="949" t="str">
        <f t="shared" si="6"/>
        <v>|</v>
      </c>
      <c r="Q19" s="950">
        <f t="shared" si="7"/>
        <v>0</v>
      </c>
      <c r="S19" s="581"/>
    </row>
    <row r="20" spans="2:19" ht="15.75" thickBot="1">
      <c r="B20" s="1118"/>
      <c r="C20" s="952"/>
      <c r="D20" s="1126"/>
      <c r="E20" s="872" t="s">
        <v>6434</v>
      </c>
      <c r="F20" s="872"/>
      <c r="G20" s="872" t="s">
        <v>6587</v>
      </c>
      <c r="H20" s="872"/>
      <c r="I20" s="873" t="s">
        <v>63</v>
      </c>
      <c r="J20" s="874">
        <f t="shared" si="4"/>
        <v>26.292000000000002</v>
      </c>
      <c r="K20" s="874">
        <f t="shared" si="4"/>
        <v>1.5436399999999999E-2</v>
      </c>
      <c r="L20" s="874">
        <f t="shared" si="4"/>
        <v>0.12994800000000001</v>
      </c>
      <c r="M20" s="874">
        <f t="shared" si="4"/>
        <v>26.437384399999999</v>
      </c>
      <c r="N20" s="875">
        <f t="shared" si="5"/>
        <v>0.14886612203219657</v>
      </c>
      <c r="O20" s="962" t="str">
        <f t="shared" si="6"/>
        <v>||||||||||||||||||||||||</v>
      </c>
      <c r="Q20" s="963">
        <f t="shared" si="7"/>
        <v>0</v>
      </c>
      <c r="S20" s="586"/>
    </row>
    <row r="21" spans="2:19">
      <c r="B21" s="1105" t="s">
        <v>81</v>
      </c>
      <c r="C21" s="960"/>
      <c r="D21" s="1127" t="s">
        <v>6577</v>
      </c>
      <c r="E21" s="848" t="s">
        <v>6435</v>
      </c>
      <c r="F21" s="848"/>
      <c r="G21" s="848" t="s">
        <v>6588</v>
      </c>
      <c r="H21" s="848"/>
      <c r="I21" s="849" t="s">
        <v>82</v>
      </c>
      <c r="J21" s="850">
        <f t="shared" si="4"/>
        <v>0</v>
      </c>
      <c r="K21" s="850">
        <f t="shared" si="4"/>
        <v>0</v>
      </c>
      <c r="L21" s="850">
        <f t="shared" si="4"/>
        <v>0</v>
      </c>
      <c r="M21" s="850">
        <f t="shared" si="4"/>
        <v>0</v>
      </c>
      <c r="N21" s="851">
        <f t="shared" si="5"/>
        <v>0</v>
      </c>
      <c r="O21" s="852" t="str">
        <f t="shared" si="6"/>
        <v/>
      </c>
      <c r="Q21" s="867">
        <f t="shared" si="7"/>
        <v>0</v>
      </c>
      <c r="S21" s="581"/>
    </row>
    <row r="22" spans="2:19">
      <c r="B22" s="1106"/>
      <c r="C22" s="878"/>
      <c r="D22" s="1128"/>
      <c r="E22" s="853" t="s">
        <v>6436</v>
      </c>
      <c r="F22" s="853"/>
      <c r="G22" s="853" t="s">
        <v>6589</v>
      </c>
      <c r="H22" s="853"/>
      <c r="I22" s="854" t="s">
        <v>90</v>
      </c>
      <c r="J22" s="855">
        <f t="shared" si="4"/>
        <v>0</v>
      </c>
      <c r="K22" s="855">
        <f t="shared" si="4"/>
        <v>0</v>
      </c>
      <c r="L22" s="855">
        <f t="shared" si="4"/>
        <v>0</v>
      </c>
      <c r="M22" s="855">
        <f t="shared" si="4"/>
        <v>0</v>
      </c>
      <c r="N22" s="856">
        <f t="shared" ref="N22:N35" si="8">M22/$M$36</f>
        <v>0</v>
      </c>
      <c r="O22" s="857" t="str">
        <f t="shared" si="6"/>
        <v/>
      </c>
      <c r="Q22" s="868">
        <f t="shared" si="7"/>
        <v>0</v>
      </c>
      <c r="S22" s="586"/>
    </row>
    <row r="23" spans="2:19">
      <c r="B23" s="1106"/>
      <c r="C23" s="878"/>
      <c r="D23" s="1128"/>
      <c r="E23" s="837" t="s">
        <v>6437</v>
      </c>
      <c r="F23" s="837"/>
      <c r="G23" s="837" t="s">
        <v>94</v>
      </c>
      <c r="H23" s="837"/>
      <c r="I23" s="858" t="s">
        <v>94</v>
      </c>
      <c r="J23" s="859">
        <f t="shared" si="4"/>
        <v>5.3790752856332125</v>
      </c>
      <c r="K23" s="859">
        <f t="shared" si="4"/>
        <v>9.7218090024643444E-3</v>
      </c>
      <c r="L23" s="859">
        <f t="shared" si="4"/>
        <v>1.410009116674424E-2</v>
      </c>
      <c r="M23" s="859">
        <f t="shared" si="4"/>
        <v>5.4028971858024217</v>
      </c>
      <c r="N23" s="860">
        <f t="shared" si="8"/>
        <v>3.0423143969910835E-2</v>
      </c>
      <c r="O23" s="861" t="str">
        <f t="shared" si="6"/>
        <v>||||</v>
      </c>
      <c r="Q23" s="869">
        <f t="shared" si="7"/>
        <v>0</v>
      </c>
      <c r="S23" s="581"/>
    </row>
    <row r="24" spans="2:19">
      <c r="B24" s="1106"/>
      <c r="C24" s="878"/>
      <c r="D24" s="1128"/>
      <c r="E24" s="853" t="s">
        <v>6438</v>
      </c>
      <c r="F24" s="853"/>
      <c r="G24" s="853" t="s">
        <v>6590</v>
      </c>
      <c r="H24" s="853"/>
      <c r="I24" s="854" t="s">
        <v>89</v>
      </c>
      <c r="J24" s="855">
        <f t="shared" si="4"/>
        <v>6.8905300226676207</v>
      </c>
      <c r="K24" s="855">
        <f t="shared" si="4"/>
        <v>2.044208184204247E-3</v>
      </c>
      <c r="L24" s="855">
        <f t="shared" si="4"/>
        <v>8.5885022667621075E-2</v>
      </c>
      <c r="M24" s="855">
        <f t="shared" si="4"/>
        <v>6.9784592535194463</v>
      </c>
      <c r="N24" s="856">
        <f t="shared" si="8"/>
        <v>3.929496772877189E-2</v>
      </c>
      <c r="O24" s="857" t="str">
        <f t="shared" si="6"/>
        <v>||||||</v>
      </c>
      <c r="Q24" s="868">
        <f t="shared" si="7"/>
        <v>0</v>
      </c>
      <c r="S24" s="586"/>
    </row>
    <row r="25" spans="2:19" ht="15.75" thickBot="1">
      <c r="B25" s="1107"/>
      <c r="C25" s="961"/>
      <c r="D25" s="1129"/>
      <c r="E25" s="862" t="s">
        <v>6439</v>
      </c>
      <c r="F25" s="862"/>
      <c r="G25" s="862" t="s">
        <v>6591</v>
      </c>
      <c r="H25" s="862"/>
      <c r="I25" s="863" t="s">
        <v>83</v>
      </c>
      <c r="J25" s="864">
        <f t="shared" si="4"/>
        <v>7.5332461692645065</v>
      </c>
      <c r="K25" s="864">
        <f t="shared" si="4"/>
        <v>2.9278893319715526E-3</v>
      </c>
      <c r="L25" s="864">
        <f t="shared" si="4"/>
        <v>9.0214238835879021E-2</v>
      </c>
      <c r="M25" s="864">
        <f t="shared" si="4"/>
        <v>7.6263882974323582</v>
      </c>
      <c r="N25" s="865">
        <f t="shared" si="8"/>
        <v>4.2943387809214646E-2</v>
      </c>
      <c r="O25" s="866" t="str">
        <f t="shared" si="6"/>
        <v>||||||</v>
      </c>
      <c r="Q25" s="870">
        <f t="shared" si="7"/>
        <v>0</v>
      </c>
      <c r="S25" s="581"/>
    </row>
    <row r="26" spans="2:19">
      <c r="B26" s="1108" t="s">
        <v>70</v>
      </c>
      <c r="C26" s="871"/>
      <c r="D26" s="1130" t="s">
        <v>6578</v>
      </c>
      <c r="E26" s="960" t="s">
        <v>6440</v>
      </c>
      <c r="F26" s="960"/>
      <c r="G26" s="960" t="s">
        <v>6592</v>
      </c>
      <c r="H26" s="960"/>
      <c r="I26" s="964" t="s">
        <v>6441</v>
      </c>
      <c r="J26" s="965">
        <f t="shared" si="4"/>
        <v>109.16113680000001</v>
      </c>
      <c r="K26" s="965">
        <f t="shared" si="4"/>
        <v>0</v>
      </c>
      <c r="L26" s="965">
        <f t="shared" si="4"/>
        <v>0</v>
      </c>
      <c r="M26" s="965">
        <f t="shared" si="4"/>
        <v>109.16113680000001</v>
      </c>
      <c r="N26" s="966">
        <f t="shared" si="8"/>
        <v>0.61467484325121458</v>
      </c>
      <c r="O26" s="967" t="str">
        <f t="shared" si="6"/>
        <v>||||||||||||||||||||||||||||||||||||||||||||||||||||||||||||||||||||||||||||||||||||||||||||||||||||</v>
      </c>
      <c r="Q26" s="968">
        <f t="shared" si="7"/>
        <v>0</v>
      </c>
      <c r="S26" s="586"/>
    </row>
    <row r="27" spans="2:19">
      <c r="B27" s="1109"/>
      <c r="C27" s="872"/>
      <c r="D27" s="1131"/>
      <c r="E27" s="837" t="s">
        <v>6442</v>
      </c>
      <c r="F27" s="837"/>
      <c r="G27" s="837" t="s">
        <v>6593</v>
      </c>
      <c r="H27" s="837"/>
      <c r="I27" s="858" t="s">
        <v>78</v>
      </c>
      <c r="J27" s="859">
        <f t="shared" si="4"/>
        <v>0</v>
      </c>
      <c r="K27" s="859">
        <f t="shared" si="4"/>
        <v>0</v>
      </c>
      <c r="L27" s="859">
        <f t="shared" si="4"/>
        <v>0</v>
      </c>
      <c r="M27" s="859">
        <f t="shared" si="4"/>
        <v>0</v>
      </c>
      <c r="N27" s="860">
        <f t="shared" si="8"/>
        <v>0</v>
      </c>
      <c r="O27" s="861" t="str">
        <f t="shared" si="6"/>
        <v/>
      </c>
      <c r="Q27" s="869">
        <f t="shared" si="7"/>
        <v>0</v>
      </c>
      <c r="S27" s="581"/>
    </row>
    <row r="28" spans="2:19">
      <c r="B28" s="1109"/>
      <c r="C28" s="876"/>
      <c r="D28" s="1131"/>
      <c r="E28" s="878" t="s">
        <v>6443</v>
      </c>
      <c r="F28" s="878"/>
      <c r="G28" s="878" t="s">
        <v>79</v>
      </c>
      <c r="H28" s="878"/>
      <c r="I28" s="970" t="s">
        <v>79</v>
      </c>
      <c r="J28" s="971">
        <f t="shared" si="4"/>
        <v>0</v>
      </c>
      <c r="K28" s="971">
        <f t="shared" si="4"/>
        <v>2.3397962130000005E-2</v>
      </c>
      <c r="L28" s="971">
        <f t="shared" si="4"/>
        <v>0</v>
      </c>
      <c r="M28" s="971">
        <f t="shared" si="4"/>
        <v>2.3397962130000005E-2</v>
      </c>
      <c r="N28" s="972">
        <f t="shared" si="8"/>
        <v>1.3175145593258064E-4</v>
      </c>
      <c r="O28" s="973" t="str">
        <f t="shared" si="6"/>
        <v/>
      </c>
      <c r="Q28" s="969">
        <f t="shared" si="7"/>
        <v>0</v>
      </c>
      <c r="S28" s="586"/>
    </row>
    <row r="29" spans="2:19">
      <c r="B29" s="1109"/>
      <c r="C29" s="872"/>
      <c r="D29" s="1131"/>
      <c r="E29" s="837" t="s">
        <v>6444</v>
      </c>
      <c r="F29" s="837"/>
      <c r="G29" s="837" t="s">
        <v>86</v>
      </c>
      <c r="H29" s="837"/>
      <c r="I29" s="858" t="s">
        <v>1399</v>
      </c>
      <c r="J29" s="859">
        <f t="shared" si="4"/>
        <v>0</v>
      </c>
      <c r="K29" s="859">
        <f t="shared" si="4"/>
        <v>0</v>
      </c>
      <c r="L29" s="859">
        <f t="shared" si="4"/>
        <v>0</v>
      </c>
      <c r="M29" s="859">
        <f t="shared" si="4"/>
        <v>0</v>
      </c>
      <c r="N29" s="860">
        <f t="shared" si="8"/>
        <v>0</v>
      </c>
      <c r="O29" s="861" t="str">
        <f t="shared" si="6"/>
        <v/>
      </c>
      <c r="Q29" s="869">
        <f t="shared" si="7"/>
        <v>0</v>
      </c>
      <c r="S29" s="581"/>
    </row>
    <row r="30" spans="2:19" ht="15.75" thickBot="1">
      <c r="B30" s="1110"/>
      <c r="C30" s="877"/>
      <c r="D30" s="1132"/>
      <c r="E30" s="961" t="s">
        <v>6445</v>
      </c>
      <c r="F30" s="961"/>
      <c r="G30" s="961" t="s">
        <v>1281</v>
      </c>
      <c r="H30" s="961"/>
      <c r="I30" s="974" t="s">
        <v>1281</v>
      </c>
      <c r="J30" s="975">
        <f t="shared" si="4"/>
        <v>0</v>
      </c>
      <c r="K30" s="975">
        <f t="shared" si="4"/>
        <v>0</v>
      </c>
      <c r="L30" s="975">
        <f t="shared" si="4"/>
        <v>0</v>
      </c>
      <c r="M30" s="975">
        <f t="shared" si="4"/>
        <v>0</v>
      </c>
      <c r="N30" s="976">
        <f t="shared" si="8"/>
        <v>0</v>
      </c>
      <c r="O30" s="977" t="str">
        <f t="shared" si="6"/>
        <v/>
      </c>
      <c r="Q30" s="978">
        <f t="shared" si="7"/>
        <v>0</v>
      </c>
      <c r="S30" s="586"/>
    </row>
    <row r="31" spans="2:19">
      <c r="B31" s="1111" t="s">
        <v>6446</v>
      </c>
      <c r="C31" s="957"/>
      <c r="D31" s="1133" t="s">
        <v>6579</v>
      </c>
      <c r="E31" s="979" t="s">
        <v>6447</v>
      </c>
      <c r="F31" s="979"/>
      <c r="G31" s="979" t="s">
        <v>6594</v>
      </c>
      <c r="H31" s="979"/>
      <c r="I31" s="980" t="s">
        <v>91</v>
      </c>
      <c r="J31" s="981">
        <f t="shared" si="4"/>
        <v>0</v>
      </c>
      <c r="K31" s="981">
        <f t="shared" si="4"/>
        <v>0</v>
      </c>
      <c r="L31" s="981">
        <f t="shared" si="4"/>
        <v>0</v>
      </c>
      <c r="M31" s="981">
        <f t="shared" si="4"/>
        <v>0</v>
      </c>
      <c r="N31" s="982">
        <f t="shared" si="8"/>
        <v>0</v>
      </c>
      <c r="O31" s="983" t="str">
        <f t="shared" si="6"/>
        <v/>
      </c>
      <c r="Q31" s="984">
        <f t="shared" si="7"/>
        <v>0</v>
      </c>
      <c r="S31" s="581"/>
    </row>
    <row r="32" spans="2:19">
      <c r="B32" s="1112"/>
      <c r="C32" s="958"/>
      <c r="D32" s="1134"/>
      <c r="E32" s="878" t="s">
        <v>6448</v>
      </c>
      <c r="F32" s="878"/>
      <c r="G32" s="878" t="s">
        <v>6595</v>
      </c>
      <c r="H32" s="878"/>
      <c r="I32" s="970" t="s">
        <v>93</v>
      </c>
      <c r="J32" s="971">
        <f t="shared" si="4"/>
        <v>0</v>
      </c>
      <c r="K32" s="971">
        <f t="shared" si="4"/>
        <v>0</v>
      </c>
      <c r="L32" s="971">
        <f t="shared" si="4"/>
        <v>0</v>
      </c>
      <c r="M32" s="971">
        <f t="shared" si="4"/>
        <v>0</v>
      </c>
      <c r="N32" s="972">
        <f t="shared" si="8"/>
        <v>0</v>
      </c>
      <c r="O32" s="973" t="str">
        <f t="shared" si="6"/>
        <v/>
      </c>
      <c r="Q32" s="969">
        <f t="shared" si="7"/>
        <v>0</v>
      </c>
      <c r="S32" s="586"/>
    </row>
    <row r="33" spans="2:25">
      <c r="B33" s="1112"/>
      <c r="C33" s="958"/>
      <c r="D33" s="1134"/>
      <c r="E33" s="986" t="s">
        <v>6449</v>
      </c>
      <c r="F33" s="986"/>
      <c r="G33" s="986" t="s">
        <v>92</v>
      </c>
      <c r="H33" s="986"/>
      <c r="I33" s="987" t="s">
        <v>92</v>
      </c>
      <c r="J33" s="988">
        <f t="shared" si="4"/>
        <v>0</v>
      </c>
      <c r="K33" s="988">
        <f t="shared" si="4"/>
        <v>0</v>
      </c>
      <c r="L33" s="988">
        <f t="shared" si="4"/>
        <v>0</v>
      </c>
      <c r="M33" s="988">
        <f t="shared" si="4"/>
        <v>0</v>
      </c>
      <c r="N33" s="989">
        <f t="shared" si="8"/>
        <v>0</v>
      </c>
      <c r="O33" s="990" t="str">
        <f t="shared" si="6"/>
        <v/>
      </c>
      <c r="Q33" s="985">
        <f t="shared" si="7"/>
        <v>0</v>
      </c>
      <c r="S33" s="581"/>
    </row>
    <row r="34" spans="2:25" ht="15.75" thickBot="1">
      <c r="B34" s="1113"/>
      <c r="C34" s="959"/>
      <c r="D34" s="1135"/>
      <c r="E34" s="961" t="s">
        <v>6450</v>
      </c>
      <c r="F34" s="961"/>
      <c r="G34" s="961" t="s">
        <v>6596</v>
      </c>
      <c r="H34" s="961"/>
      <c r="I34" s="974" t="s">
        <v>88</v>
      </c>
      <c r="J34" s="975">
        <f t="shared" si="4"/>
        <v>0</v>
      </c>
      <c r="K34" s="975">
        <f t="shared" si="4"/>
        <v>0</v>
      </c>
      <c r="L34" s="975">
        <f t="shared" si="4"/>
        <v>0</v>
      </c>
      <c r="M34" s="975">
        <f t="shared" si="4"/>
        <v>0</v>
      </c>
      <c r="N34" s="976">
        <f t="shared" si="8"/>
        <v>0</v>
      </c>
      <c r="O34" s="977" t="str">
        <f t="shared" si="6"/>
        <v/>
      </c>
      <c r="Q34" s="978">
        <f t="shared" si="7"/>
        <v>0</v>
      </c>
      <c r="S34" s="586"/>
    </row>
    <row r="35" spans="2:25" ht="15.75" thickBot="1">
      <c r="B35" s="1029" t="s">
        <v>96</v>
      </c>
      <c r="C35" s="1030"/>
      <c r="D35" s="1031" t="s">
        <v>6580</v>
      </c>
      <c r="E35" s="1039">
        <v>6</v>
      </c>
      <c r="F35" s="1039"/>
      <c r="G35" s="1039" t="s">
        <v>315</v>
      </c>
      <c r="H35" s="1039"/>
      <c r="I35" s="1040" t="s">
        <v>315</v>
      </c>
      <c r="J35" s="1041">
        <f t="shared" si="4"/>
        <v>0</v>
      </c>
      <c r="K35" s="1041">
        <f t="shared" si="4"/>
        <v>0</v>
      </c>
      <c r="L35" s="1041">
        <f t="shared" si="4"/>
        <v>0</v>
      </c>
      <c r="M35" s="1041">
        <f t="shared" si="4"/>
        <v>0</v>
      </c>
      <c r="N35" s="1042">
        <f t="shared" si="8"/>
        <v>0</v>
      </c>
      <c r="O35" s="1043" t="str">
        <f t="shared" si="6"/>
        <v/>
      </c>
      <c r="Q35" s="1038">
        <f t="shared" si="7"/>
        <v>0</v>
      </c>
      <c r="S35" s="581"/>
    </row>
    <row r="36" spans="2:25" ht="22.5" thickBot="1">
      <c r="B36" s="842"/>
      <c r="C36" s="843"/>
      <c r="D36" s="843"/>
      <c r="E36" s="843"/>
      <c r="F36" s="843"/>
      <c r="G36" s="843"/>
      <c r="H36" s="843"/>
      <c r="I36" s="844" t="s">
        <v>126</v>
      </c>
      <c r="J36" s="845">
        <f>SUM(J14:J35)</f>
        <v>170.09771085240891</v>
      </c>
      <c r="K36" s="845">
        <f>SUM(K14:K35)</f>
        <v>0.14496575591258309</v>
      </c>
      <c r="L36" s="845">
        <f>SUM(L14:L35)</f>
        <v>0.41529310851076556</v>
      </c>
      <c r="M36" s="845">
        <f>SUM(M14:M35)</f>
        <v>177.59167793920335</v>
      </c>
      <c r="N36" s="846" t="s">
        <v>1393</v>
      </c>
      <c r="O36" s="847"/>
      <c r="Q36" s="841">
        <f>SUM(Q14:Q35)</f>
        <v>2.6985000000000001</v>
      </c>
      <c r="S36" s="599"/>
    </row>
    <row r="37" spans="2:25" ht="15.75" thickBot="1"/>
    <row r="38" spans="2:25" ht="27" customHeight="1" thickBot="1">
      <c r="B38" s="1136" t="s">
        <v>6368</v>
      </c>
      <c r="C38" s="1137"/>
      <c r="D38" s="1137"/>
      <c r="E38" s="1137"/>
      <c r="F38" s="1137"/>
      <c r="G38" s="1137"/>
      <c r="H38" s="1137"/>
      <c r="I38" s="1137"/>
      <c r="J38" s="1137"/>
      <c r="K38" s="1137"/>
      <c r="L38" s="1137"/>
      <c r="M38" s="1137"/>
      <c r="N38" s="1137"/>
      <c r="O38" s="1138"/>
      <c r="Q38" s="1119" t="s">
        <v>1396</v>
      </c>
      <c r="S38" s="1114" t="s">
        <v>1395</v>
      </c>
      <c r="V38" s="1146" t="s">
        <v>6371</v>
      </c>
      <c r="W38" s="1146"/>
      <c r="X38" s="1146"/>
      <c r="Y38" s="1146"/>
    </row>
    <row r="39" spans="2:25" ht="27" customHeight="1" thickBot="1">
      <c r="B39" s="1139"/>
      <c r="C39" s="1140"/>
      <c r="D39" s="1140"/>
      <c r="E39" s="1140"/>
      <c r="F39" s="1140"/>
      <c r="G39" s="1140"/>
      <c r="H39" s="1140"/>
      <c r="I39" s="1140"/>
      <c r="J39" s="1140"/>
      <c r="K39" s="1140"/>
      <c r="L39" s="1140"/>
      <c r="M39" s="1140"/>
      <c r="N39" s="1140"/>
      <c r="O39" s="1141"/>
      <c r="Q39" s="1120"/>
      <c r="S39" s="1115"/>
      <c r="V39" s="545" t="s">
        <v>6351</v>
      </c>
      <c r="W39" s="545" t="s">
        <v>6333</v>
      </c>
      <c r="X39" s="1146" t="s">
        <v>6370</v>
      </c>
      <c r="Y39" s="1146"/>
    </row>
    <row r="40" spans="2:25" ht="19.5" thickBot="1">
      <c r="B40" s="1142"/>
      <c r="C40" s="1143"/>
      <c r="D40" s="1143"/>
      <c r="E40" s="1143"/>
      <c r="F40" s="1143"/>
      <c r="G40" s="1143"/>
      <c r="H40" s="1143"/>
      <c r="I40" s="1143"/>
      <c r="J40" s="1143"/>
      <c r="K40" s="1143"/>
      <c r="L40" s="1143"/>
      <c r="M40" s="1143"/>
      <c r="N40" s="1143"/>
      <c r="O40" s="1144"/>
      <c r="Q40" s="1120"/>
      <c r="S40" s="1115"/>
      <c r="V40" s="715" t="s">
        <v>6369</v>
      </c>
      <c r="W40" s="715" t="s">
        <v>136</v>
      </c>
      <c r="X40" s="1145" t="s">
        <v>6369</v>
      </c>
      <c r="Y40" s="1145"/>
    </row>
    <row r="41" spans="2:25" ht="41.25" thickBot="1">
      <c r="B41" s="544" t="s">
        <v>1397</v>
      </c>
      <c r="C41" s="571"/>
      <c r="D41" s="571"/>
      <c r="E41" s="674" t="s">
        <v>6574</v>
      </c>
      <c r="F41" s="674"/>
      <c r="G41" s="674"/>
      <c r="H41" s="839" t="s">
        <v>6314</v>
      </c>
      <c r="I41" s="545" t="s">
        <v>7</v>
      </c>
      <c r="J41" s="685" t="s">
        <v>6329</v>
      </c>
      <c r="K41" s="685" t="s">
        <v>6330</v>
      </c>
      <c r="L41" s="685" t="s">
        <v>6331</v>
      </c>
      <c r="M41" s="685" t="s">
        <v>6332</v>
      </c>
      <c r="N41" s="545" t="s">
        <v>901</v>
      </c>
      <c r="O41" s="572" t="s">
        <v>1394</v>
      </c>
      <c r="Q41" s="1121"/>
      <c r="S41" s="1116"/>
      <c r="V41" s="685"/>
      <c r="W41" s="685" t="s">
        <v>6332</v>
      </c>
      <c r="X41" s="545" t="s">
        <v>901</v>
      </c>
      <c r="Y41" s="572" t="s">
        <v>1394</v>
      </c>
    </row>
    <row r="42" spans="2:25">
      <c r="B42" s="1092" t="s">
        <v>12</v>
      </c>
      <c r="C42" s="754" t="str">
        <f t="shared" ref="C42:C60" si="9">IF(B42=0,C41,B42)</f>
        <v>Catégorie 1</v>
      </c>
      <c r="D42" s="1100" t="s">
        <v>6575</v>
      </c>
      <c r="E42" s="1093" t="s">
        <v>6428</v>
      </c>
      <c r="F42" s="754" t="str">
        <f t="shared" ref="F42:F60" si="10">IF(E42=0,F41,E42)</f>
        <v>1.1</v>
      </c>
      <c r="G42" s="1077" t="s">
        <v>6581</v>
      </c>
      <c r="H42" s="30" t="s">
        <v>6451</v>
      </c>
      <c r="I42" s="668" t="str">
        <f>Calculs!B5</f>
        <v>1.1A1 - Chauffage des bâtiments et équipements fixes</v>
      </c>
      <c r="J42" s="673">
        <f>SUMIFS(Calculs!BY$11:BY$1338,Calculs!$B$11:$B$1338,$H42)/10^6</f>
        <v>4.2679999999999998</v>
      </c>
      <c r="K42" s="673">
        <f>SUMIFS(Calculs!BZ$11:BZ$1338,Calculs!$B$11:$B$1338,$H42)/10^6</f>
        <v>3.1915799999999994E-2</v>
      </c>
      <c r="L42" s="673">
        <f>SUMIFS(Calculs!CA$11:CA$1338,Calculs!$B$11:$B$1338,$H42)/10^6</f>
        <v>6.9478499999999999E-2</v>
      </c>
      <c r="M42" s="673">
        <f>SUMIFS(Calculs!CB$11:CB$1338,Calculs!$B$11:$B$1338,$H42)/10^6</f>
        <v>4.3693943000000006</v>
      </c>
      <c r="N42" s="611">
        <f t="shared" ref="N42:N73" si="11">M42/$M$155</f>
        <v>2.460359826937283E-2</v>
      </c>
      <c r="O42" s="632" t="str">
        <f t="shared" ref="O42:O77" si="12">REPT("|",N42*(100/MAX($N$14:$N$35)))</f>
        <v>||||</v>
      </c>
      <c r="Q42" s="620">
        <f>Calculs!CF31</f>
        <v>2.6985000000000001</v>
      </c>
      <c r="S42" s="586"/>
      <c r="V42" s="673"/>
      <c r="W42" s="673">
        <f>(SUMIFS(Calculs!CB$11:CB$1338,Calculs!$B$11:$B$1338,$H42,Calculs!$F$11:$F$1338,IF($V$40="Tous","&lt;&gt;0",VLOOKUP($V$40,'Listes déroulantes, autres'!$H$9:$I$21,2,FALSE)),Calculs!$G$11:$G$1338,IF($W$40="Tous","&lt;&gt;0",$W$40),Calculs!$H$11:$H$1338,IF($X$40="Tous","&lt;&gt;0",$X$40)        )/10^6)</f>
        <v>5.7278699999999995E-2</v>
      </c>
      <c r="X42" s="611">
        <f t="shared" ref="X42:X77" si="13">W42/$M$155</f>
        <v>3.2253031597352639E-4</v>
      </c>
      <c r="Y42" s="632" t="str">
        <f t="shared" ref="Y42:Y77" si="14">REPT("|",X42*(100/MAX($N$14:$N$35)))</f>
        <v/>
      </c>
    </row>
    <row r="43" spans="2:25">
      <c r="B43" s="1092"/>
      <c r="C43" s="754" t="str">
        <f t="shared" si="9"/>
        <v>Catégorie 1</v>
      </c>
      <c r="D43" s="1101"/>
      <c r="E43" s="1093"/>
      <c r="F43" s="754" t="str">
        <f t="shared" si="10"/>
        <v>1.1</v>
      </c>
      <c r="G43" s="1077"/>
      <c r="H43" s="660" t="s">
        <v>6453</v>
      </c>
      <c r="I43" s="669"/>
      <c r="J43" s="606">
        <f>SUMIFS(Calculs!BY$11:BY$1338,Calculs!$B$11:$B$1338,$H43)/10^6</f>
        <v>0</v>
      </c>
      <c r="K43" s="606">
        <f>SUMIFS(Calculs!BZ$11:BZ$1338,Calculs!$B$11:$B$1338,$H43)/10^6</f>
        <v>0</v>
      </c>
      <c r="L43" s="606">
        <f>SUMIFS(Calculs!CA$11:CA$1338,Calculs!$B$11:$B$1338,$H43)/10^6</f>
        <v>0</v>
      </c>
      <c r="M43" s="606">
        <f>SUMIFS(Calculs!CB$11:CB$1338,Calculs!$B$11:$B$1338,$H43)/10^6</f>
        <v>0</v>
      </c>
      <c r="N43" s="611">
        <f t="shared" si="11"/>
        <v>0</v>
      </c>
      <c r="O43" s="636" t="str">
        <f t="shared" si="12"/>
        <v/>
      </c>
      <c r="Q43" s="621"/>
      <c r="S43" s="581"/>
      <c r="V43" s="606"/>
      <c r="W43" s="606">
        <f>(SUMIFS(Calculs!CB$11:CB$1338,Calculs!$B$11:$B$1338,$H43,Calculs!$F$11:$F$1338,IF($V$40="Tous","&lt;&gt;0",VLOOKUP($V$40,'Listes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43" s="611">
        <f t="shared" si="13"/>
        <v>0</v>
      </c>
      <c r="Y43" s="636" t="str">
        <f t="shared" si="14"/>
        <v/>
      </c>
    </row>
    <row r="44" spans="2:25">
      <c r="B44" s="1092"/>
      <c r="C44" s="754" t="str">
        <f t="shared" si="9"/>
        <v>Catégorie 1</v>
      </c>
      <c r="D44" s="1101"/>
      <c r="E44" s="1094" t="s">
        <v>6429</v>
      </c>
      <c r="F44" s="754" t="str">
        <f t="shared" si="10"/>
        <v>1.2</v>
      </c>
      <c r="G44" s="1078" t="s">
        <v>6582</v>
      </c>
      <c r="H44" s="22" t="s">
        <v>6454</v>
      </c>
      <c r="I44" s="670" t="str">
        <f>Calculs!B33</f>
        <v>1.2A1 - Véhicules (Par la quantité de combustible consommée)</v>
      </c>
      <c r="J44" s="604">
        <f>SUMIFS(Calculs!BY$11:BY$1338,Calculs!$B$11:$B$1338,$H44)/10^6</f>
        <v>2.4447386515589988</v>
      </c>
      <c r="K44" s="604">
        <f>SUMIFS(Calculs!BZ$11:BZ$1338,Calculs!$B$11:$B$1338,$H44)/10^6</f>
        <v>5.037984793751304E-3</v>
      </c>
      <c r="L44" s="604">
        <f>SUMIFS(Calculs!CA$11:CA$1338,Calculs!$B$11:$B$1338,$H44)/10^6</f>
        <v>2.604452839945206E-3</v>
      </c>
      <c r="M44" s="604">
        <f>SUMIFS(Calculs!CB$11:CB$1338,Calculs!$B$11:$B$1338,$H44)/10^6</f>
        <v>2.4523810891926949</v>
      </c>
      <c r="N44" s="613">
        <f t="shared" si="11"/>
        <v>1.3809099151775805E-2</v>
      </c>
      <c r="O44" s="634" t="str">
        <f t="shared" si="12"/>
        <v>||</v>
      </c>
      <c r="Q44" s="622"/>
      <c r="S44" s="586"/>
      <c r="V44" s="604"/>
      <c r="W44" s="604">
        <f>(SUMIFS(Calculs!CB$11:CB$1338,Calculs!$B$11:$B$1338,$H44,Calculs!$F$11:$F$1338,IF($V$40="Tous","&lt;&gt;0",VLOOKUP($V$40,'Listes déroulantes, autres'!$H$9:$I$21,2,FALSE)),Calculs!$G$11:$G$1338,IF($W$40="Tous","&lt;&gt;0",$W$40),Calculs!$H$11:$H$1338,IF($X$40="Tous","&lt;&gt;0",$X$40)        )/10^6)</f>
        <v>2.3125187999999999</v>
      </c>
      <c r="X44" s="613">
        <f t="shared" si="13"/>
        <v>1.302154935881436E-2</v>
      </c>
      <c r="Y44" s="634" t="str">
        <f t="shared" si="14"/>
        <v>||</v>
      </c>
    </row>
    <row r="45" spans="2:25">
      <c r="B45" s="1092"/>
      <c r="C45" s="754" t="str">
        <f t="shared" si="9"/>
        <v>Catégorie 1</v>
      </c>
      <c r="D45" s="1101"/>
      <c r="E45" s="1094"/>
      <c r="F45" s="754" t="str">
        <f t="shared" si="10"/>
        <v>1.2</v>
      </c>
      <c r="G45" s="1078"/>
      <c r="H45" s="22" t="s">
        <v>6455</v>
      </c>
      <c r="I45" s="670" t="str">
        <f>Calculs!B58</f>
        <v>1.2A2 - Véhicules (Par la distance parcourue; Consommation L/100km)</v>
      </c>
      <c r="J45" s="604">
        <f>SUMIFS(Calculs!BY$11:BY$1338,Calculs!$B$11:$B$1338,$H45)/10^6</f>
        <v>5.5125362889749718</v>
      </c>
      <c r="K45" s="604">
        <f>SUMIFS(Calculs!BZ$11:BZ$1338,Calculs!$B$11:$B$1338,$H45)/10^6</f>
        <v>4.6231639843782611E-2</v>
      </c>
      <c r="L45" s="604">
        <f>SUMIFS(Calculs!CA$11:CA$1338,Calculs!$B$11:$B$1338,$H45)/10^6</f>
        <v>1.9056220998630153E-2</v>
      </c>
      <c r="M45" s="604">
        <f>SUMIFS(Calculs!CB$11:CB$1338,Calculs!$B$11:$B$1338,$H45)/10^6</f>
        <v>5.5778241498173839</v>
      </c>
      <c r="N45" s="614">
        <f t="shared" si="11"/>
        <v>3.1408139246969072E-2</v>
      </c>
      <c r="O45" s="635" t="str">
        <f t="shared" si="12"/>
        <v>|||||</v>
      </c>
      <c r="Q45" s="622"/>
      <c r="S45" s="581"/>
      <c r="V45" s="604"/>
      <c r="W45" s="604">
        <f>(SUMIFS(Calculs!CB$11:CB$1338,Calculs!$B$11:$B$1338,$H45,Calculs!$F$11:$F$1338,IF($V$40="Tous","&lt;&gt;0",VLOOKUP($V$40,'Listes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45" s="614">
        <f t="shared" si="13"/>
        <v>0</v>
      </c>
      <c r="Y45" s="635" t="str">
        <f t="shared" si="14"/>
        <v/>
      </c>
    </row>
    <row r="46" spans="2:25">
      <c r="B46" s="1092"/>
      <c r="C46" s="755" t="str">
        <f t="shared" si="9"/>
        <v>Catégorie 1</v>
      </c>
      <c r="D46" s="1101"/>
      <c r="E46" s="1094"/>
      <c r="F46" s="755" t="str">
        <f t="shared" si="10"/>
        <v>1.2</v>
      </c>
      <c r="G46" s="1078"/>
      <c r="H46" s="22" t="s">
        <v>6456</v>
      </c>
      <c r="I46" s="670" t="str">
        <f>Calculs!B76</f>
        <v>1.2A3 - Véhicules (Par les coûts de carburants)</v>
      </c>
      <c r="J46" s="605">
        <f>SUMIFS(Calculs!BY$11:BY$1338,Calculs!$B$11:$B$1338,$H46)/10^6</f>
        <v>1.0275655759241955</v>
      </c>
      <c r="K46" s="605">
        <f>SUMIFS(Calculs!BZ$11:BZ$1338,Calculs!$B$11:$B$1338,$H46)/10^6</f>
        <v>7.2991104162549569E-3</v>
      </c>
      <c r="L46" s="605">
        <f>SUMIFS(Calculs!CA$11:CA$1338,Calculs!$B$11:$B$1338,$H46)/10^6</f>
        <v>3.0536297917917827E-3</v>
      </c>
      <c r="M46" s="605">
        <f>SUMIFS(Calculs!CB$11:CB$1338,Calculs!$B$11:$B$1338,$H46)/10^6</f>
        <v>1.0379183161322425</v>
      </c>
      <c r="N46" s="614">
        <f t="shared" si="11"/>
        <v>5.8444085228338402E-3</v>
      </c>
      <c r="O46" s="635" t="str">
        <f t="shared" si="12"/>
        <v/>
      </c>
      <c r="Q46" s="623"/>
      <c r="S46" s="586"/>
      <c r="V46" s="605"/>
      <c r="W46" s="605">
        <f>(SUMIFS(Calculs!CB$11:CB$1338,Calculs!$B$11:$B$1338,$H46,Calculs!$F$11:$F$1338,IF($V$40="Tous","&lt;&gt;0",VLOOKUP($V$40,'Listes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46" s="614">
        <f t="shared" si="13"/>
        <v>0</v>
      </c>
      <c r="Y46" s="635" t="str">
        <f t="shared" si="14"/>
        <v/>
      </c>
    </row>
    <row r="47" spans="2:25">
      <c r="B47" s="1092"/>
      <c r="C47" s="755" t="str">
        <f t="shared" si="9"/>
        <v>Catégorie 1</v>
      </c>
      <c r="D47" s="1101"/>
      <c r="E47" s="1094"/>
      <c r="F47" s="755" t="str">
        <f t="shared" si="10"/>
        <v>1.2</v>
      </c>
      <c r="G47" s="1078"/>
      <c r="H47" s="22" t="s">
        <v>6457</v>
      </c>
      <c r="I47" s="670" t="str">
        <f>Calculs!B94</f>
        <v>1.2B1 - Véhicules (Par la distance parcourue; Données Canadiennes)</v>
      </c>
      <c r="J47" s="605">
        <f>SUMIFS(Calculs!BY$11:BY$1338,Calculs!$B$11:$B$1338,$H47)/10^6</f>
        <v>0</v>
      </c>
      <c r="K47" s="605">
        <f>SUMIFS(Calculs!BZ$11:BZ$1338,Calculs!$B$11:$B$1338,$H47)/10^6</f>
        <v>0</v>
      </c>
      <c r="L47" s="605">
        <f>SUMIFS(Calculs!CA$11:CA$1338,Calculs!$B$11:$B$1338,$H47)/10^6</f>
        <v>0</v>
      </c>
      <c r="M47" s="605">
        <f>SUMIFS(Calculs!CB$11:CB$1338,Calculs!$B$11:$B$1338,$H47)/10^6</f>
        <v>0</v>
      </c>
      <c r="N47" s="614">
        <f t="shared" si="11"/>
        <v>0</v>
      </c>
      <c r="O47" s="635" t="str">
        <f t="shared" si="12"/>
        <v/>
      </c>
      <c r="Q47" s="623"/>
      <c r="S47" s="581"/>
      <c r="V47" s="605"/>
      <c r="W47" s="605">
        <f>(SUMIFS(Calculs!CB$11:CB$1338,Calculs!$B$11:$B$1338,$H47,Calculs!$F$11:$F$1338,IF($V$40="Tous","&lt;&gt;0",VLOOKUP($V$40,'Listes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47" s="614">
        <f t="shared" si="13"/>
        <v>0</v>
      </c>
      <c r="Y47" s="635" t="str">
        <f t="shared" si="14"/>
        <v/>
      </c>
    </row>
    <row r="48" spans="2:25">
      <c r="B48" s="1092"/>
      <c r="C48" s="754" t="str">
        <f t="shared" si="9"/>
        <v>Catégorie 1</v>
      </c>
      <c r="D48" s="1101"/>
      <c r="E48" s="1095" t="s">
        <v>6430</v>
      </c>
      <c r="F48" s="754" t="str">
        <f t="shared" si="10"/>
        <v>1.3</v>
      </c>
      <c r="G48" s="1079" t="s">
        <v>6583</v>
      </c>
      <c r="H48" s="880" t="s">
        <v>6458</v>
      </c>
      <c r="I48" s="1012" t="s">
        <v>6597</v>
      </c>
      <c r="J48" s="606">
        <f>SUMIFS(Calculs!BY$11:BY$1338,Calculs!$B$11:$B$1338,$H48)/10^6</f>
        <v>0</v>
      </c>
      <c r="K48" s="606">
        <f>SUMIFS(Calculs!BZ$11:BZ$1338,Calculs!$B$11:$B$1338,$H48)/10^6</f>
        <v>0</v>
      </c>
      <c r="L48" s="606">
        <f>SUMIFS(Calculs!CA$11:CA$1338,Calculs!$B$11:$B$1338,$H48)/10^6</f>
        <v>0</v>
      </c>
      <c r="M48" s="606">
        <f>SUMIFS(Calculs!CB$11:CB$1338,Calculs!$B$11:$B$1338,$H48)/10^6</f>
        <v>0</v>
      </c>
      <c r="N48" s="611">
        <f t="shared" si="11"/>
        <v>0</v>
      </c>
      <c r="O48" s="636" t="str">
        <f t="shared" si="12"/>
        <v/>
      </c>
      <c r="Q48" s="624"/>
      <c r="S48" s="586"/>
      <c r="V48" s="606"/>
      <c r="W48" s="606">
        <f>(SUMIFS(Calculs!CB$11:CB$1338,Calculs!$B$11:$B$1338,$H48,Calculs!$F$11:$F$1338,IF($V$40="Tous","&lt;&gt;0",VLOOKUP($V$40,'Listes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48" s="611">
        <f t="shared" si="13"/>
        <v>0</v>
      </c>
      <c r="Y48" s="636" t="str">
        <f t="shared" si="14"/>
        <v/>
      </c>
    </row>
    <row r="49" spans="2:25">
      <c r="B49" s="1092"/>
      <c r="C49" s="754" t="str">
        <f t="shared" si="9"/>
        <v>Catégorie 1</v>
      </c>
      <c r="D49" s="1101"/>
      <c r="E49" s="1096"/>
      <c r="F49" s="754" t="str">
        <f t="shared" si="10"/>
        <v>1.3</v>
      </c>
      <c r="G49" s="1080"/>
      <c r="H49" s="880" t="s">
        <v>6459</v>
      </c>
      <c r="I49" s="1012" t="s">
        <v>6597</v>
      </c>
      <c r="J49" s="606">
        <f>SUMIFS(Calculs!BY$11:BY$1338,Calculs!$B$11:$B$1338,$H49)/10^6</f>
        <v>0</v>
      </c>
      <c r="K49" s="606">
        <f>SUMIFS(Calculs!BZ$11:BZ$1338,Calculs!$B$11:$B$1338,$H49)/10^6</f>
        <v>0</v>
      </c>
      <c r="L49" s="606">
        <f>SUMIFS(Calculs!CA$11:CA$1338,Calculs!$B$11:$B$1338,$H49)/10^6</f>
        <v>0</v>
      </c>
      <c r="M49" s="606">
        <f>SUMIFS(Calculs!CB$11:CB$1338,Calculs!$B$11:$B$1338,$H49)/10^6</f>
        <v>0</v>
      </c>
      <c r="N49" s="611">
        <f t="shared" si="11"/>
        <v>0</v>
      </c>
      <c r="O49" s="636" t="str">
        <f t="shared" si="12"/>
        <v/>
      </c>
      <c r="Q49" s="624"/>
      <c r="S49" s="581"/>
      <c r="V49" s="606"/>
      <c r="W49" s="606">
        <f>(SUMIFS(Calculs!CB$11:CB$1338,Calculs!$B$11:$B$1338,$H49,Calculs!$F$11:$F$1338,IF($V$40="Tous","&lt;&gt;0",VLOOKUP($V$40,'Listes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49" s="611">
        <f t="shared" si="13"/>
        <v>0</v>
      </c>
      <c r="Y49" s="636" t="str">
        <f t="shared" si="14"/>
        <v/>
      </c>
    </row>
    <row r="50" spans="2:25">
      <c r="B50" s="1092"/>
      <c r="C50" s="754" t="str">
        <f t="shared" si="9"/>
        <v>Catégorie 1</v>
      </c>
      <c r="D50" s="1101"/>
      <c r="E50" s="1096"/>
      <c r="F50" s="754" t="str">
        <f t="shared" si="10"/>
        <v>1.3</v>
      </c>
      <c r="G50" s="1080"/>
      <c r="H50" s="880" t="s">
        <v>6460</v>
      </c>
      <c r="I50" s="1012" t="s">
        <v>6597</v>
      </c>
      <c r="J50" s="606">
        <f>SUMIFS(Calculs!BY$11:BY$1338,Calculs!$B$11:$B$1338,$H50)/10^6</f>
        <v>0</v>
      </c>
      <c r="K50" s="606">
        <f>SUMIFS(Calculs!BZ$11:BZ$1338,Calculs!$B$11:$B$1338,$H50)/10^6</f>
        <v>0</v>
      </c>
      <c r="L50" s="606">
        <f>SUMIFS(Calculs!CA$11:CA$1338,Calculs!$B$11:$B$1338,$H50)/10^6</f>
        <v>0</v>
      </c>
      <c r="M50" s="606">
        <f>SUMIFS(Calculs!CB$11:CB$1338,Calculs!$B$11:$B$1338,$H50)/10^6</f>
        <v>0</v>
      </c>
      <c r="N50" s="611">
        <f t="shared" si="11"/>
        <v>0</v>
      </c>
      <c r="O50" s="636" t="str">
        <f t="shared" si="12"/>
        <v/>
      </c>
      <c r="Q50" s="624"/>
      <c r="S50" s="586"/>
      <c r="V50" s="606"/>
      <c r="W50" s="606">
        <f>(SUMIFS(Calculs!CB$11:CB$1338,Calculs!$B$11:$B$1338,$H50,Calculs!$F$11:$F$1338,IF($V$40="Tous","&lt;&gt;0",VLOOKUP($V$40,'Listes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50" s="611">
        <f t="shared" si="13"/>
        <v>0</v>
      </c>
      <c r="Y50" s="636" t="str">
        <f t="shared" si="14"/>
        <v/>
      </c>
    </row>
    <row r="51" spans="2:25">
      <c r="B51" s="1092"/>
      <c r="C51" s="754" t="str">
        <f t="shared" si="9"/>
        <v>Catégorie 1</v>
      </c>
      <c r="D51" s="1101"/>
      <c r="E51" s="1096"/>
      <c r="F51" s="754" t="str">
        <f t="shared" si="10"/>
        <v>1.3</v>
      </c>
      <c r="G51" s="1080"/>
      <c r="H51" s="880" t="s">
        <v>6461</v>
      </c>
      <c r="I51" s="1012" t="s">
        <v>6597</v>
      </c>
      <c r="J51" s="606">
        <f>SUMIFS(Calculs!BY$11:BY$1338,Calculs!$B$11:$B$1338,$H51)/10^6</f>
        <v>0</v>
      </c>
      <c r="K51" s="606">
        <f>SUMIFS(Calculs!BZ$11:BZ$1338,Calculs!$B$11:$B$1338,$H51)/10^6</f>
        <v>0</v>
      </c>
      <c r="L51" s="606">
        <f>SUMIFS(Calculs!CA$11:CA$1338,Calculs!$B$11:$B$1338,$H51)/10^6</f>
        <v>0</v>
      </c>
      <c r="M51" s="606">
        <f>SUMIFS(Calculs!CB$11:CB$1338,Calculs!$B$11:$B$1338,$H51)/10^6</f>
        <v>0</v>
      </c>
      <c r="N51" s="611">
        <f t="shared" si="11"/>
        <v>0</v>
      </c>
      <c r="O51" s="636" t="str">
        <f t="shared" si="12"/>
        <v/>
      </c>
      <c r="Q51" s="624"/>
      <c r="S51" s="581"/>
      <c r="V51" s="606"/>
      <c r="W51" s="606">
        <f>(SUMIFS(Calculs!CB$11:CB$1338,Calculs!$B$11:$B$1338,$H51,Calculs!$F$11:$F$1338,IF($V$40="Tous","&lt;&gt;0",VLOOKUP($V$40,'Listes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51" s="611">
        <f t="shared" si="13"/>
        <v>0</v>
      </c>
      <c r="Y51" s="636" t="str">
        <f t="shared" si="14"/>
        <v/>
      </c>
    </row>
    <row r="52" spans="2:25">
      <c r="B52" s="1092"/>
      <c r="C52" s="754" t="str">
        <f t="shared" si="9"/>
        <v>Catégorie 1</v>
      </c>
      <c r="D52" s="1101"/>
      <c r="E52" s="1096"/>
      <c r="F52" s="754" t="str">
        <f t="shared" si="10"/>
        <v>1.3</v>
      </c>
      <c r="G52" s="1080"/>
      <c r="H52" s="30" t="s">
        <v>6462</v>
      </c>
      <c r="I52" s="669"/>
      <c r="J52" s="606">
        <f>SUMIFS(Calculs!BY$11:BY$1338,Calculs!$B$11:$B$1338,$H52)/10^6</f>
        <v>0</v>
      </c>
      <c r="K52" s="606">
        <f>SUMIFS(Calculs!BZ$11:BZ$1338,Calculs!$B$11:$B$1338,$H52)/10^6</f>
        <v>0</v>
      </c>
      <c r="L52" s="606">
        <f>SUMIFS(Calculs!CA$11:CA$1338,Calculs!$B$11:$B$1338,$H52)/10^6</f>
        <v>0</v>
      </c>
      <c r="M52" s="606">
        <f>SUMIFS(Calculs!CB$11:CB$1338,Calculs!$B$11:$B$1338,$H52)/10^6</f>
        <v>0</v>
      </c>
      <c r="N52" s="611">
        <f t="shared" si="11"/>
        <v>0</v>
      </c>
      <c r="O52" s="636" t="str">
        <f t="shared" si="12"/>
        <v/>
      </c>
      <c r="Q52" s="624"/>
      <c r="S52" s="586"/>
      <c r="V52" s="606"/>
      <c r="W52" s="606">
        <f>(SUMIFS(Calculs!CB$11:CB$1338,Calculs!$B$11:$B$1338,$H52,Calculs!$F$11:$F$1338,IF($V$40="Tous","&lt;&gt;0",VLOOKUP($V$40,'Listes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52" s="611">
        <f t="shared" si="13"/>
        <v>0</v>
      </c>
      <c r="Y52" s="636" t="str">
        <f t="shared" si="14"/>
        <v/>
      </c>
    </row>
    <row r="53" spans="2:25">
      <c r="B53" s="1092"/>
      <c r="C53" s="754" t="str">
        <f t="shared" si="9"/>
        <v>Catégorie 1</v>
      </c>
      <c r="D53" s="1101"/>
      <c r="E53" s="1097" t="s">
        <v>6431</v>
      </c>
      <c r="F53" s="754" t="str">
        <f t="shared" si="10"/>
        <v>1.4</v>
      </c>
      <c r="G53" s="1081" t="s">
        <v>6584</v>
      </c>
      <c r="H53" s="22" t="s">
        <v>6463</v>
      </c>
      <c r="I53" s="670" t="str">
        <f>Calculs!B112</f>
        <v>1.4A1 - Équipement de réfrigération et de climatisation fixe</v>
      </c>
      <c r="J53" s="604">
        <f>SUMIFS(Calculs!BY$11:BY$1338,Calculs!$B$11:$B$1338,$H53)/10^6</f>
        <v>0</v>
      </c>
      <c r="K53" s="604">
        <f>SUMIFS(Calculs!BZ$11:BZ$1338,Calculs!$B$11:$B$1338,$H53)/10^6</f>
        <v>0</v>
      </c>
      <c r="L53" s="604">
        <f>SUMIFS(Calculs!CA$11:CA$1338,Calculs!$B$11:$B$1338,$H53)/10^6</f>
        <v>0</v>
      </c>
      <c r="M53" s="604">
        <f>SUMIFS(Calculs!CB$11:CB$1338,Calculs!$B$11:$B$1338,$H53)/10^6</f>
        <v>6.6568354397169767</v>
      </c>
      <c r="N53" s="613">
        <f t="shared" si="11"/>
        <v>3.7483937969187239E-2</v>
      </c>
      <c r="O53" s="634" t="str">
        <f t="shared" si="12"/>
        <v>||||||</v>
      </c>
      <c r="Q53" s="622"/>
      <c r="S53" s="581"/>
      <c r="V53" s="604"/>
      <c r="W53" s="604">
        <f>(SUMIFS(Calculs!CB$11:CB$1338,Calculs!$B$11:$B$1338,$H53,Calculs!$F$11:$F$1338,IF($V$40="Tous","&lt;&gt;0",VLOOKUP($V$40,'Listes déroulantes, autres'!$H$9:$I$21,2,FALSE)),Calculs!$G$11:$G$1338,IF($W$40="Tous","&lt;&gt;0",$W$40),Calculs!$H$11:$H$1338,IF($X$40="Tous","&lt;&gt;0",$X$40)        )/10^6)</f>
        <v>0.16266275980929878</v>
      </c>
      <c r="X53" s="613">
        <f t="shared" si="13"/>
        <v>9.1593683722603644E-4</v>
      </c>
      <c r="Y53" s="634" t="str">
        <f t="shared" si="14"/>
        <v/>
      </c>
    </row>
    <row r="54" spans="2:25">
      <c r="B54" s="1092"/>
      <c r="C54" s="754" t="str">
        <f t="shared" si="9"/>
        <v>Catégorie 1</v>
      </c>
      <c r="D54" s="1101"/>
      <c r="E54" s="1098"/>
      <c r="F54" s="754" t="str">
        <f t="shared" si="10"/>
        <v>1.4</v>
      </c>
      <c r="G54" s="1082"/>
      <c r="H54" s="22" t="s">
        <v>6464</v>
      </c>
      <c r="I54" s="670"/>
      <c r="J54" s="604">
        <f>SUMIFS(Calculs!BY$11:BY$1338,Calculs!$B$11:$B$1338,$H54)/10^6</f>
        <v>0</v>
      </c>
      <c r="K54" s="604">
        <f>SUMIFS(Calculs!BZ$11:BZ$1338,Calculs!$B$11:$B$1338,$H54)/10^6</f>
        <v>0</v>
      </c>
      <c r="L54" s="604">
        <f>SUMIFS(Calculs!CA$11:CA$1338,Calculs!$B$11:$B$1338,$H54)/10^6</f>
        <v>0</v>
      </c>
      <c r="M54" s="604">
        <f>SUMIFS(Calculs!CB$11:CB$1338,Calculs!$B$11:$B$1338,$H54)/10^6</f>
        <v>0</v>
      </c>
      <c r="N54" s="613">
        <f t="shared" si="11"/>
        <v>0</v>
      </c>
      <c r="O54" s="634" t="str">
        <f t="shared" si="12"/>
        <v/>
      </c>
      <c r="Q54" s="622"/>
      <c r="S54" s="586"/>
      <c r="V54" s="604"/>
      <c r="W54" s="604">
        <f>(SUMIFS(Calculs!CB$11:CB$1338,Calculs!$B$11:$B$1338,$H54,Calculs!$F$11:$F$1338,IF($V$40="Tous","&lt;&gt;0",VLOOKUP($V$40,'Listes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54" s="613">
        <f t="shared" si="13"/>
        <v>0</v>
      </c>
      <c r="Y54" s="634" t="str">
        <f t="shared" si="14"/>
        <v/>
      </c>
    </row>
    <row r="55" spans="2:25">
      <c r="B55" s="1092"/>
      <c r="C55" s="754" t="str">
        <f t="shared" si="9"/>
        <v>Catégorie 1</v>
      </c>
      <c r="D55" s="1101"/>
      <c r="E55" s="1098"/>
      <c r="F55" s="754" t="str">
        <f t="shared" si="10"/>
        <v>1.4</v>
      </c>
      <c r="G55" s="1082"/>
      <c r="H55" s="22" t="s">
        <v>6465</v>
      </c>
      <c r="I55" s="670" t="str">
        <f>Calculs!B130</f>
        <v>1.4B1 - Climatisation du flotte de véhicules</v>
      </c>
      <c r="J55" s="604">
        <f>SUMIFS(Calculs!BY$11:BY$1338,Calculs!$B$11:$B$1338,$H55)/10^6</f>
        <v>0</v>
      </c>
      <c r="K55" s="604">
        <f>SUMIFS(Calculs!BZ$11:BZ$1338,Calculs!$B$11:$B$1338,$H55)/10^6</f>
        <v>0</v>
      </c>
      <c r="L55" s="604">
        <f>SUMIFS(Calculs!CA$11:CA$1338,Calculs!$B$11:$B$1338,$H55)/10^6</f>
        <v>0</v>
      </c>
      <c r="M55" s="604">
        <f>SUMIFS(Calculs!CB$11:CB$1338,Calculs!$B$11:$B$1338,$H55)/10^6</f>
        <v>0</v>
      </c>
      <c r="N55" s="613">
        <f t="shared" si="11"/>
        <v>0</v>
      </c>
      <c r="O55" s="634" t="str">
        <f t="shared" si="12"/>
        <v/>
      </c>
      <c r="Q55" s="622"/>
      <c r="S55" s="581"/>
      <c r="V55" s="604"/>
      <c r="W55" s="604">
        <f>(SUMIFS(Calculs!CB$11:CB$1338,Calculs!$B$11:$B$1338,$H55,Calculs!$F$11:$F$1338,IF($V$40="Tous","&lt;&gt;0",VLOOKUP($V$40,'Listes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55" s="613">
        <f t="shared" si="13"/>
        <v>0</v>
      </c>
      <c r="Y55" s="634" t="str">
        <f t="shared" si="14"/>
        <v/>
      </c>
    </row>
    <row r="56" spans="2:25">
      <c r="B56" s="1092"/>
      <c r="C56" s="754" t="str">
        <f t="shared" si="9"/>
        <v>Catégorie 1</v>
      </c>
      <c r="D56" s="1101"/>
      <c r="E56" s="1098"/>
      <c r="F56" s="754" t="str">
        <f t="shared" si="10"/>
        <v>1.4</v>
      </c>
      <c r="G56" s="1082"/>
      <c r="H56" s="22" t="s">
        <v>6466</v>
      </c>
      <c r="I56" s="670" t="str">
        <f>Calculs!B139</f>
        <v>1.4B2 - Climatisation des véhicules</v>
      </c>
      <c r="J56" s="604">
        <f>SUMIFS(Calculs!BY$11:BY$1338,Calculs!$B$11:$B$1338,$H56)/10^6</f>
        <v>0</v>
      </c>
      <c r="K56" s="604">
        <f>SUMIFS(Calculs!BZ$11:BZ$1338,Calculs!$B$11:$B$1338,$H56)/10^6</f>
        <v>0</v>
      </c>
      <c r="L56" s="604">
        <f>SUMIFS(Calculs!CA$11:CA$1338,Calculs!$B$11:$B$1338,$H56)/10^6</f>
        <v>0</v>
      </c>
      <c r="M56" s="604">
        <f>SUMIFS(Calculs!CB$11:CB$1338,Calculs!$B$11:$B$1338,$H56)/10^6</f>
        <v>0.27687278265412563</v>
      </c>
      <c r="N56" s="613">
        <f t="shared" si="11"/>
        <v>1.5590414250655942E-3</v>
      </c>
      <c r="O56" s="634" t="str">
        <f t="shared" si="12"/>
        <v/>
      </c>
      <c r="Q56" s="622"/>
      <c r="S56" s="586"/>
      <c r="V56" s="604"/>
      <c r="W56" s="604">
        <f>(SUMIFS(Calculs!CB$11:CB$1338,Calculs!$B$11:$B$1338,$H56,Calculs!$F$11:$F$1338,IF($V$40="Tous","&lt;&gt;0",VLOOKUP($V$40,'Listes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56" s="613">
        <f t="shared" si="13"/>
        <v>0</v>
      </c>
      <c r="Y56" s="634" t="str">
        <f t="shared" si="14"/>
        <v/>
      </c>
    </row>
    <row r="57" spans="2:25">
      <c r="B57" s="1092"/>
      <c r="C57" s="754" t="str">
        <f t="shared" si="9"/>
        <v>Catégorie 1</v>
      </c>
      <c r="D57" s="1101"/>
      <c r="E57" s="1098"/>
      <c r="F57" s="754" t="str">
        <f t="shared" si="10"/>
        <v>1.4</v>
      </c>
      <c r="G57" s="1082"/>
      <c r="H57" s="881" t="s">
        <v>6507</v>
      </c>
      <c r="I57" s="904" t="s">
        <v>6511</v>
      </c>
      <c r="J57" s="604">
        <f>SUMIFS(Calculs!BY$11:BY$1338,Calculs!$B$11:$B$1338,$H57)/10^6</f>
        <v>0</v>
      </c>
      <c r="K57" s="604">
        <f>SUMIFS(Calculs!BZ$11:BZ$1338,Calculs!$B$11:$B$1338,$H57)/10^6</f>
        <v>0</v>
      </c>
      <c r="L57" s="604">
        <f>SUMIFS(Calculs!CA$11:CA$1338,Calculs!$B$11:$B$1338,$H57)/10^6</f>
        <v>0</v>
      </c>
      <c r="M57" s="604">
        <f>SUMIFS(Calculs!CB$11:CB$1338,Calculs!$B$11:$B$1338,$H57)/10^6</f>
        <v>0</v>
      </c>
      <c r="N57" s="613">
        <f t="shared" si="11"/>
        <v>0</v>
      </c>
      <c r="O57" s="634" t="str">
        <f t="shared" si="12"/>
        <v/>
      </c>
      <c r="Q57" s="622"/>
      <c r="S57" s="586"/>
      <c r="V57" s="604"/>
      <c r="W57" s="604">
        <f>(SUMIFS(Calculs!CB$11:CB$1338,Calculs!$B$11:$B$1338,$H57,Calculs!$F$11:$F$1338,IF($V$40="Tous","&lt;&gt;0",VLOOKUP($V$40,'Listes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57" s="613">
        <f t="shared" si="13"/>
        <v>0</v>
      </c>
      <c r="Y57" s="634" t="str">
        <f t="shared" si="14"/>
        <v/>
      </c>
    </row>
    <row r="58" spans="2:25">
      <c r="B58" s="1092"/>
      <c r="C58" s="754" t="str">
        <f t="shared" si="9"/>
        <v>Catégorie 1</v>
      </c>
      <c r="D58" s="1101"/>
      <c r="E58" s="1098"/>
      <c r="F58" s="754" t="str">
        <f t="shared" si="10"/>
        <v>1.4</v>
      </c>
      <c r="G58" s="1082"/>
      <c r="H58" s="881" t="s">
        <v>6508</v>
      </c>
      <c r="I58" s="904" t="s">
        <v>6512</v>
      </c>
      <c r="J58" s="604">
        <f>SUMIFS(Calculs!BY$11:BY$1338,Calculs!$B$11:$B$1338,$H58)/10^6</f>
        <v>0</v>
      </c>
      <c r="K58" s="604">
        <f>SUMIFS(Calculs!BZ$11:BZ$1338,Calculs!$B$11:$B$1338,$H58)/10^6</f>
        <v>0</v>
      </c>
      <c r="L58" s="604">
        <f>SUMIFS(Calculs!CA$11:CA$1338,Calculs!$B$11:$B$1338,$H58)/10^6</f>
        <v>0</v>
      </c>
      <c r="M58" s="604">
        <f>SUMIFS(Calculs!CB$11:CB$1338,Calculs!$B$11:$B$1338,$H58)/10^6</f>
        <v>0</v>
      </c>
      <c r="N58" s="613">
        <f t="shared" si="11"/>
        <v>0</v>
      </c>
      <c r="O58" s="634" t="str">
        <f t="shared" si="12"/>
        <v/>
      </c>
      <c r="Q58" s="622"/>
      <c r="S58" s="586"/>
      <c r="V58" s="604"/>
      <c r="W58" s="604">
        <f>(SUMIFS(Calculs!CB$11:CB$1338,Calculs!$B$11:$B$1338,$H58,Calculs!$F$11:$F$1338,IF($V$40="Tous","&lt;&gt;0",VLOOKUP($V$40,'Listes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58" s="613">
        <f t="shared" si="13"/>
        <v>0</v>
      </c>
      <c r="Y58" s="634" t="str">
        <f t="shared" si="14"/>
        <v/>
      </c>
    </row>
    <row r="59" spans="2:25">
      <c r="B59" s="1092"/>
      <c r="C59" s="754" t="str">
        <f t="shared" si="9"/>
        <v>Catégorie 1</v>
      </c>
      <c r="D59" s="1101"/>
      <c r="E59" s="1098"/>
      <c r="F59" s="754" t="str">
        <f t="shared" si="10"/>
        <v>1.4</v>
      </c>
      <c r="G59" s="1082"/>
      <c r="H59" s="881" t="s">
        <v>6509</v>
      </c>
      <c r="I59" s="904" t="s">
        <v>6513</v>
      </c>
      <c r="J59" s="604">
        <f>SUMIFS(Calculs!BY$11:BY$1338,Calculs!$B$11:$B$1338,$H59)/10^6</f>
        <v>0</v>
      </c>
      <c r="K59" s="604">
        <f>SUMIFS(Calculs!BZ$11:BZ$1338,Calculs!$B$11:$B$1338,$H59)/10^6</f>
        <v>0</v>
      </c>
      <c r="L59" s="604">
        <f>SUMIFS(Calculs!CA$11:CA$1338,Calculs!$B$11:$B$1338,$H59)/10^6</f>
        <v>0</v>
      </c>
      <c r="M59" s="604">
        <f>SUMIFS(Calculs!CB$11:CB$1338,Calculs!$B$11:$B$1338,$H59)/10^6</f>
        <v>0</v>
      </c>
      <c r="N59" s="613">
        <f t="shared" si="11"/>
        <v>0</v>
      </c>
      <c r="O59" s="634" t="str">
        <f t="shared" si="12"/>
        <v/>
      </c>
      <c r="Q59" s="622"/>
      <c r="S59" s="586"/>
      <c r="V59" s="604"/>
      <c r="W59" s="604">
        <f>(SUMIFS(Calculs!CB$11:CB$1338,Calculs!$B$11:$B$1338,$H59,Calculs!$F$11:$F$1338,IF($V$40="Tous","&lt;&gt;0",VLOOKUP($V$40,'Listes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59" s="613">
        <f t="shared" si="13"/>
        <v>0</v>
      </c>
      <c r="Y59" s="634" t="str">
        <f t="shared" si="14"/>
        <v/>
      </c>
    </row>
    <row r="60" spans="2:25">
      <c r="B60" s="1092"/>
      <c r="C60" s="754" t="str">
        <f t="shared" si="9"/>
        <v>Catégorie 1</v>
      </c>
      <c r="D60" s="1101"/>
      <c r="E60" s="1099"/>
      <c r="F60" s="754" t="str">
        <f t="shared" si="10"/>
        <v>1.4</v>
      </c>
      <c r="G60" s="1083"/>
      <c r="H60" s="881" t="s">
        <v>6510</v>
      </c>
      <c r="I60" s="904" t="s">
        <v>6514</v>
      </c>
      <c r="J60" s="604">
        <f>SUMIFS(Calculs!BY$11:BY$1338,Calculs!$B$11:$B$1338,$H60)/10^6</f>
        <v>0</v>
      </c>
      <c r="K60" s="604">
        <f>SUMIFS(Calculs!BZ$11:BZ$1338,Calculs!$B$11:$B$1338,$H60)/10^6</f>
        <v>0</v>
      </c>
      <c r="L60" s="604">
        <f>SUMIFS(Calculs!CA$11:CA$1338,Calculs!$B$11:$B$1338,$H60)/10^6</f>
        <v>0</v>
      </c>
      <c r="M60" s="604">
        <f>SUMIFS(Calculs!CB$11:CB$1338,Calculs!$B$11:$B$1338,$H60)/10^6</f>
        <v>0</v>
      </c>
      <c r="N60" s="613">
        <f t="shared" si="11"/>
        <v>0</v>
      </c>
      <c r="O60" s="634" t="str">
        <f t="shared" si="12"/>
        <v/>
      </c>
      <c r="Q60" s="622"/>
      <c r="S60" s="586"/>
      <c r="V60" s="604"/>
      <c r="W60" s="604">
        <f>(SUMIFS(Calculs!CB$11:CB$1338,Calculs!$B$11:$B$1338,$H60,Calculs!$F$11:$F$1338,IF($V$40="Tous","&lt;&gt;0",VLOOKUP($V$40,'Listes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60" s="613">
        <f t="shared" si="13"/>
        <v>0</v>
      </c>
      <c r="Y60" s="634" t="str">
        <f t="shared" si="14"/>
        <v/>
      </c>
    </row>
    <row r="61" spans="2:25">
      <c r="B61" s="1092"/>
      <c r="C61" s="754" t="str">
        <f>IF(B61=0,C55,B61)</f>
        <v>Catégorie 1</v>
      </c>
      <c r="D61" s="1101"/>
      <c r="E61" s="1095" t="s">
        <v>6432</v>
      </c>
      <c r="F61" s="754" t="str">
        <f>IF(E61=0,F56,E61)</f>
        <v>1.5</v>
      </c>
      <c r="G61" s="1079" t="s">
        <v>6585</v>
      </c>
      <c r="H61" s="30" t="s">
        <v>6467</v>
      </c>
      <c r="I61" s="669"/>
      <c r="J61" s="606">
        <f>SUMIFS(Calculs!BY$11:BY$1338,Calculs!$B$11:$B$1338,$H61)/10^6</f>
        <v>0</v>
      </c>
      <c r="K61" s="606">
        <f>SUMIFS(Calculs!BZ$11:BZ$1338,Calculs!$B$11:$B$1338,$H61)/10^6</f>
        <v>0</v>
      </c>
      <c r="L61" s="606">
        <f>SUMIFS(Calculs!CA$11:CA$1338,Calculs!$B$11:$B$1338,$H61)/10^6</f>
        <v>0</v>
      </c>
      <c r="M61" s="606">
        <f>SUMIFS(Calculs!CB$11:CB$1338,Calculs!$B$11:$B$1338,$H61)/10^6</f>
        <v>0</v>
      </c>
      <c r="N61" s="611">
        <f t="shared" si="11"/>
        <v>0</v>
      </c>
      <c r="O61" s="636" t="str">
        <f t="shared" si="12"/>
        <v/>
      </c>
      <c r="Q61" s="624"/>
      <c r="S61" s="581"/>
      <c r="V61" s="606"/>
      <c r="W61" s="606">
        <f>(SUMIFS(Calculs!CB$11:CB$1338,Calculs!$B$11:$B$1338,$H61,Calculs!$F$11:$F$1338,IF($V$40="Tous","&lt;&gt;0",VLOOKUP($V$40,'Listes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61" s="611">
        <f t="shared" si="13"/>
        <v>0</v>
      </c>
      <c r="Y61" s="636" t="str">
        <f t="shared" si="14"/>
        <v/>
      </c>
    </row>
    <row r="62" spans="2:25">
      <c r="B62" s="1092"/>
      <c r="C62" s="756" t="str">
        <f t="shared" ref="C62:C68" si="15">IF(B62=0,C61,B62)</f>
        <v>Catégorie 1</v>
      </c>
      <c r="D62" s="1101"/>
      <c r="E62" s="1096"/>
      <c r="F62" s="756" t="str">
        <f t="shared" ref="F62:F68" si="16">IF(E62=0,F61,E62)</f>
        <v>1.5</v>
      </c>
      <c r="G62" s="1080"/>
      <c r="H62" s="18" t="s">
        <v>6468</v>
      </c>
      <c r="I62" s="669"/>
      <c r="J62" s="603">
        <f>SUMIFS(Calculs!BY$11:BY$1338,Calculs!$B$11:$B$1338,$H62)/10^6</f>
        <v>0</v>
      </c>
      <c r="K62" s="603">
        <f>SUMIFS(Calculs!BZ$11:BZ$1338,Calculs!$B$11:$B$1338,$H62)/10^6</f>
        <v>0</v>
      </c>
      <c r="L62" s="603">
        <f>SUMIFS(Calculs!CA$11:CA$1338,Calculs!$B$11:$B$1338,$H62)/10^6</f>
        <v>0</v>
      </c>
      <c r="M62" s="603">
        <f>SUMIFS(Calculs!CB$11:CB$1338,Calculs!$B$11:$B$1338,$H62)/10^6</f>
        <v>0</v>
      </c>
      <c r="N62" s="612">
        <f t="shared" si="11"/>
        <v>0</v>
      </c>
      <c r="O62" s="633" t="str">
        <f t="shared" si="12"/>
        <v/>
      </c>
      <c r="Q62" s="621"/>
      <c r="S62" s="586"/>
      <c r="V62" s="603"/>
      <c r="W62" s="603">
        <f>(SUMIFS(Calculs!CB$11:CB$1338,Calculs!$B$11:$B$1338,$H62,Calculs!$F$11:$F$1338,IF($V$40="Tous","&lt;&gt;0",VLOOKUP($V$40,'Listes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62" s="612">
        <f t="shared" si="13"/>
        <v>0</v>
      </c>
      <c r="Y62" s="633" t="str">
        <f t="shared" si="14"/>
        <v/>
      </c>
    </row>
    <row r="63" spans="2:25">
      <c r="B63" s="1092"/>
      <c r="C63" s="756" t="str">
        <f t="shared" si="15"/>
        <v>Catégorie 1</v>
      </c>
      <c r="D63" s="1101"/>
      <c r="E63" s="1096"/>
      <c r="F63" s="756" t="str">
        <f t="shared" si="16"/>
        <v>1.5</v>
      </c>
      <c r="G63" s="1080"/>
      <c r="H63" s="18" t="s">
        <v>6469</v>
      </c>
      <c r="I63" s="669"/>
      <c r="J63" s="603">
        <f>SUMIFS(Calculs!BY$11:BY$1338,Calculs!$B$11:$B$1338,$H63)/10^6</f>
        <v>0</v>
      </c>
      <c r="K63" s="603">
        <f>SUMIFS(Calculs!BZ$11:BZ$1338,Calculs!$B$11:$B$1338,$H63)/10^6</f>
        <v>0</v>
      </c>
      <c r="L63" s="603">
        <f>SUMIFS(Calculs!CA$11:CA$1338,Calculs!$B$11:$B$1338,$H63)/10^6</f>
        <v>0</v>
      </c>
      <c r="M63" s="603">
        <f>SUMIFS(Calculs!CB$11:CB$1338,Calculs!$B$11:$B$1338,$H63)/10^6</f>
        <v>0</v>
      </c>
      <c r="N63" s="612">
        <f t="shared" si="11"/>
        <v>0</v>
      </c>
      <c r="O63" s="633" t="str">
        <f t="shared" si="12"/>
        <v/>
      </c>
      <c r="Q63" s="621"/>
      <c r="S63" s="581"/>
      <c r="V63" s="603"/>
      <c r="W63" s="603">
        <f>(SUMIFS(Calculs!CB$11:CB$1338,Calculs!$B$11:$B$1338,$H63,Calculs!$F$11:$F$1338,IF($V$40="Tous","&lt;&gt;0",VLOOKUP($V$40,'Listes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63" s="612">
        <f t="shared" si="13"/>
        <v>0</v>
      </c>
      <c r="Y63" s="633" t="str">
        <f t="shared" si="14"/>
        <v/>
      </c>
    </row>
    <row r="64" spans="2:25">
      <c r="B64" s="1092"/>
      <c r="C64" s="756" t="str">
        <f t="shared" si="15"/>
        <v>Catégorie 1</v>
      </c>
      <c r="D64" s="1101"/>
      <c r="E64" s="1096"/>
      <c r="F64" s="756" t="str">
        <f t="shared" si="16"/>
        <v>1.5</v>
      </c>
      <c r="G64" s="1080"/>
      <c r="H64" s="18" t="s">
        <v>6470</v>
      </c>
      <c r="I64" s="669"/>
      <c r="J64" s="603">
        <f>SUMIFS(Calculs!BY$11:BY$1338,Calculs!$B$11:$B$1338,$H64)/10^6</f>
        <v>0</v>
      </c>
      <c r="K64" s="603">
        <f>SUMIFS(Calculs!BZ$11:BZ$1338,Calculs!$B$11:$B$1338,$H64)/10^6</f>
        <v>0</v>
      </c>
      <c r="L64" s="603">
        <f>SUMIFS(Calculs!CA$11:CA$1338,Calculs!$B$11:$B$1338,$H64)/10^6</f>
        <v>0</v>
      </c>
      <c r="M64" s="603">
        <f>SUMIFS(Calculs!CB$11:CB$1338,Calculs!$B$11:$B$1338,$H64)/10^6</f>
        <v>0</v>
      </c>
      <c r="N64" s="612">
        <f t="shared" si="11"/>
        <v>0</v>
      </c>
      <c r="O64" s="633" t="str">
        <f t="shared" si="12"/>
        <v/>
      </c>
      <c r="Q64" s="621"/>
      <c r="S64" s="586"/>
      <c r="V64" s="603"/>
      <c r="W64" s="603">
        <f>(SUMIFS(Calculs!CB$11:CB$1338,Calculs!$B$11:$B$1338,$H64,Calculs!$F$11:$F$1338,IF($V$40="Tous","&lt;&gt;0",VLOOKUP($V$40,'Listes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64" s="612">
        <f t="shared" si="13"/>
        <v>0</v>
      </c>
      <c r="Y64" s="633" t="str">
        <f t="shared" si="14"/>
        <v/>
      </c>
    </row>
    <row r="65" spans="2:25">
      <c r="B65" s="1092"/>
      <c r="C65" s="756" t="str">
        <f t="shared" si="15"/>
        <v>Catégorie 1</v>
      </c>
      <c r="D65" s="1101"/>
      <c r="E65" s="1096"/>
      <c r="F65" s="756" t="str">
        <f t="shared" si="16"/>
        <v>1.5</v>
      </c>
      <c r="G65" s="1080"/>
      <c r="H65" s="18" t="s">
        <v>6471</v>
      </c>
      <c r="I65" s="669"/>
      <c r="J65" s="603">
        <f>SUMIFS(Calculs!BY$11:BY$1338,Calculs!$B$11:$B$1338,$H65)/10^6</f>
        <v>0</v>
      </c>
      <c r="K65" s="603">
        <f>SUMIFS(Calculs!BZ$11:BZ$1338,Calculs!$B$11:$B$1338,$H65)/10^6</f>
        <v>0</v>
      </c>
      <c r="L65" s="603">
        <f>SUMIFS(Calculs!CA$11:CA$1338,Calculs!$B$11:$B$1338,$H65)/10^6</f>
        <v>0</v>
      </c>
      <c r="M65" s="603">
        <f>SUMIFS(Calculs!CB$11:CB$1338,Calculs!$B$11:$B$1338,$H65)/10^6</f>
        <v>0</v>
      </c>
      <c r="N65" s="612">
        <f t="shared" si="11"/>
        <v>0</v>
      </c>
      <c r="O65" s="633" t="str">
        <f t="shared" si="12"/>
        <v/>
      </c>
      <c r="Q65" s="621"/>
      <c r="S65" s="581"/>
      <c r="V65" s="603"/>
      <c r="W65" s="603">
        <f>(SUMIFS(Calculs!CB$11:CB$1338,Calculs!$B$11:$B$1338,$H65,Calculs!$F$11:$F$1338,IF($V$40="Tous","&lt;&gt;0",VLOOKUP($V$40,'Listes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65" s="612">
        <f t="shared" si="13"/>
        <v>0</v>
      </c>
      <c r="Y65" s="633" t="str">
        <f t="shared" si="14"/>
        <v/>
      </c>
    </row>
    <row r="66" spans="2:25">
      <c r="B66" s="1147" t="s">
        <v>59</v>
      </c>
      <c r="C66" s="756" t="str">
        <f t="shared" si="15"/>
        <v>Catégorie 2</v>
      </c>
      <c r="D66" s="1073" t="s">
        <v>6576</v>
      </c>
      <c r="E66" s="1151" t="s">
        <v>6433</v>
      </c>
      <c r="F66" s="756" t="str">
        <f t="shared" si="16"/>
        <v>2.1</v>
      </c>
      <c r="G66" s="1084" t="s">
        <v>6586</v>
      </c>
      <c r="H66" s="882" t="s">
        <v>6481</v>
      </c>
      <c r="I66" s="883" t="str">
        <f>Calculs!B157</f>
        <v>2.1A1 - Électricité provenant du réseaux électrique (Location based)</v>
      </c>
      <c r="J66" s="884">
        <f>SUMIFS(Calculs!BY$11:BY$1338,Calculs!$B$11:$B$1338,$H66)/10^6</f>
        <v>1.5080320583854041</v>
      </c>
      <c r="K66" s="884">
        <f>SUMIFS(Calculs!BZ$11:BZ$1338,Calculs!$B$11:$B$1338,$H66)/10^6</f>
        <v>9.5295221015408345E-4</v>
      </c>
      <c r="L66" s="884">
        <f>SUMIFS(Calculs!CA$11:CA$1338,Calculs!$B$11:$B$1338,$H66)/10^6</f>
        <v>9.5295221015408345E-4</v>
      </c>
      <c r="M66" s="884">
        <f>SUMIFS(Calculs!CB$11:CB$1338,Calculs!$B$11:$B$1338,$H66)/10^6</f>
        <v>1.5099379628057124</v>
      </c>
      <c r="N66" s="885">
        <f t="shared" si="11"/>
        <v>8.5023013483921453E-3</v>
      </c>
      <c r="O66" s="886" t="str">
        <f t="shared" si="12"/>
        <v>|</v>
      </c>
      <c r="Q66" s="889"/>
      <c r="S66" s="586"/>
      <c r="V66" s="884"/>
      <c r="W66" s="884">
        <f>(SUMIFS(Calculs!CB$11:CB$1338,Calculs!$B$11:$B$1338,$H66,Calculs!$F$11:$F$1338,IF($V$40="Tous","&lt;&gt;0",VLOOKUP($V$40,'Listes déroulantes, autres'!$H$9:$I$21,2,FALSE)),Calculs!$G$11:$G$1338,IF($W$40="Tous","&lt;&gt;0",$W$40),Calculs!$H$11:$H$1338,IF($X$40="Tous","&lt;&gt;0",$X$40)        )/10^6)</f>
        <v>1.9499999999999999E-3</v>
      </c>
      <c r="X66" s="885">
        <f t="shared" si="13"/>
        <v>1.0980244246960502E-5</v>
      </c>
      <c r="Y66" s="886" t="str">
        <f t="shared" si="14"/>
        <v/>
      </c>
    </row>
    <row r="67" spans="2:25">
      <c r="B67" s="1148"/>
      <c r="C67" s="756" t="str">
        <f t="shared" si="15"/>
        <v>Catégorie 2</v>
      </c>
      <c r="D67" s="1074"/>
      <c r="E67" s="1152"/>
      <c r="F67" s="756" t="str">
        <f t="shared" si="16"/>
        <v>2.1</v>
      </c>
      <c r="G67" s="1085"/>
      <c r="H67" s="887" t="s">
        <v>6482</v>
      </c>
      <c r="I67" s="883"/>
      <c r="J67" s="884">
        <f>SUMIFS(Calculs!BY$11:BY$1338,Calculs!$B$11:$B$1338,$H67)/10^6</f>
        <v>0</v>
      </c>
      <c r="K67" s="884">
        <f>SUMIFS(Calculs!BZ$11:BZ$1338,Calculs!$B$11:$B$1338,$H67)/10^6</f>
        <v>0</v>
      </c>
      <c r="L67" s="884">
        <f>SUMIFS(Calculs!CA$11:CA$1338,Calculs!$B$11:$B$1338,$H67)/10^6</f>
        <v>0</v>
      </c>
      <c r="M67" s="884">
        <f>SUMIFS(Calculs!CB$11:CB$1338,Calculs!$B$11:$B$1338,$H67)/10^6</f>
        <v>0</v>
      </c>
      <c r="N67" s="885">
        <f t="shared" si="11"/>
        <v>0</v>
      </c>
      <c r="O67" s="886" t="str">
        <f t="shared" si="12"/>
        <v/>
      </c>
      <c r="Q67" s="889"/>
      <c r="S67" s="581"/>
      <c r="V67" s="884"/>
      <c r="W67" s="884">
        <f>(SUMIFS(Calculs!CB$11:CB$1338,Calculs!$B$11:$B$1338,$H67,Calculs!$F$11:$F$1338,IF($V$40="Tous","&lt;&gt;0",VLOOKUP($V$40,'Listes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67" s="885">
        <f t="shared" si="13"/>
        <v>0</v>
      </c>
      <c r="Y67" s="886" t="str">
        <f t="shared" si="14"/>
        <v/>
      </c>
    </row>
    <row r="68" spans="2:25">
      <c r="B68" s="1148"/>
      <c r="C68" s="756" t="str">
        <f t="shared" si="15"/>
        <v>Catégorie 2</v>
      </c>
      <c r="D68" s="1074"/>
      <c r="E68" s="1153"/>
      <c r="F68" s="756" t="str">
        <f t="shared" si="16"/>
        <v>2.1</v>
      </c>
      <c r="G68" s="1086"/>
      <c r="H68" s="888" t="s">
        <v>6483</v>
      </c>
      <c r="I68" s="883" t="str">
        <f>Calculs!B175</f>
        <v>2.1B1 - Électricité provenant du réseaux électrique (Market based)</v>
      </c>
      <c r="J68" s="884">
        <f>SUMIFS(Calculs!BY$11:BY$1338,Calculs!$B$11:$B$1338,$H68)/10^6</f>
        <v>8.0850000000000005E-2</v>
      </c>
      <c r="K68" s="884">
        <f>SUMIFS(Calculs!BZ$11:BZ$1338,Calculs!$B$11:$B$1338,$H68)/10^6</f>
        <v>0</v>
      </c>
      <c r="L68" s="884">
        <f>SUMIFS(Calculs!CA$11:CA$1338,Calculs!$B$11:$B$1338,$H68)/10^6</f>
        <v>0</v>
      </c>
      <c r="M68" s="884">
        <f>SUMIFS(Calculs!CB$11:CB$1338,Calculs!$B$11:$B$1338,$H68)/10^6</f>
        <v>8.0850000000000005E-2</v>
      </c>
      <c r="N68" s="885">
        <f t="shared" si="11"/>
        <v>4.5525781916243931E-4</v>
      </c>
      <c r="O68" s="886" t="str">
        <f t="shared" si="12"/>
        <v/>
      </c>
      <c r="Q68" s="889"/>
      <c r="S68" s="586"/>
      <c r="V68" s="884"/>
      <c r="W68" s="884">
        <f>(SUMIFS(Calculs!CB$11:CB$1338,Calculs!$B$11:$B$1338,$H68,Calculs!$F$11:$F$1338,IF($V$40="Tous","&lt;&gt;0",VLOOKUP($V$40,'Listes déroulantes, autres'!$H$9:$I$21,2,FALSE)),Calculs!$G$11:$G$1338,IF($W$40="Tous","&lt;&gt;0",$W$40),Calculs!$H$11:$H$1338,IF($X$40="Tous","&lt;&gt;0",$X$40)        )/10^6)</f>
        <v>1.9499999999999999E-3</v>
      </c>
      <c r="X68" s="885">
        <f t="shared" si="13"/>
        <v>1.0980244246960502E-5</v>
      </c>
      <c r="Y68" s="886" t="str">
        <f t="shared" si="14"/>
        <v/>
      </c>
    </row>
    <row r="69" spans="2:25">
      <c r="B69" s="1148"/>
      <c r="C69" s="754" t="str">
        <f>IF(B69=0,C67,B69)</f>
        <v>Catégorie 2</v>
      </c>
      <c r="D69" s="1074"/>
      <c r="E69" s="1149" t="s">
        <v>6434</v>
      </c>
      <c r="F69" s="754" t="str">
        <f>IF(E69=0,F67,E69)</f>
        <v>2.2</v>
      </c>
      <c r="G69" s="1087" t="s">
        <v>6587</v>
      </c>
      <c r="H69" s="47" t="s">
        <v>6484</v>
      </c>
      <c r="I69" s="879"/>
      <c r="J69" s="609">
        <f>SUMIFS(Calculs!BY$11:BY$1338,Calculs!$B$11:$B$1338,$H69)/10^6</f>
        <v>0</v>
      </c>
      <c r="K69" s="609">
        <f>SUMIFS(Calculs!BZ$11:BZ$1338,Calculs!$B$11:$B$1338,$H69)/10^6</f>
        <v>0</v>
      </c>
      <c r="L69" s="609">
        <f>SUMIFS(Calculs!CA$11:CA$1338,Calculs!$B$11:$B$1338,$H69)/10^6</f>
        <v>0</v>
      </c>
      <c r="M69" s="609">
        <f>SUMIFS(Calculs!CB$11:CB$1338,Calculs!$B$11:$B$1338,$H69)/10^6</f>
        <v>0</v>
      </c>
      <c r="N69" s="890">
        <f t="shared" si="11"/>
        <v>0</v>
      </c>
      <c r="O69" s="891" t="str">
        <f t="shared" si="12"/>
        <v/>
      </c>
      <c r="Q69" s="893"/>
      <c r="S69" s="581"/>
      <c r="V69" s="609"/>
      <c r="W69" s="609">
        <f>(SUMIFS(Calculs!CB$11:CB$1338,Calculs!$B$11:$B$1338,$H69,Calculs!$F$11:$F$1338,IF($V$40="Tous","&lt;&gt;0",VLOOKUP($V$40,'Listes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69" s="890">
        <f t="shared" si="13"/>
        <v>0</v>
      </c>
      <c r="Y69" s="891" t="str">
        <f t="shared" si="14"/>
        <v/>
      </c>
    </row>
    <row r="70" spans="2:25">
      <c r="B70" s="1148"/>
      <c r="C70" s="754" t="str">
        <f>IF(B70=0,C69,B70)</f>
        <v>Catégorie 2</v>
      </c>
      <c r="D70" s="1074"/>
      <c r="E70" s="1150"/>
      <c r="F70" s="754" t="str">
        <f>IF(E70=0,F69,E70)</f>
        <v>2.2</v>
      </c>
      <c r="G70" s="1088"/>
      <c r="H70" s="47" t="s">
        <v>6485</v>
      </c>
      <c r="I70" s="879" t="str">
        <f>Calculs!B193</f>
        <v>2.2A2 -Importation d'énergie (Chaleur) en équivalent de combustible</v>
      </c>
      <c r="J70" s="609">
        <f>SUMIFS(Calculs!BY$11:BY$1338,Calculs!$B$11:$B$1338,$H70)/10^6</f>
        <v>26.292000000000002</v>
      </c>
      <c r="K70" s="609">
        <f>SUMIFS(Calculs!BZ$11:BZ$1338,Calculs!$B$11:$B$1338,$H70)/10^6</f>
        <v>1.5436399999999999E-2</v>
      </c>
      <c r="L70" s="609">
        <f>SUMIFS(Calculs!CA$11:CA$1338,Calculs!$B$11:$B$1338,$H70)/10^6</f>
        <v>0.12994800000000001</v>
      </c>
      <c r="M70" s="609">
        <f>SUMIFS(Calculs!CB$11:CB$1338,Calculs!$B$11:$B$1338,$H70)/10^6</f>
        <v>26.437384399999999</v>
      </c>
      <c r="N70" s="890">
        <f t="shared" si="11"/>
        <v>0.14886612203219657</v>
      </c>
      <c r="O70" s="891" t="str">
        <f t="shared" si="12"/>
        <v>||||||||||||||||||||||||</v>
      </c>
      <c r="Q70" s="893"/>
      <c r="S70" s="586"/>
      <c r="V70" s="609"/>
      <c r="W70" s="609">
        <f>(SUMIFS(Calculs!CB$11:CB$1338,Calculs!$B$11:$B$1338,$H70,Calculs!$F$11:$F$1338,IF($V$40="Tous","&lt;&gt;0",VLOOKUP($V$40,'Listes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70" s="890">
        <f t="shared" si="13"/>
        <v>0</v>
      </c>
      <c r="Y70" s="891" t="str">
        <f t="shared" si="14"/>
        <v/>
      </c>
    </row>
    <row r="71" spans="2:25">
      <c r="B71" s="1148"/>
      <c r="C71" s="754" t="str">
        <f>IF(B71=0,C70,B71)</f>
        <v>Catégorie 2</v>
      </c>
      <c r="D71" s="1074"/>
      <c r="E71" s="1150"/>
      <c r="F71" s="754" t="str">
        <f>IF(E71=0,F70,E71)</f>
        <v>2.2</v>
      </c>
      <c r="G71" s="1088"/>
      <c r="H71" s="892" t="s">
        <v>6486</v>
      </c>
      <c r="I71" s="879"/>
      <c r="J71" s="609">
        <f>SUMIFS(Calculs!BY$11:BY$1338,Calculs!$B$11:$B$1338,$H71)/10^6</f>
        <v>0</v>
      </c>
      <c r="K71" s="609">
        <f>SUMIFS(Calculs!BZ$11:BZ$1338,Calculs!$B$11:$B$1338,$H71)/10^6</f>
        <v>0</v>
      </c>
      <c r="L71" s="609">
        <f>SUMIFS(Calculs!CA$11:CA$1338,Calculs!$B$11:$B$1338,$H71)/10^6</f>
        <v>0</v>
      </c>
      <c r="M71" s="609">
        <f>SUMIFS(Calculs!CB$11:CB$1338,Calculs!$B$11:$B$1338,$H71)/10^6</f>
        <v>0</v>
      </c>
      <c r="N71" s="890">
        <f t="shared" si="11"/>
        <v>0</v>
      </c>
      <c r="O71" s="891" t="str">
        <f t="shared" si="12"/>
        <v/>
      </c>
      <c r="Q71" s="893"/>
      <c r="S71" s="581"/>
      <c r="V71" s="609"/>
      <c r="W71" s="609">
        <f>(SUMIFS(Calculs!CB$11:CB$1338,Calculs!$B$11:$B$1338,$H71,Calculs!$F$11:$F$1338,IF($V$40="Tous","&lt;&gt;0",VLOOKUP($V$40,'Listes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71" s="890">
        <f t="shared" si="13"/>
        <v>0</v>
      </c>
      <c r="Y71" s="891" t="str">
        <f t="shared" si="14"/>
        <v/>
      </c>
    </row>
    <row r="72" spans="2:25">
      <c r="B72" s="1148"/>
      <c r="C72" s="754" t="str">
        <f>IF(B72=0,C71,B72)</f>
        <v>Catégorie 2</v>
      </c>
      <c r="D72" s="1074"/>
      <c r="E72" s="1150"/>
      <c r="F72" s="754" t="str">
        <f>IF(E72=0,F71,E72)</f>
        <v>2.2</v>
      </c>
      <c r="G72" s="1088"/>
      <c r="H72" s="892" t="s">
        <v>6487</v>
      </c>
      <c r="I72" s="879"/>
      <c r="J72" s="609">
        <f>SUMIFS(Calculs!BY$11:BY$1338,Calculs!$B$11:$B$1338,$H72)/10^6</f>
        <v>0</v>
      </c>
      <c r="K72" s="609">
        <f>SUMIFS(Calculs!BZ$11:BZ$1338,Calculs!$B$11:$B$1338,$H72)/10^6</f>
        <v>0</v>
      </c>
      <c r="L72" s="609">
        <f>SUMIFS(Calculs!CA$11:CA$1338,Calculs!$B$11:$B$1338,$H72)/10^6</f>
        <v>0</v>
      </c>
      <c r="M72" s="609">
        <f>SUMIFS(Calculs!CB$11:CB$1338,Calculs!$B$11:$B$1338,$H72)/10^6</f>
        <v>0</v>
      </c>
      <c r="N72" s="890">
        <f t="shared" si="11"/>
        <v>0</v>
      </c>
      <c r="O72" s="891" t="str">
        <f t="shared" si="12"/>
        <v/>
      </c>
      <c r="Q72" s="893"/>
      <c r="S72" s="586"/>
      <c r="V72" s="609"/>
      <c r="W72" s="609">
        <f>(SUMIFS(Calculs!CB$11:CB$1338,Calculs!$B$11:$B$1338,$H72,Calculs!$F$11:$F$1338,IF($V$40="Tous","&lt;&gt;0",VLOOKUP($V$40,'Listes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72" s="890">
        <f t="shared" si="13"/>
        <v>0</v>
      </c>
      <c r="Y72" s="891" t="str">
        <f t="shared" si="14"/>
        <v/>
      </c>
    </row>
    <row r="73" spans="2:25">
      <c r="B73" s="1166" t="s">
        <v>81</v>
      </c>
      <c r="C73" s="754" t="str">
        <f t="shared" ref="C73:C141" si="17">IF(B73=0,C72,B73)</f>
        <v>Catégorie 3</v>
      </c>
      <c r="D73" s="1066" t="s">
        <v>6577</v>
      </c>
      <c r="E73" s="1154" t="s">
        <v>6435</v>
      </c>
      <c r="F73" s="754" t="str">
        <f t="shared" ref="F73:F106" si="18">IF(E73=0,F72,E73)</f>
        <v>3.1</v>
      </c>
      <c r="G73" s="1069" t="s">
        <v>6588</v>
      </c>
      <c r="H73" s="38" t="s">
        <v>6528</v>
      </c>
      <c r="I73" s="671"/>
      <c r="J73" s="607">
        <f>SUMIFS(Calculs!BY$11:BY$1338,Calculs!$B$11:$B$1338,$H73)/10^6</f>
        <v>0</v>
      </c>
      <c r="K73" s="607">
        <f>SUMIFS(Calculs!BZ$11:BZ$1338,Calculs!$B$11:$B$1338,$H73)/10^6</f>
        <v>0</v>
      </c>
      <c r="L73" s="607">
        <f>SUMIFS(Calculs!CA$11:CA$1338,Calculs!$B$11:$B$1338,$H73)/10^6</f>
        <v>0</v>
      </c>
      <c r="M73" s="607">
        <f>SUMIFS(Calculs!CB$11:CB$1338,Calculs!$B$11:$B$1338,$H73)/10^6</f>
        <v>0</v>
      </c>
      <c r="N73" s="615">
        <f t="shared" si="11"/>
        <v>0</v>
      </c>
      <c r="O73" s="637" t="str">
        <f t="shared" si="12"/>
        <v/>
      </c>
      <c r="Q73" s="625"/>
      <c r="S73" s="581"/>
      <c r="V73" s="607"/>
      <c r="W73" s="607">
        <f>(SUMIFS(Calculs!CB$11:CB$1338,Calculs!$B$11:$B$1338,$H73,Calculs!$F$11:$F$1338,IF($V$40="Tous","&lt;&gt;0",VLOOKUP($V$40,'Listes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73" s="615">
        <f t="shared" si="13"/>
        <v>0</v>
      </c>
      <c r="Y73" s="637" t="str">
        <f t="shared" si="14"/>
        <v/>
      </c>
    </row>
    <row r="74" spans="2:25">
      <c r="B74" s="1167"/>
      <c r="C74" s="754" t="str">
        <f t="shared" si="17"/>
        <v>Catégorie 3</v>
      </c>
      <c r="D74" s="1067"/>
      <c r="E74" s="1155"/>
      <c r="F74" s="754" t="str">
        <f t="shared" si="18"/>
        <v>3.1</v>
      </c>
      <c r="G74" s="1071"/>
      <c r="H74" s="39" t="s">
        <v>6529</v>
      </c>
      <c r="I74" s="671"/>
      <c r="J74" s="607">
        <f>SUMIFS(Calculs!BY$11:BY$1338,Calculs!$B$11:$B$1338,$H74)/10^6</f>
        <v>0</v>
      </c>
      <c r="K74" s="607">
        <f>SUMIFS(Calculs!BZ$11:BZ$1338,Calculs!$B$11:$B$1338,$H74)/10^6</f>
        <v>0</v>
      </c>
      <c r="L74" s="607">
        <f>SUMIFS(Calculs!CA$11:CA$1338,Calculs!$B$11:$B$1338,$H74)/10^6</f>
        <v>0</v>
      </c>
      <c r="M74" s="607">
        <f>SUMIFS(Calculs!CB$11:CB$1338,Calculs!$B$11:$B$1338,$H74)/10^6</f>
        <v>0</v>
      </c>
      <c r="N74" s="615">
        <f t="shared" ref="N74:N105" si="19">M74/$M$155</f>
        <v>0</v>
      </c>
      <c r="O74" s="637" t="str">
        <f t="shared" si="12"/>
        <v/>
      </c>
      <c r="Q74" s="625"/>
      <c r="S74" s="586"/>
      <c r="V74" s="607"/>
      <c r="W74" s="607">
        <f>(SUMIFS(Calculs!CB$11:CB$1338,Calculs!$B$11:$B$1338,$H74,Calculs!$F$11:$F$1338,IF($V$40="Tous","&lt;&gt;0",VLOOKUP($V$40,'Listes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74" s="615">
        <f t="shared" si="13"/>
        <v>0</v>
      </c>
      <c r="Y74" s="637" t="str">
        <f t="shared" si="14"/>
        <v/>
      </c>
    </row>
    <row r="75" spans="2:25">
      <c r="B75" s="1167"/>
      <c r="C75" s="754" t="str">
        <f t="shared" si="17"/>
        <v>Catégorie 3</v>
      </c>
      <c r="D75" s="1067"/>
      <c r="E75" s="1156" t="s">
        <v>6436</v>
      </c>
      <c r="F75" s="754" t="str">
        <f t="shared" si="18"/>
        <v>3.2</v>
      </c>
      <c r="G75" s="1089" t="s">
        <v>6589</v>
      </c>
      <c r="H75" s="40" t="s">
        <v>6530</v>
      </c>
      <c r="I75" s="672"/>
      <c r="J75" s="608">
        <f>SUMIFS(Calculs!BY$11:BY$1338,Calculs!$B$11:$B$1338,$H75)/10^6</f>
        <v>0</v>
      </c>
      <c r="K75" s="608">
        <f>SUMIFS(Calculs!BZ$11:BZ$1338,Calculs!$B$11:$B$1338,$H75)/10^6</f>
        <v>0</v>
      </c>
      <c r="L75" s="608">
        <f>SUMIFS(Calculs!CA$11:CA$1338,Calculs!$B$11:$B$1338,$H75)/10^6</f>
        <v>0</v>
      </c>
      <c r="M75" s="608">
        <f>SUMIFS(Calculs!CB$11:CB$1338,Calculs!$B$11:$B$1338,$H75)/10^6</f>
        <v>0</v>
      </c>
      <c r="N75" s="616">
        <f t="shared" si="19"/>
        <v>0</v>
      </c>
      <c r="O75" s="638" t="str">
        <f t="shared" si="12"/>
        <v/>
      </c>
      <c r="Q75" s="626"/>
      <c r="S75" s="581"/>
      <c r="V75" s="608"/>
      <c r="W75" s="608">
        <f>(SUMIFS(Calculs!CB$11:CB$1338,Calculs!$B$11:$B$1338,$H75,Calculs!$F$11:$F$1338,IF($V$40="Tous","&lt;&gt;0",VLOOKUP($V$40,'Listes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75" s="616">
        <f t="shared" si="13"/>
        <v>0</v>
      </c>
      <c r="Y75" s="638" t="str">
        <f t="shared" si="14"/>
        <v/>
      </c>
    </row>
    <row r="76" spans="2:25">
      <c r="B76" s="1167"/>
      <c r="C76" s="754" t="str">
        <f t="shared" si="17"/>
        <v>Catégorie 3</v>
      </c>
      <c r="D76" s="1067"/>
      <c r="E76" s="1157"/>
      <c r="F76" s="754" t="str">
        <f t="shared" si="18"/>
        <v>3.2</v>
      </c>
      <c r="G76" s="1090"/>
      <c r="H76" s="40" t="s">
        <v>6531</v>
      </c>
      <c r="I76" s="672"/>
      <c r="J76" s="608">
        <f>SUMIFS(Calculs!BY$11:BY$1338,Calculs!$B$11:$B$1338,$H76)/10^6</f>
        <v>0</v>
      </c>
      <c r="K76" s="608">
        <f>SUMIFS(Calculs!BZ$11:BZ$1338,Calculs!$B$11:$B$1338,$H76)/10^6</f>
        <v>0</v>
      </c>
      <c r="L76" s="608">
        <f>SUMIFS(Calculs!CA$11:CA$1338,Calculs!$B$11:$B$1338,$H76)/10^6</f>
        <v>0</v>
      </c>
      <c r="M76" s="608">
        <f>SUMIFS(Calculs!CB$11:CB$1338,Calculs!$B$11:$B$1338,$H76)/10^6</f>
        <v>0</v>
      </c>
      <c r="N76" s="616">
        <f t="shared" si="19"/>
        <v>0</v>
      </c>
      <c r="O76" s="638" t="str">
        <f t="shared" si="12"/>
        <v/>
      </c>
      <c r="Q76" s="626"/>
      <c r="S76" s="586"/>
      <c r="V76" s="608"/>
      <c r="W76" s="608">
        <f>(SUMIFS(Calculs!CB$11:CB$1338,Calculs!$B$11:$B$1338,$H76,Calculs!$F$11:$F$1338,IF($V$40="Tous","&lt;&gt;0",VLOOKUP($V$40,'Listes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76" s="616">
        <f t="shared" si="13"/>
        <v>0</v>
      </c>
      <c r="Y76" s="638" t="str">
        <f t="shared" si="14"/>
        <v/>
      </c>
    </row>
    <row r="77" spans="2:25">
      <c r="B77" s="1167"/>
      <c r="C77" s="757" t="str">
        <f t="shared" si="17"/>
        <v>Catégorie 3</v>
      </c>
      <c r="D77" s="1067"/>
      <c r="E77" s="1154" t="s">
        <v>6437</v>
      </c>
      <c r="F77" s="757" t="str">
        <f t="shared" si="18"/>
        <v>3.3</v>
      </c>
      <c r="G77" s="1069" t="s">
        <v>94</v>
      </c>
      <c r="H77" s="1326" t="s">
        <v>6532</v>
      </c>
      <c r="I77" s="671" t="str">
        <f>Calculs!B211</f>
        <v>3.3A1 - Navettage des employés</v>
      </c>
      <c r="J77" s="607">
        <f>SUMIFS(Calculs!BY$11:BY$1338,Calculs!$B$11:$B$1338,$H77)/10^6</f>
        <v>5.3790752856332125</v>
      </c>
      <c r="K77" s="607">
        <f>SUMIFS(Calculs!BZ$11:BZ$1338,Calculs!$B$11:$B$1338,$H77)/10^6</f>
        <v>9.7218090024643444E-3</v>
      </c>
      <c r="L77" s="607">
        <f>SUMIFS(Calculs!CA$11:CA$1338,Calculs!$B$11:$B$1338,$H77)/10^6</f>
        <v>1.410009116674424E-2</v>
      </c>
      <c r="M77" s="607">
        <f>SUMIFS(Calculs!CB$11:CB$1338,Calculs!$B$11:$B$1338,$H77)/10^6</f>
        <v>5.4028971858024217</v>
      </c>
      <c r="N77" s="617">
        <f t="shared" si="19"/>
        <v>3.0423143969910835E-2</v>
      </c>
      <c r="O77" s="639" t="str">
        <f t="shared" si="12"/>
        <v>||||</v>
      </c>
      <c r="Q77" s="627"/>
      <c r="S77" s="581"/>
      <c r="V77" s="607"/>
      <c r="W77" s="607">
        <f>(SUMIFS(Calculs!CB$11:CB$1338,Calculs!$B$11:$B$1338,$H77,Calculs!$F$11:$F$1338,IF($V$40="Tous","&lt;&gt;0",VLOOKUP($V$40,'Listes déroulantes, autres'!$H$9:$I$21,2,FALSE)),Calculs!$G$11:$G$1338,IF($W$40="Tous","&lt;&gt;0",$W$40),Calculs!$H$11:$H$1338,IF($X$40="Tous","&lt;&gt;0",$X$40)        )/10^6)</f>
        <v>7.8084018024213581E-3</v>
      </c>
      <c r="X77" s="617">
        <f t="shared" si="13"/>
        <v>4.3968286650765709E-5</v>
      </c>
      <c r="Y77" s="639" t="str">
        <f t="shared" si="14"/>
        <v/>
      </c>
    </row>
    <row r="78" spans="2:25">
      <c r="B78" s="1167"/>
      <c r="C78" s="757" t="str">
        <f t="shared" si="17"/>
        <v>Catégorie 3</v>
      </c>
      <c r="D78" s="1067"/>
      <c r="E78" s="1169"/>
      <c r="F78" s="757" t="str">
        <f t="shared" si="18"/>
        <v>3.3</v>
      </c>
      <c r="G78" s="1070"/>
      <c r="H78" s="38" t="s">
        <v>6533</v>
      </c>
      <c r="I78" s="671"/>
      <c r="J78" s="607">
        <f>SUMIFS(Calculs!BY$11:BY$1338,Calculs!$B$11:$B$1338,$H78)/10^6</f>
        <v>0</v>
      </c>
      <c r="K78" s="607">
        <f>SUMIFS(Calculs!BZ$11:BZ$1338,Calculs!$B$11:$B$1338,$H78)/10^6</f>
        <v>0</v>
      </c>
      <c r="L78" s="607">
        <f>SUMIFS(Calculs!CA$11:CA$1338,Calculs!$B$11:$B$1338,$H78)/10^6</f>
        <v>0</v>
      </c>
      <c r="M78" s="607">
        <f>SUMIFS(Calculs!CB$11:CB$1338,Calculs!$B$11:$B$1338,$H78)/10^6</f>
        <v>0</v>
      </c>
      <c r="N78" s="617">
        <f t="shared" si="19"/>
        <v>0</v>
      </c>
      <c r="O78" s="639" t="str">
        <f t="shared" ref="O78:O108" si="20">REPT("|",N78*(100/MAX($N$14:$N$35)))</f>
        <v/>
      </c>
      <c r="Q78" s="627"/>
      <c r="S78" s="586"/>
      <c r="V78" s="607"/>
      <c r="W78" s="607">
        <f>(SUMIFS(Calculs!CB$11:CB$1338,Calculs!$B$11:$B$1338,$H78,Calculs!$F$11:$F$1338,IF($V$40="Tous","&lt;&gt;0",VLOOKUP($V$40,'Listes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78" s="617">
        <f t="shared" ref="X78:X109" si="21">W78/$M$155</f>
        <v>0</v>
      </c>
      <c r="Y78" s="639" t="str">
        <f t="shared" ref="Y78:Y106" si="22">REPT("|",X78*(100/MAX($N$14:$N$35)))</f>
        <v/>
      </c>
    </row>
    <row r="79" spans="2:25">
      <c r="B79" s="1167"/>
      <c r="C79" s="758" t="str">
        <f t="shared" si="17"/>
        <v>Catégorie 3</v>
      </c>
      <c r="D79" s="1067"/>
      <c r="E79" s="1169"/>
      <c r="F79" s="758" t="str">
        <f t="shared" si="18"/>
        <v>3.3</v>
      </c>
      <c r="G79" s="1070"/>
      <c r="H79" s="840" t="s">
        <v>6534</v>
      </c>
      <c r="I79" s="671"/>
      <c r="J79" s="711">
        <f>SUMIFS(Calculs!BY$11:BY$1338,Calculs!$B$11:$B$1338,$H79)/10^6</f>
        <v>0</v>
      </c>
      <c r="K79" s="711">
        <f>SUMIFS(Calculs!BZ$11:BZ$1338,Calculs!$B$11:$B$1338,$H79)/10^6</f>
        <v>0</v>
      </c>
      <c r="L79" s="711">
        <f>SUMIFS(Calculs!CA$11:CA$1338,Calculs!$B$11:$B$1338,$H79)/10^6</f>
        <v>0</v>
      </c>
      <c r="M79" s="711">
        <f>SUMIFS(Calculs!CB$11:CB$1338,Calculs!$B$11:$B$1338,$H79)/10^6</f>
        <v>0</v>
      </c>
      <c r="N79" s="618">
        <f t="shared" si="19"/>
        <v>0</v>
      </c>
      <c r="O79" s="640" t="str">
        <f t="shared" si="20"/>
        <v/>
      </c>
      <c r="Q79" s="628"/>
      <c r="S79" s="581"/>
      <c r="V79" s="711"/>
      <c r="W79" s="711">
        <f>(SUMIFS(Calculs!CB$11:CB$1338,Calculs!$B$11:$B$1338,$H79,Calculs!$F$11:$F$1338,IF($V$40="Tous","&lt;&gt;0",VLOOKUP($V$40,'Listes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79" s="618">
        <f t="shared" si="21"/>
        <v>0</v>
      </c>
      <c r="Y79" s="640" t="str">
        <f t="shared" si="22"/>
        <v/>
      </c>
    </row>
    <row r="80" spans="2:25">
      <c r="B80" s="1167"/>
      <c r="C80" s="758" t="str">
        <f t="shared" si="17"/>
        <v>Catégorie 3</v>
      </c>
      <c r="D80" s="1067"/>
      <c r="E80" s="1169"/>
      <c r="F80" s="758" t="str">
        <f t="shared" si="18"/>
        <v>3.3</v>
      </c>
      <c r="G80" s="1070"/>
      <c r="H80" s="894" t="s">
        <v>6535</v>
      </c>
      <c r="I80" s="1013" t="s">
        <v>6598</v>
      </c>
      <c r="J80" s="711">
        <f>SUMIFS(Calculs!BY$11:BY$1338,Calculs!$B$11:$B$1338,$H80)/10^6</f>
        <v>0</v>
      </c>
      <c r="K80" s="711">
        <f>SUMIFS(Calculs!BZ$11:BZ$1338,Calculs!$B$11:$B$1338,$H80)/10^6</f>
        <v>0</v>
      </c>
      <c r="L80" s="711">
        <f>SUMIFS(Calculs!CA$11:CA$1338,Calculs!$B$11:$B$1338,$H80)/10^6</f>
        <v>0</v>
      </c>
      <c r="M80" s="711">
        <f>SUMIFS(Calculs!CB$11:CB$1338,Calculs!$B$11:$B$1338,$H80)/10^6</f>
        <v>0</v>
      </c>
      <c r="N80" s="618">
        <f t="shared" si="19"/>
        <v>0</v>
      </c>
      <c r="O80" s="640" t="str">
        <f t="shared" si="20"/>
        <v/>
      </c>
      <c r="Q80" s="628"/>
      <c r="S80" s="586"/>
      <c r="V80" s="711"/>
      <c r="W80" s="711">
        <f>(SUMIFS(Calculs!CB$11:CB$1338,Calculs!$B$11:$B$1338,$H80,Calculs!$F$11:$F$1338,IF($V$40="Tous","&lt;&gt;0",VLOOKUP($V$40,'Listes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80" s="618">
        <f t="shared" si="21"/>
        <v>0</v>
      </c>
      <c r="Y80" s="640" t="str">
        <f t="shared" si="22"/>
        <v/>
      </c>
    </row>
    <row r="81" spans="2:25">
      <c r="B81" s="1167"/>
      <c r="C81" s="758" t="str">
        <f t="shared" si="17"/>
        <v>Catégorie 3</v>
      </c>
      <c r="D81" s="1067"/>
      <c r="E81" s="1169"/>
      <c r="F81" s="758" t="str">
        <f t="shared" si="18"/>
        <v>3.3</v>
      </c>
      <c r="G81" s="1070"/>
      <c r="H81" s="840" t="s">
        <v>6536</v>
      </c>
      <c r="I81" s="1013" t="s">
        <v>6598</v>
      </c>
      <c r="J81" s="711">
        <f>SUMIFS(Calculs!BY$11:BY$1338,Calculs!$B$11:$B$1338,$H81)/10^6</f>
        <v>0</v>
      </c>
      <c r="K81" s="711">
        <f>SUMIFS(Calculs!BZ$11:BZ$1338,Calculs!$B$11:$B$1338,$H81)/10^6</f>
        <v>0</v>
      </c>
      <c r="L81" s="711">
        <f>SUMIFS(Calculs!CA$11:CA$1338,Calculs!$B$11:$B$1338,$H81)/10^6</f>
        <v>0</v>
      </c>
      <c r="M81" s="711">
        <f>SUMIFS(Calculs!CB$11:CB$1338,Calculs!$B$11:$B$1338,$H81)/10^6</f>
        <v>0</v>
      </c>
      <c r="N81" s="618">
        <f t="shared" si="19"/>
        <v>0</v>
      </c>
      <c r="O81" s="640" t="str">
        <f t="shared" si="20"/>
        <v/>
      </c>
      <c r="Q81" s="628"/>
      <c r="S81" s="581"/>
      <c r="V81" s="711"/>
      <c r="W81" s="711">
        <f>(SUMIFS(Calculs!CB$11:CB$1338,Calculs!$B$11:$B$1338,$H81,Calculs!$F$11:$F$1338,IF($V$40="Tous","&lt;&gt;0",VLOOKUP($V$40,'Listes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81" s="618">
        <f t="shared" si="21"/>
        <v>0</v>
      </c>
      <c r="Y81" s="640" t="str">
        <f t="shared" si="22"/>
        <v/>
      </c>
    </row>
    <row r="82" spans="2:25">
      <c r="B82" s="1167"/>
      <c r="C82" s="754" t="str">
        <f t="shared" si="17"/>
        <v>Catégorie 3</v>
      </c>
      <c r="D82" s="1067"/>
      <c r="E82" s="1156" t="s">
        <v>6438</v>
      </c>
      <c r="F82" s="754" t="str">
        <f t="shared" si="18"/>
        <v>3.4</v>
      </c>
      <c r="G82" s="1089" t="s">
        <v>6590</v>
      </c>
      <c r="H82" s="41" t="s">
        <v>6537</v>
      </c>
      <c r="I82" s="672" t="str">
        <f>Calculs!B229</f>
        <v>3.4A1 - Déplacements des visiteurs en voiture</v>
      </c>
      <c r="J82" s="608">
        <f>SUMIFS(Calculs!BY$11:BY$1338,Calculs!$B$11:$B$1338,$H82)/10^6</f>
        <v>1.9170750000000001</v>
      </c>
      <c r="K82" s="608">
        <f>SUMIFS(Calculs!BZ$11:BZ$1338,Calculs!$B$11:$B$1338,$H82)/10^6</f>
        <v>1.2665E-3</v>
      </c>
      <c r="L82" s="608">
        <f>SUMIFS(Calculs!CA$11:CA$1338,Calculs!$B$11:$B$1338,$H82)/10^6</f>
        <v>4.3679999999999997E-2</v>
      </c>
      <c r="M82" s="608">
        <f>SUMIFS(Calculs!CB$11:CB$1338,Calculs!$B$11:$B$1338,$H82)/10^6</f>
        <v>1.9620215000000001</v>
      </c>
      <c r="N82" s="616">
        <f t="shared" si="19"/>
        <v>1.1047936045019394E-2</v>
      </c>
      <c r="O82" s="638" t="str">
        <f t="shared" si="20"/>
        <v>|</v>
      </c>
      <c r="Q82" s="626"/>
      <c r="S82" s="586"/>
      <c r="V82" s="608"/>
      <c r="W82" s="608">
        <f>(SUMIFS(Calculs!CB$11:CB$1338,Calculs!$B$11:$B$1338,$H82,Calculs!$F$11:$F$1338,IF($V$40="Tous","&lt;&gt;0",VLOOKUP($V$40,'Listes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82" s="616">
        <f t="shared" si="21"/>
        <v>0</v>
      </c>
      <c r="Y82" s="638" t="str">
        <f t="shared" si="22"/>
        <v/>
      </c>
    </row>
    <row r="83" spans="2:25">
      <c r="B83" s="1167"/>
      <c r="C83" s="754" t="str">
        <f t="shared" si="17"/>
        <v>Catégorie 3</v>
      </c>
      <c r="D83" s="1067"/>
      <c r="E83" s="1157"/>
      <c r="F83" s="754" t="str">
        <f t="shared" si="18"/>
        <v>3.4</v>
      </c>
      <c r="G83" s="1090"/>
      <c r="H83" s="40" t="s">
        <v>6538</v>
      </c>
      <c r="I83" s="672"/>
      <c r="J83" s="608">
        <f>SUMIFS(Calculs!BY$11:BY$1338,Calculs!$B$11:$B$1338,$H83)/10^6</f>
        <v>0</v>
      </c>
      <c r="K83" s="608">
        <f>SUMIFS(Calculs!BZ$11:BZ$1338,Calculs!$B$11:$B$1338,$H83)/10^6</f>
        <v>0</v>
      </c>
      <c r="L83" s="608">
        <f>SUMIFS(Calculs!CA$11:CA$1338,Calculs!$B$11:$B$1338,$H83)/10^6</f>
        <v>0</v>
      </c>
      <c r="M83" s="608">
        <f>SUMIFS(Calculs!CB$11:CB$1338,Calculs!$B$11:$B$1338,$H83)/10^6</f>
        <v>0</v>
      </c>
      <c r="N83" s="616">
        <f t="shared" si="19"/>
        <v>0</v>
      </c>
      <c r="O83" s="638" t="str">
        <f t="shared" si="20"/>
        <v/>
      </c>
      <c r="Q83" s="626"/>
      <c r="S83" s="581"/>
      <c r="V83" s="608"/>
      <c r="W83" s="608">
        <f>(SUMIFS(Calculs!CB$11:CB$1338,Calculs!$B$11:$B$1338,$H83,Calculs!$F$11:$F$1338,IF($V$40="Tous","&lt;&gt;0",VLOOKUP($V$40,'Listes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83" s="616">
        <f t="shared" si="21"/>
        <v>0</v>
      </c>
      <c r="Y83" s="638" t="str">
        <f t="shared" si="22"/>
        <v/>
      </c>
    </row>
    <row r="84" spans="2:25">
      <c r="B84" s="1167"/>
      <c r="C84" s="754" t="str">
        <f t="shared" si="17"/>
        <v>Catégorie 3</v>
      </c>
      <c r="D84" s="1067"/>
      <c r="E84" s="1157"/>
      <c r="F84" s="754" t="str">
        <f t="shared" si="18"/>
        <v>3.4</v>
      </c>
      <c r="G84" s="1090"/>
      <c r="H84" s="42" t="s">
        <v>6539</v>
      </c>
      <c r="I84" s="672"/>
      <c r="J84" s="608">
        <f>SUMIFS(Calculs!BY$11:BY$1338,Calculs!$B$11:$B$1338,$H84)/10^6</f>
        <v>0</v>
      </c>
      <c r="K84" s="608">
        <f>SUMIFS(Calculs!BZ$11:BZ$1338,Calculs!$B$11:$B$1338,$H84)/10^6</f>
        <v>0</v>
      </c>
      <c r="L84" s="608">
        <f>SUMIFS(Calculs!CA$11:CA$1338,Calculs!$B$11:$B$1338,$H84)/10^6</f>
        <v>0</v>
      </c>
      <c r="M84" s="608">
        <f>SUMIFS(Calculs!CB$11:CB$1338,Calculs!$B$11:$B$1338,$H84)/10^6</f>
        <v>0</v>
      </c>
      <c r="N84" s="616">
        <f t="shared" si="19"/>
        <v>0</v>
      </c>
      <c r="O84" s="638" t="str">
        <f t="shared" si="20"/>
        <v/>
      </c>
      <c r="Q84" s="626"/>
      <c r="S84" s="586"/>
      <c r="V84" s="608"/>
      <c r="W84" s="608">
        <f>(SUMIFS(Calculs!CB$11:CB$1338,Calculs!$B$11:$B$1338,$H84,Calculs!$F$11:$F$1338,IF($V$40="Tous","&lt;&gt;0",VLOOKUP($V$40,'Listes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84" s="616">
        <f t="shared" si="21"/>
        <v>0</v>
      </c>
      <c r="Y84" s="638" t="str">
        <f t="shared" si="22"/>
        <v/>
      </c>
    </row>
    <row r="85" spans="2:25">
      <c r="B85" s="1167"/>
      <c r="C85" s="754" t="str">
        <f t="shared" si="17"/>
        <v>Catégorie 3</v>
      </c>
      <c r="D85" s="1067"/>
      <c r="E85" s="1173"/>
      <c r="F85" s="754" t="str">
        <f t="shared" si="18"/>
        <v>3.4</v>
      </c>
      <c r="G85" s="1091"/>
      <c r="H85" s="40" t="s">
        <v>6540</v>
      </c>
      <c r="I85" s="672" t="str">
        <f>Calculs!B247</f>
        <v>3.4B1 - Déplacements des visiteurs en avion, train ou bus</v>
      </c>
      <c r="J85" s="608">
        <f>SUMIFS(Calculs!BY$11:BY$1338,Calculs!$B$11:$B$1338,$H85)/10^6</f>
        <v>4.9734550226676211</v>
      </c>
      <c r="K85" s="608">
        <f>SUMIFS(Calculs!BZ$11:BZ$1338,Calculs!$B$11:$B$1338,$H85)/10^6</f>
        <v>7.7770818420424713E-4</v>
      </c>
      <c r="L85" s="608">
        <f>SUMIFS(Calculs!CA$11:CA$1338,Calculs!$B$11:$B$1338,$H85)/10^6</f>
        <v>4.2205022667621085E-2</v>
      </c>
      <c r="M85" s="608">
        <f>SUMIFS(Calculs!CB$11:CB$1338,Calculs!$B$11:$B$1338,$H85)/10^6</f>
        <v>5.0164377535194467</v>
      </c>
      <c r="N85" s="616">
        <f t="shared" si="19"/>
        <v>2.8247031683752498E-2</v>
      </c>
      <c r="O85" s="638" t="str">
        <f t="shared" si="20"/>
        <v>||||</v>
      </c>
      <c r="Q85" s="626"/>
      <c r="S85" s="581"/>
      <c r="V85" s="608"/>
      <c r="W85" s="608">
        <f>(SUMIFS(Calculs!CB$11:CB$1338,Calculs!$B$11:$B$1338,$H85,Calculs!$F$11:$F$1338,IF($V$40="Tous","&lt;&gt;0",VLOOKUP($V$40,'Listes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85" s="616">
        <f t="shared" si="21"/>
        <v>0</v>
      </c>
      <c r="Y85" s="638" t="str">
        <f t="shared" si="22"/>
        <v/>
      </c>
    </row>
    <row r="86" spans="2:25">
      <c r="B86" s="1167"/>
      <c r="C86" s="754" t="str">
        <f t="shared" si="17"/>
        <v>Catégorie 3</v>
      </c>
      <c r="D86" s="1067"/>
      <c r="E86" s="1154" t="s">
        <v>6439</v>
      </c>
      <c r="F86" s="754" t="str">
        <f t="shared" si="18"/>
        <v>3.5</v>
      </c>
      <c r="G86" s="1069" t="s">
        <v>6591</v>
      </c>
      <c r="H86" s="38" t="s">
        <v>6541</v>
      </c>
      <c r="I86" s="671" t="str">
        <f>Calculs!B265</f>
        <v>3.5A1 - Déplacements d'affaires en voiture</v>
      </c>
      <c r="J86" s="607">
        <f>SUMIFS(Calculs!BY$11:BY$1338,Calculs!$B$11:$B$1338,$H86)/10^6</f>
        <v>1.9170750000000001</v>
      </c>
      <c r="K86" s="607">
        <f>SUMIFS(Calculs!BZ$11:BZ$1338,Calculs!$B$11:$B$1338,$H86)/10^6</f>
        <v>1.2665E-3</v>
      </c>
      <c r="L86" s="607">
        <f>SUMIFS(Calculs!CA$11:CA$1338,Calculs!$B$11:$B$1338,$H86)/10^6</f>
        <v>4.3679999999999997E-2</v>
      </c>
      <c r="M86" s="607">
        <f>SUMIFS(Calculs!CB$11:CB$1338,Calculs!$B$11:$B$1338,$H86)/10^6</f>
        <v>1.9620215000000001</v>
      </c>
      <c r="N86" s="615">
        <f t="shared" si="19"/>
        <v>1.1047936045019394E-2</v>
      </c>
      <c r="O86" s="637" t="str">
        <f t="shared" si="20"/>
        <v>|</v>
      </c>
      <c r="Q86" s="625"/>
      <c r="S86" s="586"/>
      <c r="V86" s="607"/>
      <c r="W86" s="607">
        <f>(SUMIFS(Calculs!CB$11:CB$1338,Calculs!$B$11:$B$1338,$H86,Calculs!$F$11:$F$1338,IF($V$40="Tous","&lt;&gt;0",VLOOKUP($V$40,'Listes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86" s="615">
        <f t="shared" si="21"/>
        <v>0</v>
      </c>
      <c r="Y86" s="637" t="str">
        <f t="shared" si="22"/>
        <v/>
      </c>
    </row>
    <row r="87" spans="2:25">
      <c r="B87" s="1167"/>
      <c r="C87" s="754" t="str">
        <f t="shared" si="17"/>
        <v>Catégorie 3</v>
      </c>
      <c r="D87" s="1067"/>
      <c r="E87" s="1169"/>
      <c r="F87" s="754" t="str">
        <f t="shared" si="18"/>
        <v>3.5</v>
      </c>
      <c r="G87" s="1070"/>
      <c r="H87" s="44" t="s">
        <v>6542</v>
      </c>
      <c r="I87" s="671"/>
      <c r="J87" s="607">
        <f>SUMIFS(Calculs!BY$11:BY$1338,Calculs!$B$11:$B$1338,$H87)/10^6</f>
        <v>0</v>
      </c>
      <c r="K87" s="607">
        <f>SUMIFS(Calculs!BZ$11:BZ$1338,Calculs!$B$11:$B$1338,$H87)/10^6</f>
        <v>0</v>
      </c>
      <c r="L87" s="607">
        <f>SUMIFS(Calculs!CA$11:CA$1338,Calculs!$B$11:$B$1338,$H87)/10^6</f>
        <v>0</v>
      </c>
      <c r="M87" s="607">
        <f>SUMIFS(Calculs!CB$11:CB$1338,Calculs!$B$11:$B$1338,$H87)/10^6</f>
        <v>0</v>
      </c>
      <c r="N87" s="615">
        <f t="shared" si="19"/>
        <v>0</v>
      </c>
      <c r="O87" s="637" t="str">
        <f t="shared" si="20"/>
        <v/>
      </c>
      <c r="Q87" s="625"/>
      <c r="S87" s="581"/>
      <c r="V87" s="607"/>
      <c r="W87" s="607">
        <f>(SUMIFS(Calculs!CB$11:CB$1338,Calculs!$B$11:$B$1338,$H87,Calculs!$F$11:$F$1338,IF($V$40="Tous","&lt;&gt;0",VLOOKUP($V$40,'Listes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87" s="615">
        <f t="shared" si="21"/>
        <v>0</v>
      </c>
      <c r="Y87" s="637" t="str">
        <f t="shared" si="22"/>
        <v/>
      </c>
    </row>
    <row r="88" spans="2:25">
      <c r="B88" s="1167"/>
      <c r="C88" s="754" t="str">
        <f t="shared" si="17"/>
        <v>Catégorie 3</v>
      </c>
      <c r="D88" s="1067"/>
      <c r="E88" s="1169"/>
      <c r="F88" s="754" t="str">
        <f t="shared" si="18"/>
        <v>3.5</v>
      </c>
      <c r="G88" s="1070"/>
      <c r="H88" s="44" t="s">
        <v>6543</v>
      </c>
      <c r="I88" s="671"/>
      <c r="J88" s="607">
        <f>SUMIFS(Calculs!BY$11:BY$1338,Calculs!$B$11:$B$1338,$H88)/10^6</f>
        <v>0</v>
      </c>
      <c r="K88" s="607">
        <f>SUMIFS(Calculs!BZ$11:BZ$1338,Calculs!$B$11:$B$1338,$H88)/10^6</f>
        <v>0</v>
      </c>
      <c r="L88" s="607">
        <f>SUMIFS(Calculs!CA$11:CA$1338,Calculs!$B$11:$B$1338,$H88)/10^6</f>
        <v>0</v>
      </c>
      <c r="M88" s="607">
        <f>SUMIFS(Calculs!CB$11:CB$1338,Calculs!$B$11:$B$1338,$H88)/10^6</f>
        <v>0</v>
      </c>
      <c r="N88" s="615">
        <f t="shared" si="19"/>
        <v>0</v>
      </c>
      <c r="O88" s="637" t="str">
        <f t="shared" si="20"/>
        <v/>
      </c>
      <c r="Q88" s="625"/>
      <c r="S88" s="586"/>
      <c r="V88" s="607"/>
      <c r="W88" s="607">
        <f>(SUMIFS(Calculs!CB$11:CB$1338,Calculs!$B$11:$B$1338,$H88,Calculs!$F$11:$F$1338,IF($V$40="Tous","&lt;&gt;0",VLOOKUP($V$40,'Listes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88" s="615">
        <f t="shared" si="21"/>
        <v>0</v>
      </c>
      <c r="Y88" s="637" t="str">
        <f t="shared" si="22"/>
        <v/>
      </c>
    </row>
    <row r="89" spans="2:25">
      <c r="B89" s="1167"/>
      <c r="C89" s="754" t="str">
        <f t="shared" si="17"/>
        <v>Catégorie 3</v>
      </c>
      <c r="D89" s="1067"/>
      <c r="E89" s="1169"/>
      <c r="F89" s="754" t="str">
        <f t="shared" si="18"/>
        <v>3.5</v>
      </c>
      <c r="G89" s="1070"/>
      <c r="H89" s="38" t="s">
        <v>6544</v>
      </c>
      <c r="I89" s="671" t="str">
        <f>Calculs!B283</f>
        <v>3.5B1 - Déplacements d'affaires en avion, train ou bus</v>
      </c>
      <c r="J89" s="607">
        <f>SUMIFS(Calculs!BY$11:BY$1338,Calculs!$B$11:$B$1338,$H89)/10^6</f>
        <v>5.4258132506163994</v>
      </c>
      <c r="K89" s="607">
        <f>SUMIFS(Calculs!BZ$11:BZ$1338,Calculs!$B$11:$B$1338,$H89)/10^6</f>
        <v>1.1480454147776982E-3</v>
      </c>
      <c r="L89" s="607">
        <f>SUMIFS(Calculs!CA$11:CA$1338,Calculs!$B$11:$B$1338,$H89)/10^6</f>
        <v>4.5190586972083037E-2</v>
      </c>
      <c r="M89" s="607">
        <f>SUMIFS(Calculs!CB$11:CB$1338,Calculs!$B$11:$B$1338,$H89)/10^6</f>
        <v>5.4721518830032609</v>
      </c>
      <c r="N89" s="615">
        <f t="shared" si="19"/>
        <v>3.0813109862482379E-2</v>
      </c>
      <c r="O89" s="637" t="str">
        <f t="shared" si="20"/>
        <v>|||||</v>
      </c>
      <c r="Q89" s="625"/>
      <c r="S89" s="581"/>
      <c r="V89" s="607"/>
      <c r="W89" s="607">
        <f>(SUMIFS(Calculs!CB$11:CB$1338,Calculs!$B$11:$B$1338,$H89,Calculs!$F$11:$F$1338,IF($V$40="Tous","&lt;&gt;0",VLOOKUP($V$40,'Listes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89" s="615">
        <f t="shared" si="21"/>
        <v>0</v>
      </c>
      <c r="Y89" s="637" t="str">
        <f t="shared" si="22"/>
        <v/>
      </c>
    </row>
    <row r="90" spans="2:25">
      <c r="B90" s="1167"/>
      <c r="C90" s="754" t="str">
        <f t="shared" si="17"/>
        <v>Catégorie 3</v>
      </c>
      <c r="D90" s="1067"/>
      <c r="E90" s="1169"/>
      <c r="F90" s="754" t="str">
        <f t="shared" si="18"/>
        <v>3.5</v>
      </c>
      <c r="G90" s="1070"/>
      <c r="H90" s="39" t="s">
        <v>6545</v>
      </c>
      <c r="I90" s="671"/>
      <c r="J90" s="607">
        <f>SUMIFS(Calculs!BY$11:BY$1338,Calculs!$B$11:$B$1338,$H90)/10^6</f>
        <v>0</v>
      </c>
      <c r="K90" s="607">
        <f>SUMIFS(Calculs!BZ$11:BZ$1338,Calculs!$B$11:$B$1338,$H90)/10^6</f>
        <v>0</v>
      </c>
      <c r="L90" s="607">
        <f>SUMIFS(Calculs!CA$11:CA$1338,Calculs!$B$11:$B$1338,$H90)/10^6</f>
        <v>0</v>
      </c>
      <c r="M90" s="607">
        <f>SUMIFS(Calculs!CB$11:CB$1338,Calculs!$B$11:$B$1338,$H90)/10^6</f>
        <v>0</v>
      </c>
      <c r="N90" s="615">
        <f t="shared" si="19"/>
        <v>0</v>
      </c>
      <c r="O90" s="637" t="str">
        <f t="shared" si="20"/>
        <v/>
      </c>
      <c r="Q90" s="625"/>
      <c r="S90" s="586"/>
      <c r="V90" s="607"/>
      <c r="W90" s="607">
        <f>(SUMIFS(Calculs!CB$11:CB$1338,Calculs!$B$11:$B$1338,$H90,Calculs!$F$11:$F$1338,IF($V$40="Tous","&lt;&gt;0",VLOOKUP($V$40,'Listes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90" s="615">
        <f t="shared" si="21"/>
        <v>0</v>
      </c>
      <c r="Y90" s="637" t="str">
        <f t="shared" si="22"/>
        <v/>
      </c>
    </row>
    <row r="91" spans="2:25">
      <c r="B91" s="1167"/>
      <c r="C91" s="754" t="str">
        <f t="shared" si="17"/>
        <v>Catégorie 3</v>
      </c>
      <c r="D91" s="1067"/>
      <c r="E91" s="1169"/>
      <c r="F91" s="754" t="str">
        <f t="shared" si="18"/>
        <v>3.5</v>
      </c>
      <c r="G91" s="1070"/>
      <c r="H91" s="38" t="s">
        <v>6546</v>
      </c>
      <c r="I91" s="671" t="str">
        <f>Calculs!B301</f>
        <v>3.5C1 - Déplacements d'affaires en traversier</v>
      </c>
      <c r="J91" s="607">
        <f>SUMIFS(Calculs!BY$11:BY$1338,Calculs!$B$11:$B$1338,$H91)/10^6</f>
        <v>0.1903579186481075</v>
      </c>
      <c r="K91" s="607">
        <f>SUMIFS(Calculs!BZ$11:BZ$1338,Calculs!$B$11:$B$1338,$H91)/10^6</f>
        <v>5.133439171938547E-4</v>
      </c>
      <c r="L91" s="607">
        <f>SUMIFS(Calculs!CA$11:CA$1338,Calculs!$B$11:$B$1338,$H91)/10^6</f>
        <v>1.3436518637959954E-3</v>
      </c>
      <c r="M91" s="607">
        <f>SUMIFS(Calculs!CB$11:CB$1338,Calculs!$B$11:$B$1338,$H91)/10^6</f>
        <v>0.19221491442909738</v>
      </c>
      <c r="N91" s="615">
        <f t="shared" si="19"/>
        <v>1.0823419017128727E-3</v>
      </c>
      <c r="O91" s="637" t="str">
        <f t="shared" si="20"/>
        <v/>
      </c>
      <c r="Q91" s="625"/>
      <c r="S91" s="581"/>
      <c r="V91" s="607"/>
      <c r="W91" s="607">
        <f>(SUMIFS(Calculs!CB$11:CB$1338,Calculs!$B$11:$B$1338,$H91,Calculs!$F$11:$F$1338,IF($V$40="Tous","&lt;&gt;0",VLOOKUP($V$40,'Listes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91" s="615">
        <f t="shared" si="21"/>
        <v>0</v>
      </c>
      <c r="Y91" s="637" t="str">
        <f t="shared" si="22"/>
        <v/>
      </c>
    </row>
    <row r="92" spans="2:25">
      <c r="B92" s="1167"/>
      <c r="C92" s="754" t="str">
        <f t="shared" si="17"/>
        <v>Catégorie 3</v>
      </c>
      <c r="D92" s="1067"/>
      <c r="E92" s="1169"/>
      <c r="F92" s="754" t="str">
        <f t="shared" si="18"/>
        <v>3.5</v>
      </c>
      <c r="G92" s="1070"/>
      <c r="H92" s="38" t="s">
        <v>6547</v>
      </c>
      <c r="I92" s="671"/>
      <c r="J92" s="607">
        <f>SUMIFS(Calculs!BY$11:BY$1338,Calculs!$B$11:$B$1338,$H92)/10^6</f>
        <v>0</v>
      </c>
      <c r="K92" s="607">
        <f>SUMIFS(Calculs!BZ$11:BZ$1338,Calculs!$B$11:$B$1338,$H92)/10^6</f>
        <v>0</v>
      </c>
      <c r="L92" s="607">
        <f>SUMIFS(Calculs!CA$11:CA$1338,Calculs!$B$11:$B$1338,$H92)/10^6</f>
        <v>0</v>
      </c>
      <c r="M92" s="607">
        <f>SUMIFS(Calculs!CB$11:CB$1338,Calculs!$B$11:$B$1338,$H92)/10^6</f>
        <v>0</v>
      </c>
      <c r="N92" s="615">
        <f t="shared" si="19"/>
        <v>0</v>
      </c>
      <c r="O92" s="637" t="str">
        <f t="shared" si="20"/>
        <v/>
      </c>
      <c r="Q92" s="625"/>
      <c r="S92" s="586"/>
      <c r="V92" s="607"/>
      <c r="W92" s="607">
        <f>(SUMIFS(Calculs!CB$11:CB$1338,Calculs!$B$11:$B$1338,$H92,Calculs!$F$11:$F$1338,IF($V$40="Tous","&lt;&gt;0",VLOOKUP($V$40,'Listes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92" s="615">
        <f t="shared" si="21"/>
        <v>0</v>
      </c>
      <c r="Y92" s="637" t="str">
        <f t="shared" si="22"/>
        <v/>
      </c>
    </row>
    <row r="93" spans="2:25">
      <c r="B93" s="1167"/>
      <c r="C93" s="754" t="str">
        <f t="shared" si="17"/>
        <v>Catégorie 3</v>
      </c>
      <c r="D93" s="1067"/>
      <c r="E93" s="1169"/>
      <c r="F93" s="754" t="str">
        <f t="shared" si="18"/>
        <v>3.5</v>
      </c>
      <c r="G93" s="1070"/>
      <c r="H93" s="38" t="s">
        <v>6548</v>
      </c>
      <c r="I93" s="671"/>
      <c r="J93" s="607">
        <f>SUMIFS(Calculs!BY$11:BY$1338,Calculs!$B$11:$B$1338,$H93)/10^6</f>
        <v>0</v>
      </c>
      <c r="K93" s="607">
        <f>SUMIFS(Calculs!BZ$11:BZ$1338,Calculs!$B$11:$B$1338,$H93)/10^6</f>
        <v>0</v>
      </c>
      <c r="L93" s="607">
        <f>SUMIFS(Calculs!CA$11:CA$1338,Calculs!$B$11:$B$1338,$H93)/10^6</f>
        <v>0</v>
      </c>
      <c r="M93" s="607">
        <f>SUMIFS(Calculs!CB$11:CB$1338,Calculs!$B$11:$B$1338,$H93)/10^6</f>
        <v>0</v>
      </c>
      <c r="N93" s="615">
        <f t="shared" si="19"/>
        <v>0</v>
      </c>
      <c r="O93" s="637" t="str">
        <f t="shared" si="20"/>
        <v/>
      </c>
      <c r="Q93" s="625"/>
      <c r="S93" s="581"/>
      <c r="V93" s="607"/>
      <c r="W93" s="607">
        <f>(SUMIFS(Calculs!CB$11:CB$1338,Calculs!$B$11:$B$1338,$H93,Calculs!$F$11:$F$1338,IF($V$40="Tous","&lt;&gt;0",VLOOKUP($V$40,'Listes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93" s="615">
        <f t="shared" si="21"/>
        <v>0</v>
      </c>
      <c r="Y93" s="637" t="str">
        <f t="shared" si="22"/>
        <v/>
      </c>
    </row>
    <row r="94" spans="2:25">
      <c r="B94" s="1168"/>
      <c r="C94" s="754" t="str">
        <f t="shared" si="17"/>
        <v>Catégorie 3</v>
      </c>
      <c r="D94" s="1068"/>
      <c r="E94" s="1169"/>
      <c r="F94" s="754" t="str">
        <f t="shared" si="18"/>
        <v>3.5</v>
      </c>
      <c r="G94" s="1070"/>
      <c r="H94" s="38" t="s">
        <v>6549</v>
      </c>
      <c r="I94" s="671"/>
      <c r="J94" s="607">
        <f>SUMIFS(Calculs!BY$11:BY$1338,Calculs!$B$11:$B$1338,$H94)/10^6</f>
        <v>0</v>
      </c>
      <c r="K94" s="607">
        <f>SUMIFS(Calculs!BZ$11:BZ$1338,Calculs!$B$11:$B$1338,$H94)/10^6</f>
        <v>0</v>
      </c>
      <c r="L94" s="607">
        <f>SUMIFS(Calculs!CA$11:CA$1338,Calculs!$B$11:$B$1338,$H94)/10^6</f>
        <v>0</v>
      </c>
      <c r="M94" s="607">
        <f>SUMIFS(Calculs!CB$11:CB$1338,Calculs!$B$11:$B$1338,$H94)/10^6</f>
        <v>0</v>
      </c>
      <c r="N94" s="615">
        <f t="shared" si="19"/>
        <v>0</v>
      </c>
      <c r="O94" s="637" t="str">
        <f t="shared" si="20"/>
        <v/>
      </c>
      <c r="Q94" s="625"/>
      <c r="S94" s="586"/>
      <c r="V94" s="607"/>
      <c r="W94" s="607">
        <f>(SUMIFS(Calculs!CB$11:CB$1338,Calculs!$B$11:$B$1338,$H94,Calculs!$F$11:$F$1338,IF($V$40="Tous","&lt;&gt;0",VLOOKUP($V$40,'Listes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94" s="615">
        <f t="shared" si="21"/>
        <v>0</v>
      </c>
      <c r="Y94" s="637" t="str">
        <f t="shared" si="22"/>
        <v/>
      </c>
    </row>
    <row r="95" spans="2:25">
      <c r="B95" s="1172" t="s">
        <v>70</v>
      </c>
      <c r="C95" s="754" t="str">
        <f t="shared" si="17"/>
        <v>Catégorie 4</v>
      </c>
      <c r="D95" s="1075" t="s">
        <v>6578</v>
      </c>
      <c r="E95" s="1162" t="s">
        <v>6440</v>
      </c>
      <c r="F95" s="754" t="str">
        <f t="shared" si="18"/>
        <v>4.1</v>
      </c>
      <c r="G95" s="1066" t="s">
        <v>6592</v>
      </c>
      <c r="H95" s="905" t="s">
        <v>6491</v>
      </c>
      <c r="I95" s="910" t="s">
        <v>6556</v>
      </c>
      <c r="J95" s="907">
        <f>SUMIFS(Calculs!BY$11:BY$1338,Calculs!$B$11:$B$1338,$H95)/10^6</f>
        <v>0</v>
      </c>
      <c r="K95" s="907">
        <f>SUMIFS(Calculs!BZ$11:BZ$1338,Calculs!$B$11:$B$1338,$H95)/10^6</f>
        <v>0</v>
      </c>
      <c r="L95" s="907">
        <f>SUMIFS(Calculs!CA$11:CA$1338,Calculs!$B$11:$B$1338,$H95)/10^6</f>
        <v>0</v>
      </c>
      <c r="M95" s="907">
        <f>SUMIFS(Calculs!CB$11:CB$1338,Calculs!$B$11:$B$1338,$H95)/10^6</f>
        <v>0</v>
      </c>
      <c r="N95" s="908">
        <f t="shared" si="19"/>
        <v>0</v>
      </c>
      <c r="O95" s="909" t="str">
        <f t="shared" si="20"/>
        <v/>
      </c>
      <c r="Q95" s="912"/>
      <c r="S95" s="586"/>
      <c r="V95" s="907"/>
      <c r="W95" s="907">
        <f>(SUMIFS(Calculs!CB$11:CB$1338,Calculs!$B$11:$B$1338,$H95,Calculs!$F$11:$F$1338,IF($V$40="Tous","&lt;&gt;0",VLOOKUP($V$40,'Listes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95" s="908">
        <f t="shared" si="21"/>
        <v>0</v>
      </c>
      <c r="Y95" s="909" t="str">
        <f t="shared" si="22"/>
        <v/>
      </c>
    </row>
    <row r="96" spans="2:25">
      <c r="B96" s="1172"/>
      <c r="C96" s="754" t="str">
        <f t="shared" si="17"/>
        <v>Catégorie 4</v>
      </c>
      <c r="D96" s="1075"/>
      <c r="E96" s="1170"/>
      <c r="F96" s="754" t="str">
        <f>IF(E96=0,F95,E96)</f>
        <v>4.1</v>
      </c>
      <c r="G96" s="1067"/>
      <c r="H96" s="905" t="s">
        <v>6492</v>
      </c>
      <c r="I96" s="906" t="str">
        <f>Calculs!B319</f>
        <v>4.1A2 - Appareils numérique (non-amortie)</v>
      </c>
      <c r="J96" s="907">
        <f>SUMIFS(Calculs!BY$11:BY$1338,Calculs!$B$11:$B$1338,$H96)/10^6</f>
        <v>3.7827199999999998E-2</v>
      </c>
      <c r="K96" s="907">
        <f>SUMIFS(Calculs!BZ$11:BZ$1338,Calculs!$B$11:$B$1338,$H96)/10^6</f>
        <v>0</v>
      </c>
      <c r="L96" s="907">
        <f>SUMIFS(Calculs!CA$11:CA$1338,Calculs!$B$11:$B$1338,$H96)/10^6</f>
        <v>0</v>
      </c>
      <c r="M96" s="907">
        <f>SUMIFS(Calculs!CB$11:CB$1338,Calculs!$B$11:$B$1338,$H96)/10^6</f>
        <v>3.7827199999999998E-2</v>
      </c>
      <c r="N96" s="908">
        <f t="shared" si="19"/>
        <v>2.13000971886474E-4</v>
      </c>
      <c r="O96" s="909" t="str">
        <f t="shared" si="20"/>
        <v/>
      </c>
      <c r="Q96" s="912"/>
      <c r="S96" s="581"/>
      <c r="V96" s="907"/>
      <c r="W96" s="907">
        <f>(SUMIFS(Calculs!CB$11:CB$1338,Calculs!$B$11:$B$1338,$H96,Calculs!$F$11:$F$1338,IF($V$40="Tous","&lt;&gt;0",VLOOKUP($V$40,'Listes déroulantes, autres'!$H$9:$I$21,2,FALSE)),Calculs!$G$11:$G$1338,IF($W$40="Tous","&lt;&gt;0",$W$40),Calculs!$H$11:$H$1338,IF($X$40="Tous","&lt;&gt;0",$X$40)        )/10^6)</f>
        <v>4.5715E-3</v>
      </c>
      <c r="X96" s="908">
        <f t="shared" si="21"/>
        <v>2.5741634141015354E-5</v>
      </c>
      <c r="Y96" s="909" t="str">
        <f t="shared" si="22"/>
        <v/>
      </c>
    </row>
    <row r="97" spans="2:25">
      <c r="B97" s="1172"/>
      <c r="C97" s="754" t="str">
        <f t="shared" si="17"/>
        <v>Catégorie 4</v>
      </c>
      <c r="D97" s="1075"/>
      <c r="E97" s="1170"/>
      <c r="F97" s="754" t="str">
        <f t="shared" si="18"/>
        <v>4.1</v>
      </c>
      <c r="G97" s="1067"/>
      <c r="H97" s="905" t="s">
        <v>6493</v>
      </c>
      <c r="I97" s="910" t="s">
        <v>6556</v>
      </c>
      <c r="J97" s="907">
        <f>SUMIFS(Calculs!BY$11:BY$1338,Calculs!$B$11:$B$1338,$H97)/10^6</f>
        <v>0</v>
      </c>
      <c r="K97" s="907">
        <f>SUMIFS(Calculs!BZ$11:BZ$1338,Calculs!$B$11:$B$1338,$H97)/10^6</f>
        <v>0</v>
      </c>
      <c r="L97" s="907">
        <f>SUMIFS(Calculs!CA$11:CA$1338,Calculs!$B$11:$B$1338,$H97)/10^6</f>
        <v>0</v>
      </c>
      <c r="M97" s="907">
        <f>SUMIFS(Calculs!CB$11:CB$1338,Calculs!$B$11:$B$1338,$H97)/10^6</f>
        <v>0</v>
      </c>
      <c r="N97" s="908">
        <f t="shared" si="19"/>
        <v>0</v>
      </c>
      <c r="O97" s="909" t="str">
        <f t="shared" si="20"/>
        <v/>
      </c>
      <c r="Q97" s="912"/>
      <c r="S97" s="586"/>
      <c r="V97" s="907"/>
      <c r="W97" s="907">
        <f>(SUMIFS(Calculs!CB$11:CB$1338,Calculs!$B$11:$B$1338,$H97,Calculs!$F$11:$F$1338,IF($V$40="Tous","&lt;&gt;0",VLOOKUP($V$40,'Listes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97" s="908">
        <f t="shared" si="21"/>
        <v>0</v>
      </c>
      <c r="Y97" s="909" t="str">
        <f t="shared" si="22"/>
        <v/>
      </c>
    </row>
    <row r="98" spans="2:25">
      <c r="B98" s="1172"/>
      <c r="C98" s="754" t="str">
        <f t="shared" si="17"/>
        <v>Catégorie 4</v>
      </c>
      <c r="D98" s="1075"/>
      <c r="E98" s="1170"/>
      <c r="F98" s="754" t="str">
        <f t="shared" si="18"/>
        <v>4.1</v>
      </c>
      <c r="G98" s="1067"/>
      <c r="H98" s="905" t="s">
        <v>6494</v>
      </c>
      <c r="I98" s="906" t="str">
        <f>Calculs!B337</f>
        <v>4.1B1 - Réseaux et transfert de données</v>
      </c>
      <c r="J98" s="907">
        <f>SUMIFS(Calculs!BY$11:BY$1338,Calculs!$B$11:$B$1338,$H98)/10^6</f>
        <v>0.13905000000000001</v>
      </c>
      <c r="K98" s="907">
        <f>SUMIFS(Calculs!BZ$11:BZ$1338,Calculs!$B$11:$B$1338,$H98)/10^6</f>
        <v>0</v>
      </c>
      <c r="L98" s="907">
        <f>SUMIFS(Calculs!CA$11:CA$1338,Calculs!$B$11:$B$1338,$H98)/10^6</f>
        <v>0</v>
      </c>
      <c r="M98" s="907">
        <f>SUMIFS(Calculs!CB$11:CB$1338,Calculs!$B$11:$B$1338,$H98)/10^6</f>
        <v>0.13905000000000001</v>
      </c>
      <c r="N98" s="908">
        <f t="shared" si="19"/>
        <v>7.8297587822556821E-4</v>
      </c>
      <c r="O98" s="909" t="str">
        <f t="shared" si="20"/>
        <v/>
      </c>
      <c r="Q98" s="912"/>
      <c r="S98" s="581"/>
      <c r="V98" s="907"/>
      <c r="W98" s="907">
        <f>(SUMIFS(Calculs!CB$11:CB$1338,Calculs!$B$11:$B$1338,$H98,Calculs!$F$11:$F$1338,IF($V$40="Tous","&lt;&gt;0",VLOOKUP($V$40,'Listes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98" s="908">
        <f t="shared" si="21"/>
        <v>0</v>
      </c>
      <c r="Y98" s="909" t="str">
        <f t="shared" si="22"/>
        <v/>
      </c>
    </row>
    <row r="99" spans="2:25">
      <c r="B99" s="1172"/>
      <c r="C99" s="754" t="str">
        <f t="shared" si="17"/>
        <v>Catégorie 4</v>
      </c>
      <c r="D99" s="1075"/>
      <c r="E99" s="1170"/>
      <c r="F99" s="754" t="str">
        <f t="shared" si="18"/>
        <v>4.1</v>
      </c>
      <c r="G99" s="1067"/>
      <c r="H99" s="905" t="s">
        <v>6495</v>
      </c>
      <c r="I99" s="906" t="str">
        <f>Calculs!B355</f>
        <v>4.1C1 - Salles de serveurs</v>
      </c>
      <c r="J99" s="907">
        <f>SUMIFS(Calculs!BY$11:BY$1338,Calculs!$B$11:$B$1338,$H99)/10^6</f>
        <v>97.949350200000012</v>
      </c>
      <c r="K99" s="907">
        <f>SUMIFS(Calculs!BZ$11:BZ$1338,Calculs!$B$11:$B$1338,$H99)/10^6</f>
        <v>0</v>
      </c>
      <c r="L99" s="907">
        <f>SUMIFS(Calculs!CA$11:CA$1338,Calculs!$B$11:$B$1338,$H99)/10^6</f>
        <v>0</v>
      </c>
      <c r="M99" s="907">
        <f>SUMIFS(Calculs!CB$11:CB$1338,Calculs!$B$11:$B$1338,$H99)/10^6</f>
        <v>97.949350200000012</v>
      </c>
      <c r="N99" s="908">
        <f t="shared" si="19"/>
        <v>0.55154245591131779</v>
      </c>
      <c r="O99" s="909" t="str">
        <f t="shared" si="20"/>
        <v>|||||||||||||||||||||||||||||||||||||||||||||||||||||||||||||||||||||||||||||||||||||||||</v>
      </c>
      <c r="Q99" s="912"/>
      <c r="S99" s="586"/>
      <c r="V99" s="907"/>
      <c r="W99" s="907">
        <f>(SUMIFS(Calculs!CB$11:CB$1338,Calculs!$B$11:$B$1338,$H99,Calculs!$F$11:$F$1338,IF($V$40="Tous","&lt;&gt;0",VLOOKUP($V$40,'Listes déroulantes, autres'!$H$9:$I$21,2,FALSE)),Calculs!$G$11:$G$1338,IF($W$40="Tous","&lt;&gt;0",$W$40),Calculs!$H$11:$H$1338,IF($X$40="Tous","&lt;&gt;0",$X$40)        )/10^6)</f>
        <v>47.247902000000011</v>
      </c>
      <c r="X99" s="908">
        <f t="shared" si="21"/>
        <v>0.26604795082895066</v>
      </c>
      <c r="Y99" s="909" t="str">
        <f t="shared" si="22"/>
        <v>|||||||||||||||||||||||||||||||||||||||||||</v>
      </c>
    </row>
    <row r="100" spans="2:25">
      <c r="B100" s="1172"/>
      <c r="C100" s="754" t="str">
        <f t="shared" si="17"/>
        <v>Catégorie 4</v>
      </c>
      <c r="D100" s="1075"/>
      <c r="E100" s="1170"/>
      <c r="F100" s="754" t="str">
        <f t="shared" si="18"/>
        <v>4.1</v>
      </c>
      <c r="G100" s="1067"/>
      <c r="H100" s="905" t="s">
        <v>6496</v>
      </c>
      <c r="I100" s="906" t="str">
        <f>Calculs!B373</f>
        <v>4.1D1 - Émissions liées à la production de papier d'imprimante</v>
      </c>
      <c r="J100" s="907">
        <f>SUMIFS(Calculs!BY$11:BY$1338,Calculs!$B$11:$B$1338,$H100)/10^6</f>
        <v>5.9093999999999995E-3</v>
      </c>
      <c r="K100" s="907">
        <f>SUMIFS(Calculs!BZ$11:BZ$1338,Calculs!$B$11:$B$1338,$H100)/10^6</f>
        <v>0</v>
      </c>
      <c r="L100" s="907">
        <f>SUMIFS(Calculs!CA$11:CA$1338,Calculs!$B$11:$B$1338,$H100)/10^6</f>
        <v>0</v>
      </c>
      <c r="M100" s="907">
        <f>SUMIFS(Calculs!CB$11:CB$1338,Calculs!$B$11:$B$1338,$H100)/10^6</f>
        <v>5.9093999999999995E-3</v>
      </c>
      <c r="N100" s="908">
        <f t="shared" si="19"/>
        <v>3.3275207873327379E-5</v>
      </c>
      <c r="O100" s="909" t="str">
        <f t="shared" si="20"/>
        <v/>
      </c>
      <c r="Q100" s="912"/>
      <c r="S100" s="581"/>
      <c r="V100" s="907"/>
      <c r="W100" s="907">
        <f>(SUMIFS(Calculs!CB$11:CB$1338,Calculs!$B$11:$B$1338,$H100,Calculs!$F$11:$F$1338,IF($V$40="Tous","&lt;&gt;0",VLOOKUP($V$40,'Listes déroulantes, autres'!$H$9:$I$21,2,FALSE)),Calculs!$G$11:$G$1338,IF($W$40="Tous","&lt;&gt;0",$W$40),Calculs!$H$11:$H$1338,IF($X$40="Tous","&lt;&gt;0",$X$40)        )/10^6)</f>
        <v>2.4114000000000002E-3</v>
      </c>
      <c r="X100" s="908">
        <f t="shared" si="21"/>
        <v>1.3578338962625927E-5</v>
      </c>
      <c r="Y100" s="909" t="str">
        <f t="shared" si="22"/>
        <v/>
      </c>
    </row>
    <row r="101" spans="2:25">
      <c r="B101" s="1172"/>
      <c r="C101" s="754" t="str">
        <f t="shared" si="17"/>
        <v>Catégorie 4</v>
      </c>
      <c r="D101" s="1075"/>
      <c r="E101" s="1170"/>
      <c r="F101" s="754" t="str">
        <f t="shared" si="18"/>
        <v>4.1</v>
      </c>
      <c r="G101" s="1067"/>
      <c r="H101" s="905" t="s">
        <v>6497</v>
      </c>
      <c r="I101" s="906"/>
      <c r="J101" s="907">
        <f>SUMIFS(Calculs!BY$11:BY$1338,Calculs!$B$11:$B$1338,$H101)/10^6</f>
        <v>0</v>
      </c>
      <c r="K101" s="907">
        <f>SUMIFS(Calculs!BZ$11:BZ$1338,Calculs!$B$11:$B$1338,$H101)/10^6</f>
        <v>0</v>
      </c>
      <c r="L101" s="907">
        <f>SUMIFS(Calculs!CA$11:CA$1338,Calculs!$B$11:$B$1338,$H101)/10^6</f>
        <v>0</v>
      </c>
      <c r="M101" s="907">
        <f>SUMIFS(Calculs!CB$11:CB$1338,Calculs!$B$11:$B$1338,$H101)/10^6</f>
        <v>0</v>
      </c>
      <c r="N101" s="908">
        <f t="shared" si="19"/>
        <v>0</v>
      </c>
      <c r="O101" s="909" t="str">
        <f t="shared" si="20"/>
        <v/>
      </c>
      <c r="Q101" s="912"/>
      <c r="S101" s="586"/>
      <c r="V101" s="907"/>
      <c r="W101" s="907">
        <f>(SUMIFS(Calculs!CB$11:CB$1338,Calculs!$B$11:$B$1338,$H101,Calculs!$F$11:$F$1338,IF($V$40="Tous","&lt;&gt;0",VLOOKUP($V$40,'Listes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01" s="908">
        <f t="shared" si="21"/>
        <v>0</v>
      </c>
      <c r="Y101" s="909" t="str">
        <f t="shared" si="22"/>
        <v/>
      </c>
    </row>
    <row r="102" spans="2:25">
      <c r="B102" s="1172"/>
      <c r="C102" s="754" t="str">
        <f t="shared" si="17"/>
        <v>Catégorie 4</v>
      </c>
      <c r="D102" s="1075"/>
      <c r="E102" s="1170"/>
      <c r="F102" s="754" t="str">
        <f t="shared" si="18"/>
        <v>4.1</v>
      </c>
      <c r="G102" s="1067"/>
      <c r="H102" s="905" t="s">
        <v>6489</v>
      </c>
      <c r="I102" s="906" t="str">
        <f>Calculs!B391</f>
        <v>4.1E1 - Production des aliments</v>
      </c>
      <c r="J102" s="907">
        <f>SUMIFS(Calculs!BY$11:BY$1338,Calculs!$B$11:$B$1338,$H102)/10^6</f>
        <v>10.263999999999999</v>
      </c>
      <c r="K102" s="907">
        <f>SUMIFS(Calculs!BZ$11:BZ$1338,Calculs!$B$11:$B$1338,$H102)/10^6</f>
        <v>0</v>
      </c>
      <c r="L102" s="907">
        <f>SUMIFS(Calculs!CA$11:CA$1338,Calculs!$B$11:$B$1338,$H102)/10^6</f>
        <v>0</v>
      </c>
      <c r="M102" s="907">
        <f>SUMIFS(Calculs!CB$11:CB$1338,Calculs!$B$11:$B$1338,$H102)/10^6</f>
        <v>10.263999999999999</v>
      </c>
      <c r="N102" s="908">
        <f t="shared" si="19"/>
        <v>5.7795501000411587E-2</v>
      </c>
      <c r="O102" s="909" t="str">
        <f t="shared" si="20"/>
        <v>|||||||||</v>
      </c>
      <c r="Q102" s="912"/>
      <c r="S102" s="581"/>
      <c r="V102" s="907"/>
      <c r="W102" s="907">
        <f>(SUMIFS(Calculs!CB$11:CB$1338,Calculs!$B$11:$B$1338,$H102,Calculs!$F$11:$F$1338,IF($V$40="Tous","&lt;&gt;0",VLOOKUP($V$40,'Listes déroulantes, autres'!$H$9:$I$21,2,FALSE)),Calculs!$G$11:$G$1338,IF($W$40="Tous","&lt;&gt;0",$W$40),Calculs!$H$11:$H$1338,IF($X$40="Tous","&lt;&gt;0",$X$40)        )/10^6)</f>
        <v>10.263999999999999</v>
      </c>
      <c r="X102" s="908">
        <f t="shared" si="21"/>
        <v>5.7795501000411587E-2</v>
      </c>
      <c r="Y102" s="909" t="str">
        <f t="shared" si="22"/>
        <v>|||||||||</v>
      </c>
    </row>
    <row r="103" spans="2:25">
      <c r="B103" s="1172"/>
      <c r="C103" s="754" t="str">
        <f t="shared" si="17"/>
        <v>Catégorie 4</v>
      </c>
      <c r="D103" s="1075"/>
      <c r="E103" s="1170"/>
      <c r="F103" s="754" t="str">
        <f t="shared" si="18"/>
        <v>4.1</v>
      </c>
      <c r="G103" s="1067"/>
      <c r="H103" s="905" t="s">
        <v>6490</v>
      </c>
      <c r="I103" s="906" t="str">
        <f>Calculs!B409</f>
        <v>4.1E2 - Production des repas et des boissons</v>
      </c>
      <c r="J103" s="907">
        <f>SUMIFS(Calculs!BY$11:BY$1338,Calculs!$B$11:$B$1338,$H103)/10^6</f>
        <v>0.76500000000000001</v>
      </c>
      <c r="K103" s="907">
        <f>SUMIFS(Calculs!BZ$11:BZ$1338,Calculs!$B$11:$B$1338,$H103)/10^6</f>
        <v>0</v>
      </c>
      <c r="L103" s="907">
        <f>SUMIFS(Calculs!CA$11:CA$1338,Calculs!$B$11:$B$1338,$H103)/10^6</f>
        <v>0</v>
      </c>
      <c r="M103" s="907">
        <f>SUMIFS(Calculs!CB$11:CB$1338,Calculs!$B$11:$B$1338,$H103)/10^6</f>
        <v>0.76500000000000001</v>
      </c>
      <c r="N103" s="908">
        <f t="shared" si="19"/>
        <v>4.3076342814998897E-3</v>
      </c>
      <c r="O103" s="909" t="str">
        <f t="shared" si="20"/>
        <v/>
      </c>
      <c r="Q103" s="912"/>
      <c r="S103" s="586"/>
      <c r="V103" s="907"/>
      <c r="W103" s="907">
        <f>(SUMIFS(Calculs!CB$11:CB$1338,Calculs!$B$11:$B$1338,$H103,Calculs!$F$11:$F$1338,IF($V$40="Tous","&lt;&gt;0",VLOOKUP($V$40,'Listes déroulantes, autres'!$H$9:$I$21,2,FALSE)),Calculs!$G$11:$G$1338,IF($W$40="Tous","&lt;&gt;0",$W$40),Calculs!$H$11:$H$1338,IF($X$40="Tous","&lt;&gt;0",$X$40)        )/10^6)</f>
        <v>0.76500000000000001</v>
      </c>
      <c r="X103" s="908">
        <f t="shared" si="21"/>
        <v>4.3076342814998897E-3</v>
      </c>
      <c r="Y103" s="909" t="str">
        <f t="shared" si="22"/>
        <v/>
      </c>
    </row>
    <row r="104" spans="2:25">
      <c r="B104" s="1172"/>
      <c r="C104" s="754" t="str">
        <f t="shared" si="17"/>
        <v>Catégorie 4</v>
      </c>
      <c r="D104" s="1075"/>
      <c r="E104" s="1170"/>
      <c r="F104" s="754" t="str">
        <f t="shared" si="18"/>
        <v>4.1</v>
      </c>
      <c r="G104" s="1067"/>
      <c r="H104" s="905" t="s">
        <v>6498</v>
      </c>
      <c r="I104" s="906"/>
      <c r="J104" s="907">
        <f>SUMIFS(Calculs!BY$11:BY$1338,Calculs!$B$11:$B$1338,$H104)/10^6</f>
        <v>0</v>
      </c>
      <c r="K104" s="907">
        <f>SUMIFS(Calculs!BZ$11:BZ$1338,Calculs!$B$11:$B$1338,$H104)/10^6</f>
        <v>0</v>
      </c>
      <c r="L104" s="907">
        <f>SUMIFS(Calculs!CA$11:CA$1338,Calculs!$B$11:$B$1338,$H104)/10^6</f>
        <v>0</v>
      </c>
      <c r="M104" s="907">
        <f>SUMIFS(Calculs!CB$11:CB$1338,Calculs!$B$11:$B$1338,$H104)/10^6</f>
        <v>0</v>
      </c>
      <c r="N104" s="908">
        <f t="shared" si="19"/>
        <v>0</v>
      </c>
      <c r="O104" s="909" t="str">
        <f t="shared" si="20"/>
        <v/>
      </c>
      <c r="Q104" s="912"/>
      <c r="S104" s="581"/>
      <c r="V104" s="907"/>
      <c r="W104" s="907">
        <f>(SUMIFS(Calculs!CB$11:CB$1338,Calculs!$B$11:$B$1338,$H104,Calculs!$F$11:$F$1338,IF($V$40="Tous","&lt;&gt;0",VLOOKUP($V$40,'Listes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04" s="908">
        <f t="shared" si="21"/>
        <v>0</v>
      </c>
      <c r="Y104" s="909" t="str">
        <f t="shared" si="22"/>
        <v/>
      </c>
    </row>
    <row r="105" spans="2:25">
      <c r="B105" s="1172"/>
      <c r="C105" s="754" t="str">
        <f t="shared" si="17"/>
        <v>Catégorie 4</v>
      </c>
      <c r="D105" s="1075"/>
      <c r="E105" s="1170"/>
      <c r="F105" s="754" t="str">
        <f t="shared" si="18"/>
        <v>4.1</v>
      </c>
      <c r="G105" s="1067"/>
      <c r="H105" s="905" t="s">
        <v>6499</v>
      </c>
      <c r="I105" s="906"/>
      <c r="J105" s="907">
        <f>SUMIFS(Calculs!BY$11:BY$1338,Calculs!$B$11:$B$1338,$H105)/10^6</f>
        <v>0</v>
      </c>
      <c r="K105" s="907">
        <f>SUMIFS(Calculs!BZ$11:BZ$1338,Calculs!$B$11:$B$1338,$H105)/10^6</f>
        <v>0</v>
      </c>
      <c r="L105" s="907">
        <f>SUMIFS(Calculs!CA$11:CA$1338,Calculs!$B$11:$B$1338,$H105)/10^6</f>
        <v>0</v>
      </c>
      <c r="M105" s="907">
        <f>SUMIFS(Calculs!CB$11:CB$1338,Calculs!$B$11:$B$1338,$H105)/10^6</f>
        <v>0</v>
      </c>
      <c r="N105" s="908">
        <f t="shared" si="19"/>
        <v>0</v>
      </c>
      <c r="O105" s="909" t="str">
        <f t="shared" si="20"/>
        <v/>
      </c>
      <c r="Q105" s="912"/>
      <c r="S105" s="586"/>
      <c r="V105" s="907"/>
      <c r="W105" s="907">
        <f>(SUMIFS(Calculs!CB$11:CB$1338,Calculs!$B$11:$B$1338,$H105,Calculs!$F$11:$F$1338,IF($V$40="Tous","&lt;&gt;0",VLOOKUP($V$40,'Listes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05" s="908">
        <f t="shared" si="21"/>
        <v>0</v>
      </c>
      <c r="Y105" s="909" t="str">
        <f t="shared" si="22"/>
        <v/>
      </c>
    </row>
    <row r="106" spans="2:25">
      <c r="B106" s="1172"/>
      <c r="C106" s="754" t="str">
        <f t="shared" si="17"/>
        <v>Catégorie 4</v>
      </c>
      <c r="D106" s="1075"/>
      <c r="E106" s="1170"/>
      <c r="F106" s="754" t="str">
        <f t="shared" si="18"/>
        <v>4.1</v>
      </c>
      <c r="G106" s="1067"/>
      <c r="H106" s="905" t="s">
        <v>6500</v>
      </c>
      <c r="I106" s="906"/>
      <c r="J106" s="907">
        <f>SUMIFS(Calculs!BY$11:BY$1338,Calculs!$B$11:$B$1338,$H106)/10^6</f>
        <v>0</v>
      </c>
      <c r="K106" s="907">
        <f>SUMIFS(Calculs!BZ$11:BZ$1338,Calculs!$B$11:$B$1338,$H106)/10^6</f>
        <v>0</v>
      </c>
      <c r="L106" s="907">
        <f>SUMIFS(Calculs!CA$11:CA$1338,Calculs!$B$11:$B$1338,$H106)/10^6</f>
        <v>0</v>
      </c>
      <c r="M106" s="907">
        <f>SUMIFS(Calculs!CB$11:CB$1338,Calculs!$B$11:$B$1338,$H106)/10^6</f>
        <v>0</v>
      </c>
      <c r="N106" s="908">
        <f t="shared" ref="N106:N137" si="23">M106/$M$155</f>
        <v>0</v>
      </c>
      <c r="O106" s="909" t="str">
        <f t="shared" si="20"/>
        <v/>
      </c>
      <c r="Q106" s="912"/>
      <c r="S106" s="581"/>
      <c r="V106" s="907"/>
      <c r="W106" s="907">
        <f>(SUMIFS(Calculs!CB$11:CB$1338,Calculs!$B$11:$B$1338,$H106,Calculs!$F$11:$F$1338,IF($V$40="Tous","&lt;&gt;0",VLOOKUP($V$40,'Listes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06" s="908">
        <f t="shared" si="21"/>
        <v>0</v>
      </c>
      <c r="Y106" s="909" t="str">
        <f t="shared" si="22"/>
        <v/>
      </c>
    </row>
    <row r="107" spans="2:25">
      <c r="B107" s="1172"/>
      <c r="C107" s="754" t="str">
        <f t="shared" si="17"/>
        <v>Catégorie 4</v>
      </c>
      <c r="D107" s="1075"/>
      <c r="E107" s="1170"/>
      <c r="F107" s="754" t="str">
        <f>IF(E107=0,F106,E107)</f>
        <v>4.1</v>
      </c>
      <c r="G107" s="1067"/>
      <c r="H107" s="905" t="s">
        <v>6501</v>
      </c>
      <c r="I107" s="906"/>
      <c r="J107" s="907">
        <f>SUMIFS(Calculs!BY$11:BY$1338,Calculs!$B$11:$B$1338,$H107)/10^6</f>
        <v>0</v>
      </c>
      <c r="K107" s="907">
        <f>SUMIFS(Calculs!BZ$11:BZ$1338,Calculs!$B$11:$B$1338,$H107)/10^6</f>
        <v>0</v>
      </c>
      <c r="L107" s="907">
        <f>SUMIFS(Calculs!CA$11:CA$1338,Calculs!$B$11:$B$1338,$H107)/10^6</f>
        <v>0</v>
      </c>
      <c r="M107" s="907">
        <f>SUMIFS(Calculs!CB$11:CB$1338,Calculs!$B$11:$B$1338,$H107)/10^6</f>
        <v>0</v>
      </c>
      <c r="N107" s="908">
        <f t="shared" si="23"/>
        <v>0</v>
      </c>
      <c r="O107" s="909" t="str">
        <f t="shared" si="20"/>
        <v/>
      </c>
      <c r="Q107" s="912"/>
      <c r="S107" s="586"/>
      <c r="V107" s="907"/>
      <c r="W107" s="907">
        <f>(SUMIFS(Calculs!CB$11:CB$1338,Calculs!$B$11:$B$1338,$H107,Calculs!$F$11:$F$1338,IF($V$40="Tous","&lt;&gt;0",VLOOKUP($V$40,'Listes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07" s="908">
        <f t="shared" si="21"/>
        <v>0</v>
      </c>
      <c r="Y107" s="909"/>
    </row>
    <row r="108" spans="2:25">
      <c r="B108" s="1172"/>
      <c r="C108" s="754" t="str">
        <f t="shared" si="17"/>
        <v>Catégorie 4</v>
      </c>
      <c r="D108" s="1075"/>
      <c r="E108" s="1170"/>
      <c r="F108" s="754" t="str">
        <f t="shared" ref="F108:F154" si="24">IF(E108=0,F107,E108)</f>
        <v>4.1</v>
      </c>
      <c r="G108" s="1067"/>
      <c r="H108" s="905" t="s">
        <v>6502</v>
      </c>
      <c r="I108" s="906"/>
      <c r="J108" s="907">
        <f>SUMIFS(Calculs!BY$11:BY$1338,Calculs!$B$11:$B$1338,$H108)/10^6</f>
        <v>0</v>
      </c>
      <c r="K108" s="907">
        <f>SUMIFS(Calculs!BZ$11:BZ$1338,Calculs!$B$11:$B$1338,$H108)/10^6</f>
        <v>0</v>
      </c>
      <c r="L108" s="907">
        <f>SUMIFS(Calculs!CA$11:CA$1338,Calculs!$B$11:$B$1338,$H108)/10^6</f>
        <v>0</v>
      </c>
      <c r="M108" s="907">
        <f>SUMIFS(Calculs!CB$11:CB$1338,Calculs!$B$11:$B$1338,$H108)/10^6</f>
        <v>0</v>
      </c>
      <c r="N108" s="908">
        <f t="shared" si="23"/>
        <v>0</v>
      </c>
      <c r="O108" s="909" t="str">
        <f t="shared" si="20"/>
        <v/>
      </c>
      <c r="Q108" s="912"/>
      <c r="S108" s="581"/>
      <c r="V108" s="907"/>
      <c r="W108" s="907">
        <f>(SUMIFS(Calculs!CB$11:CB$1338,Calculs!$B$11:$B$1338,$H108,Calculs!$F$11:$F$1338,IF($V$40="Tous","&lt;&gt;0",VLOOKUP($V$40,'Listes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08" s="908">
        <f t="shared" si="21"/>
        <v>0</v>
      </c>
      <c r="Y108" s="909"/>
    </row>
    <row r="109" spans="2:25">
      <c r="B109" s="1172"/>
      <c r="C109" s="754" t="str">
        <f t="shared" si="17"/>
        <v>Catégorie 4</v>
      </c>
      <c r="D109" s="1075"/>
      <c r="E109" s="1170"/>
      <c r="F109" s="754" t="str">
        <f t="shared" si="24"/>
        <v>4.1</v>
      </c>
      <c r="G109" s="1067"/>
      <c r="H109" s="905" t="s">
        <v>6503</v>
      </c>
      <c r="I109" s="906"/>
      <c r="J109" s="907">
        <f>SUMIFS(Calculs!BY$11:BY$1338,Calculs!$B$11:$B$1338,$H109)/10^6</f>
        <v>0</v>
      </c>
      <c r="K109" s="907">
        <f>SUMIFS(Calculs!BZ$11:BZ$1338,Calculs!$B$11:$B$1338,$H109)/10^6</f>
        <v>0</v>
      </c>
      <c r="L109" s="907">
        <f>SUMIFS(Calculs!CA$11:CA$1338,Calculs!$B$11:$B$1338,$H109)/10^6</f>
        <v>0</v>
      </c>
      <c r="M109" s="907">
        <f>SUMIFS(Calculs!CB$11:CB$1338,Calculs!$B$11:$B$1338,$H109)/10^6</f>
        <v>0</v>
      </c>
      <c r="N109" s="908">
        <f t="shared" si="23"/>
        <v>0</v>
      </c>
      <c r="O109" s="909" t="str">
        <f t="shared" ref="O109:O143" si="25">REPT("|",N109*(100/MAX($N$14:$N$35)))</f>
        <v/>
      </c>
      <c r="Q109" s="912"/>
      <c r="S109" s="586"/>
      <c r="V109" s="907"/>
      <c r="W109" s="907">
        <f>(SUMIFS(Calculs!CB$11:CB$1338,Calculs!$B$11:$B$1338,$H109,Calculs!$F$11:$F$1338,IF($V$40="Tous","&lt;&gt;0",VLOOKUP($V$40,'Listes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09" s="908">
        <f t="shared" si="21"/>
        <v>0</v>
      </c>
      <c r="Y109" s="909"/>
    </row>
    <row r="110" spans="2:25">
      <c r="B110" s="1172"/>
      <c r="C110" s="754" t="str">
        <f t="shared" si="17"/>
        <v>Catégorie 4</v>
      </c>
      <c r="D110" s="1075"/>
      <c r="E110" s="1170"/>
      <c r="F110" s="754" t="str">
        <f t="shared" si="24"/>
        <v>4.1</v>
      </c>
      <c r="G110" s="1067"/>
      <c r="H110" s="905" t="s">
        <v>6504</v>
      </c>
      <c r="I110" s="906"/>
      <c r="J110" s="907">
        <f>SUMIFS(Calculs!BY$11:BY$1338,Calculs!$B$11:$B$1338,$H110)/10^6</f>
        <v>0</v>
      </c>
      <c r="K110" s="907">
        <f>SUMIFS(Calculs!BZ$11:BZ$1338,Calculs!$B$11:$B$1338,$H110)/10^6</f>
        <v>0</v>
      </c>
      <c r="L110" s="907">
        <f>SUMIFS(Calculs!CA$11:CA$1338,Calculs!$B$11:$B$1338,$H110)/10^6</f>
        <v>0</v>
      </c>
      <c r="M110" s="907">
        <f>SUMIFS(Calculs!CB$11:CB$1338,Calculs!$B$11:$B$1338,$H110)/10^6</f>
        <v>0</v>
      </c>
      <c r="N110" s="908">
        <f t="shared" si="23"/>
        <v>0</v>
      </c>
      <c r="O110" s="909" t="str">
        <f t="shared" si="25"/>
        <v/>
      </c>
      <c r="Q110" s="912"/>
      <c r="S110" s="581"/>
      <c r="V110" s="907"/>
      <c r="W110" s="907">
        <f>(SUMIFS(Calculs!CB$11:CB$1338,Calculs!$B$11:$B$1338,$H110,Calculs!$F$11:$F$1338,IF($V$40="Tous","&lt;&gt;0",VLOOKUP($V$40,'Listes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10" s="908">
        <f t="shared" ref="X110:X141" si="26">W110/$M$155</f>
        <v>0</v>
      </c>
      <c r="Y110" s="909"/>
    </row>
    <row r="111" spans="2:25">
      <c r="B111" s="1172"/>
      <c r="C111" s="754" t="str">
        <f t="shared" si="17"/>
        <v>Catégorie 4</v>
      </c>
      <c r="D111" s="1075"/>
      <c r="E111" s="1170"/>
      <c r="F111" s="754" t="str">
        <f t="shared" si="24"/>
        <v>4.1</v>
      </c>
      <c r="G111" s="1067"/>
      <c r="H111" s="905" t="s">
        <v>6505</v>
      </c>
      <c r="I111" s="906"/>
      <c r="J111" s="907">
        <f>SUMIFS(Calculs!BY$11:BY$1338,Calculs!$B$11:$B$1338,$H111)/10^6</f>
        <v>0</v>
      </c>
      <c r="K111" s="907">
        <f>SUMIFS(Calculs!BZ$11:BZ$1338,Calculs!$B$11:$B$1338,$H111)/10^6</f>
        <v>0</v>
      </c>
      <c r="L111" s="907">
        <f>SUMIFS(Calculs!CA$11:CA$1338,Calculs!$B$11:$B$1338,$H111)/10^6</f>
        <v>0</v>
      </c>
      <c r="M111" s="907">
        <f>SUMIFS(Calculs!CB$11:CB$1338,Calculs!$B$11:$B$1338,$H111)/10^6</f>
        <v>0</v>
      </c>
      <c r="N111" s="908">
        <f t="shared" si="23"/>
        <v>0</v>
      </c>
      <c r="O111" s="909" t="str">
        <f t="shared" si="25"/>
        <v/>
      </c>
      <c r="Q111" s="912"/>
      <c r="S111" s="586"/>
      <c r="V111" s="907"/>
      <c r="W111" s="907">
        <f>(SUMIFS(Calculs!CB$11:CB$1338,Calculs!$B$11:$B$1338,$H111,Calculs!$F$11:$F$1338,IF($V$40="Tous","&lt;&gt;0",VLOOKUP($V$40,'Listes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11" s="908">
        <f t="shared" si="26"/>
        <v>0</v>
      </c>
      <c r="Y111" s="909"/>
    </row>
    <row r="112" spans="2:25">
      <c r="B112" s="1172"/>
      <c r="C112" s="754" t="str">
        <f t="shared" si="17"/>
        <v>Catégorie 4</v>
      </c>
      <c r="D112" s="1075"/>
      <c r="E112" s="1170"/>
      <c r="F112" s="754" t="str">
        <f t="shared" si="24"/>
        <v>4.1</v>
      </c>
      <c r="G112" s="1067"/>
      <c r="H112" s="905" t="s">
        <v>6506</v>
      </c>
      <c r="I112" s="906"/>
      <c r="J112" s="907">
        <f>SUMIFS(Calculs!BY$11:BY$1338,Calculs!$B$11:$B$1338,$H112)/10^6</f>
        <v>0</v>
      </c>
      <c r="K112" s="907">
        <f>SUMIFS(Calculs!BZ$11:BZ$1338,Calculs!$B$11:$B$1338,$H112)/10^6</f>
        <v>0</v>
      </c>
      <c r="L112" s="907">
        <f>SUMIFS(Calculs!CA$11:CA$1338,Calculs!$B$11:$B$1338,$H112)/10^6</f>
        <v>0</v>
      </c>
      <c r="M112" s="907">
        <f>SUMIFS(Calculs!CB$11:CB$1338,Calculs!$B$11:$B$1338,$H112)/10^6</f>
        <v>0</v>
      </c>
      <c r="N112" s="908">
        <f t="shared" si="23"/>
        <v>0</v>
      </c>
      <c r="O112" s="909" t="str">
        <f t="shared" si="25"/>
        <v/>
      </c>
      <c r="Q112" s="912"/>
      <c r="S112" s="581"/>
      <c r="V112" s="907"/>
      <c r="W112" s="907">
        <f>(SUMIFS(Calculs!CB$11:CB$1338,Calculs!$B$11:$B$1338,$H112,Calculs!$F$11:$F$1338,IF($V$40="Tous","&lt;&gt;0",VLOOKUP($V$40,'Listes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12" s="908">
        <f t="shared" si="26"/>
        <v>0</v>
      </c>
      <c r="Y112" s="909"/>
    </row>
    <row r="113" spans="2:25">
      <c r="B113" s="1172"/>
      <c r="C113" s="754" t="str">
        <f t="shared" si="17"/>
        <v>Catégorie 4</v>
      </c>
      <c r="D113" s="1075"/>
      <c r="E113" s="1170"/>
      <c r="F113" s="754" t="str">
        <f t="shared" si="24"/>
        <v>4.1</v>
      </c>
      <c r="G113" s="1067"/>
      <c r="H113" s="911" t="s">
        <v>6517</v>
      </c>
      <c r="I113" s="906"/>
      <c r="J113" s="907">
        <f>SUMIFS(Calculs!BY$11:BY$1338,Calculs!$B$11:$B$1338,$H113)/10^6</f>
        <v>0</v>
      </c>
      <c r="K113" s="907">
        <f>SUMIFS(Calculs!BZ$11:BZ$1338,Calculs!$B$11:$B$1338,$H113)/10^6</f>
        <v>0</v>
      </c>
      <c r="L113" s="907">
        <f>SUMIFS(Calculs!CA$11:CA$1338,Calculs!$B$11:$B$1338,$H113)/10^6</f>
        <v>0</v>
      </c>
      <c r="M113" s="907">
        <f>SUMIFS(Calculs!CB$11:CB$1338,Calculs!$B$11:$B$1338,$H113)/10^6</f>
        <v>0</v>
      </c>
      <c r="N113" s="908">
        <f t="shared" si="23"/>
        <v>0</v>
      </c>
      <c r="O113" s="909" t="str">
        <f t="shared" si="25"/>
        <v/>
      </c>
      <c r="Q113" s="912"/>
      <c r="S113" s="586"/>
      <c r="V113" s="907"/>
      <c r="W113" s="907">
        <f>(SUMIFS(Calculs!CB$11:CB$1338,Calculs!$B$11:$B$1338,$H113,Calculs!$F$11:$F$1338,IF($V$40="Tous","&lt;&gt;0",VLOOKUP($V$40,'Listes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13" s="908">
        <f t="shared" si="26"/>
        <v>0</v>
      </c>
      <c r="Y113" s="909"/>
    </row>
    <row r="114" spans="2:25">
      <c r="B114" s="1172"/>
      <c r="C114" s="754" t="str">
        <f t="shared" si="17"/>
        <v>Catégorie 4</v>
      </c>
      <c r="D114" s="1075"/>
      <c r="E114" s="1170"/>
      <c r="F114" s="754" t="str">
        <f t="shared" si="24"/>
        <v>4.1</v>
      </c>
      <c r="G114" s="1067"/>
      <c r="H114" s="911" t="s">
        <v>6518</v>
      </c>
      <c r="I114" s="906"/>
      <c r="J114" s="907">
        <f>SUMIFS(Calculs!BY$11:BY$1338,Calculs!$B$11:$B$1338,$H114)/10^6</f>
        <v>0</v>
      </c>
      <c r="K114" s="907">
        <f>SUMIFS(Calculs!BZ$11:BZ$1338,Calculs!$B$11:$B$1338,$H114)/10^6</f>
        <v>0</v>
      </c>
      <c r="L114" s="907">
        <f>SUMIFS(Calculs!CA$11:CA$1338,Calculs!$B$11:$B$1338,$H114)/10^6</f>
        <v>0</v>
      </c>
      <c r="M114" s="907">
        <f>SUMIFS(Calculs!CB$11:CB$1338,Calculs!$B$11:$B$1338,$H114)/10^6</f>
        <v>0</v>
      </c>
      <c r="N114" s="908">
        <f t="shared" si="23"/>
        <v>0</v>
      </c>
      <c r="O114" s="909" t="str">
        <f t="shared" si="25"/>
        <v/>
      </c>
      <c r="Q114" s="912"/>
      <c r="S114" s="581"/>
      <c r="V114" s="907"/>
      <c r="W114" s="907">
        <f>(SUMIFS(Calculs!CB$11:CB$1338,Calculs!$B$11:$B$1338,$H114,Calculs!$F$11:$F$1338,IF($V$40="Tous","&lt;&gt;0",VLOOKUP($V$40,'Listes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14" s="908">
        <f t="shared" si="26"/>
        <v>0</v>
      </c>
      <c r="Y114" s="909"/>
    </row>
    <row r="115" spans="2:25">
      <c r="B115" s="1172"/>
      <c r="C115" s="754" t="str">
        <f t="shared" si="17"/>
        <v>Catégorie 4</v>
      </c>
      <c r="D115" s="1075"/>
      <c r="E115" s="1170"/>
      <c r="F115" s="754" t="str">
        <f t="shared" si="24"/>
        <v>4.1</v>
      </c>
      <c r="G115" s="1067"/>
      <c r="H115" s="905" t="s">
        <v>6519</v>
      </c>
      <c r="I115" s="906"/>
      <c r="J115" s="907">
        <f>SUMIFS(Calculs!BY$11:BY$1338,Calculs!$B$11:$B$1338,$H115)/10^6</f>
        <v>0</v>
      </c>
      <c r="K115" s="907">
        <f>SUMIFS(Calculs!BZ$11:BZ$1338,Calculs!$B$11:$B$1338,$H115)/10^6</f>
        <v>0</v>
      </c>
      <c r="L115" s="907">
        <f>SUMIFS(Calculs!CA$11:CA$1338,Calculs!$B$11:$B$1338,$H115)/10^6</f>
        <v>0</v>
      </c>
      <c r="M115" s="907">
        <f>SUMIFS(Calculs!CB$11:CB$1338,Calculs!$B$11:$B$1338,$H115)/10^6</f>
        <v>0</v>
      </c>
      <c r="N115" s="908">
        <f t="shared" si="23"/>
        <v>0</v>
      </c>
      <c r="O115" s="909" t="str">
        <f t="shared" si="25"/>
        <v/>
      </c>
      <c r="Q115" s="912"/>
      <c r="S115" s="586"/>
      <c r="V115" s="907"/>
      <c r="W115" s="907">
        <f>(SUMIFS(Calculs!CB$11:CB$1338,Calculs!$B$11:$B$1338,$H115,Calculs!$F$11:$F$1338,IF($V$40="Tous","&lt;&gt;0",VLOOKUP($V$40,'Listes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15" s="908">
        <f t="shared" si="26"/>
        <v>0</v>
      </c>
      <c r="Y115" s="909"/>
    </row>
    <row r="116" spans="2:25">
      <c r="B116" s="1172"/>
      <c r="C116" s="754" t="str">
        <f t="shared" si="17"/>
        <v>Catégorie 4</v>
      </c>
      <c r="D116" s="1075"/>
      <c r="E116" s="1170"/>
      <c r="F116" s="754" t="str">
        <f t="shared" si="24"/>
        <v>4.1</v>
      </c>
      <c r="G116" s="1067"/>
      <c r="H116" s="905" t="s">
        <v>6520</v>
      </c>
      <c r="I116" s="906"/>
      <c r="J116" s="907">
        <f>SUMIFS(Calculs!BY$11:BY$1338,Calculs!$B$11:$B$1338,$H116)/10^6</f>
        <v>0</v>
      </c>
      <c r="K116" s="907">
        <f>SUMIFS(Calculs!BZ$11:BZ$1338,Calculs!$B$11:$B$1338,$H116)/10^6</f>
        <v>0</v>
      </c>
      <c r="L116" s="907">
        <f>SUMIFS(Calculs!CA$11:CA$1338,Calculs!$B$11:$B$1338,$H116)/10^6</f>
        <v>0</v>
      </c>
      <c r="M116" s="907">
        <f>SUMIFS(Calculs!CB$11:CB$1338,Calculs!$B$11:$B$1338,$H116)/10^6</f>
        <v>0</v>
      </c>
      <c r="N116" s="908">
        <f t="shared" si="23"/>
        <v>0</v>
      </c>
      <c r="O116" s="909" t="str">
        <f t="shared" si="25"/>
        <v/>
      </c>
      <c r="Q116" s="912"/>
      <c r="S116" s="581"/>
      <c r="V116" s="907"/>
      <c r="W116" s="907">
        <f>(SUMIFS(Calculs!CB$11:CB$1338,Calculs!$B$11:$B$1338,$H116,Calculs!$F$11:$F$1338,IF($V$40="Tous","&lt;&gt;0",VLOOKUP($V$40,'Listes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16" s="908">
        <f t="shared" si="26"/>
        <v>0</v>
      </c>
      <c r="Y116" s="909"/>
    </row>
    <row r="117" spans="2:25">
      <c r="B117" s="1172"/>
      <c r="C117" s="754" t="str">
        <f t="shared" si="17"/>
        <v>Catégorie 4</v>
      </c>
      <c r="D117" s="1075"/>
      <c r="E117" s="1170"/>
      <c r="F117" s="754" t="str">
        <f t="shared" si="24"/>
        <v>4.1</v>
      </c>
      <c r="G117" s="1067"/>
      <c r="H117" s="905" t="s">
        <v>6521</v>
      </c>
      <c r="I117" s="906"/>
      <c r="J117" s="907">
        <f>SUMIFS(Calculs!BY$11:BY$1338,Calculs!$B$11:$B$1338,$H117)/10^6</f>
        <v>0</v>
      </c>
      <c r="K117" s="907">
        <f>SUMIFS(Calculs!BZ$11:BZ$1338,Calculs!$B$11:$B$1338,$H117)/10^6</f>
        <v>0</v>
      </c>
      <c r="L117" s="907">
        <f>SUMIFS(Calculs!CA$11:CA$1338,Calculs!$B$11:$B$1338,$H117)/10^6</f>
        <v>0</v>
      </c>
      <c r="M117" s="907">
        <f>SUMIFS(Calculs!CB$11:CB$1338,Calculs!$B$11:$B$1338,$H117)/10^6</f>
        <v>0</v>
      </c>
      <c r="N117" s="908">
        <f t="shared" si="23"/>
        <v>0</v>
      </c>
      <c r="O117" s="909" t="str">
        <f t="shared" si="25"/>
        <v/>
      </c>
      <c r="Q117" s="912"/>
      <c r="S117" s="586"/>
      <c r="V117" s="907"/>
      <c r="W117" s="907">
        <f>(SUMIFS(Calculs!CB$11:CB$1338,Calculs!$B$11:$B$1338,$H117,Calculs!$F$11:$F$1338,IF($V$40="Tous","&lt;&gt;0",VLOOKUP($V$40,'Listes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17" s="908">
        <f t="shared" si="26"/>
        <v>0</v>
      </c>
      <c r="Y117" s="909"/>
    </row>
    <row r="118" spans="2:25">
      <c r="B118" s="1172"/>
      <c r="C118" s="754" t="str">
        <f t="shared" si="17"/>
        <v>Catégorie 4</v>
      </c>
      <c r="D118" s="1075"/>
      <c r="E118" s="1170"/>
      <c r="F118" s="754" t="str">
        <f t="shared" si="24"/>
        <v>4.1</v>
      </c>
      <c r="G118" s="1067"/>
      <c r="H118" s="905" t="s">
        <v>6522</v>
      </c>
      <c r="I118" s="906"/>
      <c r="J118" s="907">
        <f>SUMIFS(Calculs!BY$11:BY$1338,Calculs!$B$11:$B$1338,$H118)/10^6</f>
        <v>0</v>
      </c>
      <c r="K118" s="907">
        <f>SUMIFS(Calculs!BZ$11:BZ$1338,Calculs!$B$11:$B$1338,$H118)/10^6</f>
        <v>0</v>
      </c>
      <c r="L118" s="907">
        <f>SUMIFS(Calculs!CA$11:CA$1338,Calculs!$B$11:$B$1338,$H118)/10^6</f>
        <v>0</v>
      </c>
      <c r="M118" s="907">
        <f>SUMIFS(Calculs!CB$11:CB$1338,Calculs!$B$11:$B$1338,$H118)/10^6</f>
        <v>0</v>
      </c>
      <c r="N118" s="908">
        <f t="shared" si="23"/>
        <v>0</v>
      </c>
      <c r="O118" s="909" t="str">
        <f t="shared" si="25"/>
        <v/>
      </c>
      <c r="Q118" s="912"/>
      <c r="S118" s="581"/>
      <c r="V118" s="907"/>
      <c r="W118" s="907">
        <f>(SUMIFS(Calculs!CB$11:CB$1338,Calculs!$B$11:$B$1338,$H118,Calculs!$F$11:$F$1338,IF($V$40="Tous","&lt;&gt;0",VLOOKUP($V$40,'Listes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18" s="908">
        <f t="shared" si="26"/>
        <v>0</v>
      </c>
      <c r="Y118" s="909" t="str">
        <f t="shared" ref="Y118:Y135" si="27">REPT("|",X118*(100/MAX($N$14:$N$35)))</f>
        <v/>
      </c>
    </row>
    <row r="119" spans="2:25" ht="30">
      <c r="B119" s="1172"/>
      <c r="C119" s="754" t="str">
        <f>IF(B119=0,C118,B119)</f>
        <v>Catégorie 4</v>
      </c>
      <c r="D119" s="1075"/>
      <c r="E119" s="1170"/>
      <c r="F119" s="754" t="str">
        <f t="shared" si="24"/>
        <v>4.1</v>
      </c>
      <c r="G119" s="1067"/>
      <c r="H119" s="911" t="s">
        <v>6605</v>
      </c>
      <c r="I119" s="910" t="s">
        <v>6515</v>
      </c>
      <c r="J119" s="907">
        <f>SUMIFS(Calculs!BY$11:BY$1338,Calculs!$B$11:$B$1338,$H119)/10^6</f>
        <v>0</v>
      </c>
      <c r="K119" s="907">
        <f>SUMIFS(Calculs!BZ$11:BZ$1338,Calculs!$B$11:$B$1338,$H119)/10^6</f>
        <v>0</v>
      </c>
      <c r="L119" s="907">
        <f>SUMIFS(Calculs!CA$11:CA$1338,Calculs!$B$11:$B$1338,$H119)/10^6</f>
        <v>0</v>
      </c>
      <c r="M119" s="907">
        <f>SUMIFS(Calculs!CB$11:CB$1338,Calculs!$B$11:$B$1338,$H119)/10^6</f>
        <v>0</v>
      </c>
      <c r="N119" s="908">
        <f t="shared" si="23"/>
        <v>0</v>
      </c>
      <c r="O119" s="909" t="str">
        <f t="shared" si="25"/>
        <v/>
      </c>
      <c r="Q119" s="912"/>
      <c r="S119" s="581"/>
      <c r="V119" s="907"/>
      <c r="W119" s="907">
        <f>(SUMIFS(Calculs!CB$11:CB$1338,Calculs!$B$11:$B$1338,$H119,Calculs!$F$11:$F$1338,IF($V$40="Tous","&lt;&gt;0",VLOOKUP($V$40,'Listes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19" s="908">
        <f t="shared" si="26"/>
        <v>0</v>
      </c>
      <c r="Y119" s="909" t="str">
        <f t="shared" si="27"/>
        <v/>
      </c>
    </row>
    <row r="120" spans="2:25">
      <c r="B120" s="1172"/>
      <c r="C120" s="754" t="str">
        <f>IF(B120=0,C119,B120)</f>
        <v>Catégorie 4</v>
      </c>
      <c r="D120" s="1075"/>
      <c r="E120" s="1170"/>
      <c r="F120" s="754" t="str">
        <f t="shared" si="24"/>
        <v>4.1</v>
      </c>
      <c r="G120" s="1067"/>
      <c r="H120" s="911" t="s">
        <v>6606</v>
      </c>
      <c r="I120" s="906"/>
      <c r="J120" s="907">
        <f>SUMIFS(Calculs!BY$11:BY$1338,Calculs!$B$11:$B$1338,$H120)/10^6</f>
        <v>0</v>
      </c>
      <c r="K120" s="907">
        <f>SUMIFS(Calculs!BZ$11:BZ$1338,Calculs!$B$11:$B$1338,$H120)/10^6</f>
        <v>0</v>
      </c>
      <c r="L120" s="907">
        <f>SUMIFS(Calculs!CA$11:CA$1338,Calculs!$B$11:$B$1338,$H120)/10^6</f>
        <v>0</v>
      </c>
      <c r="M120" s="907">
        <f>SUMIFS(Calculs!CB$11:CB$1338,Calculs!$B$11:$B$1338,$H120)/10^6</f>
        <v>0</v>
      </c>
      <c r="N120" s="908">
        <f t="shared" si="23"/>
        <v>0</v>
      </c>
      <c r="O120" s="909" t="str">
        <f t="shared" si="25"/>
        <v/>
      </c>
      <c r="Q120" s="912"/>
      <c r="S120" s="581"/>
      <c r="V120" s="907"/>
      <c r="W120" s="907">
        <f>(SUMIFS(Calculs!CB$11:CB$1338,Calculs!$B$11:$B$1338,$H120,Calculs!$F$11:$F$1338,IF($V$40="Tous","&lt;&gt;0",VLOOKUP($V$40,'Listes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20" s="908">
        <f t="shared" si="26"/>
        <v>0</v>
      </c>
      <c r="Y120" s="909" t="str">
        <f t="shared" si="27"/>
        <v/>
      </c>
    </row>
    <row r="121" spans="2:25">
      <c r="B121" s="1172"/>
      <c r="C121" s="754" t="str">
        <f>IF(B121=0,C120,B121)</f>
        <v>Catégorie 4</v>
      </c>
      <c r="D121" s="1075"/>
      <c r="E121" s="1170"/>
      <c r="F121" s="754" t="str">
        <f t="shared" si="24"/>
        <v>4.1</v>
      </c>
      <c r="G121" s="1067"/>
      <c r="H121" s="911" t="s">
        <v>6607</v>
      </c>
      <c r="I121" s="906"/>
      <c r="J121" s="907">
        <f>SUMIFS(Calculs!BY$11:BY$1338,Calculs!$B$11:$B$1338,$H121)/10^6</f>
        <v>0</v>
      </c>
      <c r="K121" s="907">
        <f>SUMIFS(Calculs!BZ$11:BZ$1338,Calculs!$B$11:$B$1338,$H121)/10^6</f>
        <v>0</v>
      </c>
      <c r="L121" s="907">
        <f>SUMIFS(Calculs!CA$11:CA$1338,Calculs!$B$11:$B$1338,$H121)/10^6</f>
        <v>0</v>
      </c>
      <c r="M121" s="907">
        <f>SUMIFS(Calculs!CB$11:CB$1338,Calculs!$B$11:$B$1338,$H121)/10^6</f>
        <v>0</v>
      </c>
      <c r="N121" s="908">
        <f t="shared" si="23"/>
        <v>0</v>
      </c>
      <c r="O121" s="909" t="str">
        <f t="shared" si="25"/>
        <v/>
      </c>
      <c r="Q121" s="912"/>
      <c r="S121" s="581"/>
      <c r="V121" s="907"/>
      <c r="W121" s="907">
        <f>(SUMIFS(Calculs!CB$11:CB$1338,Calculs!$B$11:$B$1338,$H121,Calculs!$F$11:$F$1338,IF($V$40="Tous","&lt;&gt;0",VLOOKUP($V$40,'Listes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21" s="908">
        <f t="shared" si="26"/>
        <v>0</v>
      </c>
      <c r="Y121" s="909" t="str">
        <f t="shared" si="27"/>
        <v/>
      </c>
    </row>
    <row r="122" spans="2:25">
      <c r="B122" s="1172"/>
      <c r="C122" s="754" t="str">
        <f>IF(B122=0,C121,B122)</f>
        <v>Catégorie 4</v>
      </c>
      <c r="D122" s="1075"/>
      <c r="E122" s="1170"/>
      <c r="F122" s="754" t="str">
        <f t="shared" si="24"/>
        <v>4.1</v>
      </c>
      <c r="G122" s="1067"/>
      <c r="H122" s="911" t="s">
        <v>6608</v>
      </c>
      <c r="I122" s="906"/>
      <c r="J122" s="907">
        <f>SUMIFS(Calculs!BY$11:BY$1338,Calculs!$B$11:$B$1338,$H122)/10^6</f>
        <v>0</v>
      </c>
      <c r="K122" s="907">
        <f>SUMIFS(Calculs!BZ$11:BZ$1338,Calculs!$B$11:$B$1338,$H122)/10^6</f>
        <v>0</v>
      </c>
      <c r="L122" s="907">
        <f>SUMIFS(Calculs!CA$11:CA$1338,Calculs!$B$11:$B$1338,$H122)/10^6</f>
        <v>0</v>
      </c>
      <c r="M122" s="907">
        <f>SUMIFS(Calculs!CB$11:CB$1338,Calculs!$B$11:$B$1338,$H122)/10^6</f>
        <v>0</v>
      </c>
      <c r="N122" s="908">
        <f t="shared" si="23"/>
        <v>0</v>
      </c>
      <c r="O122" s="909" t="str">
        <f t="shared" si="25"/>
        <v/>
      </c>
      <c r="Q122" s="912"/>
      <c r="S122" s="581"/>
      <c r="V122" s="907"/>
      <c r="W122" s="907">
        <f>(SUMIFS(Calculs!CB$11:CB$1338,Calculs!$B$11:$B$1338,$H122,Calculs!$F$11:$F$1338,IF($V$40="Tous","&lt;&gt;0",VLOOKUP($V$40,'Listes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22" s="908">
        <f t="shared" si="26"/>
        <v>0</v>
      </c>
      <c r="Y122" s="909" t="str">
        <f t="shared" si="27"/>
        <v/>
      </c>
    </row>
    <row r="123" spans="2:25">
      <c r="B123" s="1172"/>
      <c r="C123" s="754" t="str">
        <f>IF(B123=0,C122,B123)</f>
        <v>Catégorie 4</v>
      </c>
      <c r="D123" s="1075"/>
      <c r="E123" s="1170"/>
      <c r="F123" s="754" t="str">
        <f>IF(E123=0,F122,E123)</f>
        <v>4.1</v>
      </c>
      <c r="G123" s="1067"/>
      <c r="H123" s="911" t="s">
        <v>6609</v>
      </c>
      <c r="I123" s="906"/>
      <c r="J123" s="907">
        <f>SUMIFS(Calculs!BY$11:BY$1338,Calculs!$B$11:$B$1338,$H123)/10^6</f>
        <v>0</v>
      </c>
      <c r="K123" s="907">
        <f>SUMIFS(Calculs!BZ$11:BZ$1338,Calculs!$B$11:$B$1338,$H123)/10^6</f>
        <v>0</v>
      </c>
      <c r="L123" s="907">
        <f>SUMIFS(Calculs!CA$11:CA$1338,Calculs!$B$11:$B$1338,$H123)/10^6</f>
        <v>0</v>
      </c>
      <c r="M123" s="907">
        <f>SUMIFS(Calculs!CB$11:CB$1338,Calculs!$B$11:$B$1338,$H123)/10^6</f>
        <v>0</v>
      </c>
      <c r="N123" s="908">
        <f t="shared" si="23"/>
        <v>0</v>
      </c>
      <c r="O123" s="909" t="str">
        <f t="shared" si="25"/>
        <v/>
      </c>
      <c r="Q123" s="912"/>
      <c r="S123" s="581"/>
      <c r="V123" s="907"/>
      <c r="W123" s="907">
        <f>(SUMIFS(Calculs!CB$11:CB$1338,Calculs!$B$11:$B$1338,$H123,Calculs!$F$11:$F$1338,IF($V$40="Tous","&lt;&gt;0",VLOOKUP($V$40,'Listes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23" s="908">
        <f t="shared" si="26"/>
        <v>0</v>
      </c>
      <c r="Y123" s="909" t="str">
        <f t="shared" si="27"/>
        <v/>
      </c>
    </row>
    <row r="124" spans="2:25">
      <c r="B124" s="1172"/>
      <c r="C124" s="754" t="str">
        <f>IF(B124=0,C122,B124)</f>
        <v>Catégorie 4</v>
      </c>
      <c r="D124" s="1075"/>
      <c r="E124" s="1163"/>
      <c r="F124" s="754" t="str">
        <f>IF(E124=0,F122,E124)</f>
        <v>4.1</v>
      </c>
      <c r="G124" s="1068"/>
      <c r="H124" s="911" t="s">
        <v>6610</v>
      </c>
      <c r="I124" s="906"/>
      <c r="J124" s="907">
        <f>SUMIFS(Calculs!BY$11:BY$1338,Calculs!$B$11:$B$1338,$H124)/10^6</f>
        <v>0</v>
      </c>
      <c r="K124" s="907">
        <f>SUMIFS(Calculs!BZ$11:BZ$1338,Calculs!$B$11:$B$1338,$H124)/10^6</f>
        <v>0</v>
      </c>
      <c r="L124" s="907">
        <f>SUMIFS(Calculs!CA$11:CA$1338,Calculs!$B$11:$B$1338,$H124)/10^6</f>
        <v>0</v>
      </c>
      <c r="M124" s="907">
        <f>SUMIFS(Calculs!CB$11:CB$1338,Calculs!$B$11:$B$1338,$H124)/10^6</f>
        <v>0</v>
      </c>
      <c r="N124" s="908">
        <f t="shared" si="23"/>
        <v>0</v>
      </c>
      <c r="O124" s="909" t="str">
        <f t="shared" si="25"/>
        <v/>
      </c>
      <c r="Q124" s="912"/>
      <c r="S124" s="581"/>
      <c r="V124" s="907"/>
      <c r="W124" s="907">
        <f>(SUMIFS(Calculs!CB$11:CB$1338,Calculs!$B$11:$B$1338,$H124,Calculs!$F$11:$F$1338,IF($V$40="Tous","&lt;&gt;0",VLOOKUP($V$40,'Listes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24" s="908">
        <f t="shared" si="26"/>
        <v>0</v>
      </c>
      <c r="Y124" s="909" t="str">
        <f t="shared" si="27"/>
        <v/>
      </c>
    </row>
    <row r="125" spans="2:25">
      <c r="B125" s="1172"/>
      <c r="C125" s="754" t="str">
        <f>IF(B125=0,C118,B125)</f>
        <v>Catégorie 4</v>
      </c>
      <c r="D125" s="1075"/>
      <c r="E125" s="1154" t="s">
        <v>6442</v>
      </c>
      <c r="F125" s="754" t="str">
        <f>IF(E125=0,F118,E125)</f>
        <v>4.2</v>
      </c>
      <c r="G125" s="1069" t="s">
        <v>6593</v>
      </c>
      <c r="H125" s="38" t="s">
        <v>6550</v>
      </c>
      <c r="I125" s="671"/>
      <c r="J125" s="607">
        <f>SUMIFS(Calculs!BY$11:BY$1338,Calculs!$B$11:$B$1338,$H125)/10^6</f>
        <v>0</v>
      </c>
      <c r="K125" s="607">
        <f>SUMIFS(Calculs!BZ$11:BZ$1338,Calculs!$B$11:$B$1338,$H125)/10^6</f>
        <v>0</v>
      </c>
      <c r="L125" s="607">
        <f>SUMIFS(Calculs!CA$11:CA$1338,Calculs!$B$11:$B$1338,$H125)/10^6</f>
        <v>0</v>
      </c>
      <c r="M125" s="607">
        <f>SUMIFS(Calculs!CB$11:CB$1338,Calculs!$B$11:$B$1338,$H125)/10^6</f>
        <v>0</v>
      </c>
      <c r="N125" s="617">
        <f t="shared" si="23"/>
        <v>0</v>
      </c>
      <c r="O125" s="639" t="str">
        <f t="shared" si="25"/>
        <v/>
      </c>
      <c r="Q125" s="627"/>
      <c r="S125" s="586"/>
      <c r="V125" s="607"/>
      <c r="W125" s="607">
        <f>(SUMIFS(Calculs!CB$11:CB$1338,Calculs!$B$11:$B$1338,$H125,Calculs!$F$11:$F$1338,IF($V$40="Tous","&lt;&gt;0",VLOOKUP($V$40,'Listes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25" s="617">
        <f t="shared" si="26"/>
        <v>0</v>
      </c>
      <c r="Y125" s="639" t="str">
        <f t="shared" si="27"/>
        <v/>
      </c>
    </row>
    <row r="126" spans="2:25">
      <c r="B126" s="1172"/>
      <c r="C126" s="754" t="str">
        <f t="shared" si="17"/>
        <v>Catégorie 4</v>
      </c>
      <c r="D126" s="1075"/>
      <c r="E126" s="1169"/>
      <c r="F126" s="754" t="str">
        <f t="shared" si="24"/>
        <v>4.2</v>
      </c>
      <c r="G126" s="1070"/>
      <c r="H126" s="38" t="s">
        <v>6551</v>
      </c>
      <c r="I126" s="671"/>
      <c r="J126" s="607">
        <f>SUMIFS(Calculs!BY$11:BY$1338,Calculs!$B$11:$B$1338,$H126)/10^6</f>
        <v>0</v>
      </c>
      <c r="K126" s="607">
        <f>SUMIFS(Calculs!BZ$11:BZ$1338,Calculs!$B$11:$B$1338,$H126)/10^6</f>
        <v>0</v>
      </c>
      <c r="L126" s="607">
        <f>SUMIFS(Calculs!CA$11:CA$1338,Calculs!$B$11:$B$1338,$H126)/10^6</f>
        <v>0</v>
      </c>
      <c r="M126" s="607">
        <f>SUMIFS(Calculs!CB$11:CB$1338,Calculs!$B$11:$B$1338,$H126)/10^6</f>
        <v>0</v>
      </c>
      <c r="N126" s="617">
        <f t="shared" si="23"/>
        <v>0</v>
      </c>
      <c r="O126" s="639" t="str">
        <f t="shared" si="25"/>
        <v/>
      </c>
      <c r="Q126" s="627"/>
      <c r="S126" s="581"/>
      <c r="V126" s="607"/>
      <c r="W126" s="607">
        <f>(SUMIFS(Calculs!CB$11:CB$1338,Calculs!$B$11:$B$1338,$H126,Calculs!$F$11:$F$1338,IF($V$40="Tous","&lt;&gt;0",VLOOKUP($V$40,'Listes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26" s="617">
        <f t="shared" si="26"/>
        <v>0</v>
      </c>
      <c r="Y126" s="639" t="str">
        <f t="shared" si="27"/>
        <v/>
      </c>
    </row>
    <row r="127" spans="2:25">
      <c r="B127" s="1172"/>
      <c r="C127" s="754" t="str">
        <f t="shared" si="17"/>
        <v>Catégorie 4</v>
      </c>
      <c r="D127" s="1075"/>
      <c r="E127" s="1169"/>
      <c r="F127" s="754" t="str">
        <f t="shared" si="24"/>
        <v>4.2</v>
      </c>
      <c r="G127" s="1070"/>
      <c r="H127" s="38" t="s">
        <v>6552</v>
      </c>
      <c r="I127" s="671"/>
      <c r="J127" s="607">
        <f>SUMIFS(Calculs!BY$11:BY$1338,Calculs!$B$11:$B$1338,$H127)/10^6</f>
        <v>0</v>
      </c>
      <c r="K127" s="607">
        <f>SUMIFS(Calculs!BZ$11:BZ$1338,Calculs!$B$11:$B$1338,$H127)/10^6</f>
        <v>0</v>
      </c>
      <c r="L127" s="607">
        <f>SUMIFS(Calculs!CA$11:CA$1338,Calculs!$B$11:$B$1338,$H127)/10^6</f>
        <v>0</v>
      </c>
      <c r="M127" s="607">
        <f>SUMIFS(Calculs!CB$11:CB$1338,Calculs!$B$11:$B$1338,$H127)/10^6</f>
        <v>0</v>
      </c>
      <c r="N127" s="617">
        <f t="shared" si="23"/>
        <v>0</v>
      </c>
      <c r="O127" s="639" t="str">
        <f t="shared" si="25"/>
        <v/>
      </c>
      <c r="Q127" s="627"/>
      <c r="S127" s="586"/>
      <c r="V127" s="607"/>
      <c r="W127" s="607">
        <f>(SUMIFS(Calculs!CB$11:CB$1338,Calculs!$B$11:$B$1338,$H127,Calculs!$F$11:$F$1338,IF($V$40="Tous","&lt;&gt;0",VLOOKUP($V$40,'Listes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27" s="617">
        <f t="shared" si="26"/>
        <v>0</v>
      </c>
      <c r="Y127" s="639" t="str">
        <f t="shared" si="27"/>
        <v/>
      </c>
    </row>
    <row r="128" spans="2:25">
      <c r="B128" s="1172"/>
      <c r="C128" s="754" t="str">
        <f t="shared" si="17"/>
        <v>Catégorie 4</v>
      </c>
      <c r="D128" s="1075"/>
      <c r="E128" s="1169"/>
      <c r="F128" s="754" t="str">
        <f t="shared" si="24"/>
        <v>4.2</v>
      </c>
      <c r="G128" s="1070"/>
      <c r="H128" s="38" t="s">
        <v>6553</v>
      </c>
      <c r="I128" s="671"/>
      <c r="J128" s="607">
        <f>SUMIFS(Calculs!BY$11:BY$1338,Calculs!$B$11:$B$1338,$H128)/10^6</f>
        <v>0</v>
      </c>
      <c r="K128" s="607">
        <f>SUMIFS(Calculs!BZ$11:BZ$1338,Calculs!$B$11:$B$1338,$H128)/10^6</f>
        <v>0</v>
      </c>
      <c r="L128" s="607">
        <f>SUMIFS(Calculs!CA$11:CA$1338,Calculs!$B$11:$B$1338,$H128)/10^6</f>
        <v>0</v>
      </c>
      <c r="M128" s="607">
        <f>SUMIFS(Calculs!CB$11:CB$1338,Calculs!$B$11:$B$1338,$H128)/10^6</f>
        <v>0</v>
      </c>
      <c r="N128" s="617">
        <f t="shared" si="23"/>
        <v>0</v>
      </c>
      <c r="O128" s="639" t="str">
        <f t="shared" si="25"/>
        <v/>
      </c>
      <c r="Q128" s="627"/>
      <c r="S128" s="581"/>
      <c r="V128" s="607"/>
      <c r="W128" s="607">
        <f>(SUMIFS(Calculs!CB$11:CB$1338,Calculs!$B$11:$B$1338,$H128,Calculs!$F$11:$F$1338,IF($V$40="Tous","&lt;&gt;0",VLOOKUP($V$40,'Listes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28" s="617">
        <f t="shared" si="26"/>
        <v>0</v>
      </c>
      <c r="Y128" s="639" t="str">
        <f t="shared" si="27"/>
        <v/>
      </c>
    </row>
    <row r="129" spans="2:25">
      <c r="B129" s="1172"/>
      <c r="C129" s="754" t="str">
        <f t="shared" si="17"/>
        <v>Catégorie 4</v>
      </c>
      <c r="D129" s="1075"/>
      <c r="E129" s="1169"/>
      <c r="F129" s="754" t="str">
        <f t="shared" si="24"/>
        <v>4.2</v>
      </c>
      <c r="G129" s="1070"/>
      <c r="H129" s="38" t="s">
        <v>6554</v>
      </c>
      <c r="I129" s="671"/>
      <c r="J129" s="607">
        <f>SUMIFS(Calculs!BY$11:BY$1338,Calculs!$B$11:$B$1338,$H129)/10^6</f>
        <v>0</v>
      </c>
      <c r="K129" s="607">
        <f>SUMIFS(Calculs!BZ$11:BZ$1338,Calculs!$B$11:$B$1338,$H129)/10^6</f>
        <v>0</v>
      </c>
      <c r="L129" s="607">
        <f>SUMIFS(Calculs!CA$11:CA$1338,Calculs!$B$11:$B$1338,$H129)/10^6</f>
        <v>0</v>
      </c>
      <c r="M129" s="607">
        <f>SUMIFS(Calculs!CB$11:CB$1338,Calculs!$B$11:$B$1338,$H129)/10^6</f>
        <v>0</v>
      </c>
      <c r="N129" s="617">
        <f t="shared" si="23"/>
        <v>0</v>
      </c>
      <c r="O129" s="639" t="str">
        <f t="shared" si="25"/>
        <v/>
      </c>
      <c r="Q129" s="627"/>
      <c r="S129" s="586"/>
      <c r="V129" s="607"/>
      <c r="W129" s="607">
        <f>(SUMIFS(Calculs!CB$11:CB$1338,Calculs!$B$11:$B$1338,$H129,Calculs!$F$11:$F$1338,IF($V$40="Tous","&lt;&gt;0",VLOOKUP($V$40,'Listes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29" s="617">
        <f t="shared" si="26"/>
        <v>0</v>
      </c>
      <c r="Y129" s="639" t="str">
        <f t="shared" si="27"/>
        <v/>
      </c>
    </row>
    <row r="130" spans="2:25">
      <c r="B130" s="1172"/>
      <c r="C130" s="754" t="str">
        <f t="shared" si="17"/>
        <v>Catégorie 4</v>
      </c>
      <c r="D130" s="1075"/>
      <c r="E130" s="1155"/>
      <c r="F130" s="754" t="str">
        <f t="shared" si="24"/>
        <v>4.2</v>
      </c>
      <c r="G130" s="1071"/>
      <c r="H130" s="38" t="s">
        <v>6555</v>
      </c>
      <c r="I130" s="671"/>
      <c r="J130" s="607">
        <f>SUMIFS(Calculs!BY$11:BY$1338,Calculs!$B$11:$B$1338,$H130)/10^6</f>
        <v>0</v>
      </c>
      <c r="K130" s="607">
        <f>SUMIFS(Calculs!BZ$11:BZ$1338,Calculs!$B$11:$B$1338,$H130)/10^6</f>
        <v>0</v>
      </c>
      <c r="L130" s="607">
        <f>SUMIFS(Calculs!CA$11:CA$1338,Calculs!$B$11:$B$1338,$H130)/10^6</f>
        <v>0</v>
      </c>
      <c r="M130" s="607">
        <f>SUMIFS(Calculs!CB$11:CB$1338,Calculs!$B$11:$B$1338,$H130)/10^6</f>
        <v>0</v>
      </c>
      <c r="N130" s="617">
        <f t="shared" si="23"/>
        <v>0</v>
      </c>
      <c r="O130" s="639" t="str">
        <f t="shared" si="25"/>
        <v/>
      </c>
      <c r="Q130" s="627"/>
      <c r="S130" s="581"/>
      <c r="V130" s="607"/>
      <c r="W130" s="607">
        <f>(SUMIFS(Calculs!CB$11:CB$1338,Calculs!$B$11:$B$1338,$H130,Calculs!$F$11:$F$1338,IF($V$40="Tous","&lt;&gt;0",VLOOKUP($V$40,'Listes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30" s="617">
        <f t="shared" si="26"/>
        <v>0</v>
      </c>
      <c r="Y130" s="639" t="str">
        <f t="shared" si="27"/>
        <v/>
      </c>
    </row>
    <row r="131" spans="2:25">
      <c r="B131" s="1172"/>
      <c r="C131" s="754" t="str">
        <f t="shared" si="17"/>
        <v>Catégorie 4</v>
      </c>
      <c r="D131" s="1075"/>
      <c r="E131" s="1162" t="s">
        <v>6443</v>
      </c>
      <c r="F131" s="754" t="str">
        <f t="shared" si="24"/>
        <v>4.3</v>
      </c>
      <c r="G131" s="1066" t="s">
        <v>79</v>
      </c>
      <c r="H131" s="905" t="s">
        <v>6557</v>
      </c>
      <c r="I131" s="906" t="str">
        <f>Calculs!B427</f>
        <v>4.3A1 - Traitement des eaux usées</v>
      </c>
      <c r="J131" s="907">
        <f>SUMIFS(Calculs!BY$11:BY$1338,Calculs!$B$11:$B$1338,$H131)/10^6</f>
        <v>0</v>
      </c>
      <c r="K131" s="907">
        <f>SUMIFS(Calculs!BZ$11:BZ$1338,Calculs!$B$11:$B$1338,$H131)/10^6</f>
        <v>2.3397962130000005E-2</v>
      </c>
      <c r="L131" s="907">
        <f>SUMIFS(Calculs!CA$11:CA$1338,Calculs!$B$11:$B$1338,$H131)/10^6</f>
        <v>0</v>
      </c>
      <c r="M131" s="907">
        <f>SUMIFS(Calculs!CB$11:CB$1338,Calculs!$B$11:$B$1338,$H131)/10^6</f>
        <v>2.3397962130000005E-2</v>
      </c>
      <c r="N131" s="908">
        <f t="shared" si="23"/>
        <v>1.3175145593258064E-4</v>
      </c>
      <c r="O131" s="909" t="str">
        <f t="shared" si="25"/>
        <v/>
      </c>
      <c r="Q131" s="912"/>
      <c r="S131" s="586"/>
      <c r="V131" s="907"/>
      <c r="W131" s="907">
        <f>(SUMIFS(Calculs!CB$11:CB$1338,Calculs!$B$11:$B$1338,$H131,Calculs!$F$11:$F$1338,IF($V$40="Tous","&lt;&gt;0",VLOOKUP($V$40,'Listes déroulantes, autres'!$H$9:$I$21,2,FALSE)),Calculs!$G$11:$G$1338,IF($W$40="Tous","&lt;&gt;0",$W$40),Calculs!$H$11:$H$1338,IF($X$40="Tous","&lt;&gt;0",$X$40)        )/10^6)</f>
        <v>2.3397962130000005E-2</v>
      </c>
      <c r="X131" s="908">
        <f t="shared" si="26"/>
        <v>1.3175145593258064E-4</v>
      </c>
      <c r="Y131" s="909" t="str">
        <f t="shared" si="27"/>
        <v/>
      </c>
    </row>
    <row r="132" spans="2:25">
      <c r="B132" s="1172"/>
      <c r="C132" s="754" t="str">
        <f t="shared" si="17"/>
        <v>Catégorie 4</v>
      </c>
      <c r="D132" s="1075"/>
      <c r="E132" s="1170"/>
      <c r="F132" s="754" t="str">
        <f t="shared" si="24"/>
        <v>4.3</v>
      </c>
      <c r="G132" s="1067"/>
      <c r="H132" s="905" t="s">
        <v>6558</v>
      </c>
      <c r="I132" s="906"/>
      <c r="J132" s="907">
        <f>SUMIFS(Calculs!BY$11:BY$1338,Calculs!$B$11:$B$1338,$H132)/10^6</f>
        <v>0</v>
      </c>
      <c r="K132" s="907">
        <f>SUMIFS(Calculs!BZ$11:BZ$1338,Calculs!$B$11:$B$1338,$H132)/10^6</f>
        <v>0</v>
      </c>
      <c r="L132" s="907">
        <f>SUMIFS(Calculs!CA$11:CA$1338,Calculs!$B$11:$B$1338,$H132)/10^6</f>
        <v>0</v>
      </c>
      <c r="M132" s="907">
        <f>SUMIFS(Calculs!CB$11:CB$1338,Calculs!$B$11:$B$1338,$H132)/10^6</f>
        <v>0</v>
      </c>
      <c r="N132" s="908">
        <f t="shared" si="23"/>
        <v>0</v>
      </c>
      <c r="O132" s="909" t="str">
        <f t="shared" si="25"/>
        <v/>
      </c>
      <c r="Q132" s="912"/>
      <c r="S132" s="581"/>
      <c r="V132" s="907"/>
      <c r="W132" s="907">
        <f>(SUMIFS(Calculs!CB$11:CB$1338,Calculs!$B$11:$B$1338,$H132,Calculs!$F$11:$F$1338,IF($V$40="Tous","&lt;&gt;0",VLOOKUP($V$40,'Listes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32" s="908">
        <f t="shared" si="26"/>
        <v>0</v>
      </c>
      <c r="Y132" s="909" t="str">
        <f t="shared" si="27"/>
        <v/>
      </c>
    </row>
    <row r="133" spans="2:25">
      <c r="B133" s="1172"/>
      <c r="C133" s="754" t="str">
        <f t="shared" si="17"/>
        <v>Catégorie 4</v>
      </c>
      <c r="D133" s="1075"/>
      <c r="E133" s="1170"/>
      <c r="F133" s="754" t="str">
        <f t="shared" si="24"/>
        <v>4.3</v>
      </c>
      <c r="G133" s="1067"/>
      <c r="H133" s="905" t="s">
        <v>6559</v>
      </c>
      <c r="I133" s="906"/>
      <c r="J133" s="907">
        <f>SUMIFS(Calculs!BY$11:BY$1338,Calculs!$B$11:$B$1338,$H133)/10^6</f>
        <v>0</v>
      </c>
      <c r="K133" s="907">
        <f>SUMIFS(Calculs!BZ$11:BZ$1338,Calculs!$B$11:$B$1338,$H133)/10^6</f>
        <v>0</v>
      </c>
      <c r="L133" s="907">
        <f>SUMIFS(Calculs!CA$11:CA$1338,Calculs!$B$11:$B$1338,$H133)/10^6</f>
        <v>0</v>
      </c>
      <c r="M133" s="907">
        <f>SUMIFS(Calculs!CB$11:CB$1338,Calculs!$B$11:$B$1338,$H133)/10^6</f>
        <v>0</v>
      </c>
      <c r="N133" s="908">
        <f t="shared" si="23"/>
        <v>0</v>
      </c>
      <c r="O133" s="909" t="str">
        <f t="shared" si="25"/>
        <v/>
      </c>
      <c r="Q133" s="912"/>
      <c r="S133" s="586"/>
      <c r="V133" s="907"/>
      <c r="W133" s="907">
        <f>(SUMIFS(Calculs!CB$11:CB$1338,Calculs!$B$11:$B$1338,$H133,Calculs!$F$11:$F$1338,IF($V$40="Tous","&lt;&gt;0",VLOOKUP($V$40,'Listes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33" s="908">
        <f t="shared" si="26"/>
        <v>0</v>
      </c>
      <c r="Y133" s="909" t="str">
        <f t="shared" si="27"/>
        <v/>
      </c>
    </row>
    <row r="134" spans="2:25">
      <c r="B134" s="1172"/>
      <c r="C134" s="754" t="str">
        <f t="shared" si="17"/>
        <v>Catégorie 4</v>
      </c>
      <c r="D134" s="1075"/>
      <c r="E134" s="1163"/>
      <c r="F134" s="754" t="str">
        <f t="shared" si="24"/>
        <v>4.3</v>
      </c>
      <c r="G134" s="1068"/>
      <c r="H134" s="905" t="s">
        <v>6560</v>
      </c>
      <c r="I134" s="906"/>
      <c r="J134" s="907">
        <f>SUMIFS(Calculs!BY$11:BY$1338,Calculs!$B$11:$B$1338,$H134)/10^6</f>
        <v>0</v>
      </c>
      <c r="K134" s="907">
        <f>SUMIFS(Calculs!BZ$11:BZ$1338,Calculs!$B$11:$B$1338,$H134)/10^6</f>
        <v>0</v>
      </c>
      <c r="L134" s="907">
        <f>SUMIFS(Calculs!CA$11:CA$1338,Calculs!$B$11:$B$1338,$H134)/10^6</f>
        <v>0</v>
      </c>
      <c r="M134" s="907">
        <f>SUMIFS(Calculs!CB$11:CB$1338,Calculs!$B$11:$B$1338,$H134)/10^6</f>
        <v>0</v>
      </c>
      <c r="N134" s="908">
        <f t="shared" si="23"/>
        <v>0</v>
      </c>
      <c r="O134" s="909" t="str">
        <f t="shared" si="25"/>
        <v/>
      </c>
      <c r="Q134" s="912"/>
      <c r="S134" s="581"/>
      <c r="V134" s="907"/>
      <c r="W134" s="907">
        <f>(SUMIFS(Calculs!CB$11:CB$1338,Calculs!$B$11:$B$1338,$H134,Calculs!$F$11:$F$1338,IF($V$40="Tous","&lt;&gt;0",VLOOKUP($V$40,'Listes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34" s="908">
        <f t="shared" si="26"/>
        <v>0</v>
      </c>
      <c r="Y134" s="909" t="str">
        <f t="shared" si="27"/>
        <v/>
      </c>
    </row>
    <row r="135" spans="2:25">
      <c r="B135" s="1172"/>
      <c r="C135" s="754" t="str">
        <f t="shared" si="17"/>
        <v>Catégorie 4</v>
      </c>
      <c r="D135" s="1075"/>
      <c r="E135" s="1171" t="s">
        <v>6444</v>
      </c>
      <c r="F135" s="754" t="str">
        <f t="shared" si="24"/>
        <v>4.4</v>
      </c>
      <c r="G135" s="1072" t="s">
        <v>86</v>
      </c>
      <c r="H135" s="38" t="s">
        <v>6561</v>
      </c>
      <c r="I135" s="671"/>
      <c r="J135" s="607">
        <f>SUMIFS(Calculs!BY$11:BY$1338,Calculs!$B$11:$B$1338,$H135)/10^6</f>
        <v>0</v>
      </c>
      <c r="K135" s="607">
        <f>SUMIFS(Calculs!BZ$11:BZ$1338,Calculs!$B$11:$B$1338,$H135)/10^6</f>
        <v>0</v>
      </c>
      <c r="L135" s="607">
        <f>SUMIFS(Calculs!CA$11:CA$1338,Calculs!$B$11:$B$1338,$H135)/10^6</f>
        <v>0</v>
      </c>
      <c r="M135" s="607">
        <f>SUMIFS(Calculs!CB$11:CB$1338,Calculs!$B$11:$B$1338,$H135)/10^6</f>
        <v>0</v>
      </c>
      <c r="N135" s="617">
        <f t="shared" si="23"/>
        <v>0</v>
      </c>
      <c r="O135" s="639" t="str">
        <f t="shared" si="25"/>
        <v/>
      </c>
      <c r="Q135" s="627"/>
      <c r="S135" s="586"/>
      <c r="V135" s="607"/>
      <c r="W135" s="607">
        <f>(SUMIFS(Calculs!CB$11:CB$1338,Calculs!$B$11:$B$1338,$H135,Calculs!$F$11:$F$1338,IF($V$40="Tous","&lt;&gt;0",VLOOKUP($V$40,'Listes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35" s="617">
        <f t="shared" si="26"/>
        <v>0</v>
      </c>
      <c r="Y135" s="639" t="str">
        <f t="shared" si="27"/>
        <v/>
      </c>
    </row>
    <row r="136" spans="2:25">
      <c r="B136" s="1172"/>
      <c r="C136" s="754" t="str">
        <f t="shared" si="17"/>
        <v>Catégorie 4</v>
      </c>
      <c r="D136" s="1075"/>
      <c r="E136" s="1171"/>
      <c r="F136" s="754" t="str">
        <f t="shared" si="24"/>
        <v>4.4</v>
      </c>
      <c r="G136" s="1072"/>
      <c r="H136" s="38" t="s">
        <v>6562</v>
      </c>
      <c r="I136" s="671"/>
      <c r="J136" s="607">
        <f>SUMIFS(Calculs!BY$11:BY$1338,Calculs!$B$11:$B$1338,$H136)/10^6</f>
        <v>0</v>
      </c>
      <c r="K136" s="607">
        <f>SUMIFS(Calculs!BZ$11:BZ$1338,Calculs!$B$11:$B$1338,$H136)/10^6</f>
        <v>0</v>
      </c>
      <c r="L136" s="607">
        <f>SUMIFS(Calculs!CA$11:CA$1338,Calculs!$B$11:$B$1338,$H136)/10^6</f>
        <v>0</v>
      </c>
      <c r="M136" s="607">
        <f>SUMIFS(Calculs!CB$11:CB$1338,Calculs!$B$11:$B$1338,$H136)/10^6</f>
        <v>0</v>
      </c>
      <c r="N136" s="617">
        <f t="shared" si="23"/>
        <v>0</v>
      </c>
      <c r="O136" s="639" t="str">
        <f t="shared" si="25"/>
        <v/>
      </c>
      <c r="Q136" s="627"/>
      <c r="S136" s="581"/>
      <c r="V136" s="607"/>
      <c r="W136" s="607">
        <f>(SUMIFS(Calculs!CB$11:CB$1338,Calculs!$B$11:$B$1338,$H136,Calculs!$F$11:$F$1338,IF($V$40="Tous","&lt;&gt;0",VLOOKUP($V$40,'Listes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36" s="617">
        <f t="shared" si="26"/>
        <v>0</v>
      </c>
      <c r="Y136" s="639"/>
    </row>
    <row r="137" spans="2:25">
      <c r="B137" s="1172"/>
      <c r="C137" s="754" t="str">
        <f t="shared" si="17"/>
        <v>Catégorie 4</v>
      </c>
      <c r="D137" s="1075"/>
      <c r="E137" s="1171"/>
      <c r="F137" s="754" t="str">
        <f t="shared" si="24"/>
        <v>4.4</v>
      </c>
      <c r="G137" s="1072"/>
      <c r="H137" s="38" t="s">
        <v>6563</v>
      </c>
      <c r="I137" s="671"/>
      <c r="J137" s="607">
        <f>SUMIFS(Calculs!BY$11:BY$1338,Calculs!$B$11:$B$1338,$H137)/10^6</f>
        <v>0</v>
      </c>
      <c r="K137" s="607">
        <f>SUMIFS(Calculs!BZ$11:BZ$1338,Calculs!$B$11:$B$1338,$H137)/10^6</f>
        <v>0</v>
      </c>
      <c r="L137" s="607">
        <f>SUMIFS(Calculs!CA$11:CA$1338,Calculs!$B$11:$B$1338,$H137)/10^6</f>
        <v>0</v>
      </c>
      <c r="M137" s="607">
        <f>SUMIFS(Calculs!CB$11:CB$1338,Calculs!$B$11:$B$1338,$H137)/10^6</f>
        <v>0</v>
      </c>
      <c r="N137" s="617">
        <f t="shared" si="23"/>
        <v>0</v>
      </c>
      <c r="O137" s="639" t="str">
        <f t="shared" si="25"/>
        <v/>
      </c>
      <c r="Q137" s="627"/>
      <c r="S137" s="586"/>
      <c r="V137" s="607"/>
      <c r="W137" s="607">
        <f>(SUMIFS(Calculs!CB$11:CB$1338,Calculs!$B$11:$B$1338,$H137,Calculs!$F$11:$F$1338,IF($V$40="Tous","&lt;&gt;0",VLOOKUP($V$40,'Listes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37" s="617">
        <f t="shared" si="26"/>
        <v>0</v>
      </c>
      <c r="Y137" s="639"/>
    </row>
    <row r="138" spans="2:25">
      <c r="B138" s="1172"/>
      <c r="C138" s="754" t="str">
        <f t="shared" si="17"/>
        <v>Catégorie 4</v>
      </c>
      <c r="D138" s="1075"/>
      <c r="E138" s="1171"/>
      <c r="F138" s="754" t="str">
        <f t="shared" si="24"/>
        <v>4.4</v>
      </c>
      <c r="G138" s="1072"/>
      <c r="H138" s="38" t="s">
        <v>6564</v>
      </c>
      <c r="I138" s="671"/>
      <c r="J138" s="607">
        <f>SUMIFS(Calculs!BY$11:BY$1338,Calculs!$B$11:$B$1338,$H138)/10^6</f>
        <v>0</v>
      </c>
      <c r="K138" s="607">
        <f>SUMIFS(Calculs!BZ$11:BZ$1338,Calculs!$B$11:$B$1338,$H138)/10^6</f>
        <v>0</v>
      </c>
      <c r="L138" s="607">
        <f>SUMIFS(Calculs!CA$11:CA$1338,Calculs!$B$11:$B$1338,$H138)/10^6</f>
        <v>0</v>
      </c>
      <c r="M138" s="607">
        <f>SUMIFS(Calculs!CB$11:CB$1338,Calculs!$B$11:$B$1338,$H138)/10^6</f>
        <v>0</v>
      </c>
      <c r="N138" s="617">
        <f t="shared" ref="N138:N143" si="28">M138/$M$155</f>
        <v>0</v>
      </c>
      <c r="O138" s="639" t="str">
        <f t="shared" si="25"/>
        <v/>
      </c>
      <c r="Q138" s="627"/>
      <c r="S138" s="581"/>
      <c r="V138" s="607"/>
      <c r="W138" s="607">
        <f>(SUMIFS(Calculs!CB$11:CB$1338,Calculs!$B$11:$B$1338,$H138,Calculs!$F$11:$F$1338,IF($V$40="Tous","&lt;&gt;0",VLOOKUP($V$40,'Listes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38" s="617">
        <f t="shared" si="26"/>
        <v>0</v>
      </c>
      <c r="Y138" s="639"/>
    </row>
    <row r="139" spans="2:25">
      <c r="B139" s="1172"/>
      <c r="C139" s="754" t="str">
        <f t="shared" si="17"/>
        <v>Catégorie 4</v>
      </c>
      <c r="D139" s="1075"/>
      <c r="E139" s="1171"/>
      <c r="F139" s="754" t="str">
        <f t="shared" si="24"/>
        <v>4.4</v>
      </c>
      <c r="G139" s="1072"/>
      <c r="H139" s="38" t="s">
        <v>6565</v>
      </c>
      <c r="I139" s="671"/>
      <c r="J139" s="607">
        <f>SUMIFS(Calculs!BY$11:BY$1338,Calculs!$B$11:$B$1338,$H139)/10^6</f>
        <v>0</v>
      </c>
      <c r="K139" s="607">
        <f>SUMIFS(Calculs!BZ$11:BZ$1338,Calculs!$B$11:$B$1338,$H139)/10^6</f>
        <v>0</v>
      </c>
      <c r="L139" s="607">
        <f>SUMIFS(Calculs!CA$11:CA$1338,Calculs!$B$11:$B$1338,$H139)/10^6</f>
        <v>0</v>
      </c>
      <c r="M139" s="607">
        <f>SUMIFS(Calculs!CB$11:CB$1338,Calculs!$B$11:$B$1338,$H139)/10^6</f>
        <v>0</v>
      </c>
      <c r="N139" s="617">
        <f t="shared" si="28"/>
        <v>0</v>
      </c>
      <c r="O139" s="639" t="str">
        <f t="shared" si="25"/>
        <v/>
      </c>
      <c r="Q139" s="627"/>
      <c r="S139" s="586"/>
      <c r="V139" s="607"/>
      <c r="W139" s="607">
        <f>(SUMIFS(Calculs!CB$11:CB$1338,Calculs!$B$11:$B$1338,$H139,Calculs!$F$11:$F$1338,IF($V$40="Tous","&lt;&gt;0",VLOOKUP($V$40,'Listes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39" s="617">
        <f t="shared" si="26"/>
        <v>0</v>
      </c>
      <c r="Y139" s="639"/>
    </row>
    <row r="140" spans="2:25">
      <c r="B140" s="1172"/>
      <c r="C140" s="754" t="str">
        <f t="shared" si="17"/>
        <v>Catégorie 4</v>
      </c>
      <c r="D140" s="1075"/>
      <c r="E140" s="1162" t="s">
        <v>6445</v>
      </c>
      <c r="F140" s="754" t="str">
        <f t="shared" si="24"/>
        <v>4.5</v>
      </c>
      <c r="G140" s="1066" t="s">
        <v>1281</v>
      </c>
      <c r="H140" s="905"/>
      <c r="I140" s="910"/>
      <c r="J140" s="907">
        <f>SUMIFS(Calculs!BY$11:BY$1338,Calculs!$B$11:$B$1338,$H140)/10^6</f>
        <v>0</v>
      </c>
      <c r="K140" s="907">
        <f>SUMIFS(Calculs!BZ$11:BZ$1338,Calculs!$B$11:$B$1338,$H140)/10^6</f>
        <v>0</v>
      </c>
      <c r="L140" s="907">
        <f>SUMIFS(Calculs!CA$11:CA$1338,Calculs!$B$11:$B$1338,$H140)/10^6</f>
        <v>0</v>
      </c>
      <c r="M140" s="907">
        <f>SUMIFS(Calculs!CB$11:CB$1338,Calculs!$B$11:$B$1338,$H140)/10^6</f>
        <v>0</v>
      </c>
      <c r="N140" s="908">
        <f t="shared" si="28"/>
        <v>0</v>
      </c>
      <c r="O140" s="909" t="str">
        <f t="shared" si="25"/>
        <v/>
      </c>
      <c r="Q140" s="912"/>
      <c r="S140" s="581"/>
      <c r="V140" s="907"/>
      <c r="W140" s="907">
        <f>(SUMIFS(Calculs!CB$11:CB$1338,Calculs!$B$11:$B$1338,$H140,Calculs!$F$11:$F$1338,IF($V$40="Tous","&lt;&gt;0",VLOOKUP($V$40,'Listes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40" s="908">
        <f t="shared" si="26"/>
        <v>0</v>
      </c>
      <c r="Y140" s="909"/>
    </row>
    <row r="141" spans="2:25">
      <c r="B141" s="1172"/>
      <c r="C141" s="754" t="str">
        <f t="shared" si="17"/>
        <v>Catégorie 4</v>
      </c>
      <c r="D141" s="1075"/>
      <c r="E141" s="1170"/>
      <c r="F141" s="754" t="str">
        <f t="shared" si="24"/>
        <v>4.5</v>
      </c>
      <c r="G141" s="1067"/>
      <c r="H141" s="905"/>
      <c r="I141" s="906"/>
      <c r="J141" s="907">
        <f>SUMIFS(Calculs!BY$11:BY$1338,Calculs!$B$11:$B$1338,$H141)/10^6</f>
        <v>0</v>
      </c>
      <c r="K141" s="907">
        <f>SUMIFS(Calculs!BZ$11:BZ$1338,Calculs!$B$11:$B$1338,$H141)/10^6</f>
        <v>0</v>
      </c>
      <c r="L141" s="907">
        <f>SUMIFS(Calculs!CA$11:CA$1338,Calculs!$B$11:$B$1338,$H141)/10^6</f>
        <v>0</v>
      </c>
      <c r="M141" s="907">
        <f>SUMIFS(Calculs!CB$11:CB$1338,Calculs!$B$11:$B$1338,$H141)/10^6</f>
        <v>0</v>
      </c>
      <c r="N141" s="908">
        <f t="shared" si="28"/>
        <v>0</v>
      </c>
      <c r="O141" s="909" t="str">
        <f t="shared" si="25"/>
        <v/>
      </c>
      <c r="Q141" s="912"/>
      <c r="S141" s="581"/>
      <c r="V141" s="907"/>
      <c r="W141" s="907">
        <f>(SUMIFS(Calculs!CB$11:CB$1338,Calculs!$B$11:$B$1338,$H141,Calculs!$F$11:$F$1338,IF($V$40="Tous","&lt;&gt;0",VLOOKUP($V$40,'Listes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41" s="908">
        <f t="shared" si="26"/>
        <v>0</v>
      </c>
      <c r="Y141" s="909"/>
    </row>
    <row r="142" spans="2:25">
      <c r="B142" s="1172"/>
      <c r="C142" s="754" t="str">
        <f>IF(B142=0,C140,B142)</f>
        <v>Catégorie 4</v>
      </c>
      <c r="D142" s="1075"/>
      <c r="E142" s="1170"/>
      <c r="F142" s="754" t="str">
        <f t="shared" si="24"/>
        <v>4.5</v>
      </c>
      <c r="G142" s="1067"/>
      <c r="H142" s="905" t="s">
        <v>6566</v>
      </c>
      <c r="I142" s="910" t="s">
        <v>6604</v>
      </c>
      <c r="J142" s="907">
        <f>SUMIFS(Calculs!BY$11:BY$1338,Calculs!$B$11:$B$1338,$H142)/10^6</f>
        <v>0</v>
      </c>
      <c r="K142" s="907">
        <f>SUMIFS(Calculs!BZ$11:BZ$1338,Calculs!$B$11:$B$1338,$H142)/10^6</f>
        <v>0</v>
      </c>
      <c r="L142" s="907">
        <f>SUMIFS(Calculs!CA$11:CA$1338,Calculs!$B$11:$B$1338,$H142)/10^6</f>
        <v>0</v>
      </c>
      <c r="M142" s="907">
        <f>SUMIFS(Calculs!CB$11:CB$1338,Calculs!$B$11:$B$1338,$H142)/10^6</f>
        <v>0</v>
      </c>
      <c r="N142" s="908">
        <f t="shared" si="28"/>
        <v>0</v>
      </c>
      <c r="O142" s="909" t="str">
        <f t="shared" si="25"/>
        <v/>
      </c>
      <c r="Q142" s="912"/>
      <c r="S142" s="586"/>
      <c r="V142" s="907"/>
      <c r="W142" s="907">
        <f>(SUMIFS(Calculs!CB$11:CB$1338,Calculs!$B$11:$B$1338,$H142,Calculs!$F$11:$F$1338,IF($V$40="Tous","&lt;&gt;0",VLOOKUP($V$40,'Listes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42" s="908">
        <f>W142/$M$155</f>
        <v>0</v>
      </c>
      <c r="Y142" s="909"/>
    </row>
    <row r="143" spans="2:25">
      <c r="B143" s="1172"/>
      <c r="C143" s="754" t="str">
        <f t="shared" ref="C143:C154" si="29">IF(B143=0,C142,B143)</f>
        <v>Catégorie 4</v>
      </c>
      <c r="D143" s="1075"/>
      <c r="E143" s="1170"/>
      <c r="F143" s="754" t="str">
        <f t="shared" si="24"/>
        <v>4.5</v>
      </c>
      <c r="G143" s="1067"/>
      <c r="H143" s="905" t="s">
        <v>6567</v>
      </c>
      <c r="I143" s="910" t="s">
        <v>6603</v>
      </c>
      <c r="J143" s="907">
        <f>SUMIFS(Calculs!BY$11:BY$1338,Calculs!$B$11:$B$1338,$H143)/10^6</f>
        <v>0</v>
      </c>
      <c r="K143" s="907">
        <f>SUMIFS(Calculs!BZ$11:BZ$1338,Calculs!$B$11:$B$1338,$H143)/10^6</f>
        <v>0</v>
      </c>
      <c r="L143" s="907">
        <f>SUMIFS(Calculs!CA$11:CA$1338,Calculs!$B$11:$B$1338,$H143)/10^6</f>
        <v>0</v>
      </c>
      <c r="M143" s="907">
        <f>SUMIFS(Calculs!CB$11:CB$1338,Calculs!$B$11:$B$1338,$H143)/10^6</f>
        <v>0</v>
      </c>
      <c r="N143" s="908">
        <f t="shared" si="28"/>
        <v>0</v>
      </c>
      <c r="O143" s="909" t="str">
        <f t="shared" si="25"/>
        <v/>
      </c>
      <c r="Q143" s="912"/>
      <c r="S143" s="581"/>
      <c r="V143" s="907"/>
      <c r="W143" s="907">
        <f>(SUMIFS(Calculs!CB$11:CB$1338,Calculs!$B$11:$B$1338,$H143,Calculs!$F$11:$F$1338,IF($V$40="Tous","&lt;&gt;0",VLOOKUP($V$40,'Listes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43" s="908">
        <f>W143/$M$155</f>
        <v>0</v>
      </c>
      <c r="Y143" s="909"/>
    </row>
    <row r="144" spans="2:25">
      <c r="B144" s="1172"/>
      <c r="C144" s="754"/>
      <c r="D144" s="1075"/>
      <c r="E144" s="1170"/>
      <c r="F144" s="754"/>
      <c r="G144" s="1067"/>
      <c r="H144" s="905" t="s">
        <v>6568</v>
      </c>
      <c r="I144" s="910" t="s">
        <v>6602</v>
      </c>
      <c r="J144" s="907"/>
      <c r="K144" s="907"/>
      <c r="L144" s="907"/>
      <c r="M144" s="907"/>
      <c r="N144" s="908"/>
      <c r="O144" s="909"/>
      <c r="Q144" s="912"/>
      <c r="S144" s="581"/>
      <c r="V144" s="907"/>
      <c r="W144" s="907"/>
      <c r="X144" s="908"/>
      <c r="Y144" s="909"/>
    </row>
    <row r="145" spans="2:25">
      <c r="B145" s="1172"/>
      <c r="C145" s="754"/>
      <c r="D145" s="1075"/>
      <c r="E145" s="1170"/>
      <c r="F145" s="754"/>
      <c r="G145" s="1067"/>
      <c r="H145" s="905" t="s">
        <v>6599</v>
      </c>
      <c r="I145" s="910" t="s">
        <v>6516</v>
      </c>
      <c r="J145" s="907"/>
      <c r="K145" s="907"/>
      <c r="L145" s="907"/>
      <c r="M145" s="907"/>
      <c r="N145" s="908"/>
      <c r="O145" s="909"/>
      <c r="Q145" s="912"/>
      <c r="S145" s="581"/>
      <c r="V145" s="907"/>
      <c r="W145" s="907"/>
      <c r="X145" s="908"/>
      <c r="Y145" s="909"/>
    </row>
    <row r="146" spans="2:25">
      <c r="B146" s="1172"/>
      <c r="C146" s="754" t="str">
        <f>IF(B146=0,C143,B146)</f>
        <v>Catégorie 4</v>
      </c>
      <c r="D146" s="1075"/>
      <c r="E146" s="1163"/>
      <c r="F146" s="754" t="str">
        <f>IF(E146=0,F143,E146)</f>
        <v>4.5</v>
      </c>
      <c r="G146" s="1068"/>
      <c r="H146" s="905" t="s">
        <v>6600</v>
      </c>
      <c r="I146" s="910" t="s">
        <v>6601</v>
      </c>
      <c r="J146" s="907">
        <f>SUMIFS(Calculs!BY$11:BY$1338,Calculs!$B$11:$B$1338,$H146)/10^6</f>
        <v>0</v>
      </c>
      <c r="K146" s="907">
        <f>SUMIFS(Calculs!BZ$11:BZ$1338,Calculs!$B$11:$B$1338,$H146)/10^6</f>
        <v>0</v>
      </c>
      <c r="L146" s="907">
        <f>SUMIFS(Calculs!CA$11:CA$1338,Calculs!$B$11:$B$1338,$H146)/10^6</f>
        <v>0</v>
      </c>
      <c r="M146" s="907">
        <f>SUMIFS(Calculs!CB$11:CB$1338,Calculs!$B$11:$B$1338,$H146)/10^6</f>
        <v>0</v>
      </c>
      <c r="N146" s="908">
        <f t="shared" ref="N146:N154" si="30">M146/$M$155</f>
        <v>0</v>
      </c>
      <c r="O146" s="909" t="str">
        <f t="shared" ref="O146:O154" si="31">REPT("|",N146*(100/MAX($N$14:$N$35)))</f>
        <v/>
      </c>
      <c r="Q146" s="912"/>
      <c r="S146" s="586"/>
      <c r="V146" s="907"/>
      <c r="W146" s="907">
        <f>(SUMIFS(Calculs!CB$11:CB$1338,Calculs!$B$11:$B$1338,$H146,Calculs!$F$11:$F$1338,IF($V$40="Tous","&lt;&gt;0",VLOOKUP($V$40,'Listes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46" s="908">
        <f t="shared" ref="X146:X154" si="32">W146/$M$155</f>
        <v>0</v>
      </c>
      <c r="Y146" s="909"/>
    </row>
    <row r="147" spans="2:25">
      <c r="B147" s="1158" t="s">
        <v>87</v>
      </c>
      <c r="C147" s="754" t="str">
        <f t="shared" si="29"/>
        <v>Catégorie 5</v>
      </c>
      <c r="D147" s="1076" t="s">
        <v>6579</v>
      </c>
      <c r="E147" s="913" t="s">
        <v>6447</v>
      </c>
      <c r="F147" s="754" t="str">
        <f t="shared" si="24"/>
        <v>5.1</v>
      </c>
      <c r="G147" s="921" t="s">
        <v>6594</v>
      </c>
      <c r="H147" s="914"/>
      <c r="I147" s="915"/>
      <c r="J147" s="916">
        <f>SUMIFS(Calculs!BY$11:BY$1338,Calculs!$B$11:$B$1338,$H147)/10^6</f>
        <v>0</v>
      </c>
      <c r="K147" s="916">
        <f>SUMIFS(Calculs!BZ$11:BZ$1338,Calculs!$B$11:$B$1338,$H147)/10^6</f>
        <v>0</v>
      </c>
      <c r="L147" s="916">
        <f>SUMIFS(Calculs!CA$11:CA$1338,Calculs!$B$11:$B$1338,$H147)/10^6</f>
        <v>0</v>
      </c>
      <c r="M147" s="916">
        <f>SUMIFS(Calculs!CB$11:CB$1338,Calculs!$B$11:$B$1338,$H147)/10^6</f>
        <v>0</v>
      </c>
      <c r="N147" s="917">
        <f t="shared" si="30"/>
        <v>0</v>
      </c>
      <c r="O147" s="918" t="str">
        <f t="shared" si="31"/>
        <v/>
      </c>
      <c r="Q147" s="919"/>
      <c r="S147" s="581"/>
      <c r="V147" s="916"/>
      <c r="W147" s="916">
        <f>(SUMIFS(Calculs!CB$11:CB$1338,Calculs!$B$11:$B$1338,$H147,Calculs!$F$11:$F$1338,IF($V$40="Tous","&lt;&gt;0",VLOOKUP($V$40,'Listes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47" s="917">
        <f t="shared" si="32"/>
        <v>0</v>
      </c>
      <c r="Y147" s="918"/>
    </row>
    <row r="148" spans="2:25">
      <c r="B148" s="1158"/>
      <c r="C148" s="754" t="str">
        <f t="shared" si="29"/>
        <v>Catégorie 5</v>
      </c>
      <c r="D148" s="1076"/>
      <c r="E148" s="920" t="s">
        <v>6448</v>
      </c>
      <c r="F148" s="754" t="str">
        <f t="shared" si="24"/>
        <v>5.2</v>
      </c>
      <c r="G148" s="922" t="s">
        <v>6595</v>
      </c>
      <c r="H148" s="905"/>
      <c r="I148" s="906"/>
      <c r="J148" s="907">
        <f>SUMIFS(Calculs!BY$11:BY$1338,Calculs!$B$11:$B$1338,$H148)/10^6</f>
        <v>0</v>
      </c>
      <c r="K148" s="907">
        <f>SUMIFS(Calculs!BZ$11:BZ$1338,Calculs!$B$11:$B$1338,$H148)/10^6</f>
        <v>0</v>
      </c>
      <c r="L148" s="907">
        <f>SUMIFS(Calculs!CA$11:CA$1338,Calculs!$B$11:$B$1338,$H148)/10^6</f>
        <v>0</v>
      </c>
      <c r="M148" s="907">
        <f>SUMIFS(Calculs!CB$11:CB$1338,Calculs!$B$11:$B$1338,$H148)/10^6</f>
        <v>0</v>
      </c>
      <c r="N148" s="908">
        <f t="shared" si="30"/>
        <v>0</v>
      </c>
      <c r="O148" s="909" t="str">
        <f t="shared" si="31"/>
        <v/>
      </c>
      <c r="Q148" s="912"/>
      <c r="S148" s="586"/>
      <c r="V148" s="907"/>
      <c r="W148" s="907">
        <f>(SUMIFS(Calculs!CB$11:CB$1338,Calculs!$B$11:$B$1338,$H148,Calculs!$F$11:$F$1338,IF($V$40="Tous","&lt;&gt;0",VLOOKUP($V$40,'Listes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48" s="908">
        <f t="shared" si="32"/>
        <v>0</v>
      </c>
      <c r="Y148" s="909"/>
    </row>
    <row r="149" spans="2:25">
      <c r="B149" s="1158"/>
      <c r="C149" s="754" t="str">
        <f t="shared" si="29"/>
        <v>Catégorie 5</v>
      </c>
      <c r="D149" s="1076"/>
      <c r="E149" s="1159" t="s">
        <v>6449</v>
      </c>
      <c r="F149" s="754" t="str">
        <f t="shared" si="24"/>
        <v>5.3</v>
      </c>
      <c r="G149" s="1164" t="s">
        <v>92</v>
      </c>
      <c r="H149" s="914" t="s">
        <v>6569</v>
      </c>
      <c r="I149" s="915"/>
      <c r="J149" s="916">
        <f>SUMIFS(Calculs!BY$11:BY$1338,Calculs!$B$11:$B$1338,$H149)/10^6</f>
        <v>0</v>
      </c>
      <c r="K149" s="916">
        <f>SUMIFS(Calculs!BZ$11:BZ$1338,Calculs!$B$11:$B$1338,$H149)/10^6</f>
        <v>0</v>
      </c>
      <c r="L149" s="916">
        <f>SUMIFS(Calculs!CA$11:CA$1338,Calculs!$B$11:$B$1338,$H149)/10^6</f>
        <v>0</v>
      </c>
      <c r="M149" s="916">
        <f>SUMIFS(Calculs!CB$11:CB$1338,Calculs!$B$11:$B$1338,$H149)/10^6</f>
        <v>0</v>
      </c>
      <c r="N149" s="917">
        <f t="shared" si="30"/>
        <v>0</v>
      </c>
      <c r="O149" s="918" t="str">
        <f t="shared" si="31"/>
        <v/>
      </c>
      <c r="Q149" s="919"/>
      <c r="S149" s="581"/>
      <c r="V149" s="916"/>
      <c r="W149" s="916">
        <f>(SUMIFS(Calculs!CB$11:CB$1338,Calculs!$B$11:$B$1338,$H149,Calculs!$F$11:$F$1338,IF($V$40="Tous","&lt;&gt;0",VLOOKUP($V$40,'Listes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49" s="917">
        <f t="shared" si="32"/>
        <v>0</v>
      </c>
      <c r="Y149" s="918"/>
    </row>
    <row r="150" spans="2:25">
      <c r="B150" s="1158"/>
      <c r="C150" s="754" t="str">
        <f t="shared" si="29"/>
        <v>Catégorie 5</v>
      </c>
      <c r="D150" s="1076"/>
      <c r="E150" s="1160"/>
      <c r="F150" s="754" t="str">
        <f t="shared" si="24"/>
        <v>5.3</v>
      </c>
      <c r="G150" s="1075"/>
      <c r="H150" s="914" t="s">
        <v>6570</v>
      </c>
      <c r="I150" s="915"/>
      <c r="J150" s="916">
        <f>SUMIFS(Calculs!BY$11:BY$1338,Calculs!$B$11:$B$1338,$H150)/10^6</f>
        <v>0</v>
      </c>
      <c r="K150" s="916">
        <f>SUMIFS(Calculs!BZ$11:BZ$1338,Calculs!$B$11:$B$1338,$H150)/10^6</f>
        <v>0</v>
      </c>
      <c r="L150" s="916">
        <f>SUMIFS(Calculs!CA$11:CA$1338,Calculs!$B$11:$B$1338,$H150)/10^6</f>
        <v>0</v>
      </c>
      <c r="M150" s="916">
        <f>SUMIFS(Calculs!CB$11:CB$1338,Calculs!$B$11:$B$1338,$H150)/10^6</f>
        <v>0</v>
      </c>
      <c r="N150" s="917">
        <f t="shared" si="30"/>
        <v>0</v>
      </c>
      <c r="O150" s="918" t="str">
        <f t="shared" si="31"/>
        <v/>
      </c>
      <c r="Q150" s="919"/>
      <c r="S150" s="586"/>
      <c r="V150" s="916"/>
      <c r="W150" s="916">
        <f>(SUMIFS(Calculs!CB$11:CB$1338,Calculs!$B$11:$B$1338,$H150,Calculs!$F$11:$F$1338,IF($V$40="Tous","&lt;&gt;0",VLOOKUP($V$40,'Listes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50" s="917">
        <f t="shared" si="32"/>
        <v>0</v>
      </c>
      <c r="Y150" s="918"/>
    </row>
    <row r="151" spans="2:25">
      <c r="B151" s="1158"/>
      <c r="C151" s="754" t="str">
        <f t="shared" si="29"/>
        <v>Catégorie 5</v>
      </c>
      <c r="D151" s="1076"/>
      <c r="E151" s="1161"/>
      <c r="F151" s="754" t="str">
        <f t="shared" si="24"/>
        <v>5.3</v>
      </c>
      <c r="G151" s="1165"/>
      <c r="H151" s="914" t="s">
        <v>6571</v>
      </c>
      <c r="I151" s="915"/>
      <c r="J151" s="916">
        <f>SUMIFS(Calculs!BY$11:BY$1338,Calculs!$B$11:$B$1338,$H151)/10^6</f>
        <v>0</v>
      </c>
      <c r="K151" s="916">
        <f>SUMIFS(Calculs!BZ$11:BZ$1338,Calculs!$B$11:$B$1338,$H151)/10^6</f>
        <v>0</v>
      </c>
      <c r="L151" s="916">
        <f>SUMIFS(Calculs!CA$11:CA$1338,Calculs!$B$11:$B$1338,$H151)/10^6</f>
        <v>0</v>
      </c>
      <c r="M151" s="916">
        <f>SUMIFS(Calculs!CB$11:CB$1338,Calculs!$B$11:$B$1338,$H151)/10^6</f>
        <v>0</v>
      </c>
      <c r="N151" s="917">
        <f t="shared" si="30"/>
        <v>0</v>
      </c>
      <c r="O151" s="918" t="str">
        <f t="shared" si="31"/>
        <v/>
      </c>
      <c r="Q151" s="919"/>
      <c r="S151" s="581"/>
      <c r="V151" s="916"/>
      <c r="W151" s="916">
        <f>(SUMIFS(Calculs!CB$11:CB$1338,Calculs!$B$11:$B$1338,$H151,Calculs!$F$11:$F$1338,IF($V$40="Tous","&lt;&gt;0",VLOOKUP($V$40,'Listes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51" s="917">
        <f t="shared" si="32"/>
        <v>0</v>
      </c>
      <c r="Y151" s="918"/>
    </row>
    <row r="152" spans="2:25">
      <c r="B152" s="1158"/>
      <c r="C152" s="754" t="str">
        <f t="shared" si="29"/>
        <v>Catégorie 5</v>
      </c>
      <c r="D152" s="1076"/>
      <c r="E152" s="1162" t="s">
        <v>6450</v>
      </c>
      <c r="F152" s="754" t="str">
        <f t="shared" si="24"/>
        <v>5.4</v>
      </c>
      <c r="G152" s="1066" t="s">
        <v>6596</v>
      </c>
      <c r="H152" s="905" t="s">
        <v>6572</v>
      </c>
      <c r="I152" s="906"/>
      <c r="J152" s="907">
        <f>SUMIFS(Calculs!BY$11:BY$1338,Calculs!$B$11:$B$1338,$H152)/10^6</f>
        <v>0</v>
      </c>
      <c r="K152" s="907">
        <f>SUMIFS(Calculs!BZ$11:BZ$1338,Calculs!$B$11:$B$1338,$H152)/10^6</f>
        <v>0</v>
      </c>
      <c r="L152" s="907">
        <f>SUMIFS(Calculs!CA$11:CA$1338,Calculs!$B$11:$B$1338,$H152)/10^6</f>
        <v>0</v>
      </c>
      <c r="M152" s="907">
        <f>SUMIFS(Calculs!CB$11:CB$1338,Calculs!$B$11:$B$1338,$H152)/10^6</f>
        <v>0</v>
      </c>
      <c r="N152" s="908">
        <f t="shared" si="30"/>
        <v>0</v>
      </c>
      <c r="O152" s="909" t="str">
        <f t="shared" si="31"/>
        <v/>
      </c>
      <c r="Q152" s="912"/>
      <c r="S152" s="586"/>
      <c r="V152" s="907"/>
      <c r="W152" s="907">
        <f>(SUMIFS(Calculs!CB$11:CB$1338,Calculs!$B$11:$B$1338,$H152,Calculs!$F$11:$F$1338,IF($V$40="Tous","&lt;&gt;0",VLOOKUP($V$40,'Listes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52" s="908">
        <f t="shared" si="32"/>
        <v>0</v>
      </c>
      <c r="Y152" s="909"/>
    </row>
    <row r="153" spans="2:25">
      <c r="B153" s="1158"/>
      <c r="C153" s="754" t="str">
        <f t="shared" si="29"/>
        <v>Catégorie 5</v>
      </c>
      <c r="D153" s="1076"/>
      <c r="E153" s="1163"/>
      <c r="F153" s="754" t="str">
        <f t="shared" si="24"/>
        <v>5.4</v>
      </c>
      <c r="G153" s="1068"/>
      <c r="H153" s="905" t="s">
        <v>6573</v>
      </c>
      <c r="I153" s="906"/>
      <c r="J153" s="907">
        <f>SUMIFS(Calculs!BY$11:BY$1338,Calculs!$B$11:$B$1338,$H153)/10^6</f>
        <v>0</v>
      </c>
      <c r="K153" s="907">
        <f>SUMIFS(Calculs!BZ$11:BZ$1338,Calculs!$B$11:$B$1338,$H153)/10^6</f>
        <v>0</v>
      </c>
      <c r="L153" s="907">
        <f>SUMIFS(Calculs!CA$11:CA$1338,Calculs!$B$11:$B$1338,$H153)/10^6</f>
        <v>0</v>
      </c>
      <c r="M153" s="907">
        <f>SUMIFS(Calculs!CB$11:CB$1338,Calculs!$B$11:$B$1338,$H153)/10^6</f>
        <v>0</v>
      </c>
      <c r="N153" s="908">
        <f t="shared" si="30"/>
        <v>0</v>
      </c>
      <c r="O153" s="909" t="str">
        <f t="shared" si="31"/>
        <v/>
      </c>
      <c r="Q153" s="912"/>
      <c r="S153" s="581"/>
      <c r="V153" s="907"/>
      <c r="W153" s="907">
        <f>(SUMIFS(Calculs!CB$11:CB$1338,Calculs!$B$11:$B$1338,$H153,Calculs!$F$11:$F$1338,IF($V$40="Tous","&lt;&gt;0",VLOOKUP($V$40,'Listes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53" s="908">
        <f t="shared" si="32"/>
        <v>0</v>
      </c>
      <c r="Y153" s="909"/>
    </row>
    <row r="154" spans="2:25" ht="15.75" thickBot="1">
      <c r="B154" s="1016" t="s">
        <v>96</v>
      </c>
      <c r="C154" s="1017" t="str">
        <f t="shared" si="29"/>
        <v>Catégorie 6</v>
      </c>
      <c r="D154" s="1018" t="s">
        <v>6580</v>
      </c>
      <c r="E154" s="1019">
        <v>6</v>
      </c>
      <c r="F154" s="1020">
        <f t="shared" si="24"/>
        <v>6</v>
      </c>
      <c r="G154" s="1021" t="s">
        <v>315</v>
      </c>
      <c r="H154" s="1014"/>
      <c r="I154" s="1022"/>
      <c r="J154" s="1015">
        <f>SUMIFS(Calculs!BY$11:BY$1338,Calculs!$B$11:$B$1338,$H154)/10^6</f>
        <v>0</v>
      </c>
      <c r="K154" s="1015">
        <f>SUMIFS(Calculs!BZ$11:BZ$1338,Calculs!$B$11:$B$1338,$H154)/10^6</f>
        <v>0</v>
      </c>
      <c r="L154" s="1015">
        <f>SUMIFS(Calculs!CA$11:CA$1338,Calculs!$B$11:$B$1338,$H154)/10^6</f>
        <v>0</v>
      </c>
      <c r="M154" s="1015">
        <f>SUMIFS(Calculs!CB$11:CB$1338,Calculs!$B$11:$B$1338,$H154)/10^6</f>
        <v>0</v>
      </c>
      <c r="N154" s="1023">
        <f t="shared" si="30"/>
        <v>0</v>
      </c>
      <c r="O154" s="1024" t="str">
        <f t="shared" si="31"/>
        <v/>
      </c>
      <c r="Q154" s="1025"/>
      <c r="S154" s="586"/>
      <c r="V154" s="610"/>
      <c r="W154" s="610">
        <f>(SUMIFS(Calculs!CB$11:CB$1338,Calculs!$B$11:$B$1338,$H154,Calculs!$F$11:$F$1338,IF($V$40="Tous","&lt;&gt;0",VLOOKUP($V$40,'Listes déroulantes, autres'!$H$9:$I$21,2,FALSE)),Calculs!$G$11:$G$1338,IF($W$40="Tous","&lt;&gt;0",$W$40),Calculs!$H$11:$H$1338,IF($X$40="Tous","&lt;&gt;0",$X$40)        )/10^6)</f>
        <v>0</v>
      </c>
      <c r="X154" s="619">
        <f t="shared" si="32"/>
        <v>0</v>
      </c>
      <c r="Y154" s="641" t="str">
        <f>REPT("|",X154*(100/MAX($N$14:$N$35)))</f>
        <v/>
      </c>
    </row>
    <row r="155" spans="2:25" ht="22.5" thickBot="1">
      <c r="B155" s="595"/>
      <c r="C155" s="596"/>
      <c r="D155" s="596"/>
      <c r="E155" s="596"/>
      <c r="F155" s="596"/>
      <c r="G155" s="596"/>
      <c r="H155" s="596"/>
      <c r="I155" s="597" t="s">
        <v>126</v>
      </c>
      <c r="J155" s="598">
        <f>SUM(J42:J154)</f>
        <v>170.09771085240894</v>
      </c>
      <c r="K155" s="598">
        <f>SUM(K42:K154)</f>
        <v>0.14496575591258309</v>
      </c>
      <c r="L155" s="598">
        <f>SUM(L42:L154)</f>
        <v>0.41529310851076562</v>
      </c>
      <c r="M155" s="598">
        <f>SUM(M42:M154)</f>
        <v>177.59167793920335</v>
      </c>
      <c r="N155" s="545" t="s">
        <v>1393</v>
      </c>
      <c r="O155" s="642"/>
      <c r="Q155" s="629">
        <f>SUM(Q42:Q154)</f>
        <v>2.6985000000000001</v>
      </c>
      <c r="S155" s="599"/>
      <c r="V155" s="598"/>
      <c r="W155" s="598">
        <f>SUM(W42:W154)</f>
        <v>60.851451523741723</v>
      </c>
      <c r="X155" s="545" t="s">
        <v>1393</v>
      </c>
      <c r="Y155" s="642"/>
    </row>
    <row r="156" spans="2:25" ht="15.75" thickBot="1"/>
    <row r="157" spans="2:25" ht="27" thickBot="1">
      <c r="B157" s="1136" t="s">
        <v>6350</v>
      </c>
      <c r="C157" s="1137"/>
      <c r="D157" s="1137"/>
      <c r="E157" s="1137"/>
      <c r="F157" s="1137"/>
      <c r="G157" s="1137"/>
      <c r="H157" s="1137"/>
      <c r="I157" s="1137"/>
      <c r="J157" s="1137"/>
      <c r="K157" s="1137"/>
      <c r="L157" s="1137"/>
      <c r="M157" s="1137"/>
      <c r="N157" s="1137"/>
      <c r="O157" s="1138"/>
      <c r="Q157" s="1119" t="s">
        <v>1396</v>
      </c>
      <c r="S157" s="1114" t="s">
        <v>1395</v>
      </c>
    </row>
    <row r="158" spans="2:25" ht="41.25" thickBot="1">
      <c r="B158" s="544" t="s">
        <v>6351</v>
      </c>
      <c r="C158" s="571"/>
      <c r="D158" s="571"/>
      <c r="E158" s="571"/>
      <c r="F158" s="571"/>
      <c r="G158" s="571"/>
      <c r="H158" s="838"/>
      <c r="I158" s="545"/>
      <c r="J158" s="685" t="s">
        <v>6329</v>
      </c>
      <c r="K158" s="685" t="s">
        <v>6330</v>
      </c>
      <c r="L158" s="685" t="s">
        <v>6331</v>
      </c>
      <c r="M158" s="685" t="s">
        <v>6332</v>
      </c>
      <c r="N158" s="545" t="s">
        <v>901</v>
      </c>
      <c r="O158" s="631" t="s">
        <v>1394</v>
      </c>
      <c r="Q158" s="1121"/>
      <c r="S158" s="1116"/>
    </row>
    <row r="159" spans="2:25">
      <c r="B159" s="695">
        <v>1</v>
      </c>
      <c r="C159" s="686"/>
      <c r="D159" s="686"/>
      <c r="E159" s="686" t="s">
        <v>6336</v>
      </c>
      <c r="F159" s="686"/>
      <c r="G159" s="686"/>
      <c r="H159" s="686"/>
      <c r="I159" s="686"/>
      <c r="J159" s="692">
        <f>IF($B159="",,(SUMIFS(Calculs!BY$11:BY$1338,Calculs!$F$11:$F$1338,$B159)/10^6 + (SUMIFS(Calculs!BY$11:BY$1338,Calculs!$F$11:$F$1338,"")/10^6)/12))</f>
        <v>27.777567597502294</v>
      </c>
      <c r="K159" s="692">
        <f>IF($B159="",,(SUMIFS(Calculs!BZ$11:BZ$1338,Calculs!$F$11:$F$1338,$B159)/10^6 + (SUMIFS(Calculs!BZ$11:BZ$1338,Calculs!$F$11:$F$1338,"")/10^6)/12))</f>
        <v>1.4892323494555944E-2</v>
      </c>
      <c r="L159" s="692">
        <f>IF($B159="",,(SUMIFS(Calculs!CA$11:CA$1338,Calculs!$F$11:$F$1338,$B159)/10^6 + (SUMIFS(Calculs!CA$11:CA$1338,Calculs!$F$11:$F$1338,"")/10^6)/12))</f>
        <v>0.19754487779464208</v>
      </c>
      <c r="M159" s="692">
        <f>IF($B159="",,(SUMIFS(Calculs!CB$11:CB$1338,Calculs!$F$11:$F$1338,$B159)/10^6 + (SUMIFS(Calculs!CB$11:CB$1338,Calculs!$F$11:$F$1338,"")/10^6)/12))</f>
        <v>27.990004798791489</v>
      </c>
      <c r="N159" s="687">
        <f>M159/$M$10</f>
        <v>0.15760876367401389</v>
      </c>
      <c r="O159" s="688" t="str">
        <f>REPT("|",N159*(100/MAX($N$4:$N$9)))</f>
        <v>|||||||||||||||||||||||||</v>
      </c>
      <c r="Q159" s="686"/>
      <c r="S159" s="586"/>
    </row>
    <row r="160" spans="2:25">
      <c r="B160" s="696">
        <v>2</v>
      </c>
      <c r="C160" s="689"/>
      <c r="D160" s="689"/>
      <c r="E160" s="689" t="s">
        <v>6337</v>
      </c>
      <c r="F160" s="689"/>
      <c r="G160" s="689"/>
      <c r="H160" s="689"/>
      <c r="I160" s="689"/>
      <c r="J160" s="689">
        <f>IF($B160="",,(SUMIFS(Calculs!BY$11:BY$1338,Calculs!$F$11:$F$1338,$B160)/10^6 + (SUMIFS(Calculs!BY$11:BY$1338,Calculs!$F$11:$F$1338,"")/10^6)/12))</f>
        <v>13.021284304525974</v>
      </c>
      <c r="K160" s="689">
        <f>IF($B160="",,(SUMIFS(Calculs!BZ$11:BZ$1338,Calculs!$F$11:$F$1338,$B160)/10^6 + (SUMIFS(Calculs!BZ$11:BZ$1338,Calculs!$F$11:$F$1338,"")/10^6)/12))</f>
        <v>6.5659967587077617E-3</v>
      </c>
      <c r="L160" s="689">
        <f>IF($B160="",,(SUMIFS(Calculs!CA$11:CA$1338,Calculs!$F$11:$F$1338,$B160)/10^6 + (SUMIFS(Calculs!CA$11:CA$1338,Calculs!$F$11:$F$1338,"")/10^6)/12))</f>
        <v>1.9047538438094022E-2</v>
      </c>
      <c r="M160" s="689">
        <f>IF($B160="",,(SUMIFS(Calculs!CB$11:CB$1338,Calculs!$F$11:$F$1338,$B160)/10^6 + (SUMIFS(Calculs!CB$11:CB$1338,Calculs!$F$11:$F$1338,"")/10^6)/12))</f>
        <v>13.185334231049838</v>
      </c>
      <c r="N160" s="690">
        <f>M160/$M$10</f>
        <v>7.4245225812685306E-2</v>
      </c>
      <c r="O160" s="691" t="str">
        <f>REPT("|",N160*(100/MAX($N$4:$N$9)))</f>
        <v>||||||||||||</v>
      </c>
      <c r="Q160" s="689"/>
      <c r="S160" s="581"/>
    </row>
    <row r="161" spans="2:19">
      <c r="B161" s="697">
        <v>3</v>
      </c>
      <c r="C161" s="692"/>
      <c r="D161" s="692"/>
      <c r="E161" s="692" t="s">
        <v>6338</v>
      </c>
      <c r="F161" s="692"/>
      <c r="G161" s="692"/>
      <c r="H161" s="692"/>
      <c r="I161" s="692"/>
      <c r="J161" s="692">
        <f>IF($B161="",,(SUMIFS(Calculs!BY$11:BY$1338,Calculs!$F$11:$F$1338,$B161)/10^6 + (SUMIFS(Calculs!BY$11:BY$1338,Calculs!$F$11:$F$1338,"")/10^6)/12))</f>
        <v>14.86836853511554</v>
      </c>
      <c r="K161" s="692">
        <f>IF($B161="",,(SUMIFS(Calculs!BZ$11:BZ$1338,Calculs!$F$11:$F$1338,$B161)/10^6 + (SUMIFS(Calculs!BZ$11:BZ$1338,Calculs!$F$11:$F$1338,"")/10^6)/12))</f>
        <v>4.8867664392336287E-2</v>
      </c>
      <c r="L161" s="692">
        <f>IF($B161="",,(SUMIFS(Calculs!CA$11:CA$1338,Calculs!$F$11:$F$1338,$B161)/10^6 + (SUMIFS(Calculs!CA$11:CA$1338,Calculs!$F$11:$F$1338,"")/10^6)/12))</f>
        <v>3.5430907226570094E-2</v>
      </c>
      <c r="M161" s="692">
        <f>IF($B161="",,(SUMIFS(Calculs!CB$11:CB$1338,Calculs!$F$11:$F$1338,$B161)/10^6 + (SUMIFS(Calculs!CB$11:CB$1338,Calculs!$F$11:$F$1338,"")/10^6)/12))</f>
        <v>14.952667106734447</v>
      </c>
      <c r="N161" s="693">
        <f>M161/$M$10</f>
        <v>8.4196890756634071E-2</v>
      </c>
      <c r="O161" s="694" t="str">
        <f>REPT("|",N161*(100/MAX($N$4:$N$9)))</f>
        <v>|||||||||||||</v>
      </c>
      <c r="Q161" s="692"/>
      <c r="S161" s="586"/>
    </row>
    <row r="162" spans="2:19">
      <c r="B162" s="696">
        <v>4</v>
      </c>
      <c r="C162" s="689"/>
      <c r="D162" s="689"/>
      <c r="E162" s="689" t="s">
        <v>6339</v>
      </c>
      <c r="F162" s="689"/>
      <c r="G162" s="689"/>
      <c r="H162" s="689"/>
      <c r="I162" s="689"/>
      <c r="J162" s="689">
        <f>IF($B162="",,(SUMIFS(Calculs!BY$11:BY$1338,Calculs!$F$11:$F$1338,$B162)/10^6 + (SUMIFS(Calculs!BY$11:BY$1338,Calculs!$F$11:$F$1338,"")/10^6)/12))</f>
        <v>22.96670094614057</v>
      </c>
      <c r="K162" s="689">
        <f>IF($B162="",,(SUMIFS(Calculs!BZ$11:BZ$1338,Calculs!$F$11:$F$1338,$B162)/10^6 + (SUMIFS(Calculs!BZ$11:BZ$1338,Calculs!$F$11:$F$1338,"")/10^6)/12))</f>
        <v>2.9735414878553679E-2</v>
      </c>
      <c r="L162" s="689">
        <f>IF($B162="",,(SUMIFS(Calculs!CA$11:CA$1338,Calculs!$F$11:$F$1338,$B162)/10^6 + (SUMIFS(Calculs!CA$11:CA$1338,Calculs!$F$11:$F$1338,"")/10^6)/12))</f>
        <v>1.8513095227939938E-2</v>
      </c>
      <c r="M162" s="689">
        <f>IF($B162="",,(SUMIFS(Calculs!CB$11:CB$1338,Calculs!$F$11:$F$1338,$B162)/10^6 + (SUMIFS(Calculs!CB$11:CB$1338,Calculs!$F$11:$F$1338,"")/10^6)/12))</f>
        <v>23.014949456247063</v>
      </c>
      <c r="N162" s="690">
        <f>M162/$M$10</f>
        <v>0.12959475198002232</v>
      </c>
      <c r="O162" s="691" t="str">
        <f>REPT("|",N162*(100/MAX($N$4:$N$9)))</f>
        <v>|||||||||||||||||||||</v>
      </c>
      <c r="Q162" s="689"/>
      <c r="S162" s="581"/>
    </row>
    <row r="163" spans="2:19">
      <c r="B163" s="697">
        <v>5</v>
      </c>
      <c r="C163" s="692"/>
      <c r="D163" s="692"/>
      <c r="E163" s="692" t="s">
        <v>6340</v>
      </c>
      <c r="F163" s="692"/>
      <c r="G163" s="692"/>
      <c r="H163" s="692"/>
      <c r="I163" s="692"/>
      <c r="J163" s="692">
        <f>IF($B163="",,(SUMIFS(Calculs!BY$11:BY$1338,Calculs!$F$11:$F$1338,$B163)/10^6 + (SUMIFS(Calculs!BY$11:BY$1338,Calculs!$F$11:$F$1338,"")/10^6)/12))</f>
        <v>11.432402246140569</v>
      </c>
      <c r="K163" s="692">
        <f>IF($B163="",,(SUMIFS(Calculs!BZ$11:BZ$1338,Calculs!$F$11:$F$1338,$B163)/10^6 + (SUMIFS(Calculs!BZ$11:BZ$1338,Calculs!$F$11:$F$1338,"")/10^6)/12))</f>
        <v>5.6130445485536784E-3</v>
      </c>
      <c r="L163" s="692">
        <f>IF($B163="",,(SUMIFS(Calculs!CA$11:CA$1338,Calculs!$F$11:$F$1338,$B163)/10^6 + (SUMIFS(Calculs!CA$11:CA$1338,Calculs!$F$11:$F$1338,"")/10^6)/12))</f>
        <v>1.8094586227939937E-2</v>
      </c>
      <c r="M163" s="692">
        <f>IF($B163="",,(SUMIFS(Calculs!CB$11:CB$1338,Calculs!$F$11:$F$1338,$B163)/10^6 + (SUMIFS(Calculs!CB$11:CB$1338,Calculs!$F$11:$F$1338,"")/10^6)/12))</f>
        <v>11.456109876917063</v>
      </c>
      <c r="N163" s="693">
        <f>M163/$M$10</f>
        <v>6.4508145932597918E-2</v>
      </c>
      <c r="O163" s="694" t="str">
        <f>REPT("|",N163*(100/MAX($N$4:$N$9)))</f>
        <v>||||||||||</v>
      </c>
      <c r="Q163" s="692"/>
      <c r="S163" s="586"/>
    </row>
    <row r="164" spans="2:19">
      <c r="B164" s="696">
        <v>6</v>
      </c>
      <c r="C164" s="689"/>
      <c r="D164" s="689"/>
      <c r="E164" s="689" t="s">
        <v>6341</v>
      </c>
      <c r="F164" s="689"/>
      <c r="G164" s="689"/>
      <c r="H164" s="689"/>
      <c r="I164" s="689"/>
      <c r="J164" s="689">
        <f>IF($B164="",,(SUMIFS(Calculs!BY$11:BY$1338,Calculs!$F$11:$F$1338,$B164)/10^6 + (SUMIFS(Calculs!BY$11:BY$1338,Calculs!$F$11:$F$1338,"")/10^6)/12))</f>
        <v>11.432402246140569</v>
      </c>
      <c r="K164" s="689">
        <f>IF($B164="",,(SUMIFS(Calculs!BZ$11:BZ$1338,Calculs!$F$11:$F$1338,$B164)/10^6 + (SUMIFS(Calculs!BZ$11:BZ$1338,Calculs!$F$11:$F$1338,"")/10^6)/12))</f>
        <v>5.6130445485536784E-3</v>
      </c>
      <c r="L164" s="689">
        <f>IF($B164="",,(SUMIFS(Calculs!CA$11:CA$1338,Calculs!$F$11:$F$1338,$B164)/10^6 + (SUMIFS(Calculs!CA$11:CA$1338,Calculs!$F$11:$F$1338,"")/10^6)/12))</f>
        <v>1.8094586227939937E-2</v>
      </c>
      <c r="M164" s="689">
        <f>IF($B164="",,(SUMIFS(Calculs!CB$11:CB$1338,Calculs!$F$11:$F$1338,$B164)/10^6 + (SUMIFS(Calculs!CB$11:CB$1338,Calculs!$F$11:$F$1338,"")/10^6)/12))</f>
        <v>17.950282556824742</v>
      </c>
      <c r="N164" s="690">
        <f t="shared" ref="N164:N170" si="33">M164/$M$10</f>
        <v>0.10107614706455913</v>
      </c>
      <c r="O164" s="691" t="str">
        <f t="shared" ref="O164:O170" si="34">REPT("|",N164*(100/MAX($N$4:$N$9)))</f>
        <v>||||||||||||||||</v>
      </c>
      <c r="Q164" s="689"/>
      <c r="S164" s="581"/>
    </row>
    <row r="165" spans="2:19">
      <c r="B165" s="697">
        <v>7</v>
      </c>
      <c r="C165" s="692"/>
      <c r="D165" s="692"/>
      <c r="E165" s="692" t="s">
        <v>6342</v>
      </c>
      <c r="F165" s="692"/>
      <c r="G165" s="692"/>
      <c r="H165" s="692"/>
      <c r="I165" s="692"/>
      <c r="J165" s="692">
        <f>IF($B165="",,(SUMIFS(Calculs!BY$11:BY$1338,Calculs!$F$11:$F$1338,$B165)/10^6 + (SUMIFS(Calculs!BY$11:BY$1338,Calculs!$F$11:$F$1338,"")/10^6)/12))</f>
        <v>11.432402246140569</v>
      </c>
      <c r="K165" s="692">
        <f>IF($B165="",,(SUMIFS(Calculs!BZ$11:BZ$1338,Calculs!$F$11:$F$1338,$B165)/10^6 + (SUMIFS(Calculs!BZ$11:BZ$1338,Calculs!$F$11:$F$1338,"")/10^6)/12))</f>
        <v>5.6130445485536784E-3</v>
      </c>
      <c r="L165" s="692">
        <f>IF($B165="",,(SUMIFS(Calculs!CA$11:CA$1338,Calculs!$F$11:$F$1338,$B165)/10^6 + (SUMIFS(Calculs!CA$11:CA$1338,Calculs!$F$11:$F$1338,"")/10^6)/12))</f>
        <v>1.8094586227939937E-2</v>
      </c>
      <c r="M165" s="692">
        <f>IF($B165="",,(SUMIFS(Calculs!CB$11:CB$1338,Calculs!$F$11:$F$1338,$B165)/10^6 + (SUMIFS(Calculs!CB$11:CB$1338,Calculs!$F$11:$F$1338,"")/10^6)/12))</f>
        <v>11.757209028053424</v>
      </c>
      <c r="N165" s="693">
        <f t="shared" si="33"/>
        <v>6.6203603482356752E-2</v>
      </c>
      <c r="O165" s="694" t="str">
        <f t="shared" si="34"/>
        <v>||||||||||</v>
      </c>
      <c r="Q165" s="692"/>
      <c r="S165" s="586"/>
    </row>
    <row r="166" spans="2:19">
      <c r="B166" s="696">
        <v>8</v>
      </c>
      <c r="C166" s="689"/>
      <c r="D166" s="689"/>
      <c r="E166" s="689" t="s">
        <v>6343</v>
      </c>
      <c r="F166" s="689"/>
      <c r="G166" s="689"/>
      <c r="H166" s="689"/>
      <c r="I166" s="689"/>
      <c r="J166" s="689">
        <f>IF($B166="",,(SUMIFS(Calculs!BY$11:BY$1338,Calculs!$F$11:$F$1338,$B166)/10^6 + (SUMIFS(Calculs!BY$11:BY$1338,Calculs!$F$11:$F$1338,"")/10^6)/12))</f>
        <v>11.432402246140569</v>
      </c>
      <c r="K166" s="689">
        <f>IF($B166="",,(SUMIFS(Calculs!BZ$11:BZ$1338,Calculs!$F$11:$F$1338,$B166)/10^6 + (SUMIFS(Calculs!BZ$11:BZ$1338,Calculs!$F$11:$F$1338,"")/10^6)/12))</f>
        <v>5.6130445485536784E-3</v>
      </c>
      <c r="L166" s="689">
        <f>IF($B166="",,(SUMIFS(Calculs!CA$11:CA$1338,Calculs!$F$11:$F$1338,$B166)/10^6 + (SUMIFS(Calculs!CA$11:CA$1338,Calculs!$F$11:$F$1338,"")/10^6)/12))</f>
        <v>1.8094586227939937E-2</v>
      </c>
      <c r="M166" s="689">
        <f>IF($B166="",,(SUMIFS(Calculs!CB$11:CB$1338,Calculs!$F$11:$F$1338,$B166)/10^6 + (SUMIFS(Calculs!CB$11:CB$1338,Calculs!$F$11:$F$1338,"")/10^6)/12))</f>
        <v>11.456109876917063</v>
      </c>
      <c r="N166" s="690">
        <f t="shared" si="33"/>
        <v>6.4508145932597918E-2</v>
      </c>
      <c r="O166" s="691" t="str">
        <f t="shared" si="34"/>
        <v>||||||||||</v>
      </c>
      <c r="Q166" s="689"/>
      <c r="S166" s="581"/>
    </row>
    <row r="167" spans="2:19">
      <c r="B167" s="697">
        <v>9</v>
      </c>
      <c r="C167" s="692"/>
      <c r="D167" s="692"/>
      <c r="E167" s="692" t="s">
        <v>6344</v>
      </c>
      <c r="F167" s="692"/>
      <c r="G167" s="692"/>
      <c r="H167" s="692"/>
      <c r="I167" s="692"/>
      <c r="J167" s="692">
        <f>IF($B167="",,(SUMIFS(Calculs!BY$11:BY$1338,Calculs!$F$11:$F$1338,$B167)/10^6 + (SUMIFS(Calculs!BY$11:BY$1338,Calculs!$F$11:$F$1338,"")/10^6)/12))</f>
        <v>11.432402246140569</v>
      </c>
      <c r="K167" s="692">
        <f>IF($B167="",,(SUMIFS(Calculs!BZ$11:BZ$1338,Calculs!$F$11:$F$1338,$B167)/10^6 + (SUMIFS(Calculs!BZ$11:BZ$1338,Calculs!$F$11:$F$1338,"")/10^6)/12))</f>
        <v>5.6130445485536784E-3</v>
      </c>
      <c r="L167" s="692">
        <f>IF($B167="",,(SUMIFS(Calculs!CA$11:CA$1338,Calculs!$F$11:$F$1338,$B167)/10^6 + (SUMIFS(Calculs!CA$11:CA$1338,Calculs!$F$11:$F$1338,"")/10^6)/12))</f>
        <v>1.8094586227939937E-2</v>
      </c>
      <c r="M167" s="692">
        <f>IF($B167="",,(SUMIFS(Calculs!CB$11:CB$1338,Calculs!$F$11:$F$1338,$B167)/10^6 + (SUMIFS(Calculs!CB$11:CB$1338,Calculs!$F$11:$F$1338,"")/10^6)/12))</f>
        <v>11.456109876917063</v>
      </c>
      <c r="N167" s="693">
        <f t="shared" si="33"/>
        <v>6.4508145932597918E-2</v>
      </c>
      <c r="O167" s="694" t="str">
        <f t="shared" si="34"/>
        <v>||||||||||</v>
      </c>
      <c r="Q167" s="692"/>
      <c r="S167" s="586"/>
    </row>
    <row r="168" spans="2:19">
      <c r="B168" s="696">
        <v>10</v>
      </c>
      <c r="C168" s="689"/>
      <c r="D168" s="689"/>
      <c r="E168" s="689" t="s">
        <v>6345</v>
      </c>
      <c r="F168" s="689"/>
      <c r="G168" s="689"/>
      <c r="H168" s="689"/>
      <c r="I168" s="689"/>
      <c r="J168" s="689">
        <f>IF($B168="",,(SUMIFS(Calculs!BY$11:BY$1338,Calculs!$F$11:$F$1338,$B168)/10^6 + (SUMIFS(Calculs!BY$11:BY$1338,Calculs!$F$11:$F$1338,"")/10^6)/12))</f>
        <v>11.432402246140569</v>
      </c>
      <c r="K168" s="689">
        <f>IF($B168="",,(SUMIFS(Calculs!BZ$11:BZ$1338,Calculs!$F$11:$F$1338,$B168)/10^6 + (SUMIFS(Calculs!BZ$11:BZ$1338,Calculs!$F$11:$F$1338,"")/10^6)/12))</f>
        <v>5.6130445485536784E-3</v>
      </c>
      <c r="L168" s="689">
        <f>IF($B168="",,(SUMIFS(Calculs!CA$11:CA$1338,Calculs!$F$11:$F$1338,$B168)/10^6 + (SUMIFS(Calculs!CA$11:CA$1338,Calculs!$F$11:$F$1338,"")/10^6)/12))</f>
        <v>1.8094586227939937E-2</v>
      </c>
      <c r="M168" s="689">
        <f>IF($B168="",,(SUMIFS(Calculs!CB$11:CB$1338,Calculs!$F$11:$F$1338,$B168)/10^6 + (SUMIFS(Calculs!CB$11:CB$1338,Calculs!$F$11:$F$1338,"")/10^6)/12))</f>
        <v>11.456109876917063</v>
      </c>
      <c r="N168" s="690">
        <f t="shared" si="33"/>
        <v>6.4508145932597918E-2</v>
      </c>
      <c r="O168" s="691" t="str">
        <f t="shared" si="34"/>
        <v>||||||||||</v>
      </c>
      <c r="Q168" s="689"/>
      <c r="S168" s="581"/>
    </row>
    <row r="169" spans="2:19">
      <c r="B169" s="697">
        <v>11</v>
      </c>
      <c r="C169" s="692"/>
      <c r="D169" s="692"/>
      <c r="E169" s="692" t="s">
        <v>6346</v>
      </c>
      <c r="F169" s="692"/>
      <c r="G169" s="692"/>
      <c r="H169" s="692"/>
      <c r="I169" s="692"/>
      <c r="J169" s="692">
        <f>IF($B169="",,(SUMIFS(Calculs!BY$11:BY$1338,Calculs!$F$11:$F$1338,$B169)/10^6 + (SUMIFS(Calculs!BY$11:BY$1338,Calculs!$F$11:$F$1338,"")/10^6)/12))</f>
        <v>11.432402246140569</v>
      </c>
      <c r="K169" s="692">
        <f>IF($B169="",,(SUMIFS(Calculs!BZ$11:BZ$1338,Calculs!$F$11:$F$1338,$B169)/10^6 + (SUMIFS(Calculs!BZ$11:BZ$1338,Calculs!$F$11:$F$1338,"")/10^6)/12))</f>
        <v>5.6130445485536784E-3</v>
      </c>
      <c r="L169" s="692">
        <f>IF($B169="",,(SUMIFS(Calculs!CA$11:CA$1338,Calculs!$F$11:$F$1338,$B169)/10^6 + (SUMIFS(Calculs!CA$11:CA$1338,Calculs!$F$11:$F$1338,"")/10^6)/12))</f>
        <v>1.8094586227939937E-2</v>
      </c>
      <c r="M169" s="692">
        <f>IF($B169="",,(SUMIFS(Calculs!CB$11:CB$1338,Calculs!$F$11:$F$1338,$B169)/10^6 + (SUMIFS(Calculs!CB$11:CB$1338,Calculs!$F$11:$F$1338,"")/10^6)/12))</f>
        <v>11.456109876917063</v>
      </c>
      <c r="N169" s="693">
        <f t="shared" si="33"/>
        <v>6.4508145932597918E-2</v>
      </c>
      <c r="O169" s="694" t="str">
        <f t="shared" si="34"/>
        <v>||||||||||</v>
      </c>
      <c r="Q169" s="692"/>
      <c r="S169" s="586"/>
    </row>
    <row r="170" spans="2:19" ht="15.75" thickBot="1">
      <c r="B170" s="696">
        <v>12</v>
      </c>
      <c r="C170" s="689"/>
      <c r="D170" s="689"/>
      <c r="E170" s="689" t="s">
        <v>6347</v>
      </c>
      <c r="F170" s="689"/>
      <c r="G170" s="689"/>
      <c r="H170" s="689"/>
      <c r="I170" s="689"/>
      <c r="J170" s="689">
        <f>IF($B170="",,(SUMIFS(Calculs!BY$11:BY$1338,Calculs!$F$11:$F$1338,$B170)/10^6 + (SUMIFS(Calculs!BY$11:BY$1338,Calculs!$F$11:$F$1338,"")/10^6)/12))</f>
        <v>11.43697374614057</v>
      </c>
      <c r="K170" s="689">
        <f>IF($B170="",,(SUMIFS(Calculs!BZ$11:BZ$1338,Calculs!$F$11:$F$1338,$B170)/10^6 + (SUMIFS(Calculs!BZ$11:BZ$1338,Calculs!$F$11:$F$1338,"")/10^6)/12))</f>
        <v>5.6130445485536784E-3</v>
      </c>
      <c r="L170" s="689">
        <f>IF($B170="",,(SUMIFS(Calculs!CA$11:CA$1338,Calculs!$F$11:$F$1338,$B170)/10^6 + (SUMIFS(Calculs!CA$11:CA$1338,Calculs!$F$11:$F$1338,"")/10^6)/12))</f>
        <v>1.8094586227939937E-2</v>
      </c>
      <c r="M170" s="689">
        <f>IF($B170="",,(SUMIFS(Calculs!CB$11:CB$1338,Calculs!$F$11:$F$1338,$B170)/10^6 + (SUMIFS(Calculs!CB$11:CB$1338,Calculs!$F$11:$F$1338,"")/10^6)/12))</f>
        <v>11.460681376917064</v>
      </c>
      <c r="N170" s="690">
        <f t="shared" si="33"/>
        <v>6.4533887566738946E-2</v>
      </c>
      <c r="O170" s="691" t="str">
        <f t="shared" si="34"/>
        <v>||||||||||</v>
      </c>
      <c r="Q170" s="689"/>
      <c r="S170" s="581"/>
    </row>
    <row r="171" spans="2:19" ht="22.5" thickBot="1">
      <c r="B171" s="595"/>
      <c r="C171" s="596"/>
      <c r="D171" s="596"/>
      <c r="E171" s="596"/>
      <c r="F171" s="596"/>
      <c r="G171" s="596"/>
      <c r="H171" s="596"/>
      <c r="I171" s="597" t="s">
        <v>126</v>
      </c>
      <c r="J171" s="598">
        <f>SUM(J159:J170)</f>
        <v>170.09771085240894</v>
      </c>
      <c r="K171" s="598">
        <f>SUM(K159:K170)</f>
        <v>0.14496575591258309</v>
      </c>
      <c r="L171" s="598">
        <f>SUM(L159:L170)</f>
        <v>0.41529310851076545</v>
      </c>
      <c r="M171" s="598">
        <f>SUM(M159:M170)</f>
        <v>177.59167793920335</v>
      </c>
      <c r="N171" s="545" t="s">
        <v>1393</v>
      </c>
      <c r="O171" s="642"/>
      <c r="Q171" s="629">
        <f>SUM(Q159:Q164)</f>
        <v>0</v>
      </c>
      <c r="S171" s="599"/>
    </row>
    <row r="172" spans="2:19" ht="15.75" thickBot="1"/>
    <row r="173" spans="2:19" ht="27" thickBot="1">
      <c r="B173" s="1136" t="s">
        <v>6349</v>
      </c>
      <c r="C173" s="1137"/>
      <c r="D173" s="1137"/>
      <c r="E173" s="1137"/>
      <c r="F173" s="1137"/>
      <c r="G173" s="1137"/>
      <c r="H173" s="1137"/>
      <c r="I173" s="1137"/>
      <c r="J173" s="1137"/>
      <c r="K173" s="1137"/>
      <c r="L173" s="1137"/>
      <c r="M173" s="1137"/>
      <c r="N173" s="1137"/>
      <c r="O173" s="1138"/>
      <c r="Q173" s="1119" t="s">
        <v>1396</v>
      </c>
      <c r="S173" s="1114" t="s">
        <v>1395</v>
      </c>
    </row>
    <row r="174" spans="2:19" ht="41.25" thickBot="1">
      <c r="B174" s="544" t="s">
        <v>6333</v>
      </c>
      <c r="C174" s="571"/>
      <c r="D174" s="571"/>
      <c r="E174" s="571"/>
      <c r="F174" s="571"/>
      <c r="G174" s="571"/>
      <c r="H174" s="838"/>
      <c r="I174" s="545"/>
      <c r="J174" s="685" t="s">
        <v>6329</v>
      </c>
      <c r="K174" s="685" t="s">
        <v>6330</v>
      </c>
      <c r="L174" s="685" t="s">
        <v>6331</v>
      </c>
      <c r="M174" s="685" t="s">
        <v>6332</v>
      </c>
      <c r="N174" s="545" t="s">
        <v>901</v>
      </c>
      <c r="O174" s="631" t="s">
        <v>1394</v>
      </c>
      <c r="Q174" s="1121"/>
      <c r="S174" s="1116"/>
    </row>
    <row r="175" spans="2:19">
      <c r="B175" s="686" t="str">
        <f>IF('Détails Entreprise'!B9=0,"",'Détails Entreprise'!B9)</f>
        <v>Bureau</v>
      </c>
      <c r="C175" s="686"/>
      <c r="D175" s="686"/>
      <c r="E175" s="686"/>
      <c r="F175" s="686"/>
      <c r="G175" s="686"/>
      <c r="H175" s="686"/>
      <c r="I175" s="686"/>
      <c r="J175" s="692">
        <f>IF($B175="",,(SUMIFS(Calculs!BY$11:BY$1338,Calculs!$G$11:$G$1338,$B175)/10^6 + (SUMIFS(Calculs!BY$11:BY$1338,Calculs!$G$11:$G$1338,"")/10^6)/(COUNTA('Détails Entreprise'!$B$9:$B$19,)-1)))</f>
        <v>61.820503620775824</v>
      </c>
      <c r="K175" s="692">
        <f>IF($B175="",,(SUMIFS(Calculs!BZ$11:BZ$1338,Calculs!$G$11:$G$1338,$B175)/10^6 + (SUMIFS(Calculs!BZ$11:BZ$1338,Calculs!$G$11:$G$1338,"")/10^6)/(COUNTA('Détails Entreprise'!$B$9:$B$19,)-1)))</f>
        <v>5.4280182775007721E-2</v>
      </c>
      <c r="L175" s="692">
        <f>IF($B175="",,(SUMIFS(Calculs!CA$11:CA$1338,Calculs!$G$11:$G$1338,$B175)/10^6 + (SUMIFS(Calculs!CA$11:CA$1338,Calculs!$G$11:$G$1338,"")/10^6)/(COUNTA('Détails Entreprise'!$B$9:$B$19,)-1)))</f>
        <v>3.6433754650943742E-2</v>
      </c>
      <c r="M175" s="692">
        <f>IF($B175="",,(SUMIFS(Calculs!CB$11:CB$1338,Calculs!$G$11:$G$1338,$B175)/10^6 + (SUMIFS(Calculs!CB$11:CB$1338,Calculs!$G$11:$G$1338,"")/10^6)/(COUNTA('Détails Entreprise'!$B$9:$B$19,)-1)))</f>
        <v>62.073880318011071</v>
      </c>
      <c r="N175" s="687">
        <f t="shared" ref="N175:N184" si="35">M175/$M$10</f>
        <v>0.34953147038377219</v>
      </c>
      <c r="O175" s="688" t="str">
        <f t="shared" ref="O175:O184" si="36">REPT("|",N175*(100/MAX($N$4:$N$9)))</f>
        <v>||||||||||||||||||||||||||||||||||||||||||||||||||||||||</v>
      </c>
      <c r="Q175" s="686"/>
      <c r="S175" s="586"/>
    </row>
    <row r="176" spans="2:19">
      <c r="B176" s="689" t="str">
        <f>IF('Détails Entreprise'!B10=0,"",'Détails Entreprise'!B10)</f>
        <v>Usine #1</v>
      </c>
      <c r="C176" s="689"/>
      <c r="D176" s="689"/>
      <c r="E176" s="689"/>
      <c r="F176" s="689"/>
      <c r="G176" s="689"/>
      <c r="H176" s="689"/>
      <c r="I176" s="689"/>
      <c r="J176" s="689">
        <f>IF($B176="",,(SUMIFS(Calculs!BY$11:BY$1338,Calculs!$G$11:$G$1338,$B176)/10^6 + (SUMIFS(Calculs!BY$11:BY$1338,Calculs!$G$11:$G$1338,"")/10^6)/(COUNTA('Détails Entreprise'!$B$9:$B$19,)-1)))</f>
        <v>65.065578466681373</v>
      </c>
      <c r="K176" s="689">
        <f>IF($B176="",,(SUMIFS(Calculs!BZ$11:BZ$1338,Calculs!$G$11:$G$1338,$B176)/10^6 + (SUMIFS(Calculs!BZ$11:BZ$1338,Calculs!$G$11:$G$1338,"")/10^6)/(COUNTA('Détails Entreprise'!$B$9:$B$19,)-1)))</f>
        <v>3.2230109044155499E-2</v>
      </c>
      <c r="L176" s="689">
        <f>IF($B176="",,(SUMIFS(Calculs!CA$11:CA$1338,Calculs!$G$11:$G$1338,$B176)/10^6 + (SUMIFS(Calculs!CA$11:CA$1338,Calculs!$G$11:$G$1338,"")/10^6)/(COUNTA('Détails Entreprise'!$B$9:$B$19,)-1)))</f>
        <v>0.28916481527251708</v>
      </c>
      <c r="M176" s="689">
        <f>IF($B176="",,(SUMIFS(Calculs!CB$11:CB$1338,Calculs!$G$11:$G$1338,$B176)/10^6 + (SUMIFS(Calculs!CB$11:CB$1338,Calculs!$G$11:$G$1338,"")/10^6)/(COUNTA('Détails Entreprise'!$B$9:$B$19,)-1)))</f>
        <v>65.386973390998037</v>
      </c>
      <c r="N176" s="690">
        <f t="shared" si="35"/>
        <v>0.36818714789880286</v>
      </c>
      <c r="O176" s="691" t="str">
        <f t="shared" si="36"/>
        <v>|||||||||||||||||||||||||||||||||||||||||||||||||||||||||||</v>
      </c>
      <c r="Q176" s="689"/>
      <c r="S176" s="581"/>
    </row>
    <row r="177" spans="2:19">
      <c r="B177" s="692" t="str">
        <f>IF('Détails Entreprise'!B11=0,"",'Détails Entreprise'!B11)</f>
        <v>Usine #2</v>
      </c>
      <c r="C177" s="692"/>
      <c r="D177" s="692"/>
      <c r="E177" s="692"/>
      <c r="F177" s="692"/>
      <c r="G177" s="692"/>
      <c r="H177" s="692"/>
      <c r="I177" s="692"/>
      <c r="J177" s="692">
        <f>IF($B177="",,(SUMIFS(Calculs!BY$11:BY$1338,Calculs!$G$11:$G$1338,$B177)/10^6 + (SUMIFS(Calculs!BY$11:BY$1338,Calculs!$G$11:$G$1338,"")/10^6)/(COUNTA('Détails Entreprise'!$B$9:$B$19,)-1)))</f>
        <v>24.360416107171929</v>
      </c>
      <c r="K177" s="692">
        <f>IF($B177="",,(SUMIFS(Calculs!BZ$11:BZ$1338,Calculs!$G$11:$G$1338,$B177)/10^6 + (SUMIFS(Calculs!BZ$11:BZ$1338,Calculs!$G$11:$G$1338,"")/10^6)/(COUNTA('Détails Entreprise'!$B$9:$B$19,)-1)))</f>
        <v>1.2658608407093873E-2</v>
      </c>
      <c r="L177" s="692">
        <f>IF($B177="",,(SUMIFS(Calculs!CA$11:CA$1338,Calculs!$G$11:$G$1338,$B177)/10^6 + (SUMIFS(Calculs!CA$11:CA$1338,Calculs!$G$11:$G$1338,"")/10^6)/(COUNTA('Détails Entreprise'!$B$9:$B$19,)-1)))</f>
        <v>6.9066577104475141E-2</v>
      </c>
      <c r="M177" s="692">
        <f>IF($B177="",,(SUMIFS(Calculs!CB$11:CB$1338,Calculs!$G$11:$G$1338,$B177)/10^6 + (SUMIFS(Calculs!CB$11:CB$1338,Calculs!$G$11:$G$1338,"")/10^6)/(COUNTA('Détails Entreprise'!$B$9:$B$19,)-1)))</f>
        <v>30.936313972591176</v>
      </c>
      <c r="N177" s="693">
        <f t="shared" si="35"/>
        <v>0.17419911975369642</v>
      </c>
      <c r="O177" s="694" t="str">
        <f t="shared" si="36"/>
        <v>||||||||||||||||||||||||||||</v>
      </c>
      <c r="Q177" s="692"/>
      <c r="S177" s="586"/>
    </row>
    <row r="178" spans="2:19">
      <c r="B178" s="689" t="str">
        <f>IF('Détails Entreprise'!B12=0,"",'Détails Entreprise'!B12)</f>
        <v>Shop</v>
      </c>
      <c r="C178" s="689"/>
      <c r="D178" s="689"/>
      <c r="E178" s="689"/>
      <c r="F178" s="689"/>
      <c r="G178" s="689"/>
      <c r="H178" s="689"/>
      <c r="I178" s="689"/>
      <c r="J178" s="689">
        <f>IF($B178="",,(SUMIFS(Calculs!BY$11:BY$1338,Calculs!$G$11:$G$1338,$B178)/10^6 + (SUMIFS(Calculs!BY$11:BY$1338,Calculs!$G$11:$G$1338,"")/10^6)/(COUNTA('Détails Entreprise'!$B$9:$B$19,)-1)))</f>
        <v>18.851212657779815</v>
      </c>
      <c r="K178" s="689">
        <f>IF($B178="",,(SUMIFS(Calculs!BZ$11:BZ$1338,Calculs!$G$11:$G$1338,$B178)/10^6 + (SUMIFS(Calculs!BZ$11:BZ$1338,Calculs!$G$11:$G$1338,"")/10^6)/(COUNTA('Détails Entreprise'!$B$9:$B$19,)-1)))</f>
        <v>4.5796855686325987E-2</v>
      </c>
      <c r="L178" s="689">
        <f>IF($B178="",,(SUMIFS(Calculs!CA$11:CA$1338,Calculs!$G$11:$G$1338,$B178)/10^6 + (SUMIFS(Calculs!CA$11:CA$1338,Calculs!$G$11:$G$1338,"")/10^6)/(COUNTA('Détails Entreprise'!$B$9:$B$19,)-1)))</f>
        <v>2.0627961482829651E-2</v>
      </c>
      <c r="M178" s="689">
        <f>IF($B178="",,(SUMIFS(Calculs!CB$11:CB$1338,Calculs!$G$11:$G$1338,$B178)/10^6 + (SUMIFS(Calculs!CB$11:CB$1338,Calculs!$G$11:$G$1338,"")/10^6)/(COUNTA('Détails Entreprise'!$B$9:$B$19,)-1)))</f>
        <v>19.194510257603095</v>
      </c>
      <c r="N178" s="690">
        <f t="shared" si="35"/>
        <v>0.10808226196372857</v>
      </c>
      <c r="O178" s="691" t="str">
        <f t="shared" si="36"/>
        <v>|||||||||||||||||</v>
      </c>
      <c r="Q178" s="689"/>
      <c r="S178" s="581"/>
    </row>
    <row r="179" spans="2:19">
      <c r="B179" s="692" t="str">
        <f>IF('Détails Entreprise'!B13=0,"",'Détails Entreprise'!B13)</f>
        <v/>
      </c>
      <c r="C179" s="692"/>
      <c r="D179" s="692"/>
      <c r="E179" s="692"/>
      <c r="F179" s="692"/>
      <c r="G179" s="692"/>
      <c r="H179" s="692"/>
      <c r="I179" s="692"/>
      <c r="J179" s="692">
        <f>IF($B179="",,(SUMIFS(Calculs!BY$11:BY$1338,Calculs!$G$11:$G$1338,$B179)/10^6 + (SUMIFS(Calculs!BY$11:BY$1338,Calculs!$G$11:$G$1338,"")/10^6)/(COUNTA('Détails Entreprise'!$B$9:$B$19,)-1)))</f>
        <v>0</v>
      </c>
      <c r="K179" s="692">
        <f>IF($B179="",,(SUMIFS(Calculs!BZ$11:BZ$1338,Calculs!$G$11:$G$1338,$B179)/10^6 + (SUMIFS(Calculs!BZ$11:BZ$1338,Calculs!$G$11:$G$1338,"")/10^6)/(COUNTA('Détails Entreprise'!$B$9:$B$19,)-1)))</f>
        <v>0</v>
      </c>
      <c r="L179" s="692">
        <f>IF($B179="",,(SUMIFS(Calculs!CA$11:CA$1338,Calculs!$G$11:$G$1338,$B179)/10^6 + (SUMIFS(Calculs!CA$11:CA$1338,Calculs!$G$11:$G$1338,"")/10^6)/(COUNTA('Détails Entreprise'!$B$9:$B$19,)-1)))</f>
        <v>0</v>
      </c>
      <c r="M179" s="692">
        <f>IF($B179="",,(SUMIFS(Calculs!CB$11:CB$1338,Calculs!$G$11:$G$1338,$B179)/10^6 + (SUMIFS(Calculs!CB$11:CB$1338,Calculs!$G$11:$G$1338,"")/10^6)/(COUNTA('Détails Entreprise'!$B$9:$B$19,)-1)))</f>
        <v>0</v>
      </c>
      <c r="N179" s="693">
        <f t="shared" si="35"/>
        <v>0</v>
      </c>
      <c r="O179" s="694" t="str">
        <f t="shared" si="36"/>
        <v/>
      </c>
      <c r="Q179" s="692"/>
      <c r="S179" s="586"/>
    </row>
    <row r="180" spans="2:19">
      <c r="B180" s="689" t="str">
        <f>IF('Détails Entreprise'!B14=0,"",'Détails Entreprise'!B14)</f>
        <v/>
      </c>
      <c r="C180" s="689"/>
      <c r="D180" s="689"/>
      <c r="E180" s="689"/>
      <c r="F180" s="689"/>
      <c r="G180" s="689"/>
      <c r="H180" s="689"/>
      <c r="I180" s="689"/>
      <c r="J180" s="689">
        <f>IF($B180="",,(SUMIFS(Calculs!BY$11:BY$1338,Calculs!$G$11:$G$1338,$B180)/10^6 + (SUMIFS(Calculs!BY$11:BY$1338,Calculs!$G$11:$G$1338,"")/10^6)/(COUNTA('Détails Entreprise'!$B$9:$B$19,)-1)))</f>
        <v>0</v>
      </c>
      <c r="K180" s="689">
        <f>IF($B180="",,(SUMIFS(Calculs!BZ$11:BZ$1338,Calculs!$G$11:$G$1338,$B180)/10^6 + (SUMIFS(Calculs!BZ$11:BZ$1338,Calculs!$G$11:$G$1338,"")/10^6)/(COUNTA('Détails Entreprise'!$B$9:$B$19,)-1)))</f>
        <v>0</v>
      </c>
      <c r="L180" s="689">
        <f>IF($B180="",,(SUMIFS(Calculs!CA$11:CA$1338,Calculs!$G$11:$G$1338,$B180)/10^6 + (SUMIFS(Calculs!CA$11:CA$1338,Calculs!$G$11:$G$1338,"")/10^6)/(COUNTA('Détails Entreprise'!$B$9:$B$19,)-1)))</f>
        <v>0</v>
      </c>
      <c r="M180" s="689">
        <f>IF($B180="",,(SUMIFS(Calculs!CB$11:CB$1338,Calculs!$G$11:$G$1338,$B180)/10^6 + (SUMIFS(Calculs!CB$11:CB$1338,Calculs!$G$11:$G$1338,"")/10^6)/(COUNTA('Détails Entreprise'!$B$9:$B$19,)-1)))</f>
        <v>0</v>
      </c>
      <c r="N180" s="690">
        <f t="shared" si="35"/>
        <v>0</v>
      </c>
      <c r="O180" s="691" t="str">
        <f t="shared" si="36"/>
        <v/>
      </c>
      <c r="Q180" s="689"/>
      <c r="S180" s="581"/>
    </row>
    <row r="181" spans="2:19">
      <c r="B181" s="692" t="str">
        <f>IF('Détails Entreprise'!B15=0,"",'Détails Entreprise'!B15)</f>
        <v/>
      </c>
      <c r="C181" s="692"/>
      <c r="D181" s="692"/>
      <c r="E181" s="692"/>
      <c r="F181" s="692"/>
      <c r="G181" s="692"/>
      <c r="H181" s="692"/>
      <c r="I181" s="692"/>
      <c r="J181" s="692">
        <f>IF($B181="",,(SUMIFS(Calculs!BY$11:BY$1338,Calculs!$G$11:$G$1338,$B181)/10^6 + (SUMIFS(Calculs!BY$11:BY$1338,Calculs!$G$11:$G$1338,"")/10^6)/(COUNTA('Détails Entreprise'!$B$9:$B$19,)-1)))</f>
        <v>0</v>
      </c>
      <c r="K181" s="692">
        <f>IF($B181="",,(SUMIFS(Calculs!BZ$11:BZ$1338,Calculs!$G$11:$G$1338,$B181)/10^6 + (SUMIFS(Calculs!BZ$11:BZ$1338,Calculs!$G$11:$G$1338,"")/10^6)/(COUNTA('Détails Entreprise'!$B$9:$B$19,)-1)))</f>
        <v>0</v>
      </c>
      <c r="L181" s="692">
        <f>IF($B181="",,(SUMIFS(Calculs!CA$11:CA$1338,Calculs!$G$11:$G$1338,$B181)/10^6 + (SUMIFS(Calculs!CA$11:CA$1338,Calculs!$G$11:$G$1338,"")/10^6)/(COUNTA('Détails Entreprise'!$B$9:$B$19,)-1)))</f>
        <v>0</v>
      </c>
      <c r="M181" s="692">
        <f>IF($B181="",,(SUMIFS(Calculs!CB$11:CB$1338,Calculs!$G$11:$G$1338,$B181)/10^6 + (SUMIFS(Calculs!CB$11:CB$1338,Calculs!$G$11:$G$1338,"")/10^6)/(COUNTA('Détails Entreprise'!$B$9:$B$19,)-1)))</f>
        <v>0</v>
      </c>
      <c r="N181" s="693">
        <f t="shared" si="35"/>
        <v>0</v>
      </c>
      <c r="O181" s="694" t="str">
        <f t="shared" si="36"/>
        <v/>
      </c>
      <c r="Q181" s="692"/>
      <c r="S181" s="586"/>
    </row>
    <row r="182" spans="2:19">
      <c r="B182" s="689" t="str">
        <f>IF('Détails Entreprise'!B16=0,"",'Détails Entreprise'!B16)</f>
        <v/>
      </c>
      <c r="C182" s="689"/>
      <c r="D182" s="689"/>
      <c r="E182" s="689"/>
      <c r="F182" s="689"/>
      <c r="G182" s="689"/>
      <c r="H182" s="689"/>
      <c r="I182" s="689"/>
      <c r="J182" s="689">
        <f>IF($B182="",,(SUMIFS(Calculs!BY$11:BY$1338,Calculs!$G$11:$G$1338,$B182)/10^6 + (SUMIFS(Calculs!BY$11:BY$1338,Calculs!$G$11:$G$1338,"")/10^6)/(COUNTA('Détails Entreprise'!$B$9:$B$19,)-1)))</f>
        <v>0</v>
      </c>
      <c r="K182" s="689">
        <f>IF($B182="",,(SUMIFS(Calculs!BZ$11:BZ$1338,Calculs!$G$11:$G$1338,$B182)/10^6 + (SUMIFS(Calculs!BZ$11:BZ$1338,Calculs!$G$11:$G$1338,"")/10^6)/(COUNTA('Détails Entreprise'!$B$9:$B$19,)-1)))</f>
        <v>0</v>
      </c>
      <c r="L182" s="689">
        <f>IF($B182="",,(SUMIFS(Calculs!CA$11:CA$1338,Calculs!$G$11:$G$1338,$B182)/10^6 + (SUMIFS(Calculs!CA$11:CA$1338,Calculs!$G$11:$G$1338,"")/10^6)/(COUNTA('Détails Entreprise'!$B$9:$B$19,)-1)))</f>
        <v>0</v>
      </c>
      <c r="M182" s="689">
        <f>IF($B182="",,(SUMIFS(Calculs!CB$11:CB$1338,Calculs!$G$11:$G$1338,$B182)/10^6 + (SUMIFS(Calculs!CB$11:CB$1338,Calculs!$G$11:$G$1338,"")/10^6)/(COUNTA('Détails Entreprise'!$B$9:$B$19,)-1)))</f>
        <v>0</v>
      </c>
      <c r="N182" s="690">
        <f t="shared" si="35"/>
        <v>0</v>
      </c>
      <c r="O182" s="691" t="str">
        <f t="shared" si="36"/>
        <v/>
      </c>
      <c r="Q182" s="689"/>
      <c r="S182" s="581"/>
    </row>
    <row r="183" spans="2:19">
      <c r="B183" s="692" t="str">
        <f>IF('Détails Entreprise'!B17=0,"",'Détails Entreprise'!B17)</f>
        <v/>
      </c>
      <c r="C183" s="692"/>
      <c r="D183" s="692"/>
      <c r="E183" s="692"/>
      <c r="F183" s="692"/>
      <c r="G183" s="692"/>
      <c r="H183" s="692"/>
      <c r="I183" s="692"/>
      <c r="J183" s="692">
        <f>IF($B183="",,(SUMIFS(Calculs!BY$11:BY$1338,Calculs!$G$11:$G$1338,$B183)/10^6 + (SUMIFS(Calculs!BY$11:BY$1338,Calculs!$G$11:$G$1338,"")/10^6)/(COUNTA('Détails Entreprise'!$B$9:$B$19,)-1)))</f>
        <v>0</v>
      </c>
      <c r="K183" s="692">
        <f>IF($B183="",,(SUMIFS(Calculs!BZ$11:BZ$1338,Calculs!$G$11:$G$1338,$B183)/10^6 + (SUMIFS(Calculs!BZ$11:BZ$1338,Calculs!$G$11:$G$1338,"")/10^6)/(COUNTA('Détails Entreprise'!$B$9:$B$19,)-1)))</f>
        <v>0</v>
      </c>
      <c r="L183" s="692">
        <f>IF($B183="",,(SUMIFS(Calculs!CA$11:CA$1338,Calculs!$G$11:$G$1338,$B183)/10^6 + (SUMIFS(Calculs!CA$11:CA$1338,Calculs!$G$11:$G$1338,"")/10^6)/(COUNTA('Détails Entreprise'!$B$9:$B$19,)-1)))</f>
        <v>0</v>
      </c>
      <c r="M183" s="692">
        <f>IF($B183="",,(SUMIFS(Calculs!CB$11:CB$1338,Calculs!$G$11:$G$1338,$B183)/10^6 + (SUMIFS(Calculs!CB$11:CB$1338,Calculs!$G$11:$G$1338,"")/10^6)/(COUNTA('Détails Entreprise'!$B$9:$B$19,)-1)))</f>
        <v>0</v>
      </c>
      <c r="N183" s="693">
        <f t="shared" si="35"/>
        <v>0</v>
      </c>
      <c r="O183" s="694" t="str">
        <f t="shared" si="36"/>
        <v/>
      </c>
      <c r="Q183" s="692"/>
      <c r="S183" s="586"/>
    </row>
    <row r="184" spans="2:19" ht="15.75" thickBot="1">
      <c r="B184" s="689" t="str">
        <f>IF('Détails Entreprise'!B18=0,"",'Détails Entreprise'!B18)</f>
        <v/>
      </c>
      <c r="C184" s="689"/>
      <c r="D184" s="689"/>
      <c r="E184" s="689"/>
      <c r="F184" s="689"/>
      <c r="G184" s="689"/>
      <c r="H184" s="689"/>
      <c r="I184" s="689"/>
      <c r="J184" s="689">
        <f>IF($B184="",,(SUMIFS(Calculs!BY$11:BY$1338,Calculs!$G$11:$G$1338,$B184)/10^6 + (SUMIFS(Calculs!BY$11:BY$1338,Calculs!$G$11:$G$1338,"")/10^6)/(COUNTA('Détails Entreprise'!$B$9:$B$19,)-1)))</f>
        <v>0</v>
      </c>
      <c r="K184" s="689">
        <f>IF($B184="",,(SUMIFS(Calculs!BZ$11:BZ$1338,Calculs!$G$11:$G$1338,$B184)/10^6 + (SUMIFS(Calculs!BZ$11:BZ$1338,Calculs!$G$11:$G$1338,"")/10^6)/(COUNTA('Détails Entreprise'!$B$9:$B$19,)-1)))</f>
        <v>0</v>
      </c>
      <c r="L184" s="689">
        <f>IF($B184="",,(SUMIFS(Calculs!CA$11:CA$1338,Calculs!$G$11:$G$1338,$B184)/10^6 + (SUMIFS(Calculs!CA$11:CA$1338,Calculs!$G$11:$G$1338,"")/10^6)/(COUNTA('Détails Entreprise'!$B$9:$B$19,)-1)))</f>
        <v>0</v>
      </c>
      <c r="M184" s="689">
        <f>IF($B184="",,(SUMIFS(Calculs!CB$11:CB$1338,Calculs!$G$11:$G$1338,$B184)/10^6 + (SUMIFS(Calculs!CB$11:CB$1338,Calculs!$G$11:$G$1338,"")/10^6)/(COUNTA('Détails Entreprise'!$B$9:$B$19,)-1)))</f>
        <v>0</v>
      </c>
      <c r="N184" s="690">
        <f t="shared" si="35"/>
        <v>0</v>
      </c>
      <c r="O184" s="691" t="str">
        <f t="shared" si="36"/>
        <v/>
      </c>
      <c r="Q184" s="689"/>
      <c r="S184" s="581"/>
    </row>
    <row r="185" spans="2:19" ht="22.5" thickBot="1">
      <c r="B185" s="595"/>
      <c r="C185" s="596"/>
      <c r="D185" s="596"/>
      <c r="E185" s="596"/>
      <c r="F185" s="596"/>
      <c r="G185" s="596"/>
      <c r="H185" s="596"/>
      <c r="I185" s="597" t="s">
        <v>126</v>
      </c>
      <c r="J185" s="598">
        <f>SUM(J175:J180)</f>
        <v>170.09771085240894</v>
      </c>
      <c r="K185" s="598">
        <f>SUM(K175:K180)</f>
        <v>0.14496575591258309</v>
      </c>
      <c r="L185" s="598">
        <f>SUM(L175:L180)</f>
        <v>0.41529310851076562</v>
      </c>
      <c r="M185" s="598">
        <f>SUM(M175:M180)</f>
        <v>177.59167793920338</v>
      </c>
      <c r="N185" s="545" t="s">
        <v>1393</v>
      </c>
      <c r="O185" s="642"/>
      <c r="Q185" s="629">
        <f>SUM(Q175:Q180)</f>
        <v>0</v>
      </c>
      <c r="S185" s="599"/>
    </row>
    <row r="186" spans="2:19" ht="15.75" thickBot="1"/>
    <row r="187" spans="2:19" ht="27" thickBot="1">
      <c r="B187" s="1136" t="s">
        <v>6365</v>
      </c>
      <c r="C187" s="1137"/>
      <c r="D187" s="1137"/>
      <c r="E187" s="1137"/>
      <c r="F187" s="1137"/>
      <c r="G187" s="1137"/>
      <c r="H187" s="1137"/>
      <c r="I187" s="1137"/>
      <c r="J187" s="1137"/>
      <c r="K187" s="1137"/>
      <c r="L187" s="1137"/>
      <c r="M187" s="1137"/>
      <c r="N187" s="1137"/>
      <c r="O187" s="1138"/>
      <c r="Q187" s="1119" t="s">
        <v>1396</v>
      </c>
      <c r="S187" s="1114" t="s">
        <v>1395</v>
      </c>
    </row>
    <row r="188" spans="2:19" ht="41.25" thickBot="1">
      <c r="B188" s="544" t="s">
        <v>128</v>
      </c>
      <c r="C188" s="571"/>
      <c r="D188" s="571"/>
      <c r="E188" s="571"/>
      <c r="F188" s="571"/>
      <c r="G188" s="571"/>
      <c r="H188" s="838"/>
      <c r="I188" s="545"/>
      <c r="J188" s="685" t="s">
        <v>6329</v>
      </c>
      <c r="K188" s="685" t="s">
        <v>6330</v>
      </c>
      <c r="L188" s="685" t="s">
        <v>6331</v>
      </c>
      <c r="M188" s="685" t="s">
        <v>6332</v>
      </c>
      <c r="N188" s="545" t="s">
        <v>901</v>
      </c>
      <c r="O188" s="631" t="s">
        <v>1394</v>
      </c>
      <c r="Q188" s="1121"/>
      <c r="S188" s="1116"/>
    </row>
    <row r="189" spans="2:19">
      <c r="B189" s="686" t="str">
        <f>IF('Détails Entreprise'!H9=0,"",'Détails Entreprise'!H9)</f>
        <v>Nettoyage</v>
      </c>
      <c r="C189" s="686"/>
      <c r="D189" s="686"/>
      <c r="E189" s="686"/>
      <c r="F189" s="686"/>
      <c r="G189" s="686"/>
      <c r="H189" s="686"/>
      <c r="I189" s="686"/>
      <c r="J189" s="692">
        <f>IF($B189="",,(SUMIFS(Calculs!BY$11:BY$1338,Calculs!$H$11:$H$1338,$B189)/10^6 + (SUMIFS(Calculs!BY$11:BY$1338,Calculs!$H$11:$H$1338,"")/10^6)/(COUNTA('Détails Entreprise'!$H$9:$H$19,)-1)))</f>
        <v>83.962073230674008</v>
      </c>
      <c r="K189" s="692">
        <f>IF($B189="",,(SUMIFS(Calculs!BZ$11:BZ$1338,Calculs!$H$11:$H$1338,$B189)/10^6 + (SUMIFS(Calculs!BZ$11:BZ$1338,Calculs!$H$11:$H$1338,"")/10^6)/(COUNTA('Détails Entreprise'!$H$9:$H$19,)-1)))</f>
        <v>6.9324401851214495E-2</v>
      </c>
      <c r="L189" s="692">
        <f>IF($B189="",,(SUMIFS(Calculs!CA$11:CA$1338,Calculs!$H$11:$H$1338,$B189)/10^6 + (SUMIFS(Calculs!CA$11:CA$1338,Calculs!$H$11:$H$1338,"")/10^6)/(COUNTA('Détails Entreprise'!$H$9:$H$19,)-1)))</f>
        <v>0.20293857815030578</v>
      </c>
      <c r="M189" s="692">
        <f>IF($B189="",,(SUMIFS(Calculs!CB$11:CB$1338,Calculs!$H$11:$H$1338,$B189)/10^6 + (SUMIFS(Calculs!CB$11:CB$1338,Calculs!$H$11:$H$1338,"")/10^6)/(COUNTA('Détails Entreprise'!$H$9:$H$19,)-1)))</f>
        <v>84.592540373234314</v>
      </c>
      <c r="N189" s="687">
        <f t="shared" ref="N189:N198" si="37">M189/$M$10</f>
        <v>0.47633166911229741</v>
      </c>
      <c r="O189" s="688" t="str">
        <f t="shared" ref="O189:O198" si="38">REPT("|",N189*(100/MAX($N$4:$N$9)))</f>
        <v>|||||||||||||||||||||||||||||||||||||||||||||||||||||||||||||||||||||||||||||</v>
      </c>
      <c r="Q189" s="686"/>
      <c r="S189" s="586"/>
    </row>
    <row r="190" spans="2:19">
      <c r="B190" s="689" t="str">
        <f>IF('Détails Entreprise'!H10=0,"",'Détails Entreprise'!H10)</f>
        <v>Balais</v>
      </c>
      <c r="C190" s="689"/>
      <c r="D190" s="689"/>
      <c r="E190" s="689"/>
      <c r="F190" s="689"/>
      <c r="G190" s="689"/>
      <c r="H190" s="689"/>
      <c r="I190" s="689"/>
      <c r="J190" s="689">
        <f>IF($B190="",,(SUMIFS(Calculs!BY$11:BY$1338,Calculs!$H$11:$H$1338,$B190)/10^6 + (SUMIFS(Calculs!BY$11:BY$1338,Calculs!$H$11:$H$1338,"")/10^6)/(COUNTA('Détails Entreprise'!$H$9:$H$19,)-1)))</f>
        <v>86.135637621734929</v>
      </c>
      <c r="K190" s="689">
        <f>IF($B190="",,(SUMIFS(Calculs!BZ$11:BZ$1338,Calculs!$H$11:$H$1338,$B190)/10^6 + (SUMIFS(Calculs!BZ$11:BZ$1338,Calculs!$H$11:$H$1338,"")/10^6)/(COUNTA('Détails Entreprise'!$H$9:$H$19,)-1)))</f>
        <v>7.5641354061368585E-2</v>
      </c>
      <c r="L190" s="689">
        <f>IF($B190="",,(SUMIFS(Calculs!CA$11:CA$1338,Calculs!$H$11:$H$1338,$B190)/10^6 + (SUMIFS(Calculs!CA$11:CA$1338,Calculs!$H$11:$H$1338,"")/10^6)/(COUNTA('Détails Entreprise'!$H$9:$H$19,)-1)))</f>
        <v>0.21235453036045987</v>
      </c>
      <c r="M190" s="689">
        <f>IF($B190="",,(SUMIFS(Calculs!CB$11:CB$1338,Calculs!$H$11:$H$1338,$B190)/10^6 + (SUMIFS(Calculs!CB$11:CB$1338,Calculs!$H$11:$H$1338,"")/10^6)/(COUNTA('Détails Entreprise'!$H$9:$H$19,)-1)))</f>
        <v>92.999137565969093</v>
      </c>
      <c r="N190" s="690">
        <f t="shared" si="37"/>
        <v>0.5236683308877027</v>
      </c>
      <c r="O190" s="691" t="str">
        <f t="shared" si="38"/>
        <v>|||||||||||||||||||||||||||||||||||||||||||||||||||||||||||||||||||||||||||||||||||||</v>
      </c>
      <c r="Q190" s="689"/>
      <c r="S190" s="581"/>
    </row>
    <row r="191" spans="2:19">
      <c r="B191" s="692" t="str">
        <f>IF('Détails Entreprise'!H11=0,"",'Détails Entreprise'!H11)</f>
        <v/>
      </c>
      <c r="C191" s="692"/>
      <c r="D191" s="692"/>
      <c r="E191" s="692"/>
      <c r="F191" s="692"/>
      <c r="G191" s="692"/>
      <c r="H191" s="692"/>
      <c r="I191" s="692"/>
      <c r="J191" s="692">
        <f>IF($B191="",,(SUMIFS(Calculs!BY$11:BY$1338,Calculs!$H$11:$H$1338,$B191)/10^6 + (SUMIFS(Calculs!BY$11:BY$1338,Calculs!$H$11:$H$1338,"")/10^6)/(COUNTA('Détails Entreprise'!$H$9:$H$19,)-1)))</f>
        <v>0</v>
      </c>
      <c r="K191" s="692">
        <f>IF($B191="",,(SUMIFS(Calculs!BZ$11:BZ$1338,Calculs!$H$11:$H$1338,$B191)/10^6 + (SUMIFS(Calculs!BZ$11:BZ$1338,Calculs!$H$11:$H$1338,"")/10^6)/(COUNTA('Détails Entreprise'!$H$9:$H$19,)-1)))</f>
        <v>0</v>
      </c>
      <c r="L191" s="692">
        <f>IF($B191="",,(SUMIFS(Calculs!CA$11:CA$1338,Calculs!$H$11:$H$1338,$B191)/10^6 + (SUMIFS(Calculs!CA$11:CA$1338,Calculs!$H$11:$H$1338,"")/10^6)/(COUNTA('Détails Entreprise'!$H$9:$H$19,)-1)))</f>
        <v>0</v>
      </c>
      <c r="M191" s="692">
        <f>IF($B191="",,(SUMIFS(Calculs!CB$11:CB$1338,Calculs!$H$11:$H$1338,$B191)/10^6 + (SUMIFS(Calculs!CB$11:CB$1338,Calculs!$H$11:$H$1338,"")/10^6)/(COUNTA('Détails Entreprise'!$H$9:$H$19,)-1)))</f>
        <v>0</v>
      </c>
      <c r="N191" s="693">
        <f t="shared" si="37"/>
        <v>0</v>
      </c>
      <c r="O191" s="694" t="str">
        <f t="shared" si="38"/>
        <v/>
      </c>
      <c r="Q191" s="692"/>
      <c r="S191" s="586"/>
    </row>
    <row r="192" spans="2:19">
      <c r="B192" s="689" t="str">
        <f>IF('Détails Entreprise'!H12=0,"",'Détails Entreprise'!H12)</f>
        <v/>
      </c>
      <c r="C192" s="689"/>
      <c r="D192" s="689"/>
      <c r="E192" s="689"/>
      <c r="F192" s="689"/>
      <c r="G192" s="689"/>
      <c r="H192" s="689"/>
      <c r="I192" s="689"/>
      <c r="J192" s="689">
        <f>IF($B192="",,(SUMIFS(Calculs!BY$11:BY$1338,Calculs!$H$11:$H$1338,$B192)/10^6 + (SUMIFS(Calculs!BY$11:BY$1338,Calculs!$H$11:$H$1338,"")/10^6)/(COUNTA('Détails Entreprise'!$H$9:$H$19,)-1)))</f>
        <v>0</v>
      </c>
      <c r="K192" s="689">
        <f>IF($B192="",,(SUMIFS(Calculs!BZ$11:BZ$1338,Calculs!$H$11:$H$1338,$B192)/10^6 + (SUMIFS(Calculs!BZ$11:BZ$1338,Calculs!$H$11:$H$1338,"")/10^6)/(COUNTA('Détails Entreprise'!$H$9:$H$19,)-1)))</f>
        <v>0</v>
      </c>
      <c r="L192" s="689">
        <f>IF($B192="",,(SUMIFS(Calculs!CA$11:CA$1338,Calculs!$H$11:$H$1338,$B192)/10^6 + (SUMIFS(Calculs!CA$11:CA$1338,Calculs!$H$11:$H$1338,"")/10^6)/(COUNTA('Détails Entreprise'!$H$9:$H$19,)-1)))</f>
        <v>0</v>
      </c>
      <c r="M192" s="689">
        <f>IF($B192="",,(SUMIFS(Calculs!CB$11:CB$1338,Calculs!$H$11:$H$1338,$B192)/10^6 + (SUMIFS(Calculs!CB$11:CB$1338,Calculs!$H$11:$H$1338,"")/10^6)/(COUNTA('Détails Entreprise'!$H$9:$H$19,)-1)))</f>
        <v>0</v>
      </c>
      <c r="N192" s="690">
        <f t="shared" si="37"/>
        <v>0</v>
      </c>
      <c r="O192" s="691" t="str">
        <f t="shared" si="38"/>
        <v/>
      </c>
      <c r="Q192" s="689"/>
      <c r="S192" s="581"/>
    </row>
    <row r="193" spans="2:19">
      <c r="B193" s="692" t="str">
        <f>IF('Détails Entreprise'!H13=0,"",'Détails Entreprise'!H13)</f>
        <v/>
      </c>
      <c r="C193" s="692"/>
      <c r="D193" s="692"/>
      <c r="E193" s="692"/>
      <c r="F193" s="692"/>
      <c r="G193" s="692"/>
      <c r="H193" s="692"/>
      <c r="I193" s="692"/>
      <c r="J193" s="692">
        <f>IF($B193="",,(SUMIFS(Calculs!BY$11:BY$1338,Calculs!$H$11:$H$1338,$B193)/10^6 + (SUMIFS(Calculs!BY$11:BY$1338,Calculs!$H$11:$H$1338,"")/10^6)/(COUNTA('Détails Entreprise'!$H$9:$H$19,)-1)))</f>
        <v>0</v>
      </c>
      <c r="K193" s="692">
        <f>IF($B193="",,(SUMIFS(Calculs!BZ$11:BZ$1338,Calculs!$H$11:$H$1338,$B193)/10^6 + (SUMIFS(Calculs!BZ$11:BZ$1338,Calculs!$H$11:$H$1338,"")/10^6)/(COUNTA('Détails Entreprise'!$H$9:$H$19,)-1)))</f>
        <v>0</v>
      </c>
      <c r="L193" s="692">
        <f>IF($B193="",,(SUMIFS(Calculs!CA$11:CA$1338,Calculs!$H$11:$H$1338,$B193)/10^6 + (SUMIFS(Calculs!CA$11:CA$1338,Calculs!$H$11:$H$1338,"")/10^6)/(COUNTA('Détails Entreprise'!$H$9:$H$19,)-1)))</f>
        <v>0</v>
      </c>
      <c r="M193" s="692">
        <f>IF($B193="",,(SUMIFS(Calculs!CB$11:CB$1338,Calculs!$H$11:$H$1338,$B193)/10^6 + (SUMIFS(Calculs!CB$11:CB$1338,Calculs!$H$11:$H$1338,"")/10^6)/(COUNTA('Détails Entreprise'!$H$9:$H$19,)-1)))</f>
        <v>0</v>
      </c>
      <c r="N193" s="693">
        <f t="shared" si="37"/>
        <v>0</v>
      </c>
      <c r="O193" s="694" t="str">
        <f t="shared" si="38"/>
        <v/>
      </c>
      <c r="Q193" s="692"/>
      <c r="S193" s="586"/>
    </row>
    <row r="194" spans="2:19">
      <c r="B194" s="689" t="str">
        <f>IF('Détails Entreprise'!H14=0,"",'Détails Entreprise'!H14)</f>
        <v/>
      </c>
      <c r="C194" s="689"/>
      <c r="D194" s="689"/>
      <c r="E194" s="689"/>
      <c r="F194" s="689"/>
      <c r="G194" s="689"/>
      <c r="H194" s="689"/>
      <c r="I194" s="689"/>
      <c r="J194" s="689">
        <f>IF($B194="",,(SUMIFS(Calculs!BY$11:BY$1338,Calculs!$H$11:$H$1338,$B194)/10^6 + (SUMIFS(Calculs!BY$11:BY$1338,Calculs!$H$11:$H$1338,"")/10^6)/(COUNTA('Détails Entreprise'!$H$9:$H$19,)-1)))</f>
        <v>0</v>
      </c>
      <c r="K194" s="689">
        <f>IF($B194="",,(SUMIFS(Calculs!BZ$11:BZ$1338,Calculs!$H$11:$H$1338,$B194)/10^6 + (SUMIFS(Calculs!BZ$11:BZ$1338,Calculs!$H$11:$H$1338,"")/10^6)/(COUNTA('Détails Entreprise'!$H$9:$H$19,)-1)))</f>
        <v>0</v>
      </c>
      <c r="L194" s="689">
        <f>IF($B194="",,(SUMIFS(Calculs!CA$11:CA$1338,Calculs!$H$11:$H$1338,$B194)/10^6 + (SUMIFS(Calculs!CA$11:CA$1338,Calculs!$H$11:$H$1338,"")/10^6)/(COUNTA('Détails Entreprise'!$H$9:$H$19,)-1)))</f>
        <v>0</v>
      </c>
      <c r="M194" s="689">
        <f>IF($B194="",,(SUMIFS(Calculs!CB$11:CB$1338,Calculs!$H$11:$H$1338,$B194)/10^6 + (SUMIFS(Calculs!CB$11:CB$1338,Calculs!$H$11:$H$1338,"")/10^6)/(COUNTA('Détails Entreprise'!$H$9:$H$19,)-1)))</f>
        <v>0</v>
      </c>
      <c r="N194" s="690">
        <f t="shared" si="37"/>
        <v>0</v>
      </c>
      <c r="O194" s="691" t="str">
        <f t="shared" si="38"/>
        <v/>
      </c>
      <c r="Q194" s="689"/>
      <c r="S194" s="581"/>
    </row>
    <row r="195" spans="2:19">
      <c r="B195" s="692" t="str">
        <f>IF('Détails Entreprise'!H15=0,"",'Détails Entreprise'!H15)</f>
        <v/>
      </c>
      <c r="C195" s="692"/>
      <c r="D195" s="692"/>
      <c r="E195" s="692"/>
      <c r="F195" s="692"/>
      <c r="G195" s="692"/>
      <c r="H195" s="692"/>
      <c r="I195" s="692"/>
      <c r="J195" s="692">
        <f>IF($B195="",,(SUMIFS(Calculs!BY$11:BY$1338,Calculs!$H$11:$H$1338,$B195)/10^6 + (SUMIFS(Calculs!BY$11:BY$1338,Calculs!$H$11:$H$1338,"")/10^6)/(COUNTA('Détails Entreprise'!$H$9:$H$19,)-1)))</f>
        <v>0</v>
      </c>
      <c r="K195" s="692">
        <f>IF($B195="",,(SUMIFS(Calculs!BZ$11:BZ$1338,Calculs!$H$11:$H$1338,$B195)/10^6 + (SUMIFS(Calculs!BZ$11:BZ$1338,Calculs!$H$11:$H$1338,"")/10^6)/(COUNTA('Détails Entreprise'!$H$9:$H$19,)-1)))</f>
        <v>0</v>
      </c>
      <c r="L195" s="692">
        <f>IF($B195="",,(SUMIFS(Calculs!CA$11:CA$1338,Calculs!$H$11:$H$1338,$B195)/10^6 + (SUMIFS(Calculs!CA$11:CA$1338,Calculs!$H$11:$H$1338,"")/10^6)/(COUNTA('Détails Entreprise'!$H$9:$H$19,)-1)))</f>
        <v>0</v>
      </c>
      <c r="M195" s="692">
        <f>IF($B195="",,(SUMIFS(Calculs!CB$11:CB$1338,Calculs!$H$11:$H$1338,$B195)/10^6 + (SUMIFS(Calculs!CB$11:CB$1338,Calculs!$H$11:$H$1338,"")/10^6)/(COUNTA('Détails Entreprise'!$H$9:$H$19,)-1)))</f>
        <v>0</v>
      </c>
      <c r="N195" s="693">
        <f t="shared" si="37"/>
        <v>0</v>
      </c>
      <c r="O195" s="694" t="str">
        <f t="shared" si="38"/>
        <v/>
      </c>
      <c r="Q195" s="692"/>
      <c r="S195" s="586"/>
    </row>
    <row r="196" spans="2:19">
      <c r="B196" s="689" t="str">
        <f>IF('Détails Entreprise'!H16=0,"",'Détails Entreprise'!H16)</f>
        <v/>
      </c>
      <c r="C196" s="689"/>
      <c r="D196" s="689"/>
      <c r="E196" s="689"/>
      <c r="F196" s="689"/>
      <c r="G196" s="689"/>
      <c r="H196" s="689"/>
      <c r="I196" s="689"/>
      <c r="J196" s="689">
        <f>IF($B196="",,(SUMIFS(Calculs!BY$11:BY$1338,Calculs!$H$11:$H$1338,$B196)/10^6 + (SUMIFS(Calculs!BY$11:BY$1338,Calculs!$H$11:$H$1338,"")/10^6)/(COUNTA('Détails Entreprise'!$H$9:$H$19,)-1)))</f>
        <v>0</v>
      </c>
      <c r="K196" s="689">
        <f>IF($B196="",,(SUMIFS(Calculs!BZ$11:BZ$1338,Calculs!$H$11:$H$1338,$B196)/10^6 + (SUMIFS(Calculs!BZ$11:BZ$1338,Calculs!$H$11:$H$1338,"")/10^6)/(COUNTA('Détails Entreprise'!$H$9:$H$19,)-1)))</f>
        <v>0</v>
      </c>
      <c r="L196" s="689">
        <f>IF($B196="",,(SUMIFS(Calculs!CA$11:CA$1338,Calculs!$H$11:$H$1338,$B196)/10^6 + (SUMIFS(Calculs!CA$11:CA$1338,Calculs!$H$11:$H$1338,"")/10^6)/(COUNTA('Détails Entreprise'!$H$9:$H$19,)-1)))</f>
        <v>0</v>
      </c>
      <c r="M196" s="689">
        <f>IF($B196="",,(SUMIFS(Calculs!CB$11:CB$1338,Calculs!$H$11:$H$1338,$B196)/10^6 + (SUMIFS(Calculs!CB$11:CB$1338,Calculs!$H$11:$H$1338,"")/10^6)/(COUNTA('Détails Entreprise'!$H$9:$H$19,)-1)))</f>
        <v>0</v>
      </c>
      <c r="N196" s="690">
        <f t="shared" si="37"/>
        <v>0</v>
      </c>
      <c r="O196" s="691" t="str">
        <f t="shared" si="38"/>
        <v/>
      </c>
      <c r="Q196" s="689"/>
      <c r="S196" s="581"/>
    </row>
    <row r="197" spans="2:19">
      <c r="B197" s="692" t="str">
        <f>IF('Détails Entreprise'!H17=0,"",'Détails Entreprise'!H17)</f>
        <v/>
      </c>
      <c r="C197" s="692"/>
      <c r="D197" s="692"/>
      <c r="E197" s="692"/>
      <c r="F197" s="692"/>
      <c r="G197" s="692"/>
      <c r="H197" s="692"/>
      <c r="I197" s="692"/>
      <c r="J197" s="692">
        <f>IF($B197="",,(SUMIFS(Calculs!BY$11:BY$1338,Calculs!$H$11:$H$1338,$B197)/10^6 + (SUMIFS(Calculs!BY$11:BY$1338,Calculs!$H$11:$H$1338,"")/10^6)/(COUNTA('Détails Entreprise'!$H$9:$H$19,)-1)))</f>
        <v>0</v>
      </c>
      <c r="K197" s="692">
        <f>IF($B197="",,(SUMIFS(Calculs!BZ$11:BZ$1338,Calculs!$H$11:$H$1338,$B197)/10^6 + (SUMIFS(Calculs!BZ$11:BZ$1338,Calculs!$H$11:$H$1338,"")/10^6)/(COUNTA('Détails Entreprise'!$H$9:$H$19,)-1)))</f>
        <v>0</v>
      </c>
      <c r="L197" s="692">
        <f>IF($B197="",,(SUMIFS(Calculs!CA$11:CA$1338,Calculs!$H$11:$H$1338,$B197)/10^6 + (SUMIFS(Calculs!CA$11:CA$1338,Calculs!$H$11:$H$1338,"")/10^6)/(COUNTA('Détails Entreprise'!$H$9:$H$19,)-1)))</f>
        <v>0</v>
      </c>
      <c r="M197" s="692">
        <f>IF($B197="",,(SUMIFS(Calculs!CB$11:CB$1338,Calculs!$H$11:$H$1338,$B197)/10^6 + (SUMIFS(Calculs!CB$11:CB$1338,Calculs!$H$11:$H$1338,"")/10^6)/(COUNTA('Détails Entreprise'!$H$9:$H$19,)-1)))</f>
        <v>0</v>
      </c>
      <c r="N197" s="693">
        <f t="shared" si="37"/>
        <v>0</v>
      </c>
      <c r="O197" s="694" t="str">
        <f t="shared" si="38"/>
        <v/>
      </c>
      <c r="Q197" s="692"/>
      <c r="S197" s="586"/>
    </row>
    <row r="198" spans="2:19" ht="15.75" thickBot="1">
      <c r="B198" s="689" t="str">
        <f>IF('Détails Entreprise'!H18=0,"",'Détails Entreprise'!H18)</f>
        <v/>
      </c>
      <c r="C198" s="689"/>
      <c r="D198" s="689"/>
      <c r="E198" s="689"/>
      <c r="F198" s="689"/>
      <c r="G198" s="689"/>
      <c r="H198" s="689"/>
      <c r="I198" s="689"/>
      <c r="J198" s="689">
        <f>IF($B198="",,(SUMIFS(Calculs!BY$11:BY$1338,Calculs!$H$11:$H$1338,$B198)/10^6 + (SUMIFS(Calculs!BY$11:BY$1338,Calculs!$H$11:$H$1338,"")/10^6)/(COUNTA('Détails Entreprise'!$H$9:$H$19,)-1)))</f>
        <v>0</v>
      </c>
      <c r="K198" s="689">
        <f>IF($B198="",,(SUMIFS(Calculs!BZ$11:BZ$1338,Calculs!$H$11:$H$1338,$B198)/10^6 + (SUMIFS(Calculs!BZ$11:BZ$1338,Calculs!$H$11:$H$1338,"")/10^6)/(COUNTA('Détails Entreprise'!$H$9:$H$19,)-1)))</f>
        <v>0</v>
      </c>
      <c r="L198" s="689">
        <f>IF($B198="",,(SUMIFS(Calculs!CA$11:CA$1338,Calculs!$H$11:$H$1338,$B198)/10^6 + (SUMIFS(Calculs!CA$11:CA$1338,Calculs!$H$11:$H$1338,"")/10^6)/(COUNTA('Détails Entreprise'!$H$9:$H$19,)-1)))</f>
        <v>0</v>
      </c>
      <c r="M198" s="689">
        <f>IF($B198="",,(SUMIFS(Calculs!CB$11:CB$1338,Calculs!$H$11:$H$1338,$B198)/10^6 + (SUMIFS(Calculs!CB$11:CB$1338,Calculs!$H$11:$H$1338,"")/10^6)/(COUNTA('Détails Entreprise'!$H$9:$H$19,)-1)))</f>
        <v>0</v>
      </c>
      <c r="N198" s="690">
        <f t="shared" si="37"/>
        <v>0</v>
      </c>
      <c r="O198" s="691" t="str">
        <f t="shared" si="38"/>
        <v/>
      </c>
      <c r="Q198" s="689"/>
      <c r="S198" s="581"/>
    </row>
    <row r="199" spans="2:19" ht="22.5" thickBot="1">
      <c r="B199" s="595"/>
      <c r="C199" s="596"/>
      <c r="D199" s="596"/>
      <c r="E199" s="596"/>
      <c r="F199" s="596"/>
      <c r="G199" s="596"/>
      <c r="H199" s="596"/>
      <c r="I199" s="597" t="s">
        <v>126</v>
      </c>
      <c r="J199" s="598">
        <f>SUM(J189:J194)</f>
        <v>170.09771085240894</v>
      </c>
      <c r="K199" s="598">
        <f>SUM(K189:K194)</f>
        <v>0.14496575591258309</v>
      </c>
      <c r="L199" s="598">
        <f>SUM(L189:L194)</f>
        <v>0.41529310851076562</v>
      </c>
      <c r="M199" s="598">
        <f>SUM(M189:M194)</f>
        <v>177.59167793920341</v>
      </c>
      <c r="N199" s="545" t="s">
        <v>1393</v>
      </c>
      <c r="O199" s="642"/>
      <c r="Q199" s="629">
        <f>SUM(Q189:Q194)</f>
        <v>0</v>
      </c>
      <c r="S199" s="599"/>
    </row>
  </sheetData>
  <mergeCells count="79">
    <mergeCell ref="B73:B94"/>
    <mergeCell ref="E125:E130"/>
    <mergeCell ref="E131:E134"/>
    <mergeCell ref="E135:E139"/>
    <mergeCell ref="E140:E146"/>
    <mergeCell ref="B95:B146"/>
    <mergeCell ref="E77:E81"/>
    <mergeCell ref="E82:E85"/>
    <mergeCell ref="E86:E94"/>
    <mergeCell ref="E95:E124"/>
    <mergeCell ref="B147:B153"/>
    <mergeCell ref="E149:E151"/>
    <mergeCell ref="E152:E153"/>
    <mergeCell ref="B187:O187"/>
    <mergeCell ref="Q187:Q188"/>
    <mergeCell ref="G149:G151"/>
    <mergeCell ref="G152:G153"/>
    <mergeCell ref="S187:S188"/>
    <mergeCell ref="B38:O40"/>
    <mergeCell ref="X40:Y40"/>
    <mergeCell ref="X39:Y39"/>
    <mergeCell ref="V38:Y38"/>
    <mergeCell ref="Q173:Q174"/>
    <mergeCell ref="S173:S174"/>
    <mergeCell ref="B157:O157"/>
    <mergeCell ref="Q157:Q158"/>
    <mergeCell ref="S157:S158"/>
    <mergeCell ref="B173:O173"/>
    <mergeCell ref="B66:B72"/>
    <mergeCell ref="E69:E72"/>
    <mergeCell ref="E66:E68"/>
    <mergeCell ref="E73:E74"/>
    <mergeCell ref="E75:E76"/>
    <mergeCell ref="B2:O2"/>
    <mergeCell ref="S2:S3"/>
    <mergeCell ref="Q2:Q3"/>
    <mergeCell ref="B12:O12"/>
    <mergeCell ref="S12:S13"/>
    <mergeCell ref="Q12:Q13"/>
    <mergeCell ref="B14:B18"/>
    <mergeCell ref="B21:B25"/>
    <mergeCell ref="B26:B30"/>
    <mergeCell ref="B31:B34"/>
    <mergeCell ref="S38:S41"/>
    <mergeCell ref="B19:B20"/>
    <mergeCell ref="Q38:Q41"/>
    <mergeCell ref="D14:D18"/>
    <mergeCell ref="D19:D20"/>
    <mergeCell ref="D21:D25"/>
    <mergeCell ref="D26:D30"/>
    <mergeCell ref="D31:D34"/>
    <mergeCell ref="B42:B65"/>
    <mergeCell ref="E42:E43"/>
    <mergeCell ref="E44:E47"/>
    <mergeCell ref="E48:E52"/>
    <mergeCell ref="E61:E65"/>
    <mergeCell ref="E53:E60"/>
    <mergeCell ref="D42:D65"/>
    <mergeCell ref="D66:D72"/>
    <mergeCell ref="D73:D94"/>
    <mergeCell ref="D95:D146"/>
    <mergeCell ref="D147:D153"/>
    <mergeCell ref="G42:G43"/>
    <mergeCell ref="G44:G47"/>
    <mergeCell ref="G48:G52"/>
    <mergeCell ref="G53:G60"/>
    <mergeCell ref="G61:G65"/>
    <mergeCell ref="G66:G68"/>
    <mergeCell ref="G69:G72"/>
    <mergeCell ref="G73:G74"/>
    <mergeCell ref="G75:G76"/>
    <mergeCell ref="G77:G81"/>
    <mergeCell ref="G82:G85"/>
    <mergeCell ref="G86:G94"/>
    <mergeCell ref="G95:G124"/>
    <mergeCell ref="G125:G130"/>
    <mergeCell ref="G131:G134"/>
    <mergeCell ref="G135:G139"/>
    <mergeCell ref="G140:G146"/>
  </mergeCells>
  <phoneticPr fontId="56" type="noConversion"/>
  <conditionalFormatting sqref="S4:S9 S42:S154">
    <cfRule type="containsText" dxfId="4" priority="1" operator="containsText" text="N/A">
      <formula>NOT(ISERROR(SEARCH("N/A",S4)))</formula>
    </cfRule>
  </conditionalFormatting>
  <conditionalFormatting sqref="S14:S35">
    <cfRule type="containsText" dxfId="3" priority="8" operator="containsText" text="N/A">
      <formula>NOT(ISERROR(SEARCH("N/A",S14)))</formula>
    </cfRule>
  </conditionalFormatting>
  <conditionalFormatting sqref="S159:S170">
    <cfRule type="containsText" dxfId="2" priority="4" operator="containsText" text="N/A">
      <formula>NOT(ISERROR(SEARCH("N/A",S159)))</formula>
    </cfRule>
  </conditionalFormatting>
  <conditionalFormatting sqref="S175:S184">
    <cfRule type="containsText" dxfId="1" priority="6" operator="containsText" text="N/A">
      <formula>NOT(ISERROR(SEARCH("N/A",S175)))</formula>
    </cfRule>
  </conditionalFormatting>
  <conditionalFormatting sqref="S189:S198">
    <cfRule type="containsText" dxfId="0" priority="3" operator="containsText" text="N/A">
      <formula>NOT(ISERROR(SEARCH("N/A",S189)))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E8D51F8-DFFF-4405-93FC-76A541156191}">
          <x14:formula1>
            <xm:f>'Listes déroulantes, autres'!$B$9:$B$12</xm:f>
          </x14:formula1>
          <xm:sqref>S14:S35 S189:S198 S159:S170 S175:S184 S4:S9 S42:S154</xm:sqref>
        </x14:dataValidation>
        <x14:dataValidation type="list" allowBlank="1" showInputMessage="1" showErrorMessage="1" xr:uid="{1CFF8B10-45E9-4923-A3F5-51FA8E02791A}">
          <x14:formula1>
            <xm:f>'Détails Entreprise'!$B$9:$B$21</xm:f>
          </x14:formula1>
          <xm:sqref>W40</xm:sqref>
        </x14:dataValidation>
        <x14:dataValidation type="list" allowBlank="1" showInputMessage="1" showErrorMessage="1" xr:uid="{6E00C478-C042-49A2-9FE3-95B721D04BFB}">
          <x14:formula1>
            <xm:f>'Détails Entreprise'!$H$9:$H$21</xm:f>
          </x14:formula1>
          <xm:sqref>X40:Y40</xm:sqref>
        </x14:dataValidation>
        <x14:dataValidation type="list" allowBlank="1" showInputMessage="1" showErrorMessage="1" xr:uid="{DF6C9E4B-3F7F-4478-A511-FFC3CAC77859}">
          <x14:formula1>
            <xm:f>'Listes déroulantes, autres'!$H$9:$H$22</xm:f>
          </x14:formula1>
          <xm:sqref>V40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5A5F-8718-423E-86FB-A5C65270ACEB}">
  <sheetPr codeName="Feuil4">
    <tabColor theme="7" tint="-0.249977111117893"/>
  </sheetPr>
  <dimension ref="A1"/>
  <sheetViews>
    <sheetView workbookViewId="0">
      <selection activeCell="E21" sqref="E21"/>
    </sheetView>
  </sheetViews>
  <sheetFormatPr baseColWidth="10" defaultRowHeight="15"/>
  <cols>
    <col min="1" max="16384" width="11.42578125" style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A15B-18D9-4F58-B47B-770C9B3A5700}">
  <sheetPr codeName="Feuil5">
    <tabColor theme="7" tint="-0.249977111117893"/>
  </sheetPr>
  <dimension ref="A1"/>
  <sheetViews>
    <sheetView workbookViewId="0">
      <selection activeCell="G34" sqref="G34"/>
    </sheetView>
  </sheetViews>
  <sheetFormatPr baseColWidth="10" defaultRowHeight="15"/>
  <cols>
    <col min="1" max="16384" width="11.425781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957DA-AB06-4927-BCF2-A1A956B612B4}">
  <sheetPr codeName="Feuil6">
    <tabColor theme="8" tint="-0.249977111117893"/>
  </sheetPr>
  <dimension ref="B1:T50"/>
  <sheetViews>
    <sheetView workbookViewId="0">
      <selection activeCell="C25" sqref="C25"/>
    </sheetView>
  </sheetViews>
  <sheetFormatPr baseColWidth="10" defaultRowHeight="15"/>
  <cols>
    <col min="1" max="1" width="2.5703125" style="1" customWidth="1"/>
    <col min="2" max="2" width="34" style="1" customWidth="1"/>
    <col min="3" max="3" width="27.5703125" style="1" customWidth="1"/>
    <col min="4" max="4" width="30" style="1" bestFit="1" customWidth="1"/>
    <col min="5" max="5" width="30" style="1" customWidth="1"/>
    <col min="6" max="6" width="4.5703125" style="1" customWidth="1"/>
    <col min="7" max="7" width="4.28515625" style="1" customWidth="1"/>
    <col min="8" max="8" width="25" style="1" bestFit="1" customWidth="1"/>
    <col min="9" max="9" width="19.85546875" style="1" bestFit="1" customWidth="1"/>
    <col min="10" max="10" width="19.28515625" customWidth="1"/>
    <col min="11" max="11" width="11.42578125" style="1"/>
    <col min="12" max="12" width="5.7109375" style="1" bestFit="1" customWidth="1"/>
    <col min="13" max="13" width="29.42578125" style="1" customWidth="1"/>
    <col min="14" max="14" width="4" style="1" customWidth="1"/>
    <col min="15" max="15" width="33" style="1" bestFit="1" customWidth="1"/>
    <col min="16" max="18" width="21.140625" style="1" customWidth="1"/>
    <col min="19" max="19" width="24" style="1" bestFit="1" customWidth="1"/>
    <col min="20" max="20" width="13.140625" style="1" bestFit="1" customWidth="1"/>
    <col min="21" max="16384" width="11.42578125" style="1"/>
  </cols>
  <sheetData>
    <row r="1" spans="2:20" ht="15.75" thickBot="1">
      <c r="J1" s="1"/>
    </row>
    <row r="2" spans="2:20" ht="27" thickBot="1">
      <c r="B2" s="759" t="s">
        <v>6419</v>
      </c>
      <c r="C2" s="760"/>
      <c r="D2" s="760"/>
      <c r="E2" s="760"/>
      <c r="F2" s="760"/>
      <c r="G2" s="760"/>
      <c r="H2" s="760"/>
      <c r="I2" s="760"/>
      <c r="J2" s="760"/>
      <c r="K2" s="760"/>
      <c r="L2" s="760"/>
      <c r="M2" s="760"/>
      <c r="N2" s="760"/>
      <c r="O2" s="760"/>
      <c r="P2" s="760"/>
      <c r="Q2" s="760"/>
      <c r="R2" s="760"/>
      <c r="S2" s="760"/>
      <c r="T2" s="760"/>
    </row>
    <row r="3" spans="2:20" ht="8.25" customHeight="1">
      <c r="J3" s="1"/>
    </row>
    <row r="4" spans="2:20">
      <c r="B4" s="81" t="s">
        <v>129</v>
      </c>
      <c r="C4" s="82" t="s">
        <v>130</v>
      </c>
      <c r="D4" s="82"/>
      <c r="E4" s="82"/>
      <c r="J4" s="1"/>
    </row>
    <row r="5" spans="2:20">
      <c r="B5" s="81" t="s">
        <v>131</v>
      </c>
      <c r="C5" s="82" t="s">
        <v>132</v>
      </c>
      <c r="D5" s="82"/>
      <c r="E5" s="82"/>
      <c r="J5" s="1"/>
    </row>
    <row r="6" spans="2:20" ht="8.25" customHeight="1">
      <c r="J6" s="1"/>
    </row>
    <row r="7" spans="2:20" ht="18.75">
      <c r="B7" s="83" t="s">
        <v>133</v>
      </c>
      <c r="H7" s="83" t="s">
        <v>143</v>
      </c>
      <c r="J7" s="1"/>
      <c r="O7" s="83" t="s">
        <v>1443</v>
      </c>
      <c r="P7" s="83"/>
      <c r="Q7" s="83"/>
      <c r="R7" s="83"/>
    </row>
    <row r="8" spans="2:20" s="706" customFormat="1" ht="30">
      <c r="B8" s="705" t="s">
        <v>134</v>
      </c>
      <c r="C8" s="705" t="s">
        <v>7</v>
      </c>
      <c r="D8" s="705" t="s">
        <v>135</v>
      </c>
      <c r="E8" s="705" t="s">
        <v>6358</v>
      </c>
      <c r="H8" s="705" t="s">
        <v>144</v>
      </c>
      <c r="I8" s="705" t="s">
        <v>7</v>
      </c>
      <c r="J8" s="705" t="s">
        <v>6363</v>
      </c>
      <c r="K8" s="705" t="s">
        <v>721</v>
      </c>
      <c r="L8" s="705" t="s">
        <v>6360</v>
      </c>
      <c r="M8" s="705" t="s">
        <v>6364</v>
      </c>
      <c r="O8" s="705" t="s">
        <v>1444</v>
      </c>
      <c r="P8" s="705" t="s">
        <v>1428</v>
      </c>
      <c r="Q8" s="705" t="s">
        <v>1429</v>
      </c>
      <c r="R8" s="705" t="s">
        <v>1430</v>
      </c>
      <c r="S8" s="705" t="s">
        <v>739</v>
      </c>
      <c r="T8" s="705" t="s">
        <v>579</v>
      </c>
    </row>
    <row r="9" spans="2:20">
      <c r="B9" s="84" t="s">
        <v>136</v>
      </c>
      <c r="C9" s="84"/>
      <c r="D9" s="84" t="s">
        <v>132</v>
      </c>
      <c r="E9" s="704">
        <f>SUMIFS(Calculs!$CC$11:$CC$1338,Calculs!$G$11:$G$1338,$B9)</f>
        <v>60.85145152374173</v>
      </c>
      <c r="H9" s="84" t="s">
        <v>145</v>
      </c>
      <c r="I9" s="84" t="s">
        <v>146</v>
      </c>
      <c r="J9" s="704">
        <f>IF(K9=0,,M9*1000/(K9))</f>
        <v>0.54363264652654664</v>
      </c>
      <c r="K9" s="84">
        <v>2500</v>
      </c>
      <c r="L9" s="84" t="s">
        <v>6361</v>
      </c>
      <c r="M9" s="704">
        <f>SUMIFS(Calculs!$CC$11:$CC$1338,Calculs!$H$11:$H$1338,$H9)</f>
        <v>1.3590816163163666</v>
      </c>
      <c r="O9" s="84" t="s">
        <v>1450</v>
      </c>
      <c r="P9" s="84"/>
      <c r="Q9" s="84"/>
      <c r="R9" s="84"/>
      <c r="S9" s="84" t="s">
        <v>1447</v>
      </c>
      <c r="T9" s="652" t="s">
        <v>1446</v>
      </c>
    </row>
    <row r="10" spans="2:20">
      <c r="B10" s="84" t="s">
        <v>137</v>
      </c>
      <c r="C10" s="84"/>
      <c r="D10" s="84" t="s">
        <v>138</v>
      </c>
      <c r="E10" s="704">
        <f>SUMIFS(Calculs!$CC$11:$CC$1338,Calculs!$G$11:$G$1338,$B10)</f>
        <v>64.164544596728689</v>
      </c>
      <c r="H10" s="84" t="s">
        <v>147</v>
      </c>
      <c r="I10" s="84" t="s">
        <v>148</v>
      </c>
      <c r="J10" s="704">
        <f>IF(K10=0,,M10*1000/(K10))</f>
        <v>6.5104525393674342</v>
      </c>
      <c r="K10" s="84">
        <v>1500</v>
      </c>
      <c r="L10" s="84" t="s">
        <v>6362</v>
      </c>
      <c r="M10" s="704">
        <f>SUMIFS(Calculs!$CC$11:$CC$1338,Calculs!$H$11:$H$1338,$H10)</f>
        <v>9.7656788090511508</v>
      </c>
      <c r="O10" s="84" t="s">
        <v>1449</v>
      </c>
      <c r="P10" s="84"/>
      <c r="Q10" s="84"/>
      <c r="R10" s="84"/>
      <c r="S10" s="84" t="s">
        <v>1448</v>
      </c>
      <c r="T10" s="652" t="s">
        <v>1446</v>
      </c>
    </row>
    <row r="11" spans="2:20">
      <c r="B11" s="84" t="s">
        <v>139</v>
      </c>
      <c r="C11" s="84"/>
      <c r="D11" s="84" t="s">
        <v>140</v>
      </c>
      <c r="E11" s="704">
        <f>SUMIFS(Calculs!$CC$11:$CC$1338,Calculs!$G$11:$G$1338,$B11)</f>
        <v>29.713885178321831</v>
      </c>
      <c r="H11" s="84"/>
      <c r="I11" s="84"/>
      <c r="J11" s="704">
        <f t="shared" ref="J11:J19" si="0">IF(K11=0,,M11*1000/(K11))</f>
        <v>0</v>
      </c>
      <c r="K11" s="84"/>
      <c r="L11" s="84"/>
      <c r="M11" s="704">
        <f>SUMIFS(Calculs!$CC$11:$CC$1338,Calculs!$H$11:$H$1338,$H11)</f>
        <v>0</v>
      </c>
      <c r="O11" s="84"/>
      <c r="P11" s="84"/>
      <c r="Q11" s="84"/>
      <c r="R11" s="84"/>
      <c r="S11" s="84"/>
      <c r="T11" s="652"/>
    </row>
    <row r="12" spans="2:20">
      <c r="B12" s="84" t="s">
        <v>141</v>
      </c>
      <c r="C12" s="84"/>
      <c r="D12" s="84" t="s">
        <v>142</v>
      </c>
      <c r="E12" s="704">
        <f>SUMIFS(Calculs!$CC$11:$CC$1338,Calculs!$G$11:$G$1338,$B12)</f>
        <v>17.972081463333751</v>
      </c>
      <c r="H12" s="84"/>
      <c r="I12" s="84"/>
      <c r="J12" s="704">
        <f t="shared" si="0"/>
        <v>0</v>
      </c>
      <c r="K12" s="84"/>
      <c r="L12" s="84"/>
      <c r="M12" s="704">
        <f>SUMIFS(Calculs!$CC$11:$CC$1338,Calculs!$H$11:$H$1338,$H12)</f>
        <v>0</v>
      </c>
      <c r="O12" s="84"/>
      <c r="P12" s="84"/>
      <c r="Q12" s="84"/>
      <c r="R12" s="84"/>
      <c r="S12" s="84"/>
      <c r="T12" s="652"/>
    </row>
    <row r="13" spans="2:20">
      <c r="B13" s="84"/>
      <c r="C13" s="84"/>
      <c r="D13" s="84"/>
      <c r="E13" s="704">
        <f>SUMIFS(Calculs!$CC$11:$CC$1338,Calculs!$G$11:$G$1338,$B13)</f>
        <v>0</v>
      </c>
      <c r="H13" s="84"/>
      <c r="I13" s="84"/>
      <c r="J13" s="704">
        <f t="shared" si="0"/>
        <v>0</v>
      </c>
      <c r="K13" s="84"/>
      <c r="L13" s="84"/>
      <c r="M13" s="704">
        <f>SUMIFS(Calculs!$CC$11:$CC$1338,Calculs!$H$11:$H$1338,$H13)</f>
        <v>0</v>
      </c>
      <c r="O13" s="84"/>
      <c r="P13" s="84"/>
      <c r="Q13" s="84"/>
      <c r="R13" s="84"/>
      <c r="S13" s="84"/>
      <c r="T13" s="652"/>
    </row>
    <row r="14" spans="2:20">
      <c r="B14" s="84"/>
      <c r="C14" s="84"/>
      <c r="D14" s="84"/>
      <c r="E14" s="704">
        <f>SUMIFS(Calculs!$CC$11:$CC$1338,Calculs!$G$11:$G$1338,$B14)</f>
        <v>0</v>
      </c>
      <c r="H14" s="84"/>
      <c r="I14" s="84"/>
      <c r="J14" s="704">
        <f t="shared" si="0"/>
        <v>0</v>
      </c>
      <c r="K14" s="84"/>
      <c r="L14" s="84"/>
      <c r="M14" s="704">
        <f>SUMIFS(Calculs!$CC$11:$CC$1338,Calculs!$H$11:$H$1338,$H14)</f>
        <v>0</v>
      </c>
      <c r="O14" s="84"/>
      <c r="P14" s="84"/>
      <c r="Q14" s="84"/>
      <c r="R14" s="84"/>
      <c r="S14" s="84"/>
      <c r="T14" s="652"/>
    </row>
    <row r="15" spans="2:20">
      <c r="B15" s="84"/>
      <c r="C15" s="84"/>
      <c r="D15" s="84"/>
      <c r="E15" s="704">
        <f>SUMIFS(Calculs!$CC$11:$CC$1338,Calculs!$G$11:$G$1338,$B15)</f>
        <v>0</v>
      </c>
      <c r="H15" s="84"/>
      <c r="I15" s="84"/>
      <c r="J15" s="704">
        <f t="shared" si="0"/>
        <v>0</v>
      </c>
      <c r="K15" s="84"/>
      <c r="L15" s="84"/>
      <c r="M15" s="704">
        <f>SUMIFS(Calculs!$CC$11:$CC$1338,Calculs!$H$11:$H$1338,$H15)</f>
        <v>0</v>
      </c>
      <c r="O15" s="84"/>
      <c r="P15" s="84"/>
      <c r="Q15" s="84"/>
      <c r="R15" s="84"/>
      <c r="S15" s="84"/>
      <c r="T15" s="652"/>
    </row>
    <row r="16" spans="2:20">
      <c r="B16" s="84"/>
      <c r="C16" s="84"/>
      <c r="D16" s="84"/>
      <c r="E16" s="704">
        <f>SUMIFS(Calculs!$CC$11:$CC$1338,Calculs!$G$11:$G$1338,$B16)</f>
        <v>0</v>
      </c>
      <c r="H16" s="84"/>
      <c r="I16" s="84"/>
      <c r="J16" s="704">
        <f t="shared" si="0"/>
        <v>0</v>
      </c>
      <c r="K16" s="84"/>
      <c r="L16" s="84"/>
      <c r="M16" s="704">
        <f>SUMIFS(Calculs!$CC$11:$CC$1338,Calculs!$H$11:$H$1338,$H16)</f>
        <v>0</v>
      </c>
      <c r="O16" s="84"/>
      <c r="P16" s="84"/>
      <c r="Q16" s="84"/>
      <c r="R16" s="84"/>
      <c r="S16" s="84"/>
      <c r="T16" s="652"/>
    </row>
    <row r="17" spans="2:20">
      <c r="B17" s="84"/>
      <c r="C17" s="84"/>
      <c r="D17" s="84"/>
      <c r="E17" s="704">
        <f>SUMIFS(Calculs!$CC$11:$CC$1338,Calculs!$G$11:$G$1338,$B17)</f>
        <v>0</v>
      </c>
      <c r="H17" s="84"/>
      <c r="I17" s="84"/>
      <c r="J17" s="704">
        <f t="shared" si="0"/>
        <v>0</v>
      </c>
      <c r="K17" s="84"/>
      <c r="L17" s="84"/>
      <c r="M17" s="704">
        <f>SUMIFS(Calculs!$CC$11:$CC$1338,Calculs!$H$11:$H$1338,$H17)</f>
        <v>0</v>
      </c>
      <c r="O17" s="84"/>
      <c r="P17" s="84"/>
      <c r="Q17" s="84"/>
      <c r="R17" s="84"/>
      <c r="S17" s="84"/>
      <c r="T17" s="652"/>
    </row>
    <row r="18" spans="2:20">
      <c r="B18" s="84"/>
      <c r="C18" s="84"/>
      <c r="D18" s="84"/>
      <c r="E18" s="704">
        <f>SUMIFS(Calculs!$CC$11:$CC$1338,Calculs!$G$11:$G$1338,$B18)</f>
        <v>0</v>
      </c>
      <c r="H18" s="84"/>
      <c r="I18" s="84"/>
      <c r="J18" s="704">
        <f t="shared" si="0"/>
        <v>0</v>
      </c>
      <c r="K18" s="84"/>
      <c r="L18" s="84"/>
      <c r="M18" s="704">
        <f>SUMIFS(Calculs!$CC$11:$CC$1338,Calculs!$H$11:$H$1338,$H18)</f>
        <v>0</v>
      </c>
      <c r="O18" s="84"/>
      <c r="P18" s="84"/>
      <c r="Q18" s="84"/>
      <c r="R18" s="84"/>
      <c r="S18" s="84"/>
      <c r="T18" s="652"/>
    </row>
    <row r="19" spans="2:20">
      <c r="B19" s="84"/>
      <c r="C19" s="84"/>
      <c r="D19" s="84"/>
      <c r="E19" s="704">
        <f>SUMIFS(Calculs!$CC$11:$CC$1338,Calculs!$G$11:$G$1338,$B19)</f>
        <v>0</v>
      </c>
      <c r="H19" s="84"/>
      <c r="I19" s="84"/>
      <c r="J19" s="704">
        <f t="shared" si="0"/>
        <v>0</v>
      </c>
      <c r="K19" s="84"/>
      <c r="L19" s="84"/>
      <c r="M19" s="704">
        <f>SUMIFS(Calculs!$CC$11:$CC$1338,Calculs!$H$11:$H$1338,$H19)</f>
        <v>0</v>
      </c>
      <c r="O19" s="84"/>
      <c r="P19" s="84"/>
      <c r="Q19" s="84"/>
      <c r="R19" s="84"/>
      <c r="S19" s="84"/>
      <c r="T19" s="652"/>
    </row>
    <row r="20" spans="2:20">
      <c r="B20" s="704" t="str">
        <f>""</f>
        <v/>
      </c>
      <c r="C20" s="704" t="s">
        <v>6359</v>
      </c>
      <c r="D20" s="704"/>
      <c r="E20" s="704">
        <f>SUMIFS(Calculs!$CC$11:$CC$1338,Calculs!$G$11:$G$1338,$B20)</f>
        <v>4.8897151770773766</v>
      </c>
      <c r="H20" s="704" t="str">
        <f>""</f>
        <v/>
      </c>
      <c r="I20" s="704" t="s">
        <v>6359</v>
      </c>
      <c r="J20" s="704"/>
      <c r="K20" s="704"/>
      <c r="L20" s="704"/>
      <c r="M20" s="704">
        <f>SUMIFS(Calculs!$CC$11:$CC$1338,Calculs!$H$11:$H$1338,$H20)</f>
        <v>166.46691751383588</v>
      </c>
      <c r="O20" s="84"/>
      <c r="P20" s="84"/>
      <c r="Q20" s="84"/>
      <c r="R20" s="84"/>
      <c r="S20" s="84"/>
      <c r="T20" s="652"/>
    </row>
    <row r="21" spans="2:20">
      <c r="B21" s="708" t="s">
        <v>6369</v>
      </c>
      <c r="C21" s="708"/>
      <c r="D21" s="708"/>
      <c r="E21" s="709">
        <f>SUM(E9:E20)</f>
        <v>177.59167793920335</v>
      </c>
      <c r="H21" s="708" t="s">
        <v>6369</v>
      </c>
      <c r="I21" s="708"/>
      <c r="J21" s="709"/>
      <c r="K21" s="709">
        <f>SUM(K9:K20)</f>
        <v>4000</v>
      </c>
      <c r="L21" s="708"/>
      <c r="M21" s="709">
        <f>SUM(M9:M20)</f>
        <v>177.59167793920341</v>
      </c>
      <c r="O21" s="709"/>
      <c r="P21" s="709"/>
      <c r="Q21" s="709"/>
      <c r="R21" s="709"/>
      <c r="S21" s="709"/>
      <c r="T21" s="753">
        <f>COUNTIF(T9:T20,"oui")</f>
        <v>2</v>
      </c>
    </row>
    <row r="22" spans="2:20">
      <c r="J22" s="1"/>
    </row>
    <row r="23" spans="2:20">
      <c r="J23" s="1"/>
    </row>
    <row r="24" spans="2:20">
      <c r="J24" s="1"/>
    </row>
    <row r="25" spans="2:20">
      <c r="J25" s="1"/>
    </row>
    <row r="26" spans="2:20">
      <c r="J26" s="1"/>
    </row>
    <row r="27" spans="2:20">
      <c r="J27" s="1"/>
    </row>
    <row r="28" spans="2:20">
      <c r="J28" s="1"/>
    </row>
    <row r="29" spans="2:20">
      <c r="J29" s="1"/>
    </row>
    <row r="30" spans="2:20">
      <c r="J30" s="1"/>
    </row>
    <row r="31" spans="2:20">
      <c r="J31" s="1"/>
    </row>
    <row r="32" spans="2:20">
      <c r="J32" s="1"/>
    </row>
    <row r="33" spans="10:10">
      <c r="J33" s="1"/>
    </row>
    <row r="34" spans="10:10">
      <c r="J34" s="1"/>
    </row>
    <row r="35" spans="10:10">
      <c r="J35" s="1"/>
    </row>
    <row r="36" spans="10:10">
      <c r="J36" s="1"/>
    </row>
    <row r="37" spans="10:10">
      <c r="J37" s="1"/>
    </row>
    <row r="38" spans="10:10">
      <c r="J38" s="1"/>
    </row>
    <row r="39" spans="10:10">
      <c r="J39" s="1"/>
    </row>
    <row r="40" spans="10:10">
      <c r="J40" s="1"/>
    </row>
    <row r="41" spans="10:10">
      <c r="J41" s="1"/>
    </row>
    <row r="42" spans="10:10">
      <c r="J42" s="1"/>
    </row>
    <row r="43" spans="10:10">
      <c r="J43" s="1"/>
    </row>
    <row r="44" spans="10:10">
      <c r="J44" s="1"/>
    </row>
    <row r="45" spans="10:10">
      <c r="J45" s="1"/>
    </row>
    <row r="46" spans="10:10">
      <c r="J46" s="1"/>
    </row>
    <row r="47" spans="10:10">
      <c r="J47" s="1"/>
    </row>
    <row r="48" spans="10:10">
      <c r="J48" s="1"/>
    </row>
    <row r="49" spans="10:10">
      <c r="J49" s="1"/>
    </row>
    <row r="50" spans="10:10">
      <c r="J50" s="1"/>
    </row>
  </sheetData>
  <protectedRanges>
    <protectedRange sqref="T9:T20" name="Plage1_1_4_1"/>
  </protectedRanges>
  <dataValidations count="2">
    <dataValidation type="list" allowBlank="1" showInputMessage="1" showErrorMessage="1" sqref="S9:S20" xr:uid="{FF951205-D7D4-4D5C-9C30-3BD74563D612}">
      <formula1>Équipements_mobiles</formula1>
    </dataValidation>
    <dataValidation type="list" allowBlank="1" showInputMessage="1" showErrorMessage="1" sqref="T9:T20" xr:uid="{58CFA202-3D62-4B44-A05D-D554758479FC}">
      <formula1>Oui_Non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Check Box 1">
              <controlPr defaultSize="0" autoFill="0" autoLine="0" autoPict="0">
                <anchor moveWithCells="1">
                  <from>
                    <xdr:col>6</xdr:col>
                    <xdr:colOff>0</xdr:colOff>
                    <xdr:row>8</xdr:row>
                    <xdr:rowOff>0</xdr:rowOff>
                  </from>
                  <to>
                    <xdr:col>6</xdr:col>
                    <xdr:colOff>247650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Check Box 2">
              <controlPr defaultSize="0" autoFill="0" autoLine="0" autoPict="0">
                <anchor moveWithCells="1">
                  <from>
                    <xdr:col>6</xdr:col>
                    <xdr:colOff>0</xdr:colOff>
                    <xdr:row>8</xdr:row>
                    <xdr:rowOff>0</xdr:rowOff>
                  </from>
                  <to>
                    <xdr:col>6</xdr:col>
                    <xdr:colOff>247650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5" name="Check Box 4">
              <controlPr defaultSize="0" autoFill="0" autoLine="0" autoPict="0">
                <anchor moveWithCells="1">
                  <from>
                    <xdr:col>6</xdr:col>
                    <xdr:colOff>0</xdr:colOff>
                    <xdr:row>9</xdr:row>
                    <xdr:rowOff>0</xdr:rowOff>
                  </from>
                  <to>
                    <xdr:col>6</xdr:col>
                    <xdr:colOff>247650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6" name="Check Box 5">
              <controlPr defaultSize="0" autoFill="0" autoLine="0" autoPict="0">
                <anchor moveWithCells="1">
                  <from>
                    <xdr:col>6</xdr:col>
                    <xdr:colOff>0</xdr:colOff>
                    <xdr:row>9</xdr:row>
                    <xdr:rowOff>0</xdr:rowOff>
                  </from>
                  <to>
                    <xdr:col>6</xdr:col>
                    <xdr:colOff>247650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7" name="Check Box 7">
              <controlPr defaultSize="0" autoFill="0" autoLine="0" autoPict="0">
                <anchor moveWithCells="1">
                  <from>
                    <xdr:col>6</xdr:col>
                    <xdr:colOff>0</xdr:colOff>
                    <xdr:row>10</xdr:row>
                    <xdr:rowOff>0</xdr:rowOff>
                  </from>
                  <to>
                    <xdr:col>6</xdr:col>
                    <xdr:colOff>247650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8" name="Check Box 8">
              <controlPr defaultSize="0" autoFill="0" autoLine="0" autoPict="0">
                <anchor moveWithCells="1">
                  <from>
                    <xdr:col>6</xdr:col>
                    <xdr:colOff>0</xdr:colOff>
                    <xdr:row>10</xdr:row>
                    <xdr:rowOff>0</xdr:rowOff>
                  </from>
                  <to>
                    <xdr:col>6</xdr:col>
                    <xdr:colOff>247650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9" name="Check Box 10">
              <controlPr defaultSize="0" autoFill="0" autoLine="0" autoPict="0">
                <anchor moveWithCells="1">
                  <from>
                    <xdr:col>6</xdr:col>
                    <xdr:colOff>0</xdr:colOff>
                    <xdr:row>11</xdr:row>
                    <xdr:rowOff>0</xdr:rowOff>
                  </from>
                  <to>
                    <xdr:col>6</xdr:col>
                    <xdr:colOff>247650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0" name="Check Box 11">
              <controlPr defaultSize="0" autoFill="0" autoLine="0" autoPict="0">
                <anchor moveWithCells="1">
                  <from>
                    <xdr:col>6</xdr:col>
                    <xdr:colOff>0</xdr:colOff>
                    <xdr:row>11</xdr:row>
                    <xdr:rowOff>0</xdr:rowOff>
                  </from>
                  <to>
                    <xdr:col>6</xdr:col>
                    <xdr:colOff>247650</xdr:colOff>
                    <xdr:row>12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7DD1-A8C8-4BA1-B37C-EF638D561802}">
  <sheetPr codeName="Feuil8">
    <tabColor theme="8"/>
  </sheetPr>
  <dimension ref="B1:CH466"/>
  <sheetViews>
    <sheetView tabSelected="1" zoomScale="70" zoomScaleNormal="70" workbookViewId="0">
      <pane xSplit="2" ySplit="3" topLeftCell="AL202" activePane="bottomRight" state="frozen"/>
      <selection pane="topRight" activeCell="C1" sqref="C1"/>
      <selection pane="bottomLeft" activeCell="A4" sqref="A4"/>
      <selection pane="bottomRight" activeCell="AN444" sqref="AN444"/>
    </sheetView>
  </sheetViews>
  <sheetFormatPr baseColWidth="10" defaultRowHeight="15" outlineLevelRow="1"/>
  <cols>
    <col min="1" max="1" width="3.140625" style="1" customWidth="1"/>
    <col min="2" max="2" width="14.28515625" style="1" customWidth="1"/>
    <col min="3" max="4" width="42" style="1" customWidth="1"/>
    <col min="5" max="5" width="18.7109375" style="1" bestFit="1" customWidth="1"/>
    <col min="6" max="6" width="3.7109375" style="1" customWidth="1"/>
    <col min="7" max="7" width="25.140625" style="1" customWidth="1"/>
    <col min="8" max="8" width="18.140625" style="1" customWidth="1"/>
    <col min="9" max="9" width="22.42578125" style="1" customWidth="1"/>
    <col min="10" max="10" width="45" style="1" bestFit="1" customWidth="1"/>
    <col min="11" max="11" width="23.5703125" style="1" customWidth="1"/>
    <col min="12" max="12" width="3.5703125" style="1" bestFit="1" customWidth="1"/>
    <col min="13" max="13" width="34.85546875" style="1" customWidth="1"/>
    <col min="14" max="14" width="24.5703125" style="1" bestFit="1" customWidth="1"/>
    <col min="15" max="15" width="32.42578125" style="1" bestFit="1" customWidth="1"/>
    <col min="16" max="16" width="17.7109375" style="1" bestFit="1" customWidth="1"/>
    <col min="17" max="19" width="17.7109375" style="1" customWidth="1"/>
    <col min="20" max="20" width="24" style="1" bestFit="1" customWidth="1"/>
    <col min="21" max="21" width="42.5703125" style="1" bestFit="1" customWidth="1"/>
    <col min="22" max="22" width="20.42578125" style="1" customWidth="1"/>
    <col min="23" max="23" width="27" style="1" customWidth="1"/>
    <col min="24" max="24" width="4" style="1" bestFit="1" customWidth="1"/>
    <col min="25" max="25" width="17.7109375" style="1" bestFit="1" customWidth="1"/>
    <col min="26" max="26" width="19" style="1" customWidth="1"/>
    <col min="27" max="27" width="21.5703125" style="1" customWidth="1"/>
    <col min="28" max="28" width="5.42578125" style="1" bestFit="1" customWidth="1"/>
    <col min="29" max="29" width="41.7109375" style="1" customWidth="1"/>
    <col min="30" max="31" width="18.140625" style="1" customWidth="1"/>
    <col min="32" max="32" width="21.5703125" style="1" customWidth="1"/>
    <col min="33" max="33" width="16.28515625" style="1" customWidth="1"/>
    <col min="34" max="34" width="35.7109375" style="1" bestFit="1" customWidth="1"/>
    <col min="35" max="35" width="15.28515625" style="1" customWidth="1"/>
    <col min="36" max="36" width="21.7109375" style="1" customWidth="1"/>
    <col min="37" max="37" width="27.28515625" style="1" bestFit="1" customWidth="1"/>
    <col min="38" max="38" width="21.85546875" style="1" bestFit="1" customWidth="1"/>
    <col min="39" max="39" width="12" style="1" customWidth="1"/>
    <col min="40" max="40" width="6.28515625" style="1" customWidth="1"/>
    <col min="41" max="41" width="15.140625" style="1" customWidth="1"/>
    <col min="42" max="42" width="27.7109375" style="1" bestFit="1" customWidth="1"/>
    <col min="43" max="43" width="20.28515625" style="1" customWidth="1"/>
    <col min="44" max="44" width="19.85546875" style="1" customWidth="1"/>
    <col min="45" max="45" width="6.28515625" style="1" customWidth="1"/>
    <col min="46" max="50" width="19.7109375" style="1" customWidth="1"/>
    <col min="51" max="51" width="26.28515625" style="1" customWidth="1"/>
    <col min="52" max="52" width="31.7109375" style="1" customWidth="1"/>
    <col min="53" max="53" width="30.5703125" style="1" customWidth="1"/>
    <col min="54" max="54" width="11.42578125" style="1" bestFit="1" customWidth="1"/>
    <col min="55" max="55" width="35.140625" style="1" customWidth="1"/>
    <col min="56" max="56" width="17.140625" style="1" customWidth="1"/>
    <col min="57" max="57" width="30.5703125" style="1" customWidth="1"/>
    <col min="58" max="58" width="18.5703125" style="1" customWidth="1"/>
    <col min="59" max="60" width="30.28515625" style="1" customWidth="1"/>
    <col min="61" max="61" width="11.42578125" style="1" bestFit="1" customWidth="1"/>
    <col min="62" max="62" width="32.42578125" style="1" customWidth="1"/>
    <col min="63" max="63" width="12" style="1" customWidth="1"/>
    <col min="64" max="66" width="6.28515625" style="1" customWidth="1"/>
    <col min="67" max="67" width="5.42578125" style="1" customWidth="1"/>
    <col min="68" max="68" width="3.28515625" style="1" customWidth="1"/>
    <col min="69" max="69" width="14.140625" style="1" customWidth="1"/>
    <col min="70" max="70" width="24.85546875" style="1" customWidth="1"/>
    <col min="71" max="71" width="11.5703125" style="1" customWidth="1"/>
    <col min="72" max="72" width="9.140625" style="1" customWidth="1"/>
    <col min="73" max="73" width="14.5703125" style="1" customWidth="1"/>
    <col min="74" max="74" width="13.28515625" style="1" customWidth="1"/>
    <col min="75" max="76" width="3.28515625" style="1" customWidth="1"/>
    <col min="77" max="77" width="20.5703125" style="1" bestFit="1" customWidth="1"/>
    <col min="78" max="78" width="15.42578125" style="1" customWidth="1"/>
    <col min="79" max="79" width="16.28515625" style="1" bestFit="1" customWidth="1"/>
    <col min="80" max="80" width="20.5703125" style="1" bestFit="1" customWidth="1"/>
    <col min="81" max="81" width="11.42578125" style="1" bestFit="1" customWidth="1"/>
    <col min="82" max="82" width="2.28515625" style="1" customWidth="1"/>
    <col min="83" max="83" width="18.7109375" style="1" bestFit="1" customWidth="1"/>
    <col min="84" max="84" width="14.5703125" style="1" bestFit="1" customWidth="1"/>
    <col min="85" max="85" width="3.28515625" style="1" customWidth="1"/>
    <col min="86" max="86" width="24.28515625" style="1" bestFit="1" customWidth="1"/>
    <col min="87" max="16384" width="11.42578125" style="1"/>
  </cols>
  <sheetData>
    <row r="1" spans="2:86" ht="32.25" thickBot="1">
      <c r="B1" s="761" t="s">
        <v>6352</v>
      </c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  <c r="O1" s="762"/>
      <c r="P1" s="762"/>
      <c r="Q1" s="762"/>
      <c r="R1" s="762"/>
      <c r="S1" s="762"/>
      <c r="T1" s="762"/>
      <c r="U1" s="762"/>
      <c r="V1" s="762"/>
      <c r="W1" s="762"/>
      <c r="X1" s="762"/>
      <c r="Y1" s="762"/>
      <c r="Z1" s="762"/>
      <c r="AA1" s="762"/>
      <c r="AB1" s="762"/>
      <c r="AC1" s="762"/>
      <c r="AD1" s="762"/>
      <c r="AE1" s="762"/>
      <c r="AF1" s="762"/>
      <c r="AG1" s="762"/>
      <c r="AH1" s="762"/>
      <c r="AI1" s="762"/>
      <c r="AJ1" s="762"/>
      <c r="AK1" s="762"/>
      <c r="AL1" s="762"/>
      <c r="AM1" s="762"/>
      <c r="AN1" s="762"/>
      <c r="AO1" s="762"/>
      <c r="AP1" s="762"/>
      <c r="AQ1" s="762"/>
      <c r="AR1" s="762"/>
      <c r="AS1" s="762"/>
      <c r="AT1" s="762"/>
      <c r="AU1" s="762"/>
      <c r="AV1" s="762"/>
      <c r="AW1" s="762"/>
      <c r="AX1" s="762"/>
      <c r="AY1" s="762"/>
      <c r="AZ1" s="762"/>
      <c r="BA1" s="762"/>
      <c r="BB1" s="762"/>
      <c r="BC1" s="762"/>
      <c r="BD1" s="762"/>
      <c r="BE1" s="762"/>
      <c r="BF1" s="762"/>
      <c r="BG1" s="762"/>
      <c r="BH1" s="762"/>
      <c r="BI1" s="762"/>
      <c r="BJ1" s="762"/>
      <c r="BK1" s="762"/>
      <c r="BL1" s="762"/>
      <c r="BM1" s="762"/>
      <c r="BN1" s="762"/>
      <c r="BO1" s="763"/>
      <c r="BQ1" s="761" t="s">
        <v>6375</v>
      </c>
      <c r="BR1" s="762"/>
      <c r="BS1" s="762"/>
      <c r="BT1" s="762"/>
      <c r="BU1" s="762"/>
      <c r="BV1" s="762"/>
      <c r="BW1" s="762"/>
      <c r="BX1" s="762"/>
      <c r="BY1" s="762"/>
      <c r="BZ1" s="762"/>
      <c r="CA1" s="762"/>
      <c r="CB1" s="762"/>
      <c r="CC1" s="762"/>
      <c r="CD1" s="762"/>
      <c r="CE1" s="762"/>
      <c r="CF1" s="762"/>
      <c r="CG1" s="762"/>
      <c r="CH1" s="763"/>
    </row>
    <row r="2" spans="2:86" ht="15.75" thickBot="1"/>
    <row r="3" spans="2:86" ht="45.75" thickBot="1">
      <c r="B3" s="701" t="s">
        <v>6353</v>
      </c>
      <c r="C3" s="702" t="s">
        <v>164</v>
      </c>
      <c r="D3" s="702" t="s">
        <v>7</v>
      </c>
      <c r="E3" s="702" t="s">
        <v>127</v>
      </c>
      <c r="F3" s="703" t="s">
        <v>6348</v>
      </c>
      <c r="G3" s="702" t="s">
        <v>6333</v>
      </c>
      <c r="H3" s="702" t="s">
        <v>128</v>
      </c>
      <c r="I3" s="702" t="s">
        <v>156</v>
      </c>
      <c r="J3" s="702" t="s">
        <v>117</v>
      </c>
      <c r="K3" s="702" t="s">
        <v>6354</v>
      </c>
      <c r="L3" s="710"/>
      <c r="M3" s="702" t="s">
        <v>1416</v>
      </c>
      <c r="N3" s="702" t="s">
        <v>1423</v>
      </c>
      <c r="O3" s="702" t="s">
        <v>1424</v>
      </c>
      <c r="P3" s="702" t="s">
        <v>1428</v>
      </c>
      <c r="Q3" s="702" t="s">
        <v>1429</v>
      </c>
      <c r="R3" s="702" t="s">
        <v>1430</v>
      </c>
      <c r="S3" s="792" t="s">
        <v>1431</v>
      </c>
      <c r="T3" s="702" t="s">
        <v>1420</v>
      </c>
      <c r="U3" s="702" t="s">
        <v>25</v>
      </c>
      <c r="V3" s="702" t="s">
        <v>6357</v>
      </c>
      <c r="W3" s="702" t="s">
        <v>6355</v>
      </c>
      <c r="X3" s="702"/>
      <c r="Y3" s="702" t="s">
        <v>1434</v>
      </c>
      <c r="Z3" s="702" t="s">
        <v>6356</v>
      </c>
      <c r="AA3" s="702" t="s">
        <v>1432</v>
      </c>
      <c r="AB3" s="702"/>
      <c r="AC3" s="702" t="s">
        <v>6373</v>
      </c>
      <c r="AD3" s="702" t="s">
        <v>6374</v>
      </c>
      <c r="AE3" s="702" t="s">
        <v>6376</v>
      </c>
      <c r="AF3" s="702" t="s">
        <v>6377</v>
      </c>
      <c r="AG3" s="792" t="s">
        <v>6391</v>
      </c>
      <c r="AH3" s="702" t="s">
        <v>6392</v>
      </c>
      <c r="AI3" s="702" t="s">
        <v>6394</v>
      </c>
      <c r="AJ3" s="702" t="s">
        <v>6398</v>
      </c>
      <c r="AK3" s="702" t="s">
        <v>6405</v>
      </c>
      <c r="AL3" s="702" t="s">
        <v>6406</v>
      </c>
      <c r="AM3" s="702" t="s">
        <v>721</v>
      </c>
      <c r="AN3" s="702"/>
      <c r="AO3" s="702" t="s">
        <v>6408</v>
      </c>
      <c r="AP3" s="702" t="s">
        <v>6409</v>
      </c>
      <c r="AQ3" s="702" t="s">
        <v>6412</v>
      </c>
      <c r="AR3" s="702" t="s">
        <v>288</v>
      </c>
      <c r="AS3" s="702"/>
      <c r="AT3" s="702" t="s">
        <v>6635</v>
      </c>
      <c r="AU3" s="702" t="s">
        <v>6645</v>
      </c>
      <c r="AV3" s="702" t="s">
        <v>6646</v>
      </c>
      <c r="AW3" s="702" t="s">
        <v>6644</v>
      </c>
      <c r="AX3" s="702" t="s">
        <v>6640</v>
      </c>
      <c r="AY3" s="702" t="s">
        <v>6650</v>
      </c>
      <c r="AZ3" s="702" t="s">
        <v>6413</v>
      </c>
      <c r="BA3" s="702" t="s">
        <v>6617</v>
      </c>
      <c r="BB3" s="702" t="s">
        <v>721</v>
      </c>
      <c r="BC3" s="702" t="s">
        <v>6623</v>
      </c>
      <c r="BD3" s="702" t="s">
        <v>6621</v>
      </c>
      <c r="BE3" s="702" t="s">
        <v>6624</v>
      </c>
      <c r="BF3" s="702" t="s">
        <v>6625</v>
      </c>
      <c r="BG3" s="702" t="s">
        <v>6630</v>
      </c>
      <c r="BH3" s="702" t="s">
        <v>6631</v>
      </c>
      <c r="BI3" s="702" t="s">
        <v>721</v>
      </c>
      <c r="BJ3" s="702" t="s">
        <v>6633</v>
      </c>
      <c r="BK3" s="702" t="s">
        <v>721</v>
      </c>
      <c r="BL3" s="702"/>
      <c r="BM3" s="702"/>
      <c r="BN3" s="702"/>
      <c r="BO3" s="702"/>
      <c r="BQ3" s="702" t="s">
        <v>572</v>
      </c>
      <c r="BR3" s="702" t="s">
        <v>6379</v>
      </c>
      <c r="BS3" s="702" t="s">
        <v>6380</v>
      </c>
      <c r="BT3" s="702" t="s">
        <v>6381</v>
      </c>
      <c r="BU3" s="702" t="s">
        <v>6414</v>
      </c>
      <c r="BV3" s="702" t="s">
        <v>6416</v>
      </c>
      <c r="BW3" s="702"/>
      <c r="BX3" s="702"/>
      <c r="BY3" s="702" t="s">
        <v>1147</v>
      </c>
      <c r="BZ3" s="702" t="s">
        <v>1148</v>
      </c>
      <c r="CA3" s="702" t="s">
        <v>1149</v>
      </c>
      <c r="CB3" s="1226" t="s">
        <v>123</v>
      </c>
      <c r="CC3" s="1227"/>
      <c r="CE3" s="1226" t="s">
        <v>124</v>
      </c>
      <c r="CF3" s="1227"/>
      <c r="CH3" s="702" t="s">
        <v>125</v>
      </c>
    </row>
    <row r="4" spans="2:86" ht="8.25" customHeight="1" thickBot="1"/>
    <row r="5" spans="2:86" ht="31.5">
      <c r="B5" s="1210" t="s">
        <v>6452</v>
      </c>
      <c r="C5" s="1211"/>
      <c r="D5" s="1211"/>
      <c r="E5" s="1211"/>
      <c r="F5" s="1211"/>
      <c r="G5" s="1211"/>
      <c r="H5" s="1211"/>
      <c r="I5" s="1211"/>
      <c r="J5" s="1211"/>
      <c r="K5" s="1211"/>
      <c r="L5" s="1211"/>
      <c r="M5" s="1211"/>
      <c r="N5" s="1211"/>
      <c r="O5" s="1211"/>
      <c r="P5" s="1211"/>
      <c r="Q5" s="1211"/>
      <c r="R5" s="1211"/>
      <c r="S5" s="1211"/>
      <c r="T5" s="1211"/>
      <c r="U5" s="1211"/>
      <c r="V5" s="1211"/>
      <c r="W5" s="1211"/>
      <c r="X5" s="1211"/>
      <c r="Y5" s="1211"/>
      <c r="Z5" s="1211"/>
      <c r="AA5" s="1211"/>
      <c r="AB5" s="1211"/>
      <c r="AC5" s="1211"/>
      <c r="AD5" s="1211"/>
      <c r="AE5" s="1211"/>
      <c r="AF5" s="1211"/>
      <c r="AG5" s="1211"/>
      <c r="AH5" s="1211"/>
      <c r="AI5" s="1211"/>
      <c r="AJ5" s="1211"/>
      <c r="AK5" s="1211"/>
      <c r="AL5" s="1211"/>
      <c r="AM5" s="1211"/>
      <c r="AN5" s="1211"/>
      <c r="AO5" s="1211"/>
      <c r="AP5" s="1211"/>
      <c r="AQ5" s="1211"/>
      <c r="AR5" s="1211"/>
      <c r="AS5" s="1211"/>
      <c r="AT5" s="1211"/>
      <c r="AU5" s="1211"/>
      <c r="AV5" s="1211"/>
      <c r="AW5" s="1211"/>
      <c r="AX5" s="1211"/>
      <c r="AY5" s="1211"/>
      <c r="AZ5" s="1211"/>
      <c r="BA5" s="1211"/>
      <c r="BB5" s="1211"/>
      <c r="BC5" s="1211"/>
      <c r="BD5" s="1211"/>
      <c r="BE5" s="1211"/>
      <c r="BF5" s="1211"/>
      <c r="BG5" s="1211"/>
      <c r="BH5" s="1211"/>
      <c r="BI5" s="1211"/>
      <c r="BJ5" s="1211"/>
      <c r="BK5" s="1211"/>
      <c r="BL5" s="1211"/>
      <c r="BM5" s="1211"/>
      <c r="BN5" s="1211"/>
      <c r="BO5" s="1211"/>
      <c r="BP5" s="1211"/>
      <c r="BQ5" s="1211"/>
      <c r="BR5" s="1211"/>
      <c r="BS5" s="1211"/>
      <c r="BT5" s="1211"/>
      <c r="BU5" s="1211"/>
      <c r="BV5" s="1211"/>
      <c r="BW5" s="1211"/>
      <c r="BX5" s="1211"/>
      <c r="BY5" s="1211"/>
      <c r="BZ5" s="1211"/>
      <c r="CA5" s="1211"/>
      <c r="CB5" s="1211"/>
      <c r="CC5" s="1211"/>
      <c r="CD5" s="1211"/>
      <c r="CE5" s="1211"/>
      <c r="CF5" s="1211"/>
      <c r="CG5" s="1211"/>
      <c r="CH5" s="1212"/>
    </row>
    <row r="6" spans="2:86" ht="15.75" outlineLevel="1" thickBot="1"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</row>
    <row r="7" spans="2:86" ht="21.75" outlineLevel="1" thickBot="1">
      <c r="B7" s="1228" t="s">
        <v>115</v>
      </c>
      <c r="C7" s="1229"/>
      <c r="D7" s="1229"/>
      <c r="E7" s="1229"/>
      <c r="F7" s="1229"/>
      <c r="G7" s="1229"/>
      <c r="H7" s="1229"/>
      <c r="I7" s="1229"/>
      <c r="J7" s="1229"/>
      <c r="K7" s="1229"/>
      <c r="L7" s="1229"/>
      <c r="M7" s="1229"/>
      <c r="N7" s="1229"/>
      <c r="O7" s="1229"/>
      <c r="P7" s="1229"/>
      <c r="Q7" s="1229"/>
      <c r="R7" s="1229"/>
      <c r="S7" s="1229"/>
      <c r="T7" s="1229"/>
      <c r="U7" s="1229"/>
      <c r="V7" s="1229"/>
      <c r="W7" s="1229"/>
      <c r="X7" s="1229"/>
      <c r="Y7" s="1229"/>
      <c r="Z7" s="1229"/>
      <c r="AA7" s="1229"/>
      <c r="AB7" s="1229"/>
      <c r="AC7" s="1229"/>
      <c r="AD7" s="1229"/>
      <c r="AE7" s="1229"/>
      <c r="AF7" s="1229"/>
      <c r="AG7" s="1229"/>
      <c r="AH7" s="1229"/>
      <c r="AI7" s="1229"/>
      <c r="AJ7" s="1229"/>
      <c r="AK7" s="1229"/>
      <c r="AL7" s="1229"/>
      <c r="AM7" s="1229"/>
      <c r="AN7" s="1229"/>
      <c r="AO7" s="1229"/>
      <c r="AP7" s="1229"/>
      <c r="AQ7" s="1229"/>
      <c r="AR7" s="1229"/>
      <c r="AS7" s="1229"/>
      <c r="AT7" s="1229"/>
      <c r="AU7" s="1229"/>
      <c r="AV7" s="1229"/>
      <c r="AW7" s="1229"/>
      <c r="AX7" s="1229"/>
      <c r="AY7" s="1229"/>
      <c r="AZ7" s="1229"/>
      <c r="BA7" s="1229"/>
      <c r="BB7" s="1229"/>
      <c r="BC7" s="1229"/>
      <c r="BD7" s="1229"/>
      <c r="BE7" s="1229"/>
      <c r="BF7" s="1229"/>
      <c r="BG7" s="1229"/>
      <c r="BH7" s="1229"/>
      <c r="BI7" s="1229"/>
      <c r="BJ7" s="1229"/>
      <c r="BK7" s="1229"/>
      <c r="BL7" s="1229"/>
      <c r="BM7" s="1229"/>
      <c r="BN7" s="1229"/>
      <c r="BO7" s="1229"/>
      <c r="BP7" s="63"/>
      <c r="BQ7" s="1221" t="s">
        <v>121</v>
      </c>
      <c r="BR7" s="1222"/>
      <c r="BS7" s="1222"/>
      <c r="BT7" s="1222"/>
      <c r="BU7" s="1222"/>
      <c r="BV7" s="1222"/>
      <c r="BW7" s="1222"/>
      <c r="BX7" s="1222"/>
      <c r="BY7" s="1222"/>
      <c r="BZ7" s="1222"/>
      <c r="CA7" s="1222"/>
      <c r="CB7" s="1222"/>
      <c r="CC7" s="1222"/>
      <c r="CD7" s="1222"/>
      <c r="CE7" s="1222"/>
      <c r="CF7" s="1222"/>
      <c r="CG7" s="1222"/>
      <c r="CH7" s="1223"/>
    </row>
    <row r="8" spans="2:86" ht="15" customHeight="1" outlineLevel="1">
      <c r="B8" s="1183" t="s">
        <v>6353</v>
      </c>
      <c r="C8" s="1185" t="s">
        <v>116</v>
      </c>
      <c r="D8" s="1185" t="s">
        <v>7</v>
      </c>
      <c r="E8" s="1185" t="s">
        <v>127</v>
      </c>
      <c r="F8" s="1187" t="s">
        <v>6348</v>
      </c>
      <c r="G8" s="1185" t="s">
        <v>6333</v>
      </c>
      <c r="H8" s="1185" t="s">
        <v>128</v>
      </c>
      <c r="I8" s="1185" t="s">
        <v>156</v>
      </c>
      <c r="J8" s="1189" t="s">
        <v>117</v>
      </c>
      <c r="K8" s="1185" t="s">
        <v>118</v>
      </c>
      <c r="L8" s="1185"/>
      <c r="M8" s="657"/>
      <c r="N8" s="655"/>
      <c r="O8" s="655"/>
      <c r="P8" s="655"/>
      <c r="Q8" s="655"/>
      <c r="R8" s="655"/>
      <c r="S8" s="655"/>
      <c r="T8" s="655"/>
      <c r="U8" s="655"/>
      <c r="V8" s="655"/>
      <c r="W8" s="655"/>
      <c r="X8" s="655"/>
      <c r="Y8" s="655"/>
      <c r="Z8" s="655"/>
      <c r="AA8" s="655"/>
      <c r="AB8" s="655"/>
      <c r="AC8" s="655"/>
      <c r="AD8" s="655"/>
      <c r="AE8" s="655"/>
      <c r="AF8" s="655"/>
      <c r="AG8" s="655"/>
      <c r="AH8" s="655"/>
      <c r="AI8" s="655"/>
      <c r="AJ8" s="655"/>
      <c r="AK8" s="655"/>
      <c r="AL8" s="655"/>
      <c r="AM8" s="655"/>
      <c r="AN8" s="655"/>
      <c r="AO8" s="655"/>
      <c r="AP8" s="655"/>
      <c r="AQ8" s="655"/>
      <c r="AR8" s="655"/>
      <c r="AS8" s="655"/>
      <c r="AT8" s="655"/>
      <c r="AU8" s="655"/>
      <c r="AV8" s="655"/>
      <c r="AW8" s="655"/>
      <c r="AX8" s="655"/>
      <c r="AY8" s="655"/>
      <c r="AZ8" s="655"/>
      <c r="BA8" s="655"/>
      <c r="BB8" s="655"/>
      <c r="BC8" s="655"/>
      <c r="BD8" s="655"/>
      <c r="BE8" s="655"/>
      <c r="BF8" s="655"/>
      <c r="BG8" s="655"/>
      <c r="BH8" s="655"/>
      <c r="BI8" s="655"/>
      <c r="BJ8" s="655"/>
      <c r="BK8" s="655"/>
      <c r="BL8" s="655"/>
      <c r="BM8" s="655"/>
      <c r="BN8" s="655"/>
      <c r="BO8" s="657"/>
      <c r="BP8" s="63"/>
      <c r="BQ8" s="732"/>
      <c r="BR8" s="732"/>
      <c r="BS8" s="732"/>
      <c r="BT8" s="732"/>
      <c r="BU8" s="732"/>
      <c r="BV8" s="732"/>
      <c r="BW8" s="732"/>
      <c r="BX8" s="732"/>
      <c r="BY8" s="1193" t="s">
        <v>122</v>
      </c>
      <c r="BZ8" s="1193"/>
      <c r="CA8" s="1193"/>
      <c r="CB8" s="1194" t="s">
        <v>123</v>
      </c>
      <c r="CC8" s="1195"/>
      <c r="CD8" s="63"/>
      <c r="CE8" s="1198" t="s">
        <v>124</v>
      </c>
      <c r="CF8" s="1199"/>
      <c r="CG8" s="63"/>
      <c r="CH8" s="1185" t="s">
        <v>125</v>
      </c>
    </row>
    <row r="9" spans="2:86" ht="18" outlineLevel="1">
      <c r="B9" s="1184"/>
      <c r="C9" s="1186"/>
      <c r="D9" s="1186"/>
      <c r="E9" s="1186"/>
      <c r="F9" s="1188"/>
      <c r="G9" s="1186"/>
      <c r="H9" s="1186"/>
      <c r="I9" s="1186"/>
      <c r="J9" s="1191"/>
      <c r="K9" s="1186"/>
      <c r="L9" s="1186"/>
      <c r="M9" s="79"/>
      <c r="N9" s="656"/>
      <c r="O9" s="656"/>
      <c r="P9" s="656"/>
      <c r="Q9" s="656"/>
      <c r="R9" s="656"/>
      <c r="S9" s="656"/>
      <c r="T9" s="656"/>
      <c r="U9" s="656"/>
      <c r="V9" s="656"/>
      <c r="W9" s="656"/>
      <c r="X9" s="656"/>
      <c r="Y9" s="656"/>
      <c r="Z9" s="656"/>
      <c r="AA9" s="656"/>
      <c r="AB9" s="656"/>
      <c r="AC9" s="656"/>
      <c r="AD9" s="656"/>
      <c r="AE9" s="656"/>
      <c r="AF9" s="656"/>
      <c r="AG9" s="656"/>
      <c r="AH9" s="656"/>
      <c r="AI9" s="656"/>
      <c r="AJ9" s="656"/>
      <c r="AK9" s="656"/>
      <c r="AL9" s="656"/>
      <c r="AM9" s="656"/>
      <c r="AN9" s="656"/>
      <c r="AO9" s="656"/>
      <c r="AP9" s="656"/>
      <c r="AQ9" s="656"/>
      <c r="AR9" s="656"/>
      <c r="AS9" s="656"/>
      <c r="AT9" s="656"/>
      <c r="AU9" s="656"/>
      <c r="AV9" s="656"/>
      <c r="AW9" s="656"/>
      <c r="AX9" s="656"/>
      <c r="AY9" s="656"/>
      <c r="AZ9" s="656"/>
      <c r="BA9" s="656"/>
      <c r="BB9" s="656"/>
      <c r="BC9" s="656"/>
      <c r="BD9" s="656"/>
      <c r="BE9" s="656"/>
      <c r="BF9" s="656"/>
      <c r="BG9" s="656"/>
      <c r="BH9" s="656"/>
      <c r="BI9" s="656"/>
      <c r="BJ9" s="656"/>
      <c r="BK9" s="656"/>
      <c r="BL9" s="656"/>
      <c r="BM9" s="656"/>
      <c r="BN9" s="656"/>
      <c r="BO9" s="79"/>
      <c r="BP9" s="63"/>
      <c r="BQ9" s="1325"/>
      <c r="BR9" s="712"/>
      <c r="BS9" s="712"/>
      <c r="BT9" s="712"/>
      <c r="BU9" s="712"/>
      <c r="BV9" s="712"/>
      <c r="BW9" s="712"/>
      <c r="BX9" s="712"/>
      <c r="BY9" s="718" t="s">
        <v>106</v>
      </c>
      <c r="BZ9" s="58" t="s">
        <v>107</v>
      </c>
      <c r="CA9" s="720" t="s">
        <v>108</v>
      </c>
      <c r="CB9" s="1196"/>
      <c r="CC9" s="1197"/>
      <c r="CD9" s="63"/>
      <c r="CE9" s="1200"/>
      <c r="CF9" s="1201"/>
      <c r="CG9" s="63"/>
      <c r="CH9" s="1186"/>
    </row>
    <row r="10" spans="2:86" ht="18.75" outlineLevel="1" thickBot="1">
      <c r="B10" s="65"/>
      <c r="C10" s="661"/>
      <c r="D10" s="661" t="s">
        <v>6306</v>
      </c>
      <c r="E10" s="661" t="s">
        <v>6306</v>
      </c>
      <c r="F10" s="661"/>
      <c r="G10" s="661" t="s">
        <v>6306</v>
      </c>
      <c r="H10" s="661" t="s">
        <v>6306</v>
      </c>
      <c r="I10" s="661" t="s">
        <v>6306</v>
      </c>
      <c r="J10" s="64" t="s">
        <v>119</v>
      </c>
      <c r="K10" s="1202" t="s">
        <v>120</v>
      </c>
      <c r="L10" s="1202"/>
      <c r="M10" s="66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6"/>
      <c r="BP10" s="63"/>
      <c r="BQ10" s="66"/>
      <c r="BR10" s="713"/>
      <c r="BS10" s="713"/>
      <c r="BT10" s="713"/>
      <c r="BU10" s="713"/>
      <c r="BV10" s="713"/>
      <c r="BW10" s="713"/>
      <c r="BX10" s="713"/>
      <c r="BY10" s="713" t="s">
        <v>109</v>
      </c>
      <c r="BZ10" s="66" t="s">
        <v>109</v>
      </c>
      <c r="CA10" s="64" t="s">
        <v>109</v>
      </c>
      <c r="CB10" s="66" t="s">
        <v>109</v>
      </c>
      <c r="CC10" s="721" t="s">
        <v>110</v>
      </c>
      <c r="CD10" s="63"/>
      <c r="CE10" s="724" t="s">
        <v>111</v>
      </c>
      <c r="CF10" s="725" t="s">
        <v>112</v>
      </c>
      <c r="CG10" s="63"/>
      <c r="CH10" s="66" t="s">
        <v>114</v>
      </c>
    </row>
    <row r="11" spans="2:86" outlineLevel="1">
      <c r="B11" s="69" t="s">
        <v>6451</v>
      </c>
      <c r="C11" s="80"/>
      <c r="D11" s="716"/>
      <c r="E11" s="662"/>
      <c r="F11" s="69" t="str">
        <f>IF(E11=0,"",MONTH(E11))</f>
        <v/>
      </c>
      <c r="G11" s="80"/>
      <c r="H11" s="80"/>
      <c r="I11" s="67"/>
      <c r="J11" s="67"/>
      <c r="K11" s="68"/>
      <c r="L11" s="339" t="str">
        <f>IFERROR(VLOOKUP(J11,FÉ!$B$10:$L$22,5,FALSE),"")</f>
        <v/>
      </c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3"/>
      <c r="BQ11" s="69"/>
      <c r="BR11" s="719"/>
      <c r="BS11" s="719"/>
      <c r="BT11" s="719"/>
      <c r="BU11" s="719"/>
      <c r="BV11" s="719"/>
      <c r="BW11" s="719"/>
      <c r="BX11" s="719"/>
      <c r="BY11" s="719">
        <f>IF($J11=0, ,VLOOKUP($J11,FÉ!$B$9:$K$22,8,FALSE)*$K11*PRP!$J$8)</f>
        <v>0</v>
      </c>
      <c r="BZ11" s="69">
        <f>IF($J11=0, ,VLOOKUP($J11,FÉ!$B$9:$K$22,9,FALSE)*$K11*PRP!$J$9)</f>
        <v>0</v>
      </c>
      <c r="CA11" s="700">
        <f>IF($J11=0, ,VLOOKUP($J11,FÉ!$B$9:$K$22,10,FALSE)*$K11*PRP!$J$10)</f>
        <v>0</v>
      </c>
      <c r="CB11" s="69">
        <f t="shared" ref="CB11:CB30" si="0">SUM(BY11:CA11)</f>
        <v>0</v>
      </c>
      <c r="CC11" s="722">
        <f t="shared" ref="CC11:CC30" si="1">CB11/(10^6)</f>
        <v>0</v>
      </c>
      <c r="CD11" s="63"/>
      <c r="CE11" s="726">
        <f>IF(J11=FÉ!$B$12,K11* FÉ!$Q$12,)</f>
        <v>0</v>
      </c>
      <c r="CF11" s="727">
        <f t="shared" ref="CF11:CF30" si="2">CE11/(10^6)</f>
        <v>0</v>
      </c>
      <c r="CG11" s="63"/>
      <c r="CH11" s="730">
        <f>IF($J11=0, ,VLOOKUP($J11,FÉ!$B$9:$K$22,7,FALSE))*K11</f>
        <v>0</v>
      </c>
    </row>
    <row r="12" spans="2:86" outlineLevel="1">
      <c r="B12" s="69" t="str">
        <f t="shared" ref="B12:B30" si="3">B11</f>
        <v>1.1A1</v>
      </c>
      <c r="C12" s="80" t="s">
        <v>6305</v>
      </c>
      <c r="D12" s="80"/>
      <c r="E12" s="663">
        <v>45658</v>
      </c>
      <c r="F12" s="69">
        <f t="shared" ref="F12:F30" si="4">IF(E12=0,"",MONTH(E12))</f>
        <v>1</v>
      </c>
      <c r="G12" s="80" t="s">
        <v>137</v>
      </c>
      <c r="H12" s="80" t="s">
        <v>147</v>
      </c>
      <c r="I12" s="67"/>
      <c r="J12" s="67" t="s">
        <v>1392</v>
      </c>
      <c r="K12" s="68">
        <v>1000</v>
      </c>
      <c r="L12" s="339" t="str">
        <f>IFERROR(VLOOKUP(J12,FÉ!$B$10:$L$22,5,FALSE),"")</f>
        <v>L</v>
      </c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3"/>
      <c r="BQ12" s="69"/>
      <c r="BR12" s="719"/>
      <c r="BS12" s="719"/>
      <c r="BT12" s="719"/>
      <c r="BU12" s="719"/>
      <c r="BV12" s="719"/>
      <c r="BW12" s="719"/>
      <c r="BX12" s="719"/>
      <c r="BY12" s="719">
        <f>IF($J12=0, ,VLOOKUP($J12,FÉ!$B$9:$K$22,8,FALSE)*$K12*PRP!$J$8)</f>
        <v>2753000</v>
      </c>
      <c r="BZ12" s="69">
        <f>IF($J12=0, ,VLOOKUP($J12,FÉ!$B$9:$K$22,9,FALSE)*$K12*PRP!$J$9)</f>
        <v>5364</v>
      </c>
      <c r="CA12" s="700">
        <f>IF($J12=0, ,VLOOKUP($J12,FÉ!$B$9:$K$22,10,FALSE)*$K12*PRP!$J$10)</f>
        <v>8463</v>
      </c>
      <c r="CB12" s="69">
        <f t="shared" si="0"/>
        <v>2766827</v>
      </c>
      <c r="CC12" s="722">
        <f t="shared" si="1"/>
        <v>2.7668270000000001</v>
      </c>
      <c r="CD12" s="63"/>
      <c r="CE12" s="726">
        <f>IF(J12=FÉ!$B$12,K12* FÉ!$Q$12,)</f>
        <v>0</v>
      </c>
      <c r="CF12" s="727">
        <f t="shared" si="2"/>
        <v>0</v>
      </c>
      <c r="CG12" s="63"/>
      <c r="CH12" s="730">
        <f>IF($J12=0, ,VLOOKUP($J12,FÉ!$B$9:$K$22,7,FALSE))*K12</f>
        <v>10770</v>
      </c>
    </row>
    <row r="13" spans="2:86" outlineLevel="1">
      <c r="B13" s="69" t="str">
        <f t="shared" si="3"/>
        <v>1.1A1</v>
      </c>
      <c r="C13" s="80" t="s">
        <v>6307</v>
      </c>
      <c r="D13" s="80"/>
      <c r="E13" s="663"/>
      <c r="F13" s="69" t="str">
        <f t="shared" si="4"/>
        <v/>
      </c>
      <c r="G13" s="80" t="s">
        <v>136</v>
      </c>
      <c r="H13" s="80"/>
      <c r="I13" s="67"/>
      <c r="J13" s="67" t="s">
        <v>6308</v>
      </c>
      <c r="K13" s="68">
        <v>1500</v>
      </c>
      <c r="L13" s="339" t="str">
        <f>IFERROR(VLOOKUP(J13,FÉ!$B$10:$L$22,5,FALSE),"")</f>
        <v>kg</v>
      </c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3"/>
      <c r="BQ13" s="69"/>
      <c r="BR13" s="719"/>
      <c r="BS13" s="719"/>
      <c r="BT13" s="719"/>
      <c r="BU13" s="719"/>
      <c r="BV13" s="719"/>
      <c r="BW13" s="719"/>
      <c r="BX13" s="719"/>
      <c r="BY13" s="719">
        <f>IF($J13=0, ,VLOOKUP($J13,FÉ!$B$9:$K$22,8,FALSE)*$K13*PRP!$J$8)</f>
        <v>0</v>
      </c>
      <c r="BZ13" s="69">
        <f>IF($J13=0, ,VLOOKUP($J13,FÉ!$B$9:$K$22,9,FALSE)*$K13*PRP!$J$9)</f>
        <v>25747.199999999997</v>
      </c>
      <c r="CA13" s="700">
        <f>IF($J13=0, ,VLOOKUP($J13,FÉ!$B$9:$K$22,10,FALSE)*$K13*PRP!$J$10)</f>
        <v>31531.5</v>
      </c>
      <c r="CB13" s="69">
        <f t="shared" si="0"/>
        <v>57278.7</v>
      </c>
      <c r="CC13" s="722">
        <f t="shared" si="1"/>
        <v>5.7278699999999995E-2</v>
      </c>
      <c r="CD13" s="63"/>
      <c r="CE13" s="726">
        <f>IF(J13=FÉ!$B$12,K13* FÉ!$Q$12,)</f>
        <v>2698500</v>
      </c>
      <c r="CF13" s="727">
        <f t="shared" si="2"/>
        <v>2.6985000000000001</v>
      </c>
      <c r="CG13" s="63"/>
      <c r="CH13" s="730">
        <f>IF($J13=0, ,VLOOKUP($J13,FÉ!$B$9:$K$22,7,FALSE))*K13</f>
        <v>7995</v>
      </c>
    </row>
    <row r="14" spans="2:86" outlineLevel="1">
      <c r="B14" s="69" t="str">
        <f t="shared" si="3"/>
        <v>1.1A1</v>
      </c>
      <c r="C14" s="80"/>
      <c r="D14" s="80"/>
      <c r="E14" s="663"/>
      <c r="F14" s="69" t="str">
        <f t="shared" si="4"/>
        <v/>
      </c>
      <c r="G14" s="80" t="s">
        <v>137</v>
      </c>
      <c r="H14" s="80"/>
      <c r="I14" s="67"/>
      <c r="J14" s="67" t="s">
        <v>6335</v>
      </c>
      <c r="K14" s="68">
        <v>1000</v>
      </c>
      <c r="L14" s="339" t="str">
        <f>IFERROR(VLOOKUP(J14,FÉ!$B$10:$L$22,5,FALSE),"")</f>
        <v>L</v>
      </c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63"/>
      <c r="BQ14" s="69"/>
      <c r="BR14" s="719"/>
      <c r="BS14" s="719"/>
      <c r="BT14" s="719"/>
      <c r="BU14" s="719"/>
      <c r="BV14" s="719"/>
      <c r="BW14" s="719"/>
      <c r="BX14" s="719"/>
      <c r="BY14" s="719">
        <f>IF($J14=0, ,VLOOKUP($J14,FÉ!$B$9:$K$22,8,FALSE)*$K14*PRP!$J$8)</f>
        <v>1515000</v>
      </c>
      <c r="BZ14" s="69">
        <f>IF($J14=0, ,VLOOKUP($J14,FÉ!$B$9:$K$22,9,FALSE)*$K14*PRP!$J$9)</f>
        <v>804.6</v>
      </c>
      <c r="CA14" s="700">
        <f>IF($J14=0, ,VLOOKUP($J14,FÉ!$B$9:$K$22,10,FALSE)*$K14*PRP!$J$10)</f>
        <v>29484</v>
      </c>
      <c r="CB14" s="69">
        <f t="shared" si="0"/>
        <v>1545288.6</v>
      </c>
      <c r="CC14" s="722">
        <f t="shared" si="1"/>
        <v>1.5452886000000001</v>
      </c>
      <c r="CD14" s="63"/>
      <c r="CE14" s="726">
        <f>IF(J14=FÉ!$B$12,K14* FÉ!$Q$12,)</f>
        <v>0</v>
      </c>
      <c r="CF14" s="727">
        <f t="shared" si="2"/>
        <v>0</v>
      </c>
      <c r="CG14" s="63"/>
      <c r="CH14" s="730">
        <f>IF($J14=0, ,VLOOKUP($J14,FÉ!$B$9:$K$22,7,FALSE))*K14</f>
        <v>7030</v>
      </c>
    </row>
    <row r="15" spans="2:86" outlineLevel="1">
      <c r="B15" s="69" t="str">
        <f t="shared" si="3"/>
        <v>1.1A1</v>
      </c>
      <c r="C15" s="80"/>
      <c r="D15" s="80"/>
      <c r="E15" s="663"/>
      <c r="F15" s="69" t="str">
        <f t="shared" si="4"/>
        <v/>
      </c>
      <c r="G15" s="80"/>
      <c r="H15" s="80"/>
      <c r="I15" s="67"/>
      <c r="J15" s="67"/>
      <c r="K15" s="68"/>
      <c r="L15" s="339" t="str">
        <f>IFERROR(VLOOKUP(J15,FÉ!$B$10:$L$22,5,FALSE),"")</f>
        <v/>
      </c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63"/>
      <c r="BQ15" s="69"/>
      <c r="BR15" s="719"/>
      <c r="BS15" s="719"/>
      <c r="BT15" s="719"/>
      <c r="BU15" s="719"/>
      <c r="BV15" s="719"/>
      <c r="BW15" s="719"/>
      <c r="BX15" s="719"/>
      <c r="BY15" s="719">
        <f>IF($J15=0, ,VLOOKUP($J15,FÉ!$B$9:$K$22,8,FALSE)*$K15*PRP!$J$8)</f>
        <v>0</v>
      </c>
      <c r="BZ15" s="69">
        <f>IF($J15=0, ,VLOOKUP($J15,FÉ!$B$9:$K$22,9,FALSE)*$K15*PRP!$J$9)</f>
        <v>0</v>
      </c>
      <c r="CA15" s="700">
        <f>IF($J15=0, ,VLOOKUP($J15,FÉ!$B$9:$K$22,10,FALSE)*$K15*PRP!$J$10)</f>
        <v>0</v>
      </c>
      <c r="CB15" s="69">
        <f t="shared" si="0"/>
        <v>0</v>
      </c>
      <c r="CC15" s="722">
        <f t="shared" si="1"/>
        <v>0</v>
      </c>
      <c r="CD15" s="63"/>
      <c r="CE15" s="726">
        <f>IF(J15=FÉ!$B$12,K15* FÉ!$Q$12,)</f>
        <v>0</v>
      </c>
      <c r="CF15" s="727">
        <f t="shared" si="2"/>
        <v>0</v>
      </c>
      <c r="CG15" s="63"/>
      <c r="CH15" s="730">
        <f>IF($J15=0, ,VLOOKUP($J15,FÉ!$B$9:$K$22,7,FALSE))*K15</f>
        <v>0</v>
      </c>
    </row>
    <row r="16" spans="2:86" outlineLevel="1">
      <c r="B16" s="69" t="str">
        <f t="shared" si="3"/>
        <v>1.1A1</v>
      </c>
      <c r="C16" s="80"/>
      <c r="D16" s="80"/>
      <c r="E16" s="663"/>
      <c r="F16" s="69" t="str">
        <f t="shared" ref="F16:F25" si="5">IF(E16=0,"",MONTH(E16))</f>
        <v/>
      </c>
      <c r="G16" s="80"/>
      <c r="H16" s="80"/>
      <c r="I16" s="67"/>
      <c r="J16" s="67"/>
      <c r="K16" s="68"/>
      <c r="L16" s="339" t="str">
        <f>IFERROR(VLOOKUP(J16,FÉ!$B$10:$L$22,5,FALSE),"")</f>
        <v/>
      </c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63"/>
      <c r="BQ16" s="69"/>
      <c r="BR16" s="719"/>
      <c r="BS16" s="719"/>
      <c r="BT16" s="719"/>
      <c r="BU16" s="719"/>
      <c r="BV16" s="719"/>
      <c r="BW16" s="719"/>
      <c r="BX16" s="719"/>
      <c r="BY16" s="719">
        <f>IF($J16=0, ,VLOOKUP($J16,FÉ!$B$9:$K$22,8,FALSE)*$K16*PRP!$J$8)</f>
        <v>0</v>
      </c>
      <c r="BZ16" s="69">
        <f>IF($J16=0, ,VLOOKUP($J16,FÉ!$B$9:$K$22,9,FALSE)*$K16*PRP!$J$9)</f>
        <v>0</v>
      </c>
      <c r="CA16" s="700">
        <f>IF($J16=0, ,VLOOKUP($J16,FÉ!$B$9:$K$22,10,FALSE)*$K16*PRP!$J$10)</f>
        <v>0</v>
      </c>
      <c r="CB16" s="69">
        <f t="shared" si="0"/>
        <v>0</v>
      </c>
      <c r="CC16" s="722">
        <f t="shared" si="1"/>
        <v>0</v>
      </c>
      <c r="CD16" s="63"/>
      <c r="CE16" s="726">
        <f>IF(J16=FÉ!$B$12,K16* FÉ!$Q$12,)</f>
        <v>0</v>
      </c>
      <c r="CF16" s="727">
        <f t="shared" si="2"/>
        <v>0</v>
      </c>
      <c r="CG16" s="63"/>
      <c r="CH16" s="730">
        <f>IF($J16=0, ,VLOOKUP($J16,FÉ!$B$9:$K$22,7,FALSE))*K16</f>
        <v>0</v>
      </c>
    </row>
    <row r="17" spans="2:86" outlineLevel="1">
      <c r="B17" s="69" t="str">
        <f t="shared" si="3"/>
        <v>1.1A1</v>
      </c>
      <c r="C17" s="80"/>
      <c r="D17" s="80"/>
      <c r="E17" s="663"/>
      <c r="F17" s="69" t="str">
        <f t="shared" si="5"/>
        <v/>
      </c>
      <c r="G17" s="80"/>
      <c r="H17" s="80"/>
      <c r="I17" s="67"/>
      <c r="J17" s="67"/>
      <c r="K17" s="68"/>
      <c r="L17" s="339" t="str">
        <f>IFERROR(VLOOKUP(J17,FÉ!$B$10:$L$22,5,FALSE),"")</f>
        <v/>
      </c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63"/>
      <c r="BQ17" s="69"/>
      <c r="BR17" s="719"/>
      <c r="BS17" s="719"/>
      <c r="BT17" s="719"/>
      <c r="BU17" s="719"/>
      <c r="BV17" s="719"/>
      <c r="BW17" s="719"/>
      <c r="BX17" s="719"/>
      <c r="BY17" s="719">
        <f>IF($J17=0, ,VLOOKUP($J17,FÉ!$B$9:$K$22,8,FALSE)*$K17*PRP!$J$8)</f>
        <v>0</v>
      </c>
      <c r="BZ17" s="69">
        <f>IF($J17=0, ,VLOOKUP($J17,FÉ!$B$9:$K$22,9,FALSE)*$K17*PRP!$J$9)</f>
        <v>0</v>
      </c>
      <c r="CA17" s="700">
        <f>IF($J17=0, ,VLOOKUP($J17,FÉ!$B$9:$K$22,10,FALSE)*$K17*PRP!$J$10)</f>
        <v>0</v>
      </c>
      <c r="CB17" s="69">
        <f t="shared" si="0"/>
        <v>0</v>
      </c>
      <c r="CC17" s="722">
        <f t="shared" si="1"/>
        <v>0</v>
      </c>
      <c r="CD17" s="63"/>
      <c r="CE17" s="726">
        <f>IF(J17=FÉ!$B$12,K17* FÉ!$Q$12,)</f>
        <v>0</v>
      </c>
      <c r="CF17" s="727">
        <f t="shared" si="2"/>
        <v>0</v>
      </c>
      <c r="CG17" s="63"/>
      <c r="CH17" s="730">
        <f>IF($J17=0, ,VLOOKUP($J17,FÉ!$B$9:$K$22,7,FALSE))*K17</f>
        <v>0</v>
      </c>
    </row>
    <row r="18" spans="2:86" outlineLevel="1">
      <c r="B18" s="69" t="str">
        <f t="shared" si="3"/>
        <v>1.1A1</v>
      </c>
      <c r="C18" s="80"/>
      <c r="D18" s="80"/>
      <c r="E18" s="663"/>
      <c r="F18" s="69" t="str">
        <f t="shared" si="5"/>
        <v/>
      </c>
      <c r="G18" s="80"/>
      <c r="H18" s="80"/>
      <c r="I18" s="67"/>
      <c r="J18" s="67"/>
      <c r="K18" s="68"/>
      <c r="L18" s="339" t="str">
        <f>IFERROR(VLOOKUP(J18,FÉ!$B$10:$L$22,5,FALSE),"")</f>
        <v/>
      </c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63"/>
      <c r="BQ18" s="69"/>
      <c r="BR18" s="719"/>
      <c r="BS18" s="719"/>
      <c r="BT18" s="719"/>
      <c r="BU18" s="719"/>
      <c r="BV18" s="719"/>
      <c r="BW18" s="719"/>
      <c r="BX18" s="719"/>
      <c r="BY18" s="719">
        <f>IF($J18=0, ,VLOOKUP($J18,FÉ!$B$9:$K$22,8,FALSE)*$K18*PRP!$J$8)</f>
        <v>0</v>
      </c>
      <c r="BZ18" s="69">
        <f>IF($J18=0, ,VLOOKUP($J18,FÉ!$B$9:$K$22,9,FALSE)*$K18*PRP!$J$9)</f>
        <v>0</v>
      </c>
      <c r="CA18" s="700">
        <f>IF($J18=0, ,VLOOKUP($J18,FÉ!$B$9:$K$22,10,FALSE)*$K18*PRP!$J$10)</f>
        <v>0</v>
      </c>
      <c r="CB18" s="69">
        <f t="shared" si="0"/>
        <v>0</v>
      </c>
      <c r="CC18" s="722">
        <f t="shared" si="1"/>
        <v>0</v>
      </c>
      <c r="CD18" s="63"/>
      <c r="CE18" s="726">
        <f>IF(J18=FÉ!$B$12,K18* FÉ!$Q$12,)</f>
        <v>0</v>
      </c>
      <c r="CF18" s="727">
        <f t="shared" si="2"/>
        <v>0</v>
      </c>
      <c r="CG18" s="63"/>
      <c r="CH18" s="730">
        <f>IF($J18=0, ,VLOOKUP($J18,FÉ!$B$9:$K$22,7,FALSE))*K18</f>
        <v>0</v>
      </c>
    </row>
    <row r="19" spans="2:86" outlineLevel="1">
      <c r="B19" s="69" t="str">
        <f t="shared" si="3"/>
        <v>1.1A1</v>
      </c>
      <c r="C19" s="80"/>
      <c r="D19" s="80"/>
      <c r="E19" s="663"/>
      <c r="F19" s="69" t="str">
        <f t="shared" si="5"/>
        <v/>
      </c>
      <c r="G19" s="80"/>
      <c r="H19" s="80"/>
      <c r="I19" s="67"/>
      <c r="J19" s="67"/>
      <c r="K19" s="68"/>
      <c r="L19" s="339" t="str">
        <f>IFERROR(VLOOKUP(J19,FÉ!$B$10:$L$22,5,FALSE),"")</f>
        <v/>
      </c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3"/>
      <c r="BQ19" s="69"/>
      <c r="BR19" s="719"/>
      <c r="BS19" s="719"/>
      <c r="BT19" s="719"/>
      <c r="BU19" s="719"/>
      <c r="BV19" s="719"/>
      <c r="BW19" s="719"/>
      <c r="BX19" s="719"/>
      <c r="BY19" s="719">
        <f>IF($J19=0, ,VLOOKUP($J19,FÉ!$B$9:$K$22,8,FALSE)*$K19*PRP!$J$8)</f>
        <v>0</v>
      </c>
      <c r="BZ19" s="69">
        <f>IF($J19=0, ,VLOOKUP($J19,FÉ!$B$9:$K$22,9,FALSE)*$K19*PRP!$J$9)</f>
        <v>0</v>
      </c>
      <c r="CA19" s="700">
        <f>IF($J19=0, ,VLOOKUP($J19,FÉ!$B$9:$K$22,10,FALSE)*$K19*PRP!$J$10)</f>
        <v>0</v>
      </c>
      <c r="CB19" s="69">
        <f t="shared" si="0"/>
        <v>0</v>
      </c>
      <c r="CC19" s="722">
        <f t="shared" si="1"/>
        <v>0</v>
      </c>
      <c r="CD19" s="63"/>
      <c r="CE19" s="726">
        <f>IF(J19=FÉ!$B$12,K19* FÉ!$Q$12,)</f>
        <v>0</v>
      </c>
      <c r="CF19" s="727">
        <f t="shared" si="2"/>
        <v>0</v>
      </c>
      <c r="CG19" s="63"/>
      <c r="CH19" s="730">
        <f>IF($J19=0, ,VLOOKUP($J19,FÉ!$B$9:$K$22,7,FALSE))*K19</f>
        <v>0</v>
      </c>
    </row>
    <row r="20" spans="2:86" outlineLevel="1">
      <c r="B20" s="69" t="str">
        <f t="shared" si="3"/>
        <v>1.1A1</v>
      </c>
      <c r="C20" s="80"/>
      <c r="D20" s="80"/>
      <c r="E20" s="663"/>
      <c r="F20" s="69" t="str">
        <f t="shared" si="5"/>
        <v/>
      </c>
      <c r="G20" s="80"/>
      <c r="H20" s="80"/>
      <c r="I20" s="67"/>
      <c r="J20" s="67"/>
      <c r="K20" s="68"/>
      <c r="L20" s="339" t="str">
        <f>IFERROR(VLOOKUP(J20,FÉ!$B$10:$L$22,5,FALSE),"")</f>
        <v/>
      </c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3"/>
      <c r="BQ20" s="69"/>
      <c r="BR20" s="719"/>
      <c r="BS20" s="719"/>
      <c r="BT20" s="719"/>
      <c r="BU20" s="719"/>
      <c r="BV20" s="719"/>
      <c r="BW20" s="719"/>
      <c r="BX20" s="719"/>
      <c r="BY20" s="719">
        <f>IF($J20=0, ,VLOOKUP($J20,FÉ!$B$9:$K$22,8,FALSE)*$K20*PRP!$J$8)</f>
        <v>0</v>
      </c>
      <c r="BZ20" s="69">
        <f>IF($J20=0, ,VLOOKUP($J20,FÉ!$B$9:$K$22,9,FALSE)*$K20*PRP!$J$9)</f>
        <v>0</v>
      </c>
      <c r="CA20" s="700">
        <f>IF($J20=0, ,VLOOKUP($J20,FÉ!$B$9:$K$22,10,FALSE)*$K20*PRP!$J$10)</f>
        <v>0</v>
      </c>
      <c r="CB20" s="69">
        <f t="shared" si="0"/>
        <v>0</v>
      </c>
      <c r="CC20" s="722">
        <f t="shared" si="1"/>
        <v>0</v>
      </c>
      <c r="CD20" s="63"/>
      <c r="CE20" s="726">
        <f>IF(J20=FÉ!$B$12,K20* FÉ!$Q$12,)</f>
        <v>0</v>
      </c>
      <c r="CF20" s="727">
        <f t="shared" si="2"/>
        <v>0</v>
      </c>
      <c r="CG20" s="63"/>
      <c r="CH20" s="730">
        <f>IF($J20=0, ,VLOOKUP($J20,FÉ!$B$9:$K$22,7,FALSE))*K20</f>
        <v>0</v>
      </c>
    </row>
    <row r="21" spans="2:86" outlineLevel="1">
      <c r="B21" s="69" t="str">
        <f t="shared" si="3"/>
        <v>1.1A1</v>
      </c>
      <c r="C21" s="80"/>
      <c r="D21" s="80"/>
      <c r="E21" s="663"/>
      <c r="F21" s="69" t="str">
        <f t="shared" si="5"/>
        <v/>
      </c>
      <c r="G21" s="80"/>
      <c r="H21" s="80"/>
      <c r="I21" s="67"/>
      <c r="J21" s="67"/>
      <c r="K21" s="68"/>
      <c r="L21" s="339" t="str">
        <f>IFERROR(VLOOKUP(J21,FÉ!$B$10:$L$22,5,FALSE),"")</f>
        <v/>
      </c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3"/>
      <c r="BQ21" s="69"/>
      <c r="BR21" s="719"/>
      <c r="BS21" s="719"/>
      <c r="BT21" s="719"/>
      <c r="BU21" s="719"/>
      <c r="BV21" s="719"/>
      <c r="BW21" s="719"/>
      <c r="BX21" s="719"/>
      <c r="BY21" s="719">
        <f>IF($J21=0, ,VLOOKUP($J21,FÉ!$B$9:$K$22,8,FALSE)*$K21*PRP!$J$8)</f>
        <v>0</v>
      </c>
      <c r="BZ21" s="69">
        <f>IF($J21=0, ,VLOOKUP($J21,FÉ!$B$9:$K$22,9,FALSE)*$K21*PRP!$J$9)</f>
        <v>0</v>
      </c>
      <c r="CA21" s="700">
        <f>IF($J21=0, ,VLOOKUP($J21,FÉ!$B$9:$K$22,10,FALSE)*$K21*PRP!$J$10)</f>
        <v>0</v>
      </c>
      <c r="CB21" s="69">
        <f t="shared" si="0"/>
        <v>0</v>
      </c>
      <c r="CC21" s="722">
        <f t="shared" si="1"/>
        <v>0</v>
      </c>
      <c r="CD21" s="63"/>
      <c r="CE21" s="726">
        <f>IF(J21=FÉ!$B$12,K21* FÉ!$Q$12,)</f>
        <v>0</v>
      </c>
      <c r="CF21" s="727">
        <f t="shared" si="2"/>
        <v>0</v>
      </c>
      <c r="CG21" s="63"/>
      <c r="CH21" s="730">
        <f>IF($J21=0, ,VLOOKUP($J21,FÉ!$B$9:$K$22,7,FALSE))*K21</f>
        <v>0</v>
      </c>
    </row>
    <row r="22" spans="2:86" outlineLevel="1">
      <c r="B22" s="69" t="str">
        <f t="shared" si="3"/>
        <v>1.1A1</v>
      </c>
      <c r="C22" s="80"/>
      <c r="D22" s="80"/>
      <c r="E22" s="663"/>
      <c r="F22" s="69" t="str">
        <f t="shared" si="5"/>
        <v/>
      </c>
      <c r="G22" s="80"/>
      <c r="H22" s="80"/>
      <c r="I22" s="67"/>
      <c r="J22" s="67"/>
      <c r="K22" s="68"/>
      <c r="L22" s="339" t="str">
        <f>IFERROR(VLOOKUP(J22,FÉ!$B$10:$L$22,5,FALSE),"")</f>
        <v/>
      </c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3"/>
      <c r="BQ22" s="69"/>
      <c r="BR22" s="719"/>
      <c r="BS22" s="719"/>
      <c r="BT22" s="719"/>
      <c r="BU22" s="719"/>
      <c r="BV22" s="719"/>
      <c r="BW22" s="719"/>
      <c r="BX22" s="719"/>
      <c r="BY22" s="719">
        <f>IF($J22=0, ,VLOOKUP($J22,FÉ!$B$9:$K$22,8,FALSE)*$K22*PRP!$J$8)</f>
        <v>0</v>
      </c>
      <c r="BZ22" s="69">
        <f>IF($J22=0, ,VLOOKUP($J22,FÉ!$B$9:$K$22,9,FALSE)*$K22*PRP!$J$9)</f>
        <v>0</v>
      </c>
      <c r="CA22" s="700">
        <f>IF($J22=0, ,VLOOKUP($J22,FÉ!$B$9:$K$22,10,FALSE)*$K22*PRP!$J$10)</f>
        <v>0</v>
      </c>
      <c r="CB22" s="69">
        <f t="shared" si="0"/>
        <v>0</v>
      </c>
      <c r="CC22" s="722">
        <f t="shared" si="1"/>
        <v>0</v>
      </c>
      <c r="CD22" s="63"/>
      <c r="CE22" s="726">
        <f>IF(J22=FÉ!$B$12,K22* FÉ!$Q$12,)</f>
        <v>0</v>
      </c>
      <c r="CF22" s="727">
        <f t="shared" si="2"/>
        <v>0</v>
      </c>
      <c r="CG22" s="63"/>
      <c r="CH22" s="730">
        <f>IF($J22=0, ,VLOOKUP($J22,FÉ!$B$9:$K$22,7,FALSE))*K22</f>
        <v>0</v>
      </c>
    </row>
    <row r="23" spans="2:86" outlineLevel="1">
      <c r="B23" s="69" t="str">
        <f t="shared" si="3"/>
        <v>1.1A1</v>
      </c>
      <c r="C23" s="80"/>
      <c r="D23" s="80"/>
      <c r="E23" s="663"/>
      <c r="F23" s="69" t="str">
        <f t="shared" si="5"/>
        <v/>
      </c>
      <c r="G23" s="80"/>
      <c r="H23" s="80"/>
      <c r="I23" s="67"/>
      <c r="J23" s="67"/>
      <c r="K23" s="68"/>
      <c r="L23" s="339" t="str">
        <f>IFERROR(VLOOKUP(J23,FÉ!$B$10:$L$22,5,FALSE),"")</f>
        <v/>
      </c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63"/>
      <c r="BQ23" s="69"/>
      <c r="BR23" s="719"/>
      <c r="BS23" s="719"/>
      <c r="BT23" s="719"/>
      <c r="BU23" s="719"/>
      <c r="BV23" s="719"/>
      <c r="BW23" s="719"/>
      <c r="BX23" s="719"/>
      <c r="BY23" s="719">
        <f>IF($J23=0, ,VLOOKUP($J23,FÉ!$B$9:$K$22,8,FALSE)*$K23*PRP!$J$8)</f>
        <v>0</v>
      </c>
      <c r="BZ23" s="69">
        <f>IF($J23=0, ,VLOOKUP($J23,FÉ!$B$9:$K$22,9,FALSE)*$K23*PRP!$J$9)</f>
        <v>0</v>
      </c>
      <c r="CA23" s="700">
        <f>IF($J23=0, ,VLOOKUP($J23,FÉ!$B$9:$K$22,10,FALSE)*$K23*PRP!$J$10)</f>
        <v>0</v>
      </c>
      <c r="CB23" s="69">
        <f t="shared" si="0"/>
        <v>0</v>
      </c>
      <c r="CC23" s="722">
        <f t="shared" si="1"/>
        <v>0</v>
      </c>
      <c r="CD23" s="63"/>
      <c r="CE23" s="726">
        <f>IF(J23=FÉ!$B$12,K23* FÉ!$Q$12,)</f>
        <v>0</v>
      </c>
      <c r="CF23" s="727">
        <f t="shared" si="2"/>
        <v>0</v>
      </c>
      <c r="CG23" s="63"/>
      <c r="CH23" s="730">
        <f>IF($J23=0, ,VLOOKUP($J23,FÉ!$B$9:$K$22,7,FALSE))*K23</f>
        <v>0</v>
      </c>
    </row>
    <row r="24" spans="2:86" outlineLevel="1">
      <c r="B24" s="69" t="str">
        <f t="shared" si="3"/>
        <v>1.1A1</v>
      </c>
      <c r="C24" s="80"/>
      <c r="D24" s="80"/>
      <c r="E24" s="663"/>
      <c r="F24" s="69" t="str">
        <f t="shared" si="5"/>
        <v/>
      </c>
      <c r="G24" s="80"/>
      <c r="H24" s="80"/>
      <c r="I24" s="67"/>
      <c r="J24" s="67"/>
      <c r="K24" s="68"/>
      <c r="L24" s="339" t="str">
        <f>IFERROR(VLOOKUP(J24,FÉ!$B$10:$L$22,5,FALSE),"")</f>
        <v/>
      </c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63"/>
      <c r="BQ24" s="69"/>
      <c r="BR24" s="719"/>
      <c r="BS24" s="719"/>
      <c r="BT24" s="719"/>
      <c r="BU24" s="719"/>
      <c r="BV24" s="719"/>
      <c r="BW24" s="719"/>
      <c r="BX24" s="719"/>
      <c r="BY24" s="719">
        <f>IF($J24=0, ,VLOOKUP($J24,FÉ!$B$9:$K$22,8,FALSE)*$K24*PRP!$J$8)</f>
        <v>0</v>
      </c>
      <c r="BZ24" s="69">
        <f>IF($J24=0, ,VLOOKUP($J24,FÉ!$B$9:$K$22,9,FALSE)*$K24*PRP!$J$9)</f>
        <v>0</v>
      </c>
      <c r="CA24" s="700">
        <f>IF($J24=0, ,VLOOKUP($J24,FÉ!$B$9:$K$22,10,FALSE)*$K24*PRP!$J$10)</f>
        <v>0</v>
      </c>
      <c r="CB24" s="69">
        <f t="shared" si="0"/>
        <v>0</v>
      </c>
      <c r="CC24" s="722">
        <f t="shared" si="1"/>
        <v>0</v>
      </c>
      <c r="CD24" s="63"/>
      <c r="CE24" s="726">
        <f>IF(J24=FÉ!$B$12,K24* FÉ!$Q$12,)</f>
        <v>0</v>
      </c>
      <c r="CF24" s="727">
        <f t="shared" si="2"/>
        <v>0</v>
      </c>
      <c r="CG24" s="63"/>
      <c r="CH24" s="730">
        <f>IF($J24=0, ,VLOOKUP($J24,FÉ!$B$9:$K$22,7,FALSE))*K24</f>
        <v>0</v>
      </c>
    </row>
    <row r="25" spans="2:86" outlineLevel="1">
      <c r="B25" s="69" t="str">
        <f t="shared" si="3"/>
        <v>1.1A1</v>
      </c>
      <c r="C25" s="80"/>
      <c r="D25" s="80"/>
      <c r="E25" s="663"/>
      <c r="F25" s="69" t="str">
        <f t="shared" si="5"/>
        <v/>
      </c>
      <c r="G25" s="80"/>
      <c r="H25" s="80"/>
      <c r="I25" s="67"/>
      <c r="J25" s="67"/>
      <c r="K25" s="68"/>
      <c r="L25" s="339" t="str">
        <f>IFERROR(VLOOKUP(J25,FÉ!$B$10:$L$22,5,FALSE),"")</f>
        <v/>
      </c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3"/>
      <c r="BQ25" s="69"/>
      <c r="BR25" s="719"/>
      <c r="BS25" s="719"/>
      <c r="BT25" s="719"/>
      <c r="BU25" s="719"/>
      <c r="BV25" s="719"/>
      <c r="BW25" s="719"/>
      <c r="BX25" s="719"/>
      <c r="BY25" s="719">
        <f>IF($J25=0, ,VLOOKUP($J25,FÉ!$B$9:$K$22,8,FALSE)*$K25*PRP!$J$8)</f>
        <v>0</v>
      </c>
      <c r="BZ25" s="69">
        <f>IF($J25=0, ,VLOOKUP($J25,FÉ!$B$9:$K$22,9,FALSE)*$K25*PRP!$J$9)</f>
        <v>0</v>
      </c>
      <c r="CA25" s="700">
        <f>IF($J25=0, ,VLOOKUP($J25,FÉ!$B$9:$K$22,10,FALSE)*$K25*PRP!$J$10)</f>
        <v>0</v>
      </c>
      <c r="CB25" s="69">
        <f t="shared" si="0"/>
        <v>0</v>
      </c>
      <c r="CC25" s="722">
        <f t="shared" si="1"/>
        <v>0</v>
      </c>
      <c r="CD25" s="63"/>
      <c r="CE25" s="726">
        <f>IF(J25=FÉ!$B$12,K25* FÉ!$Q$12,)</f>
        <v>0</v>
      </c>
      <c r="CF25" s="727">
        <f t="shared" si="2"/>
        <v>0</v>
      </c>
      <c r="CG25" s="63"/>
      <c r="CH25" s="730">
        <f>IF($J25=0, ,VLOOKUP($J25,FÉ!$B$9:$K$22,7,FALSE))*K25</f>
        <v>0</v>
      </c>
    </row>
    <row r="26" spans="2:86" outlineLevel="1">
      <c r="B26" s="69" t="str">
        <f t="shared" si="3"/>
        <v>1.1A1</v>
      </c>
      <c r="C26" s="80"/>
      <c r="D26" s="80"/>
      <c r="E26" s="663"/>
      <c r="F26" s="69" t="str">
        <f t="shared" si="4"/>
        <v/>
      </c>
      <c r="G26" s="80"/>
      <c r="H26" s="80"/>
      <c r="I26" s="67"/>
      <c r="J26" s="67"/>
      <c r="K26" s="68"/>
      <c r="L26" s="339" t="str">
        <f>IFERROR(VLOOKUP(J26,FÉ!$B$10:$L$22,5,FALSE),"")</f>
        <v/>
      </c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63"/>
      <c r="BQ26" s="69"/>
      <c r="BR26" s="719"/>
      <c r="BS26" s="719"/>
      <c r="BT26" s="719"/>
      <c r="BU26" s="719"/>
      <c r="BV26" s="719"/>
      <c r="BW26" s="719"/>
      <c r="BX26" s="719"/>
      <c r="BY26" s="719">
        <f>IF($J26=0, ,VLOOKUP($J26,FÉ!$B$9:$K$22,8,FALSE)*$K26*PRP!$J$8)</f>
        <v>0</v>
      </c>
      <c r="BZ26" s="69">
        <f>IF($J26=0, ,VLOOKUP($J26,FÉ!$B$9:$K$22,9,FALSE)*$K26*PRP!$J$9)</f>
        <v>0</v>
      </c>
      <c r="CA26" s="700">
        <f>IF($J26=0, ,VLOOKUP($J26,FÉ!$B$9:$K$22,10,FALSE)*$K26*PRP!$J$10)</f>
        <v>0</v>
      </c>
      <c r="CB26" s="69">
        <f t="shared" si="0"/>
        <v>0</v>
      </c>
      <c r="CC26" s="722">
        <f t="shared" si="1"/>
        <v>0</v>
      </c>
      <c r="CD26" s="63"/>
      <c r="CE26" s="726">
        <f>IF(J26=FÉ!$B$12,K26* FÉ!$Q$12,)</f>
        <v>0</v>
      </c>
      <c r="CF26" s="727">
        <f t="shared" si="2"/>
        <v>0</v>
      </c>
      <c r="CG26" s="63"/>
      <c r="CH26" s="730">
        <f>IF($J26=0, ,VLOOKUP($J26,FÉ!$B$9:$K$22,7,FALSE))*K26</f>
        <v>0</v>
      </c>
    </row>
    <row r="27" spans="2:86" outlineLevel="1">
      <c r="B27" s="69" t="str">
        <f t="shared" si="3"/>
        <v>1.1A1</v>
      </c>
      <c r="C27" s="80"/>
      <c r="D27" s="80"/>
      <c r="E27" s="663"/>
      <c r="F27" s="69" t="str">
        <f t="shared" si="4"/>
        <v/>
      </c>
      <c r="G27" s="80"/>
      <c r="H27" s="80"/>
      <c r="I27" s="67"/>
      <c r="J27" s="67"/>
      <c r="K27" s="68"/>
      <c r="L27" s="339" t="str">
        <f>IFERROR(VLOOKUP(J27,FÉ!$B$10:$L$22,5,FALSE),"")</f>
        <v/>
      </c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63"/>
      <c r="BQ27" s="69"/>
      <c r="BR27" s="719"/>
      <c r="BS27" s="719"/>
      <c r="BT27" s="719"/>
      <c r="BU27" s="719"/>
      <c r="BV27" s="719"/>
      <c r="BW27" s="719"/>
      <c r="BX27" s="719"/>
      <c r="BY27" s="719">
        <f>IF($J27=0, ,VLOOKUP($J27,FÉ!$B$9:$K$22,8,FALSE)*$K27*PRP!$J$8)</f>
        <v>0</v>
      </c>
      <c r="BZ27" s="69">
        <f>IF($J27=0, ,VLOOKUP($J27,FÉ!$B$9:$K$22,9,FALSE)*$K27*PRP!$J$9)</f>
        <v>0</v>
      </c>
      <c r="CA27" s="700">
        <f>IF($J27=0, ,VLOOKUP($J27,FÉ!$B$9:$K$22,10,FALSE)*$K27*PRP!$J$10)</f>
        <v>0</v>
      </c>
      <c r="CB27" s="69">
        <f t="shared" si="0"/>
        <v>0</v>
      </c>
      <c r="CC27" s="722">
        <f t="shared" si="1"/>
        <v>0</v>
      </c>
      <c r="CD27" s="63"/>
      <c r="CE27" s="726">
        <f>IF(J27=FÉ!$B$12,K27* FÉ!$Q$12,)</f>
        <v>0</v>
      </c>
      <c r="CF27" s="727">
        <f t="shared" si="2"/>
        <v>0</v>
      </c>
      <c r="CG27" s="63"/>
      <c r="CH27" s="730">
        <f>IF($J27=0, ,VLOOKUP($J27,FÉ!$B$9:$K$22,7,FALSE))*K27</f>
        <v>0</v>
      </c>
    </row>
    <row r="28" spans="2:86" outlineLevel="1">
      <c r="B28" s="69" t="str">
        <f t="shared" si="3"/>
        <v>1.1A1</v>
      </c>
      <c r="C28" s="80"/>
      <c r="D28" s="80"/>
      <c r="E28" s="663"/>
      <c r="F28" s="69" t="str">
        <f t="shared" si="4"/>
        <v/>
      </c>
      <c r="G28" s="80"/>
      <c r="H28" s="80"/>
      <c r="I28" s="67"/>
      <c r="J28" s="67"/>
      <c r="K28" s="68"/>
      <c r="L28" s="339" t="str">
        <f>IFERROR(VLOOKUP(J28,FÉ!$B$10:$L$22,5,FALSE),"")</f>
        <v/>
      </c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3"/>
      <c r="BQ28" s="69"/>
      <c r="BR28" s="719"/>
      <c r="BS28" s="719"/>
      <c r="BT28" s="719"/>
      <c r="BU28" s="719"/>
      <c r="BV28" s="719"/>
      <c r="BW28" s="719"/>
      <c r="BX28" s="719"/>
      <c r="BY28" s="719">
        <f>IF($J28=0, ,VLOOKUP($J28,FÉ!$B$9:$K$22,8,FALSE)*$K28*PRP!$J$8)</f>
        <v>0</v>
      </c>
      <c r="BZ28" s="69">
        <f>IF($J28=0, ,VLOOKUP($J28,FÉ!$B$9:$K$22,9,FALSE)*$K28*PRP!$J$9)</f>
        <v>0</v>
      </c>
      <c r="CA28" s="700">
        <f>IF($J28=0, ,VLOOKUP($J28,FÉ!$B$9:$K$22,10,FALSE)*$K28*PRP!$J$10)</f>
        <v>0</v>
      </c>
      <c r="CB28" s="69">
        <f t="shared" si="0"/>
        <v>0</v>
      </c>
      <c r="CC28" s="722">
        <f t="shared" si="1"/>
        <v>0</v>
      </c>
      <c r="CD28" s="63"/>
      <c r="CE28" s="726">
        <f>IF(J28=FÉ!$B$12,K28* FÉ!$Q$12,)</f>
        <v>0</v>
      </c>
      <c r="CF28" s="727">
        <f t="shared" si="2"/>
        <v>0</v>
      </c>
      <c r="CG28" s="63"/>
      <c r="CH28" s="730">
        <f>IF($J28=0, ,VLOOKUP($J28,FÉ!$B$9:$K$22,7,FALSE))*K28</f>
        <v>0</v>
      </c>
    </row>
    <row r="29" spans="2:86" outlineLevel="1">
      <c r="B29" s="69" t="str">
        <f t="shared" si="3"/>
        <v>1.1A1</v>
      </c>
      <c r="C29" s="80"/>
      <c r="D29" s="80"/>
      <c r="E29" s="663"/>
      <c r="F29" s="69" t="str">
        <f t="shared" si="4"/>
        <v/>
      </c>
      <c r="G29" s="80"/>
      <c r="H29" s="80"/>
      <c r="I29" s="67"/>
      <c r="J29" s="67"/>
      <c r="K29" s="68"/>
      <c r="L29" s="339" t="str">
        <f>IFERROR(VLOOKUP(J29,FÉ!$B$10:$L$22,5,FALSE),"")</f>
        <v/>
      </c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63"/>
      <c r="BQ29" s="69"/>
      <c r="BR29" s="719"/>
      <c r="BS29" s="719"/>
      <c r="BT29" s="719"/>
      <c r="BU29" s="719"/>
      <c r="BV29" s="719"/>
      <c r="BW29" s="719"/>
      <c r="BX29" s="719"/>
      <c r="BY29" s="719">
        <f>IF($J29=0, ,VLOOKUP($J29,FÉ!$B$9:$K$22,8,FALSE)*$K29*PRP!$J$8)</f>
        <v>0</v>
      </c>
      <c r="BZ29" s="69">
        <f>IF($J29=0, ,VLOOKUP($J29,FÉ!$B$9:$K$22,9,FALSE)*$K29*PRP!$J$9)</f>
        <v>0</v>
      </c>
      <c r="CA29" s="700">
        <f>IF($J29=0, ,VLOOKUP($J29,FÉ!$B$9:$K$22,10,FALSE)*$K29*PRP!$J$10)</f>
        <v>0</v>
      </c>
      <c r="CB29" s="69">
        <f t="shared" si="0"/>
        <v>0</v>
      </c>
      <c r="CC29" s="722">
        <f t="shared" si="1"/>
        <v>0</v>
      </c>
      <c r="CD29" s="63"/>
      <c r="CE29" s="726">
        <f>IF(J29=FÉ!$B$12,K29* FÉ!$Q$12,)</f>
        <v>0</v>
      </c>
      <c r="CF29" s="727">
        <f t="shared" si="2"/>
        <v>0</v>
      </c>
      <c r="CG29" s="63"/>
      <c r="CH29" s="730">
        <f>IF($J29=0, ,VLOOKUP($J29,FÉ!$B$9:$K$22,7,FALSE))*K29</f>
        <v>0</v>
      </c>
    </row>
    <row r="30" spans="2:86" ht="15.75" outlineLevel="1" thickBot="1">
      <c r="B30" s="69" t="str">
        <f t="shared" si="3"/>
        <v>1.1A1</v>
      </c>
      <c r="C30" s="80"/>
      <c r="D30" s="717"/>
      <c r="E30" s="663"/>
      <c r="F30" s="69" t="str">
        <f t="shared" si="4"/>
        <v/>
      </c>
      <c r="G30" s="80"/>
      <c r="H30" s="80"/>
      <c r="I30" s="67"/>
      <c r="J30" s="67"/>
      <c r="K30" s="714"/>
      <c r="L30" s="552" t="str">
        <f>IFERROR(VLOOKUP(J30,FÉ!$B$10:$L$22,5,FALSE),"")</f>
        <v/>
      </c>
      <c r="M30" s="647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3"/>
      <c r="BQ30" s="69"/>
      <c r="BR30" s="719"/>
      <c r="BS30" s="719"/>
      <c r="BT30" s="719"/>
      <c r="BU30" s="719"/>
      <c r="BV30" s="719"/>
      <c r="BW30" s="719"/>
      <c r="BX30" s="719"/>
      <c r="BY30" s="719">
        <f>IF($J30=0, ,VLOOKUP($J30,FÉ!$B$9:$K$22,8,FALSE)*$K30*PRP!$J$8)</f>
        <v>0</v>
      </c>
      <c r="BZ30" s="69">
        <f>IF($J30=0, ,VLOOKUP($J30,FÉ!$B$9:$K$22,9,FALSE)*$K30*PRP!$J$9)</f>
        <v>0</v>
      </c>
      <c r="CA30" s="700">
        <f>IF($J30=0, ,VLOOKUP($J30,FÉ!$B$9:$K$22,10,FALSE)*$K30*PRP!$J$10)</f>
        <v>0</v>
      </c>
      <c r="CB30" s="69">
        <f t="shared" si="0"/>
        <v>0</v>
      </c>
      <c r="CC30" s="722">
        <f t="shared" si="1"/>
        <v>0</v>
      </c>
      <c r="CD30" s="63"/>
      <c r="CE30" s="726">
        <f>IF(J30=FÉ!$B$12,K30* FÉ!$Q$12,)</f>
        <v>0</v>
      </c>
      <c r="CF30" s="727">
        <f t="shared" si="2"/>
        <v>0</v>
      </c>
      <c r="CG30" s="63"/>
      <c r="CH30" s="730">
        <f>IF($J30=0, ,VLOOKUP($J30,FÉ!$B$9:$K$22,7,FALSE))*K30</f>
        <v>0</v>
      </c>
    </row>
    <row r="31" spans="2:86" ht="15.75" outlineLevel="1" thickBot="1">
      <c r="B31" s="72"/>
      <c r="C31" s="78"/>
      <c r="D31" s="78"/>
      <c r="E31" s="707"/>
      <c r="F31" s="750" t="str">
        <f>$B11</f>
        <v>1.1A1</v>
      </c>
      <c r="G31" s="750" t="str">
        <f>$B11</f>
        <v>1.1A1</v>
      </c>
      <c r="H31" s="750" t="str">
        <f>$B11</f>
        <v>1.1A1</v>
      </c>
      <c r="I31" s="707"/>
      <c r="J31" s="73"/>
      <c r="K31" s="74">
        <f>SUM(K11:K30)</f>
        <v>3500</v>
      </c>
      <c r="L31" s="75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63"/>
      <c r="BQ31" s="70"/>
      <c r="BR31" s="70"/>
      <c r="BS31" s="70"/>
      <c r="BT31" s="70"/>
      <c r="BU31" s="70"/>
      <c r="BV31" s="70"/>
      <c r="BW31" s="70"/>
      <c r="BX31" s="70"/>
      <c r="BY31" s="70">
        <f>SUM(BY11:BY30)</f>
        <v>4268000</v>
      </c>
      <c r="BZ31" s="70">
        <f>SUM(BZ11:BZ30)</f>
        <v>31915.799999999996</v>
      </c>
      <c r="CA31" s="70">
        <f>SUM(CA11:CA30)</f>
        <v>69478.5</v>
      </c>
      <c r="CB31" s="70">
        <f>SUM(CB11:CB30)</f>
        <v>4369394.3000000007</v>
      </c>
      <c r="CC31" s="76">
        <f>SUM(CC11:CC30)</f>
        <v>4.3693942999999997</v>
      </c>
      <c r="CD31" s="63"/>
      <c r="CE31" s="77">
        <f>SUM(CE11:CE30)</f>
        <v>2698500</v>
      </c>
      <c r="CF31" s="76">
        <f>SUM(CF11:CF30)</f>
        <v>2.6985000000000001</v>
      </c>
      <c r="CG31" s="63"/>
      <c r="CH31" s="664">
        <f>SUM(CH11:CH30)</f>
        <v>25795</v>
      </c>
    </row>
    <row r="32" spans="2:86" ht="15.75" thickBot="1"/>
    <row r="33" spans="2:86" ht="31.5">
      <c r="B33" s="1210" t="s">
        <v>6472</v>
      </c>
      <c r="C33" s="1211"/>
      <c r="D33" s="1211"/>
      <c r="E33" s="1211"/>
      <c r="F33" s="1211"/>
      <c r="G33" s="1211"/>
      <c r="H33" s="1211"/>
      <c r="I33" s="1211"/>
      <c r="J33" s="1211"/>
      <c r="K33" s="1211"/>
      <c r="L33" s="1211"/>
      <c r="M33" s="1211"/>
      <c r="N33" s="1211"/>
      <c r="O33" s="1211"/>
      <c r="P33" s="1211"/>
      <c r="Q33" s="1211"/>
      <c r="R33" s="1211"/>
      <c r="S33" s="1211"/>
      <c r="T33" s="1211"/>
      <c r="U33" s="1211"/>
      <c r="V33" s="1211"/>
      <c r="W33" s="1211"/>
      <c r="X33" s="1211"/>
      <c r="Y33" s="1211"/>
      <c r="Z33" s="1211"/>
      <c r="AA33" s="1211"/>
      <c r="AB33" s="1211"/>
      <c r="AC33" s="1211"/>
      <c r="AD33" s="1211"/>
      <c r="AE33" s="1211"/>
      <c r="AF33" s="1211"/>
      <c r="AG33" s="1211"/>
      <c r="AH33" s="1211"/>
      <c r="AI33" s="1211"/>
      <c r="AJ33" s="1211"/>
      <c r="AK33" s="1211"/>
      <c r="AL33" s="1211"/>
      <c r="AM33" s="1211"/>
      <c r="AN33" s="1211"/>
      <c r="AO33" s="1211"/>
      <c r="AP33" s="1211"/>
      <c r="AQ33" s="1211"/>
      <c r="AR33" s="1211"/>
      <c r="AS33" s="1211"/>
      <c r="AT33" s="1211"/>
      <c r="AU33" s="1211"/>
      <c r="AV33" s="1211"/>
      <c r="AW33" s="1211"/>
      <c r="AX33" s="1211"/>
      <c r="AY33" s="1211"/>
      <c r="AZ33" s="1211"/>
      <c r="BA33" s="1211"/>
      <c r="BB33" s="1211"/>
      <c r="BC33" s="1211"/>
      <c r="BD33" s="1211"/>
      <c r="BE33" s="1211"/>
      <c r="BF33" s="1211"/>
      <c r="BG33" s="1211"/>
      <c r="BH33" s="1211"/>
      <c r="BI33" s="1211"/>
      <c r="BJ33" s="1211"/>
      <c r="BK33" s="1211"/>
      <c r="BL33" s="1211"/>
      <c r="BM33" s="1211"/>
      <c r="BN33" s="1211"/>
      <c r="BO33" s="1211"/>
      <c r="BP33" s="1211"/>
      <c r="BQ33" s="1211"/>
      <c r="BR33" s="1211"/>
      <c r="BS33" s="1211"/>
      <c r="BT33" s="1211"/>
      <c r="BU33" s="1211"/>
      <c r="BV33" s="1211"/>
      <c r="BW33" s="1211"/>
      <c r="BX33" s="1211"/>
      <c r="BY33" s="1211"/>
      <c r="BZ33" s="1211"/>
      <c r="CA33" s="1211"/>
      <c r="CB33" s="1211"/>
      <c r="CC33" s="1211"/>
      <c r="CD33" s="1211"/>
      <c r="CE33" s="1211"/>
      <c r="CF33" s="1211"/>
      <c r="CG33" s="1211"/>
      <c r="CH33" s="1212"/>
    </row>
    <row r="34" spans="2:86" ht="15.75" outlineLevel="1" thickBot="1"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</row>
    <row r="35" spans="2:86" ht="21.75" outlineLevel="1" thickBot="1">
      <c r="B35" s="1228" t="s">
        <v>115</v>
      </c>
      <c r="C35" s="1229"/>
      <c r="D35" s="1229"/>
      <c r="E35" s="1229"/>
      <c r="F35" s="1229"/>
      <c r="G35" s="1229"/>
      <c r="H35" s="1229"/>
      <c r="I35" s="1229"/>
      <c r="J35" s="1229"/>
      <c r="K35" s="1229"/>
      <c r="L35" s="1229"/>
      <c r="M35" s="1229"/>
      <c r="N35" s="1229"/>
      <c r="O35" s="1229"/>
      <c r="P35" s="1229"/>
      <c r="Q35" s="1229"/>
      <c r="R35" s="1229"/>
      <c r="S35" s="1229"/>
      <c r="T35" s="1229"/>
      <c r="U35" s="1229"/>
      <c r="V35" s="1229"/>
      <c r="W35" s="1229"/>
      <c r="X35" s="1229"/>
      <c r="Y35" s="1229"/>
      <c r="Z35" s="1229"/>
      <c r="AA35" s="1229"/>
      <c r="AB35" s="1229"/>
      <c r="AC35" s="1229"/>
      <c r="AD35" s="1229"/>
      <c r="AE35" s="1229"/>
      <c r="AF35" s="1229"/>
      <c r="AG35" s="1229"/>
      <c r="AH35" s="1229"/>
      <c r="AI35" s="1229"/>
      <c r="AJ35" s="1229"/>
      <c r="AK35" s="1229"/>
      <c r="AL35" s="1229"/>
      <c r="AM35" s="1229"/>
      <c r="AN35" s="1229"/>
      <c r="AO35" s="1229"/>
      <c r="AP35" s="1229"/>
      <c r="AQ35" s="1229"/>
      <c r="AR35" s="1229"/>
      <c r="AS35" s="1229"/>
      <c r="AT35" s="1229"/>
      <c r="AU35" s="1229"/>
      <c r="AV35" s="1229"/>
      <c r="AW35" s="1229"/>
      <c r="AX35" s="1229"/>
      <c r="AY35" s="1229"/>
      <c r="AZ35" s="1229"/>
      <c r="BA35" s="1229"/>
      <c r="BB35" s="1229"/>
      <c r="BC35" s="1229"/>
      <c r="BD35" s="1229"/>
      <c r="BE35" s="1229"/>
      <c r="BF35" s="1229"/>
      <c r="BG35" s="1229"/>
      <c r="BH35" s="1229"/>
      <c r="BI35" s="1229"/>
      <c r="BJ35" s="1229"/>
      <c r="BK35" s="1229"/>
      <c r="BL35" s="1229"/>
      <c r="BM35" s="1229"/>
      <c r="BN35" s="1229"/>
      <c r="BO35" s="1229"/>
      <c r="BP35" s="63"/>
      <c r="BQ35" s="1221" t="s">
        <v>121</v>
      </c>
      <c r="BR35" s="1222"/>
      <c r="BS35" s="1222"/>
      <c r="BT35" s="1222"/>
      <c r="BU35" s="1222"/>
      <c r="BV35" s="1222"/>
      <c r="BW35" s="1222"/>
      <c r="BX35" s="1222"/>
      <c r="BY35" s="1222"/>
      <c r="BZ35" s="1222"/>
      <c r="CA35" s="1222"/>
      <c r="CB35" s="1222"/>
      <c r="CC35" s="1222"/>
      <c r="CD35" s="1222"/>
      <c r="CE35" s="1222"/>
      <c r="CF35" s="1222"/>
      <c r="CG35" s="1222"/>
      <c r="CH35" s="1223"/>
    </row>
    <row r="36" spans="2:86" ht="15" customHeight="1" outlineLevel="1">
      <c r="B36" s="1183" t="s">
        <v>6353</v>
      </c>
      <c r="C36" s="1185" t="s">
        <v>6400</v>
      </c>
      <c r="D36" s="1185" t="s">
        <v>7</v>
      </c>
      <c r="E36" s="1185" t="s">
        <v>127</v>
      </c>
      <c r="F36" s="1187" t="s">
        <v>6348</v>
      </c>
      <c r="G36" s="1185" t="s">
        <v>6333</v>
      </c>
      <c r="H36" s="1185" t="s">
        <v>128</v>
      </c>
      <c r="I36" s="1185" t="s">
        <v>156</v>
      </c>
      <c r="J36" s="655"/>
      <c r="K36" s="655"/>
      <c r="L36" s="655"/>
      <c r="M36" s="1189" t="s">
        <v>1416</v>
      </c>
      <c r="N36" s="655"/>
      <c r="O36" s="655"/>
      <c r="P36" s="655"/>
      <c r="Q36" s="655"/>
      <c r="R36" s="655"/>
      <c r="S36" s="655"/>
      <c r="T36" s="655"/>
      <c r="U36" s="655"/>
      <c r="V36" s="655"/>
      <c r="W36" s="1189" t="s">
        <v>118</v>
      </c>
      <c r="X36" s="1217"/>
      <c r="Y36" s="655"/>
      <c r="Z36" s="655"/>
      <c r="AA36" s="655"/>
      <c r="AB36" s="655"/>
      <c r="AC36" s="655"/>
      <c r="AD36" s="655"/>
      <c r="AE36" s="655"/>
      <c r="AF36" s="655"/>
      <c r="AG36" s="655"/>
      <c r="AH36" s="655"/>
      <c r="AI36" s="655"/>
      <c r="AJ36" s="655"/>
      <c r="AK36" s="655"/>
      <c r="AL36" s="655"/>
      <c r="AM36" s="655"/>
      <c r="AN36" s="655"/>
      <c r="AO36" s="655"/>
      <c r="AP36" s="655"/>
      <c r="AQ36" s="655"/>
      <c r="AR36" s="655"/>
      <c r="AS36" s="655"/>
      <c r="AT36" s="655"/>
      <c r="AU36" s="655"/>
      <c r="AV36" s="655"/>
      <c r="AW36" s="655"/>
      <c r="AX36" s="655"/>
      <c r="AY36" s="655"/>
      <c r="AZ36" s="655"/>
      <c r="BA36" s="655"/>
      <c r="BB36" s="655"/>
      <c r="BC36" s="655"/>
      <c r="BD36" s="655"/>
      <c r="BE36" s="655"/>
      <c r="BF36" s="655"/>
      <c r="BG36" s="655"/>
      <c r="BH36" s="655"/>
      <c r="BI36" s="655"/>
      <c r="BJ36" s="655"/>
      <c r="BK36" s="655"/>
      <c r="BL36" s="655"/>
      <c r="BM36" s="655"/>
      <c r="BN36" s="655"/>
      <c r="BO36" s="657"/>
      <c r="BP36" s="63"/>
      <c r="BQ36" s="732"/>
      <c r="BR36" s="732"/>
      <c r="BS36" s="732"/>
      <c r="BT36" s="732"/>
      <c r="BU36" s="732"/>
      <c r="BV36" s="732"/>
      <c r="BW36" s="732"/>
      <c r="BX36" s="732"/>
      <c r="BY36" s="1193" t="s">
        <v>122</v>
      </c>
      <c r="BZ36" s="1193"/>
      <c r="CA36" s="1193"/>
      <c r="CB36" s="1194" t="s">
        <v>123</v>
      </c>
      <c r="CC36" s="1195"/>
      <c r="CD36" s="63"/>
      <c r="CE36" s="1198" t="s">
        <v>124</v>
      </c>
      <c r="CF36" s="1199"/>
      <c r="CG36" s="63"/>
      <c r="CH36" s="1185" t="s">
        <v>125</v>
      </c>
    </row>
    <row r="37" spans="2:86" ht="18" outlineLevel="1">
      <c r="B37" s="1184"/>
      <c r="C37" s="1186"/>
      <c r="D37" s="1186"/>
      <c r="E37" s="1186"/>
      <c r="F37" s="1188"/>
      <c r="G37" s="1186"/>
      <c r="H37" s="1186"/>
      <c r="I37" s="1186"/>
      <c r="J37" s="656"/>
      <c r="K37" s="656"/>
      <c r="L37" s="656"/>
      <c r="M37" s="1191"/>
      <c r="N37" s="656"/>
      <c r="O37" s="656"/>
      <c r="P37" s="656"/>
      <c r="Q37" s="656"/>
      <c r="R37" s="656"/>
      <c r="S37" s="656"/>
      <c r="T37" s="656"/>
      <c r="U37" s="656"/>
      <c r="V37" s="656"/>
      <c r="W37" s="1191"/>
      <c r="X37" s="1218"/>
      <c r="Y37" s="656"/>
      <c r="Z37" s="656"/>
      <c r="AA37" s="656"/>
      <c r="AB37" s="656"/>
      <c r="AC37" s="656"/>
      <c r="AD37" s="656"/>
      <c r="AE37" s="656"/>
      <c r="AF37" s="656"/>
      <c r="AG37" s="656"/>
      <c r="AH37" s="656"/>
      <c r="AI37" s="656"/>
      <c r="AJ37" s="656"/>
      <c r="AK37" s="656"/>
      <c r="AL37" s="656"/>
      <c r="AM37" s="656"/>
      <c r="AN37" s="656"/>
      <c r="AO37" s="656"/>
      <c r="AP37" s="656"/>
      <c r="AQ37" s="656"/>
      <c r="AR37" s="656"/>
      <c r="AS37" s="656"/>
      <c r="AT37" s="656"/>
      <c r="AU37" s="656"/>
      <c r="AV37" s="656"/>
      <c r="AW37" s="656"/>
      <c r="AX37" s="656"/>
      <c r="AY37" s="656"/>
      <c r="AZ37" s="656"/>
      <c r="BA37" s="656"/>
      <c r="BB37" s="656"/>
      <c r="BC37" s="656"/>
      <c r="BD37" s="656"/>
      <c r="BE37" s="656"/>
      <c r="BF37" s="656"/>
      <c r="BG37" s="656"/>
      <c r="BH37" s="656"/>
      <c r="BI37" s="656"/>
      <c r="BJ37" s="656"/>
      <c r="BK37" s="656"/>
      <c r="BL37" s="656"/>
      <c r="BM37" s="656"/>
      <c r="BN37" s="656"/>
      <c r="BO37" s="79"/>
      <c r="BP37" s="63"/>
      <c r="BQ37" s="1325"/>
      <c r="BR37" s="712"/>
      <c r="BS37" s="712"/>
      <c r="BT37" s="712"/>
      <c r="BU37" s="712"/>
      <c r="BV37" s="712"/>
      <c r="BW37" s="712"/>
      <c r="BX37" s="712"/>
      <c r="BY37" s="718" t="s">
        <v>106</v>
      </c>
      <c r="BZ37" s="58" t="s">
        <v>107</v>
      </c>
      <c r="CA37" s="720" t="s">
        <v>108</v>
      </c>
      <c r="CB37" s="1196"/>
      <c r="CC37" s="1197"/>
      <c r="CD37" s="63"/>
      <c r="CE37" s="1200"/>
      <c r="CF37" s="1201"/>
      <c r="CG37" s="63"/>
      <c r="CH37" s="1186"/>
    </row>
    <row r="38" spans="2:86" ht="18.75" outlineLevel="1" thickBot="1">
      <c r="B38" s="65"/>
      <c r="C38" s="66"/>
      <c r="D38" s="661" t="s">
        <v>6306</v>
      </c>
      <c r="E38" s="661" t="s">
        <v>6306</v>
      </c>
      <c r="F38" s="661"/>
      <c r="G38" s="661" t="s">
        <v>6306</v>
      </c>
      <c r="H38" s="661" t="s">
        <v>6306</v>
      </c>
      <c r="I38" s="661" t="s">
        <v>6306</v>
      </c>
      <c r="J38" s="64"/>
      <c r="K38" s="64"/>
      <c r="L38" s="64"/>
      <c r="M38" s="64" t="s">
        <v>119</v>
      </c>
      <c r="N38" s="64"/>
      <c r="O38" s="64"/>
      <c r="P38" s="64"/>
      <c r="Q38" s="64"/>
      <c r="R38" s="64"/>
      <c r="S38" s="64"/>
      <c r="T38" s="64"/>
      <c r="U38" s="64"/>
      <c r="V38" s="64"/>
      <c r="W38" s="1174" t="s">
        <v>120</v>
      </c>
      <c r="X38" s="1213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6"/>
      <c r="BP38" s="63"/>
      <c r="BQ38" s="66"/>
      <c r="BR38" s="713"/>
      <c r="BS38" s="713"/>
      <c r="BT38" s="713"/>
      <c r="BU38" s="713"/>
      <c r="BV38" s="713"/>
      <c r="BW38" s="713"/>
      <c r="BX38" s="713"/>
      <c r="BY38" s="713" t="s">
        <v>109</v>
      </c>
      <c r="BZ38" s="66" t="s">
        <v>109</v>
      </c>
      <c r="CA38" s="64" t="s">
        <v>109</v>
      </c>
      <c r="CB38" s="66" t="s">
        <v>109</v>
      </c>
      <c r="CC38" s="721" t="s">
        <v>110</v>
      </c>
      <c r="CD38" s="63"/>
      <c r="CE38" s="724" t="s">
        <v>111</v>
      </c>
      <c r="CF38" s="725" t="s">
        <v>112</v>
      </c>
      <c r="CG38" s="63"/>
      <c r="CH38" s="66" t="s">
        <v>114</v>
      </c>
    </row>
    <row r="39" spans="2:86" outlineLevel="1">
      <c r="B39" s="69" t="s">
        <v>6454</v>
      </c>
      <c r="C39" s="80"/>
      <c r="D39" s="716"/>
      <c r="E39" s="662"/>
      <c r="F39" s="69" t="str">
        <f>IF(E39=0,"",MONTH(E39))</f>
        <v/>
      </c>
      <c r="G39" s="80"/>
      <c r="H39" s="80"/>
      <c r="I39" s="648"/>
      <c r="J39" s="69"/>
      <c r="K39" s="69"/>
      <c r="L39" s="69"/>
      <c r="M39" s="67"/>
      <c r="N39" s="69"/>
      <c r="O39" s="69"/>
      <c r="P39" s="69"/>
      <c r="Q39" s="69"/>
      <c r="R39" s="69"/>
      <c r="S39" s="69"/>
      <c r="T39" s="69"/>
      <c r="U39" s="69"/>
      <c r="V39" s="69"/>
      <c r="W39" s="68"/>
      <c r="X39" s="495" t="str">
        <f>IFERROR(VLOOKUP(M39,FÉ!$B$41:$L$59,5,FALSE),"")</f>
        <v/>
      </c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3"/>
      <c r="BQ39" s="69"/>
      <c r="BR39" s="719"/>
      <c r="BS39" s="719"/>
      <c r="BT39" s="719"/>
      <c r="BU39" s="719"/>
      <c r="BV39" s="804"/>
      <c r="BW39" s="719"/>
      <c r="BX39" s="719"/>
      <c r="BY39" s="719">
        <f>IF($M39=0, ,VLOOKUP($M39,FÉ!$B$41:$L$59,8,FALSE)*$W39*PRP!$J$8)</f>
        <v>0</v>
      </c>
      <c r="BZ39" s="69">
        <f>IF($M39=0, ,VLOOKUP($M39,FÉ!$B$41:$L$59,9,FALSE)*$W39*PRP!$J$9)</f>
        <v>0</v>
      </c>
      <c r="CA39" s="700">
        <f>IF($M39=0, ,VLOOKUP($M39,FÉ!$B$41:$L$59,10,FALSE)*$W39*PRP!$J$10)</f>
        <v>0</v>
      </c>
      <c r="CB39" s="69">
        <f>SUM(BY39:CA39)</f>
        <v>0</v>
      </c>
      <c r="CC39" s="722">
        <f>CB39/(10^6)</f>
        <v>0</v>
      </c>
      <c r="CD39" s="63"/>
      <c r="CE39" s="726"/>
      <c r="CF39" s="727"/>
      <c r="CG39" s="63"/>
      <c r="CH39" s="730">
        <f>IF($M39=0, ,VLOOKUP($M39,FÉ!$B$41:$K$59,7,FALSE))*W39</f>
        <v>0</v>
      </c>
    </row>
    <row r="40" spans="2:86" outlineLevel="1">
      <c r="B40" s="69" t="str">
        <f t="shared" ref="B40:B55" si="6">B39</f>
        <v>1.2A1</v>
      </c>
      <c r="C40" s="80"/>
      <c r="D40" s="80"/>
      <c r="E40" s="663"/>
      <c r="F40" s="69" t="str">
        <f t="shared" ref="F40:F55" si="7">IF(E40=0,"",MONTH(E40))</f>
        <v/>
      </c>
      <c r="G40" s="80" t="s">
        <v>136</v>
      </c>
      <c r="H40" s="80"/>
      <c r="I40" s="648"/>
      <c r="J40" s="69"/>
      <c r="K40" s="69"/>
      <c r="L40" s="69"/>
      <c r="M40" s="67" t="s">
        <v>1418</v>
      </c>
      <c r="N40" s="69"/>
      <c r="O40" s="69"/>
      <c r="P40" s="69"/>
      <c r="Q40" s="69"/>
      <c r="R40" s="69"/>
      <c r="S40" s="69"/>
      <c r="T40" s="69"/>
      <c r="U40" s="69"/>
      <c r="V40" s="69"/>
      <c r="W40" s="68">
        <v>1000</v>
      </c>
      <c r="X40" s="495" t="str">
        <f>IFERROR(VLOOKUP(M40,FÉ!$B$41:$L$59,5,FALSE),"")</f>
        <v>L</v>
      </c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3"/>
      <c r="BQ40" s="69"/>
      <c r="BR40" s="719"/>
      <c r="BS40" s="719"/>
      <c r="BT40" s="719"/>
      <c r="BU40" s="719"/>
      <c r="BV40" s="719"/>
      <c r="BW40" s="719"/>
      <c r="BX40" s="719"/>
      <c r="BY40" s="719">
        <f>IF($M40=0, ,VLOOKUP($M40,FÉ!$B$41:$L$59,8,FALSE)*$W40*PRP!$J$8)</f>
        <v>2307300</v>
      </c>
      <c r="BZ40" s="69">
        <f>IF($M40=0, ,VLOOKUP($M40,FÉ!$B$41:$L$59,9,FALSE)*$W40*PRP!$J$9)</f>
        <v>3307.8</v>
      </c>
      <c r="CA40" s="700">
        <f>IF($M40=0, ,VLOOKUP($M40,FÉ!$B$41:$L$59,10,FALSE)*$W40*PRP!$J$10)</f>
        <v>1911</v>
      </c>
      <c r="CB40" s="69">
        <f>SUM(BY40:CA40)</f>
        <v>2312518.7999999998</v>
      </c>
      <c r="CC40" s="722">
        <f>CB40/(10^6)</f>
        <v>2.3125187999999999</v>
      </c>
      <c r="CD40" s="63"/>
      <c r="CE40" s="726"/>
      <c r="CF40" s="727"/>
      <c r="CG40" s="63"/>
      <c r="CH40" s="730">
        <f>IF($M40=0, ,VLOOKUP($M40,FÉ!$B$41:$K$59,7,FALSE))*W40</f>
        <v>9690</v>
      </c>
    </row>
    <row r="41" spans="2:86" outlineLevel="1">
      <c r="B41" s="69" t="str">
        <f t="shared" si="6"/>
        <v>1.2A1</v>
      </c>
      <c r="C41" s="80"/>
      <c r="D41" s="80"/>
      <c r="E41" s="663"/>
      <c r="F41" s="69" t="str">
        <f t="shared" si="7"/>
        <v/>
      </c>
      <c r="G41" s="80" t="s">
        <v>139</v>
      </c>
      <c r="H41" s="80"/>
      <c r="I41" s="648"/>
      <c r="J41" s="69"/>
      <c r="K41" s="69"/>
      <c r="L41" s="69"/>
      <c r="M41" s="67" t="s">
        <v>1419</v>
      </c>
      <c r="N41" s="69"/>
      <c r="O41" s="69"/>
      <c r="P41" s="69"/>
      <c r="Q41" s="69"/>
      <c r="R41" s="69"/>
      <c r="S41" s="69"/>
      <c r="T41" s="69"/>
      <c r="U41" s="69"/>
      <c r="V41" s="69"/>
      <c r="W41" s="68">
        <v>100</v>
      </c>
      <c r="X41" s="495" t="str">
        <f>IFERROR(VLOOKUP(M41,FÉ!$B$41:$L$59,5,FALSE),"")</f>
        <v>lbs</v>
      </c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63"/>
      <c r="BQ41" s="69"/>
      <c r="BR41" s="719"/>
      <c r="BS41" s="719"/>
      <c r="BT41" s="719"/>
      <c r="BU41" s="719"/>
      <c r="BV41" s="719"/>
      <c r="BW41" s="719"/>
      <c r="BX41" s="719"/>
      <c r="BY41" s="719">
        <f>IF($M41=0, ,VLOOKUP($M41,FÉ!$B$41:$L$59,8,FALSE)*$W41*PRP!$J$8)</f>
        <v>137438.65155899886</v>
      </c>
      <c r="BZ41" s="69">
        <f>IF($M41=0, ,VLOOKUP($M41,FÉ!$B$41:$L$59,9,FALSE)*$W41*PRP!$J$9)</f>
        <v>1730.1847937513044</v>
      </c>
      <c r="CA41" s="700">
        <f>IF($M41=0, ,VLOOKUP($M41,FÉ!$B$41:$L$59,10,FALSE)*$W41*PRP!$J$10)</f>
        <v>693.45283994520605</v>
      </c>
      <c r="CB41" s="69">
        <f t="shared" ref="CB41:CB55" si="8">SUM(BY41:CA41)</f>
        <v>139862.28919269537</v>
      </c>
      <c r="CC41" s="722">
        <f t="shared" ref="CC41:CC55" si="9">CB41/(10^6)</f>
        <v>0.13986228919269539</v>
      </c>
      <c r="CD41" s="63"/>
      <c r="CE41" s="726"/>
      <c r="CF41" s="727"/>
      <c r="CG41" s="63"/>
      <c r="CH41" s="730">
        <f>IF($M41=0, ,VLOOKUP($M41,FÉ!$B$41:$K$59,7,FALSE))*W41</f>
        <v>637.75163066650953</v>
      </c>
    </row>
    <row r="42" spans="2:86" outlineLevel="1">
      <c r="B42" s="69" t="str">
        <f t="shared" si="6"/>
        <v>1.2A1</v>
      </c>
      <c r="C42" s="80"/>
      <c r="D42" s="80"/>
      <c r="E42" s="663"/>
      <c r="F42" s="69" t="str">
        <f t="shared" si="7"/>
        <v/>
      </c>
      <c r="G42" s="80"/>
      <c r="H42" s="80"/>
      <c r="I42" s="648"/>
      <c r="J42" s="69"/>
      <c r="K42" s="69"/>
      <c r="L42" s="69"/>
      <c r="M42" s="67"/>
      <c r="N42" s="69"/>
      <c r="O42" s="69"/>
      <c r="P42" s="69"/>
      <c r="Q42" s="69"/>
      <c r="R42" s="69"/>
      <c r="S42" s="69"/>
      <c r="T42" s="69"/>
      <c r="U42" s="69"/>
      <c r="V42" s="69"/>
      <c r="W42" s="68"/>
      <c r="X42" s="495" t="str">
        <f>IFERROR(VLOOKUP(M42,FÉ!$B$41:$L$59,5,FALSE),"")</f>
        <v/>
      </c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63"/>
      <c r="BQ42" s="69"/>
      <c r="BR42" s="719"/>
      <c r="BS42" s="719"/>
      <c r="BT42" s="719"/>
      <c r="BU42" s="719"/>
      <c r="BV42" s="719"/>
      <c r="BW42" s="719"/>
      <c r="BX42" s="719"/>
      <c r="BY42" s="719">
        <f>IF($M42=0, ,VLOOKUP($M42,FÉ!$B$41:$L$59,8,FALSE)*$W42*PRP!$J$8)</f>
        <v>0</v>
      </c>
      <c r="BZ42" s="69">
        <f>IF($M42=0, ,VLOOKUP($M42,FÉ!$B$41:$L$59,9,FALSE)*$W42*PRP!$J$9)</f>
        <v>0</v>
      </c>
      <c r="CA42" s="700">
        <f>IF($M42=0, ,VLOOKUP($M42,FÉ!$B$41:$L$59,10,FALSE)*$W42*PRP!$J$10)</f>
        <v>0</v>
      </c>
      <c r="CB42" s="69">
        <f t="shared" si="8"/>
        <v>0</v>
      </c>
      <c r="CC42" s="722">
        <f t="shared" si="9"/>
        <v>0</v>
      </c>
      <c r="CD42" s="63"/>
      <c r="CE42" s="726"/>
      <c r="CF42" s="727"/>
      <c r="CG42" s="63"/>
      <c r="CH42" s="730">
        <f>IF($M42=0, ,VLOOKUP($M42,FÉ!$B$41:$K$59,7,FALSE))*W42</f>
        <v>0</v>
      </c>
    </row>
    <row r="43" spans="2:86" outlineLevel="1">
      <c r="B43" s="69" t="str">
        <f t="shared" si="6"/>
        <v>1.2A1</v>
      </c>
      <c r="C43" s="80"/>
      <c r="D43" s="80"/>
      <c r="E43" s="663"/>
      <c r="F43" s="69" t="str">
        <f t="shared" si="7"/>
        <v/>
      </c>
      <c r="G43" s="80"/>
      <c r="H43" s="80"/>
      <c r="I43" s="648"/>
      <c r="J43" s="69"/>
      <c r="K43" s="69"/>
      <c r="L43" s="69"/>
      <c r="M43" s="67"/>
      <c r="N43" s="69"/>
      <c r="O43" s="69"/>
      <c r="P43" s="69"/>
      <c r="Q43" s="69"/>
      <c r="R43" s="69"/>
      <c r="S43" s="69"/>
      <c r="T43" s="69"/>
      <c r="U43" s="69"/>
      <c r="V43" s="69"/>
      <c r="W43" s="68"/>
      <c r="X43" s="495" t="str">
        <f>IFERROR(VLOOKUP(M43,FÉ!$B$41:$L$59,5,FALSE),"")</f>
        <v/>
      </c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63"/>
      <c r="BQ43" s="69"/>
      <c r="BR43" s="719"/>
      <c r="BS43" s="719"/>
      <c r="BT43" s="719"/>
      <c r="BU43" s="719"/>
      <c r="BV43" s="719"/>
      <c r="BW43" s="719"/>
      <c r="BX43" s="719"/>
      <c r="BY43" s="719">
        <f>IF($M43=0, ,VLOOKUP($M43,FÉ!$B$41:$L$59,8,FALSE)*$W43*PRP!$J$8)</f>
        <v>0</v>
      </c>
      <c r="BZ43" s="69">
        <f>IF($M43=0, ,VLOOKUP($M43,FÉ!$B$41:$L$59,9,FALSE)*$W43*PRP!$J$9)</f>
        <v>0</v>
      </c>
      <c r="CA43" s="700">
        <f>IF($M43=0, ,VLOOKUP($M43,FÉ!$B$41:$L$59,10,FALSE)*$W43*PRP!$J$10)</f>
        <v>0</v>
      </c>
      <c r="CB43" s="69">
        <f t="shared" si="8"/>
        <v>0</v>
      </c>
      <c r="CC43" s="722">
        <f t="shared" si="9"/>
        <v>0</v>
      </c>
      <c r="CD43" s="63"/>
      <c r="CE43" s="726"/>
      <c r="CF43" s="727"/>
      <c r="CG43" s="63"/>
      <c r="CH43" s="730">
        <f>IF($M43=0, ,VLOOKUP($M43,FÉ!$B$41:$K$59,7,FALSE))*W43</f>
        <v>0</v>
      </c>
    </row>
    <row r="44" spans="2:86" outlineLevel="1">
      <c r="B44" s="69" t="str">
        <f t="shared" si="6"/>
        <v>1.2A1</v>
      </c>
      <c r="C44" s="80"/>
      <c r="D44" s="80"/>
      <c r="E44" s="663"/>
      <c r="F44" s="69" t="str">
        <f t="shared" ref="F44:F50" si="10">IF(E44=0,"",MONTH(E44))</f>
        <v/>
      </c>
      <c r="G44" s="80"/>
      <c r="H44" s="80"/>
      <c r="I44" s="648"/>
      <c r="J44" s="69"/>
      <c r="K44" s="69"/>
      <c r="L44" s="69"/>
      <c r="M44" s="67"/>
      <c r="N44" s="69"/>
      <c r="O44" s="69"/>
      <c r="P44" s="69"/>
      <c r="Q44" s="69"/>
      <c r="R44" s="69"/>
      <c r="S44" s="69"/>
      <c r="T44" s="69"/>
      <c r="U44" s="69"/>
      <c r="V44" s="69"/>
      <c r="W44" s="68"/>
      <c r="X44" s="495" t="str">
        <f>IFERROR(VLOOKUP(M44,FÉ!$B$41:$L$59,5,FALSE),"")</f>
        <v/>
      </c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63"/>
      <c r="BQ44" s="69"/>
      <c r="BR44" s="719"/>
      <c r="BS44" s="719"/>
      <c r="BT44" s="719"/>
      <c r="BU44" s="719"/>
      <c r="BV44" s="719"/>
      <c r="BW44" s="719"/>
      <c r="BX44" s="719"/>
      <c r="BY44" s="719">
        <f>IF($M44=0, ,VLOOKUP($M44,FÉ!$B$41:$L$59,8,FALSE)*$W44*PRP!$J$8)</f>
        <v>0</v>
      </c>
      <c r="BZ44" s="69">
        <f>IF($M44=0, ,VLOOKUP($M44,FÉ!$B$41:$L$59,9,FALSE)*$W44*PRP!$J$9)</f>
        <v>0</v>
      </c>
      <c r="CA44" s="700">
        <f>IF($M44=0, ,VLOOKUP($M44,FÉ!$B$41:$L$59,10,FALSE)*$W44*PRP!$J$10)</f>
        <v>0</v>
      </c>
      <c r="CB44" s="69">
        <f t="shared" ref="CB44:CB50" si="11">SUM(BY44:CA44)</f>
        <v>0</v>
      </c>
      <c r="CC44" s="722">
        <f t="shared" ref="CC44:CC50" si="12">CB44/(10^6)</f>
        <v>0</v>
      </c>
      <c r="CD44" s="63"/>
      <c r="CE44" s="726"/>
      <c r="CF44" s="727"/>
      <c r="CG44" s="63"/>
      <c r="CH44" s="730">
        <f>IF($M44=0, ,VLOOKUP($M44,FÉ!$B$41:$K$59,7,FALSE))*W44</f>
        <v>0</v>
      </c>
    </row>
    <row r="45" spans="2:86" outlineLevel="1">
      <c r="B45" s="69" t="str">
        <f t="shared" si="6"/>
        <v>1.2A1</v>
      </c>
      <c r="C45" s="80"/>
      <c r="D45" s="80"/>
      <c r="E45" s="663"/>
      <c r="F45" s="69" t="str">
        <f t="shared" si="10"/>
        <v/>
      </c>
      <c r="G45" s="80"/>
      <c r="H45" s="80"/>
      <c r="I45" s="648"/>
      <c r="J45" s="69"/>
      <c r="K45" s="69"/>
      <c r="L45" s="69"/>
      <c r="M45" s="67"/>
      <c r="N45" s="69"/>
      <c r="O45" s="69"/>
      <c r="P45" s="69"/>
      <c r="Q45" s="69"/>
      <c r="R45" s="69"/>
      <c r="S45" s="69"/>
      <c r="T45" s="69"/>
      <c r="U45" s="69"/>
      <c r="V45" s="69"/>
      <c r="W45" s="68"/>
      <c r="X45" s="495" t="str">
        <f>IFERROR(VLOOKUP(M45,FÉ!$B$41:$L$59,5,FALSE),"")</f>
        <v/>
      </c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63"/>
      <c r="BQ45" s="69"/>
      <c r="BR45" s="719"/>
      <c r="BS45" s="719"/>
      <c r="BT45" s="719"/>
      <c r="BU45" s="719"/>
      <c r="BV45" s="719"/>
      <c r="BW45" s="719"/>
      <c r="BX45" s="719"/>
      <c r="BY45" s="719">
        <f>IF($M45=0, ,VLOOKUP($M45,FÉ!$B$41:$L$59,8,FALSE)*$W45*PRP!$J$8)</f>
        <v>0</v>
      </c>
      <c r="BZ45" s="69">
        <f>IF($M45=0, ,VLOOKUP($M45,FÉ!$B$41:$L$59,9,FALSE)*$W45*PRP!$J$9)</f>
        <v>0</v>
      </c>
      <c r="CA45" s="700">
        <f>IF($M45=0, ,VLOOKUP($M45,FÉ!$B$41:$L$59,10,FALSE)*$W45*PRP!$J$10)</f>
        <v>0</v>
      </c>
      <c r="CB45" s="69">
        <f t="shared" si="11"/>
        <v>0</v>
      </c>
      <c r="CC45" s="722">
        <f t="shared" si="12"/>
        <v>0</v>
      </c>
      <c r="CD45" s="63"/>
      <c r="CE45" s="726"/>
      <c r="CF45" s="727"/>
      <c r="CG45" s="63"/>
      <c r="CH45" s="730">
        <f>IF($M45=0, ,VLOOKUP($M45,FÉ!$B$41:$K$59,7,FALSE))*W45</f>
        <v>0</v>
      </c>
    </row>
    <row r="46" spans="2:86" outlineLevel="1">
      <c r="B46" s="69" t="str">
        <f t="shared" si="6"/>
        <v>1.2A1</v>
      </c>
      <c r="C46" s="80"/>
      <c r="D46" s="80"/>
      <c r="E46" s="663"/>
      <c r="F46" s="69" t="str">
        <f t="shared" si="10"/>
        <v/>
      </c>
      <c r="G46" s="80"/>
      <c r="H46" s="80"/>
      <c r="I46" s="648"/>
      <c r="J46" s="69"/>
      <c r="K46" s="69"/>
      <c r="L46" s="69"/>
      <c r="M46" s="67"/>
      <c r="N46" s="69"/>
      <c r="O46" s="69"/>
      <c r="P46" s="69"/>
      <c r="Q46" s="69"/>
      <c r="R46" s="69"/>
      <c r="S46" s="69"/>
      <c r="T46" s="69"/>
      <c r="U46" s="69"/>
      <c r="V46" s="69"/>
      <c r="W46" s="68"/>
      <c r="X46" s="495" t="str">
        <f>IFERROR(VLOOKUP(M46,FÉ!$B$41:$L$59,5,FALSE),"")</f>
        <v/>
      </c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63"/>
      <c r="BQ46" s="69"/>
      <c r="BR46" s="719"/>
      <c r="BS46" s="719"/>
      <c r="BT46" s="719"/>
      <c r="BU46" s="719"/>
      <c r="BV46" s="719"/>
      <c r="BW46" s="719"/>
      <c r="BX46" s="719"/>
      <c r="BY46" s="719">
        <f>IF($M46=0, ,VLOOKUP($M46,FÉ!$B$41:$L$59,8,FALSE)*$W46*PRP!$J$8)</f>
        <v>0</v>
      </c>
      <c r="BZ46" s="69">
        <f>IF($M46=0, ,VLOOKUP($M46,FÉ!$B$41:$L$59,9,FALSE)*$W46*PRP!$J$9)</f>
        <v>0</v>
      </c>
      <c r="CA46" s="700">
        <f>IF($M46=0, ,VLOOKUP($M46,FÉ!$B$41:$L$59,10,FALSE)*$W46*PRP!$J$10)</f>
        <v>0</v>
      </c>
      <c r="CB46" s="69">
        <f t="shared" si="11"/>
        <v>0</v>
      </c>
      <c r="CC46" s="722">
        <f t="shared" si="12"/>
        <v>0</v>
      </c>
      <c r="CD46" s="63"/>
      <c r="CE46" s="726"/>
      <c r="CF46" s="727"/>
      <c r="CG46" s="63"/>
      <c r="CH46" s="730">
        <f>IF($M46=0, ,VLOOKUP($M46,FÉ!$B$41:$K$59,7,FALSE))*W46</f>
        <v>0</v>
      </c>
    </row>
    <row r="47" spans="2:86" outlineLevel="1">
      <c r="B47" s="69" t="str">
        <f t="shared" si="6"/>
        <v>1.2A1</v>
      </c>
      <c r="C47" s="80"/>
      <c r="D47" s="80"/>
      <c r="E47" s="663"/>
      <c r="F47" s="69" t="str">
        <f t="shared" si="10"/>
        <v/>
      </c>
      <c r="G47" s="80"/>
      <c r="H47" s="80"/>
      <c r="I47" s="648"/>
      <c r="J47" s="69"/>
      <c r="K47" s="69"/>
      <c r="L47" s="69"/>
      <c r="M47" s="67"/>
      <c r="N47" s="69"/>
      <c r="O47" s="69"/>
      <c r="P47" s="69"/>
      <c r="Q47" s="69"/>
      <c r="R47" s="69"/>
      <c r="S47" s="69"/>
      <c r="T47" s="69"/>
      <c r="U47" s="69"/>
      <c r="V47" s="69"/>
      <c r="W47" s="68"/>
      <c r="X47" s="495" t="str">
        <f>IFERROR(VLOOKUP(M47,FÉ!$B$41:$L$59,5,FALSE),"")</f>
        <v/>
      </c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63"/>
      <c r="BQ47" s="69"/>
      <c r="BR47" s="719"/>
      <c r="BS47" s="719"/>
      <c r="BT47" s="719"/>
      <c r="BU47" s="719"/>
      <c r="BV47" s="719"/>
      <c r="BW47" s="719"/>
      <c r="BX47" s="719"/>
      <c r="BY47" s="719">
        <f>IF($M47=0, ,VLOOKUP($M47,FÉ!$B$41:$L$59,8,FALSE)*$W47*PRP!$J$8)</f>
        <v>0</v>
      </c>
      <c r="BZ47" s="69">
        <f>IF($M47=0, ,VLOOKUP($M47,FÉ!$B$41:$L$59,9,FALSE)*$W47*PRP!$J$9)</f>
        <v>0</v>
      </c>
      <c r="CA47" s="700">
        <f>IF($M47=0, ,VLOOKUP($M47,FÉ!$B$41:$L$59,10,FALSE)*$W47*PRP!$J$10)</f>
        <v>0</v>
      </c>
      <c r="CB47" s="69">
        <f t="shared" si="11"/>
        <v>0</v>
      </c>
      <c r="CC47" s="722">
        <f t="shared" si="12"/>
        <v>0</v>
      </c>
      <c r="CD47" s="63"/>
      <c r="CE47" s="726"/>
      <c r="CF47" s="727"/>
      <c r="CG47" s="63"/>
      <c r="CH47" s="730">
        <f>IF($M47=0, ,VLOOKUP($M47,FÉ!$B$41:$K$59,7,FALSE))*W47</f>
        <v>0</v>
      </c>
    </row>
    <row r="48" spans="2:86" outlineLevel="1">
      <c r="B48" s="69" t="str">
        <f t="shared" si="6"/>
        <v>1.2A1</v>
      </c>
      <c r="C48" s="80"/>
      <c r="D48" s="80"/>
      <c r="E48" s="663"/>
      <c r="F48" s="69" t="str">
        <f t="shared" si="10"/>
        <v/>
      </c>
      <c r="G48" s="80"/>
      <c r="H48" s="80"/>
      <c r="I48" s="648"/>
      <c r="J48" s="69"/>
      <c r="K48" s="69"/>
      <c r="L48" s="69"/>
      <c r="M48" s="67"/>
      <c r="N48" s="69"/>
      <c r="O48" s="69"/>
      <c r="P48" s="69"/>
      <c r="Q48" s="69"/>
      <c r="R48" s="69"/>
      <c r="S48" s="69"/>
      <c r="T48" s="69"/>
      <c r="U48" s="69"/>
      <c r="V48" s="69"/>
      <c r="W48" s="68"/>
      <c r="X48" s="495" t="str">
        <f>IFERROR(VLOOKUP(M48,FÉ!$B$41:$L$59,5,FALSE),"")</f>
        <v/>
      </c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63"/>
      <c r="BQ48" s="69"/>
      <c r="BR48" s="719"/>
      <c r="BS48" s="719"/>
      <c r="BT48" s="719"/>
      <c r="BU48" s="719"/>
      <c r="BV48" s="719"/>
      <c r="BW48" s="719"/>
      <c r="BX48" s="719"/>
      <c r="BY48" s="719">
        <f>IF($M48=0, ,VLOOKUP($M48,FÉ!$B$41:$L$59,8,FALSE)*$W48*PRP!$J$8)</f>
        <v>0</v>
      </c>
      <c r="BZ48" s="69">
        <f>IF($M48=0, ,VLOOKUP($M48,FÉ!$B$41:$L$59,9,FALSE)*$W48*PRP!$J$9)</f>
        <v>0</v>
      </c>
      <c r="CA48" s="700">
        <f>IF($M48=0, ,VLOOKUP($M48,FÉ!$B$41:$L$59,10,FALSE)*$W48*PRP!$J$10)</f>
        <v>0</v>
      </c>
      <c r="CB48" s="69">
        <f t="shared" si="11"/>
        <v>0</v>
      </c>
      <c r="CC48" s="722">
        <f t="shared" si="12"/>
        <v>0</v>
      </c>
      <c r="CD48" s="63"/>
      <c r="CE48" s="726"/>
      <c r="CF48" s="727"/>
      <c r="CG48" s="63"/>
      <c r="CH48" s="730">
        <f>IF($M48=0, ,VLOOKUP($M48,FÉ!$B$41:$K$59,7,FALSE))*W48</f>
        <v>0</v>
      </c>
    </row>
    <row r="49" spans="2:86" outlineLevel="1">
      <c r="B49" s="69" t="str">
        <f t="shared" si="6"/>
        <v>1.2A1</v>
      </c>
      <c r="C49" s="80"/>
      <c r="D49" s="80"/>
      <c r="E49" s="663"/>
      <c r="F49" s="69" t="str">
        <f t="shared" si="10"/>
        <v/>
      </c>
      <c r="G49" s="80"/>
      <c r="H49" s="80"/>
      <c r="I49" s="648"/>
      <c r="J49" s="69"/>
      <c r="K49" s="69"/>
      <c r="L49" s="69"/>
      <c r="M49" s="67"/>
      <c r="N49" s="69"/>
      <c r="O49" s="69"/>
      <c r="P49" s="69"/>
      <c r="Q49" s="69"/>
      <c r="R49" s="69"/>
      <c r="S49" s="69"/>
      <c r="T49" s="69"/>
      <c r="U49" s="69"/>
      <c r="V49" s="69"/>
      <c r="W49" s="68"/>
      <c r="X49" s="495" t="str">
        <f>IFERROR(VLOOKUP(M49,FÉ!$B$41:$L$59,5,FALSE),"")</f>
        <v/>
      </c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63"/>
      <c r="BQ49" s="69"/>
      <c r="BR49" s="719"/>
      <c r="BS49" s="719"/>
      <c r="BT49" s="719"/>
      <c r="BU49" s="719"/>
      <c r="BV49" s="719"/>
      <c r="BW49" s="719"/>
      <c r="BX49" s="719"/>
      <c r="BY49" s="719">
        <f>IF($M49=0, ,VLOOKUP($M49,FÉ!$B$41:$L$59,8,FALSE)*$W49*PRP!$J$8)</f>
        <v>0</v>
      </c>
      <c r="BZ49" s="69">
        <f>IF($M49=0, ,VLOOKUP($M49,FÉ!$B$41:$L$59,9,FALSE)*$W49*PRP!$J$9)</f>
        <v>0</v>
      </c>
      <c r="CA49" s="700">
        <f>IF($M49=0, ,VLOOKUP($M49,FÉ!$B$41:$L$59,10,FALSE)*$W49*PRP!$J$10)</f>
        <v>0</v>
      </c>
      <c r="CB49" s="69">
        <f t="shared" si="11"/>
        <v>0</v>
      </c>
      <c r="CC49" s="722">
        <f t="shared" si="12"/>
        <v>0</v>
      </c>
      <c r="CD49" s="63"/>
      <c r="CE49" s="726"/>
      <c r="CF49" s="727"/>
      <c r="CG49" s="63"/>
      <c r="CH49" s="730">
        <f>IF($M49=0, ,VLOOKUP($M49,FÉ!$B$41:$K$59,7,FALSE))*W49</f>
        <v>0</v>
      </c>
    </row>
    <row r="50" spans="2:86" outlineLevel="1">
      <c r="B50" s="69" t="str">
        <f t="shared" si="6"/>
        <v>1.2A1</v>
      </c>
      <c r="C50" s="80"/>
      <c r="D50" s="80"/>
      <c r="E50" s="663"/>
      <c r="F50" s="69" t="str">
        <f t="shared" si="10"/>
        <v/>
      </c>
      <c r="G50" s="80"/>
      <c r="H50" s="80"/>
      <c r="I50" s="648"/>
      <c r="J50" s="69"/>
      <c r="K50" s="69"/>
      <c r="L50" s="69"/>
      <c r="M50" s="67"/>
      <c r="N50" s="69"/>
      <c r="O50" s="69"/>
      <c r="P50" s="69"/>
      <c r="Q50" s="69"/>
      <c r="R50" s="69"/>
      <c r="S50" s="69"/>
      <c r="T50" s="69"/>
      <c r="U50" s="69"/>
      <c r="V50" s="69"/>
      <c r="W50" s="68"/>
      <c r="X50" s="495" t="str">
        <f>IFERROR(VLOOKUP(M50,FÉ!$B$41:$L$59,5,FALSE),"")</f>
        <v/>
      </c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63"/>
      <c r="BQ50" s="69"/>
      <c r="BR50" s="719"/>
      <c r="BS50" s="719"/>
      <c r="BT50" s="719"/>
      <c r="BU50" s="719"/>
      <c r="BV50" s="719"/>
      <c r="BW50" s="719"/>
      <c r="BX50" s="719"/>
      <c r="BY50" s="719">
        <f>IF($M50=0, ,VLOOKUP($M50,FÉ!$B$41:$L$59,8,FALSE)*$W50*PRP!$J$8)</f>
        <v>0</v>
      </c>
      <c r="BZ50" s="69">
        <f>IF($M50=0, ,VLOOKUP($M50,FÉ!$B$41:$L$59,9,FALSE)*$W50*PRP!$J$9)</f>
        <v>0</v>
      </c>
      <c r="CA50" s="700">
        <f>IF($M50=0, ,VLOOKUP($M50,FÉ!$B$41:$L$59,10,FALSE)*$W50*PRP!$J$10)</f>
        <v>0</v>
      </c>
      <c r="CB50" s="69">
        <f t="shared" si="11"/>
        <v>0</v>
      </c>
      <c r="CC50" s="722">
        <f t="shared" si="12"/>
        <v>0</v>
      </c>
      <c r="CD50" s="63"/>
      <c r="CE50" s="726"/>
      <c r="CF50" s="727"/>
      <c r="CG50" s="63"/>
      <c r="CH50" s="730">
        <f>IF($M50=0, ,VLOOKUP($M50,FÉ!$B$41:$K$59,7,FALSE))*W50</f>
        <v>0</v>
      </c>
    </row>
    <row r="51" spans="2:86" outlineLevel="1">
      <c r="B51" s="69" t="str">
        <f>B43</f>
        <v>1.2A1</v>
      </c>
      <c r="C51" s="80"/>
      <c r="D51" s="80"/>
      <c r="E51" s="663"/>
      <c r="F51" s="69" t="str">
        <f t="shared" si="7"/>
        <v/>
      </c>
      <c r="G51" s="80"/>
      <c r="H51" s="80"/>
      <c r="I51" s="648"/>
      <c r="J51" s="69"/>
      <c r="K51" s="69"/>
      <c r="L51" s="69"/>
      <c r="M51" s="67"/>
      <c r="N51" s="69"/>
      <c r="O51" s="69"/>
      <c r="P51" s="69"/>
      <c r="Q51" s="69"/>
      <c r="R51" s="69"/>
      <c r="S51" s="69"/>
      <c r="T51" s="69"/>
      <c r="U51" s="69"/>
      <c r="V51" s="69"/>
      <c r="W51" s="68"/>
      <c r="X51" s="495" t="str">
        <f>IFERROR(VLOOKUP(M51,FÉ!$B$41:$L$59,5,FALSE),"")</f>
        <v/>
      </c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63"/>
      <c r="BQ51" s="69"/>
      <c r="BR51" s="719"/>
      <c r="BS51" s="719"/>
      <c r="BT51" s="719"/>
      <c r="BU51" s="719"/>
      <c r="BV51" s="719"/>
      <c r="BW51" s="719"/>
      <c r="BX51" s="719"/>
      <c r="BY51" s="719">
        <f>IF($M51=0, ,VLOOKUP($M51,FÉ!$B$41:$L$59,8,FALSE)*$W51*PRP!$J$8)</f>
        <v>0</v>
      </c>
      <c r="BZ51" s="69">
        <f>IF($M51=0, ,VLOOKUP($M51,FÉ!$B$41:$L$59,9,FALSE)*$W51*PRP!$J$9)</f>
        <v>0</v>
      </c>
      <c r="CA51" s="700">
        <f>IF($M51=0, ,VLOOKUP($M51,FÉ!$B$41:$L$59,10,FALSE)*$W51*PRP!$J$10)</f>
        <v>0</v>
      </c>
      <c r="CB51" s="69">
        <f t="shared" si="8"/>
        <v>0</v>
      </c>
      <c r="CC51" s="722">
        <f t="shared" si="9"/>
        <v>0</v>
      </c>
      <c r="CD51" s="63"/>
      <c r="CE51" s="726"/>
      <c r="CF51" s="727"/>
      <c r="CG51" s="63"/>
      <c r="CH51" s="730">
        <f>IF($M51=0, ,VLOOKUP($M51,FÉ!$B$41:$K$59,7,FALSE))*W51</f>
        <v>0</v>
      </c>
    </row>
    <row r="52" spans="2:86" outlineLevel="1">
      <c r="B52" s="69" t="str">
        <f t="shared" si="6"/>
        <v>1.2A1</v>
      </c>
      <c r="C52" s="80"/>
      <c r="D52" s="80"/>
      <c r="E52" s="663"/>
      <c r="F52" s="69" t="str">
        <f t="shared" si="7"/>
        <v/>
      </c>
      <c r="G52" s="80"/>
      <c r="H52" s="80"/>
      <c r="I52" s="648"/>
      <c r="J52" s="69"/>
      <c r="K52" s="69"/>
      <c r="L52" s="69"/>
      <c r="M52" s="67"/>
      <c r="N52" s="69"/>
      <c r="O52" s="69"/>
      <c r="P52" s="69"/>
      <c r="Q52" s="69"/>
      <c r="R52" s="69"/>
      <c r="S52" s="69"/>
      <c r="T52" s="69"/>
      <c r="U52" s="69"/>
      <c r="V52" s="69"/>
      <c r="W52" s="68"/>
      <c r="X52" s="495" t="str">
        <f>IFERROR(VLOOKUP(M52,FÉ!$B$41:$L$59,5,FALSE),"")</f>
        <v/>
      </c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63"/>
      <c r="BQ52" s="69"/>
      <c r="BR52" s="719"/>
      <c r="BS52" s="719"/>
      <c r="BT52" s="719"/>
      <c r="BU52" s="719"/>
      <c r="BV52" s="719"/>
      <c r="BW52" s="719"/>
      <c r="BX52" s="719"/>
      <c r="BY52" s="719">
        <f>IF($M52=0, ,VLOOKUP($M52,FÉ!$B$41:$L$59,8,FALSE)*$W52*PRP!$J$8)</f>
        <v>0</v>
      </c>
      <c r="BZ52" s="69">
        <f>IF($M52=0, ,VLOOKUP($M52,FÉ!$B$41:$L$59,9,FALSE)*$W52*PRP!$J$9)</f>
        <v>0</v>
      </c>
      <c r="CA52" s="700">
        <f>IF($M52=0, ,VLOOKUP($M52,FÉ!$B$41:$L$59,10,FALSE)*$W52*PRP!$J$10)</f>
        <v>0</v>
      </c>
      <c r="CB52" s="69">
        <f t="shared" si="8"/>
        <v>0</v>
      </c>
      <c r="CC52" s="722">
        <f t="shared" si="9"/>
        <v>0</v>
      </c>
      <c r="CD52" s="63"/>
      <c r="CE52" s="726"/>
      <c r="CF52" s="727"/>
      <c r="CG52" s="63"/>
      <c r="CH52" s="730">
        <f>IF($M52=0, ,VLOOKUP($M52,FÉ!$B$41:$K$59,7,FALSE))*W52</f>
        <v>0</v>
      </c>
    </row>
    <row r="53" spans="2:86" outlineLevel="1">
      <c r="B53" s="69" t="str">
        <f t="shared" si="6"/>
        <v>1.2A1</v>
      </c>
      <c r="C53" s="80"/>
      <c r="D53" s="80"/>
      <c r="E53" s="663"/>
      <c r="F53" s="69" t="str">
        <f t="shared" si="7"/>
        <v/>
      </c>
      <c r="G53" s="80"/>
      <c r="H53" s="80"/>
      <c r="I53" s="648"/>
      <c r="J53" s="69"/>
      <c r="K53" s="69"/>
      <c r="L53" s="69"/>
      <c r="M53" s="67"/>
      <c r="N53" s="69"/>
      <c r="O53" s="69"/>
      <c r="P53" s="69"/>
      <c r="Q53" s="69"/>
      <c r="R53" s="69"/>
      <c r="S53" s="69"/>
      <c r="T53" s="69"/>
      <c r="U53" s="69"/>
      <c r="V53" s="69"/>
      <c r="W53" s="68"/>
      <c r="X53" s="495" t="str">
        <f>IFERROR(VLOOKUP(M53,FÉ!$B$41:$L$59,5,FALSE),"")</f>
        <v/>
      </c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3"/>
      <c r="BQ53" s="69"/>
      <c r="BR53" s="719"/>
      <c r="BS53" s="719"/>
      <c r="BT53" s="719"/>
      <c r="BU53" s="719"/>
      <c r="BV53" s="719"/>
      <c r="BW53" s="719"/>
      <c r="BX53" s="719"/>
      <c r="BY53" s="719">
        <f>IF($M53=0, ,VLOOKUP($M53,FÉ!$B$41:$L$59,8,FALSE)*$W53*PRP!$J$8)</f>
        <v>0</v>
      </c>
      <c r="BZ53" s="69">
        <f>IF($M53=0, ,VLOOKUP($M53,FÉ!$B$41:$L$59,9,FALSE)*$W53*PRP!$J$9)</f>
        <v>0</v>
      </c>
      <c r="CA53" s="700">
        <f>IF($M53=0, ,VLOOKUP($M53,FÉ!$B$41:$L$59,10,FALSE)*$W53*PRP!$J$10)</f>
        <v>0</v>
      </c>
      <c r="CB53" s="69">
        <f t="shared" si="8"/>
        <v>0</v>
      </c>
      <c r="CC53" s="722">
        <f t="shared" si="9"/>
        <v>0</v>
      </c>
      <c r="CD53" s="63"/>
      <c r="CE53" s="726"/>
      <c r="CF53" s="727"/>
      <c r="CG53" s="63"/>
      <c r="CH53" s="730">
        <f>IF($M53=0, ,VLOOKUP($M53,FÉ!$B$41:$K$59,7,FALSE))*W53</f>
        <v>0</v>
      </c>
    </row>
    <row r="54" spans="2:86" outlineLevel="1">
      <c r="B54" s="69" t="str">
        <f t="shared" si="6"/>
        <v>1.2A1</v>
      </c>
      <c r="C54" s="80"/>
      <c r="D54" s="80"/>
      <c r="E54" s="663"/>
      <c r="F54" s="69" t="str">
        <f t="shared" si="7"/>
        <v/>
      </c>
      <c r="G54" s="80"/>
      <c r="H54" s="80"/>
      <c r="I54" s="648"/>
      <c r="J54" s="69"/>
      <c r="K54" s="69"/>
      <c r="L54" s="69"/>
      <c r="M54" s="67"/>
      <c r="N54" s="69"/>
      <c r="O54" s="69"/>
      <c r="P54" s="69"/>
      <c r="Q54" s="69"/>
      <c r="R54" s="69"/>
      <c r="S54" s="69"/>
      <c r="T54" s="69"/>
      <c r="U54" s="69"/>
      <c r="V54" s="69"/>
      <c r="W54" s="68"/>
      <c r="X54" s="495" t="str">
        <f>IFERROR(VLOOKUP(M54,FÉ!$B$41:$L$59,5,FALSE),"")</f>
        <v/>
      </c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63"/>
      <c r="BQ54" s="69"/>
      <c r="BR54" s="719"/>
      <c r="BS54" s="719"/>
      <c r="BT54" s="719"/>
      <c r="BU54" s="719"/>
      <c r="BV54" s="719"/>
      <c r="BW54" s="719"/>
      <c r="BX54" s="719"/>
      <c r="BY54" s="719">
        <f>IF($M54=0, ,VLOOKUP($M54,FÉ!$B$41:$L$59,8,FALSE)*$W54*PRP!$J$8)</f>
        <v>0</v>
      </c>
      <c r="BZ54" s="69">
        <f>IF($M54=0, ,VLOOKUP($M54,FÉ!$B$41:$L$59,9,FALSE)*$W54*PRP!$J$9)</f>
        <v>0</v>
      </c>
      <c r="CA54" s="700">
        <f>IF($M54=0, ,VLOOKUP($M54,FÉ!$B$41:$L$59,10,FALSE)*$W54*PRP!$J$10)</f>
        <v>0</v>
      </c>
      <c r="CB54" s="69">
        <f t="shared" si="8"/>
        <v>0</v>
      </c>
      <c r="CC54" s="722">
        <f t="shared" si="9"/>
        <v>0</v>
      </c>
      <c r="CD54" s="63"/>
      <c r="CE54" s="726"/>
      <c r="CF54" s="727"/>
      <c r="CG54" s="63"/>
      <c r="CH54" s="730">
        <f>IF($M54=0, ,VLOOKUP($M54,FÉ!$B$41:$K$59,7,FALSE))*W54</f>
        <v>0</v>
      </c>
    </row>
    <row r="55" spans="2:86" ht="15.75" outlineLevel="1" thickBot="1">
      <c r="B55" s="69" t="str">
        <f t="shared" si="6"/>
        <v>1.2A1</v>
      </c>
      <c r="C55" s="80"/>
      <c r="D55" s="717"/>
      <c r="E55" s="663"/>
      <c r="F55" s="69" t="str">
        <f t="shared" si="7"/>
        <v/>
      </c>
      <c r="G55" s="80"/>
      <c r="H55" s="80"/>
      <c r="I55" s="648"/>
      <c r="J55" s="69"/>
      <c r="K55" s="69"/>
      <c r="L55" s="69"/>
      <c r="M55" s="67"/>
      <c r="N55" s="69"/>
      <c r="O55" s="69"/>
      <c r="P55" s="69"/>
      <c r="Q55" s="69"/>
      <c r="R55" s="69"/>
      <c r="S55" s="69"/>
      <c r="T55" s="69"/>
      <c r="U55" s="69"/>
      <c r="V55" s="69"/>
      <c r="W55" s="68"/>
      <c r="X55" s="495" t="str">
        <f>IFERROR(VLOOKUP(M55,FÉ!$B$41:$L$59,5,FALSE),"")</f>
        <v/>
      </c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3"/>
      <c r="BQ55" s="69"/>
      <c r="BR55" s="719"/>
      <c r="BS55" s="719"/>
      <c r="BT55" s="719"/>
      <c r="BU55" s="719"/>
      <c r="BV55" s="719"/>
      <c r="BW55" s="719"/>
      <c r="BX55" s="719"/>
      <c r="BY55" s="719">
        <f>IF($M55=0, ,VLOOKUP($M55,FÉ!$B$41:$L$59,8,FALSE)*$W55*PRP!$J$8)</f>
        <v>0</v>
      </c>
      <c r="BZ55" s="69">
        <f>IF($M55=0, ,VLOOKUP($M55,FÉ!$B$41:$L$59,9,FALSE)*$W55*PRP!$J$9)</f>
        <v>0</v>
      </c>
      <c r="CA55" s="700">
        <f>IF($M55=0, ,VLOOKUP($M55,FÉ!$B$41:$L$59,10,FALSE)*$W55*PRP!$J$10)</f>
        <v>0</v>
      </c>
      <c r="CB55" s="647">
        <f t="shared" si="8"/>
        <v>0</v>
      </c>
      <c r="CC55" s="723">
        <f t="shared" si="9"/>
        <v>0</v>
      </c>
      <c r="CD55" s="63"/>
      <c r="CE55" s="728"/>
      <c r="CF55" s="729"/>
      <c r="CG55" s="63"/>
      <c r="CH55" s="731">
        <f>IF($M55=0, ,VLOOKUP($M55,FÉ!$B$41:$K$59,7,FALSE))*W55</f>
        <v>0</v>
      </c>
    </row>
    <row r="56" spans="2:86" ht="15.75" outlineLevel="1" thickBot="1">
      <c r="B56" s="72"/>
      <c r="C56" s="78"/>
      <c r="D56" s="78"/>
      <c r="E56" s="707"/>
      <c r="F56" s="750" t="str">
        <f>$B39</f>
        <v>1.2A1</v>
      </c>
      <c r="G56" s="750" t="str">
        <f>$B39</f>
        <v>1.2A1</v>
      </c>
      <c r="H56" s="750" t="str">
        <f>$B39</f>
        <v>1.2A1</v>
      </c>
      <c r="I56" s="707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4">
        <f>SUM(W39:W55)</f>
        <v>1100</v>
      </c>
      <c r="X56" s="698"/>
      <c r="Y56" s="699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63"/>
      <c r="BQ56" s="70"/>
      <c r="BR56" s="70"/>
      <c r="BS56" s="70"/>
      <c r="BT56" s="70"/>
      <c r="BU56" s="70"/>
      <c r="BV56" s="70"/>
      <c r="BW56" s="70"/>
      <c r="BX56" s="70"/>
      <c r="BY56" s="70">
        <f>SUM(BY39:BY55)</f>
        <v>2444738.651558999</v>
      </c>
      <c r="BZ56" s="70">
        <f>SUM(BZ39:BZ55)</f>
        <v>5037.9847937513041</v>
      </c>
      <c r="CA56" s="70">
        <f>SUM(CA39:CA55)</f>
        <v>2604.4528399452061</v>
      </c>
      <c r="CB56" s="70">
        <f>SUM(CB39:CB55)</f>
        <v>2452381.089192695</v>
      </c>
      <c r="CC56" s="76">
        <f>SUM(CC39:CC55)</f>
        <v>2.4523810891926954</v>
      </c>
      <c r="CD56" s="63"/>
      <c r="CE56" s="77">
        <f>SUM(CE39:CE55)</f>
        <v>0</v>
      </c>
      <c r="CF56" s="76">
        <f>SUM(CF39:CF55)</f>
        <v>0</v>
      </c>
      <c r="CG56" s="63"/>
      <c r="CH56" s="664">
        <f>SUM(CH39:CH55)</f>
        <v>10327.751630666509</v>
      </c>
    </row>
    <row r="57" spans="2:86" ht="15.75" thickBot="1"/>
    <row r="58" spans="2:86" ht="31.5">
      <c r="B58" s="1210" t="s">
        <v>6473</v>
      </c>
      <c r="C58" s="1211"/>
      <c r="D58" s="1211"/>
      <c r="E58" s="1211"/>
      <c r="F58" s="1211"/>
      <c r="G58" s="1211"/>
      <c r="H58" s="1211"/>
      <c r="I58" s="1211"/>
      <c r="J58" s="1211"/>
      <c r="K58" s="1211"/>
      <c r="L58" s="1211"/>
      <c r="M58" s="1211"/>
      <c r="N58" s="1211"/>
      <c r="O58" s="1211"/>
      <c r="P58" s="1211"/>
      <c r="Q58" s="1211"/>
      <c r="R58" s="1211"/>
      <c r="S58" s="1211"/>
      <c r="T58" s="1211"/>
      <c r="U58" s="1211"/>
      <c r="V58" s="1211"/>
      <c r="W58" s="1211"/>
      <c r="X58" s="1211"/>
      <c r="Y58" s="1211"/>
      <c r="Z58" s="1211"/>
      <c r="AA58" s="1211"/>
      <c r="AB58" s="1211"/>
      <c r="AC58" s="1211"/>
      <c r="AD58" s="1211"/>
      <c r="AE58" s="1211"/>
      <c r="AF58" s="1211"/>
      <c r="AG58" s="1211"/>
      <c r="AH58" s="1211"/>
      <c r="AI58" s="1211"/>
      <c r="AJ58" s="1211"/>
      <c r="AK58" s="1211"/>
      <c r="AL58" s="1211"/>
      <c r="AM58" s="1211"/>
      <c r="AN58" s="1211"/>
      <c r="AO58" s="1211"/>
      <c r="AP58" s="1211"/>
      <c r="AQ58" s="1211"/>
      <c r="AR58" s="1211"/>
      <c r="AS58" s="1211"/>
      <c r="AT58" s="1211"/>
      <c r="AU58" s="1211"/>
      <c r="AV58" s="1211"/>
      <c r="AW58" s="1211"/>
      <c r="AX58" s="1211"/>
      <c r="AY58" s="1211"/>
      <c r="AZ58" s="1211"/>
      <c r="BA58" s="1211"/>
      <c r="BB58" s="1211"/>
      <c r="BC58" s="1211"/>
      <c r="BD58" s="1211"/>
      <c r="BE58" s="1211"/>
      <c r="BF58" s="1211"/>
      <c r="BG58" s="1211"/>
      <c r="BH58" s="1211"/>
      <c r="BI58" s="1211"/>
      <c r="BJ58" s="1211"/>
      <c r="BK58" s="1211"/>
      <c r="BL58" s="1211"/>
      <c r="BM58" s="1211"/>
      <c r="BN58" s="1211"/>
      <c r="BO58" s="1211"/>
      <c r="BP58" s="1211"/>
      <c r="BQ58" s="1211"/>
      <c r="BR58" s="1211"/>
      <c r="BS58" s="1211"/>
      <c r="BT58" s="1211"/>
      <c r="BU58" s="1211"/>
      <c r="BV58" s="1211"/>
      <c r="BW58" s="1211"/>
      <c r="BX58" s="1211"/>
      <c r="BY58" s="1211"/>
      <c r="BZ58" s="1211"/>
      <c r="CA58" s="1211"/>
      <c r="CB58" s="1211"/>
      <c r="CC58" s="1211"/>
      <c r="CD58" s="1211"/>
      <c r="CE58" s="1211"/>
      <c r="CF58" s="1211"/>
      <c r="CG58" s="1211"/>
      <c r="CH58" s="1212"/>
    </row>
    <row r="59" spans="2:86" ht="15.75" outlineLevel="1" thickBot="1"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  <c r="CA59" s="63"/>
      <c r="CB59" s="63"/>
      <c r="CC59" s="63"/>
      <c r="CD59" s="63"/>
      <c r="CE59" s="63"/>
      <c r="CF59" s="63"/>
      <c r="CG59" s="63"/>
      <c r="CH59" s="63"/>
    </row>
    <row r="60" spans="2:86" ht="21.75" outlineLevel="1" thickBot="1">
      <c r="B60" s="1228" t="s">
        <v>115</v>
      </c>
      <c r="C60" s="1229"/>
      <c r="D60" s="1229"/>
      <c r="E60" s="1229"/>
      <c r="F60" s="1229"/>
      <c r="G60" s="1229"/>
      <c r="H60" s="1229"/>
      <c r="I60" s="1229"/>
      <c r="J60" s="1229"/>
      <c r="K60" s="1229"/>
      <c r="L60" s="1229"/>
      <c r="M60" s="1229"/>
      <c r="N60" s="1229"/>
      <c r="O60" s="1229"/>
      <c r="P60" s="1229"/>
      <c r="Q60" s="1229"/>
      <c r="R60" s="1229"/>
      <c r="S60" s="1229"/>
      <c r="T60" s="1229"/>
      <c r="U60" s="1229"/>
      <c r="V60" s="1229"/>
      <c r="W60" s="1229"/>
      <c r="X60" s="1229"/>
      <c r="Y60" s="1229"/>
      <c r="Z60" s="1229"/>
      <c r="AA60" s="1229"/>
      <c r="AB60" s="1229"/>
      <c r="AC60" s="1229"/>
      <c r="AD60" s="1229"/>
      <c r="AE60" s="1229"/>
      <c r="AF60" s="1229"/>
      <c r="AG60" s="1229"/>
      <c r="AH60" s="1229"/>
      <c r="AI60" s="1229"/>
      <c r="AJ60" s="1229"/>
      <c r="AK60" s="1229"/>
      <c r="AL60" s="1229"/>
      <c r="AM60" s="1229"/>
      <c r="AN60" s="1229"/>
      <c r="AO60" s="1229"/>
      <c r="AP60" s="1229"/>
      <c r="AQ60" s="1229"/>
      <c r="AR60" s="1229"/>
      <c r="AS60" s="1229"/>
      <c r="AT60" s="1229"/>
      <c r="AU60" s="1229"/>
      <c r="AV60" s="1229"/>
      <c r="AW60" s="1229"/>
      <c r="AX60" s="1229"/>
      <c r="AY60" s="1229"/>
      <c r="AZ60" s="1229"/>
      <c r="BA60" s="1229"/>
      <c r="BB60" s="1229"/>
      <c r="BC60" s="1229"/>
      <c r="BD60" s="1229"/>
      <c r="BE60" s="1229"/>
      <c r="BF60" s="1229"/>
      <c r="BG60" s="1229"/>
      <c r="BH60" s="1229"/>
      <c r="BI60" s="1229"/>
      <c r="BJ60" s="1229"/>
      <c r="BK60" s="1229"/>
      <c r="BL60" s="1229"/>
      <c r="BM60" s="1229"/>
      <c r="BN60" s="1229"/>
      <c r="BO60" s="1229"/>
      <c r="BP60" s="63"/>
      <c r="BQ60" s="1221" t="s">
        <v>121</v>
      </c>
      <c r="BR60" s="1222"/>
      <c r="BS60" s="1222"/>
      <c r="BT60" s="1222"/>
      <c r="BU60" s="1222"/>
      <c r="BV60" s="1222"/>
      <c r="BW60" s="1222"/>
      <c r="BX60" s="1222"/>
      <c r="BY60" s="1222"/>
      <c r="BZ60" s="1222"/>
      <c r="CA60" s="1222"/>
      <c r="CB60" s="1222"/>
      <c r="CC60" s="1222"/>
      <c r="CD60" s="1222"/>
      <c r="CE60" s="1222"/>
      <c r="CF60" s="1222"/>
      <c r="CG60" s="1222"/>
      <c r="CH60" s="1223"/>
    </row>
    <row r="61" spans="2:86" ht="15" customHeight="1" outlineLevel="1">
      <c r="B61" s="1183" t="s">
        <v>6353</v>
      </c>
      <c r="C61" s="1185" t="s">
        <v>6400</v>
      </c>
      <c r="D61" s="1185" t="s">
        <v>7</v>
      </c>
      <c r="E61" s="1185" t="s">
        <v>127</v>
      </c>
      <c r="F61" s="1187" t="s">
        <v>6348</v>
      </c>
      <c r="G61" s="1185" t="s">
        <v>6333</v>
      </c>
      <c r="H61" s="1185" t="s">
        <v>128</v>
      </c>
      <c r="I61" s="1185" t="s">
        <v>156</v>
      </c>
      <c r="J61" s="655"/>
      <c r="K61" s="655"/>
      <c r="L61" s="655"/>
      <c r="M61" s="1189" t="s">
        <v>1416</v>
      </c>
      <c r="N61" s="655"/>
      <c r="O61" s="655"/>
      <c r="P61" s="655"/>
      <c r="Q61" s="655"/>
      <c r="R61" s="655"/>
      <c r="S61" s="655"/>
      <c r="T61" s="1185" t="s">
        <v>1420</v>
      </c>
      <c r="U61" s="655"/>
      <c r="V61" s="1185" t="s">
        <v>1421</v>
      </c>
      <c r="W61" s="1189" t="s">
        <v>1427</v>
      </c>
      <c r="X61" s="1217"/>
      <c r="Y61" s="655"/>
      <c r="Z61" s="655"/>
      <c r="AA61" s="655"/>
      <c r="AB61" s="655"/>
      <c r="AC61" s="655"/>
      <c r="AD61" s="655"/>
      <c r="AE61" s="655"/>
      <c r="AF61" s="655"/>
      <c r="AG61" s="655"/>
      <c r="AH61" s="655"/>
      <c r="AI61" s="655"/>
      <c r="AJ61" s="655"/>
      <c r="AK61" s="655"/>
      <c r="AL61" s="655"/>
      <c r="AM61" s="655"/>
      <c r="AN61" s="655"/>
      <c r="AO61" s="655"/>
      <c r="AP61" s="655"/>
      <c r="AQ61" s="655"/>
      <c r="AR61" s="655"/>
      <c r="AS61" s="655"/>
      <c r="AT61" s="655"/>
      <c r="AU61" s="655"/>
      <c r="AV61" s="655"/>
      <c r="AW61" s="655"/>
      <c r="AX61" s="655"/>
      <c r="AY61" s="655"/>
      <c r="AZ61" s="655"/>
      <c r="BA61" s="655"/>
      <c r="BB61" s="655"/>
      <c r="BC61" s="655"/>
      <c r="BD61" s="655"/>
      <c r="BE61" s="655"/>
      <c r="BF61" s="655"/>
      <c r="BG61" s="655"/>
      <c r="BH61" s="655"/>
      <c r="BI61" s="655"/>
      <c r="BJ61" s="655"/>
      <c r="BK61" s="655"/>
      <c r="BL61" s="655"/>
      <c r="BM61" s="655"/>
      <c r="BN61" s="655"/>
      <c r="BO61" s="657"/>
      <c r="BP61" s="63"/>
      <c r="BQ61" s="732"/>
      <c r="BR61" s="732"/>
      <c r="BS61" s="732"/>
      <c r="BT61" s="732"/>
      <c r="BU61" s="732"/>
      <c r="BV61" s="732"/>
      <c r="BW61" s="732"/>
      <c r="BX61" s="732"/>
      <c r="BY61" s="1193" t="s">
        <v>122</v>
      </c>
      <c r="BZ61" s="1193"/>
      <c r="CA61" s="1193"/>
      <c r="CB61" s="1194" t="s">
        <v>123</v>
      </c>
      <c r="CC61" s="1195"/>
      <c r="CD61" s="63"/>
      <c r="CE61" s="1198" t="s">
        <v>124</v>
      </c>
      <c r="CF61" s="1199"/>
      <c r="CG61" s="63"/>
      <c r="CH61" s="1185" t="s">
        <v>125</v>
      </c>
    </row>
    <row r="62" spans="2:86" ht="18" outlineLevel="1">
      <c r="B62" s="1184"/>
      <c r="C62" s="1186"/>
      <c r="D62" s="1186"/>
      <c r="E62" s="1186"/>
      <c r="F62" s="1188"/>
      <c r="G62" s="1186"/>
      <c r="H62" s="1186"/>
      <c r="I62" s="1186"/>
      <c r="J62" s="656"/>
      <c r="K62" s="656"/>
      <c r="L62" s="656"/>
      <c r="M62" s="1191"/>
      <c r="N62" s="656"/>
      <c r="O62" s="656"/>
      <c r="P62" s="656"/>
      <c r="Q62" s="656"/>
      <c r="R62" s="656"/>
      <c r="S62" s="656"/>
      <c r="T62" s="1186"/>
      <c r="U62" s="656"/>
      <c r="V62" s="1186"/>
      <c r="W62" s="1191"/>
      <c r="X62" s="1218"/>
      <c r="Y62" s="656"/>
      <c r="Z62" s="656"/>
      <c r="AA62" s="656"/>
      <c r="AB62" s="656"/>
      <c r="AC62" s="656"/>
      <c r="AD62" s="656"/>
      <c r="AE62" s="656"/>
      <c r="AF62" s="656"/>
      <c r="AG62" s="656"/>
      <c r="AH62" s="656"/>
      <c r="AI62" s="656"/>
      <c r="AJ62" s="656"/>
      <c r="AK62" s="656"/>
      <c r="AL62" s="656"/>
      <c r="AM62" s="656"/>
      <c r="AN62" s="656"/>
      <c r="AO62" s="656"/>
      <c r="AP62" s="656"/>
      <c r="AQ62" s="656"/>
      <c r="AR62" s="656"/>
      <c r="AS62" s="656"/>
      <c r="AT62" s="656"/>
      <c r="AU62" s="656"/>
      <c r="AV62" s="656"/>
      <c r="AW62" s="656"/>
      <c r="AX62" s="656"/>
      <c r="AY62" s="656"/>
      <c r="AZ62" s="656"/>
      <c r="BA62" s="656"/>
      <c r="BB62" s="656"/>
      <c r="BC62" s="656"/>
      <c r="BD62" s="656"/>
      <c r="BE62" s="656"/>
      <c r="BF62" s="656"/>
      <c r="BG62" s="656"/>
      <c r="BH62" s="656"/>
      <c r="BI62" s="656"/>
      <c r="BJ62" s="656"/>
      <c r="BK62" s="656"/>
      <c r="BL62" s="656"/>
      <c r="BM62" s="656"/>
      <c r="BN62" s="656"/>
      <c r="BO62" s="79"/>
      <c r="BP62" s="63"/>
      <c r="BQ62" s="1325"/>
      <c r="BR62" s="712"/>
      <c r="BS62" s="712"/>
      <c r="BT62" s="712"/>
      <c r="BU62" s="712"/>
      <c r="BV62" s="712"/>
      <c r="BW62" s="712"/>
      <c r="BX62" s="712"/>
      <c r="BY62" s="718" t="s">
        <v>106</v>
      </c>
      <c r="BZ62" s="58" t="s">
        <v>107</v>
      </c>
      <c r="CA62" s="720" t="s">
        <v>108</v>
      </c>
      <c r="CB62" s="1196"/>
      <c r="CC62" s="1197"/>
      <c r="CD62" s="63"/>
      <c r="CE62" s="1200"/>
      <c r="CF62" s="1201"/>
      <c r="CG62" s="63"/>
      <c r="CH62" s="1186"/>
    </row>
    <row r="63" spans="2:86" ht="18.75" outlineLevel="1" thickBot="1">
      <c r="B63" s="65"/>
      <c r="C63" s="66"/>
      <c r="D63" s="661" t="s">
        <v>6306</v>
      </c>
      <c r="E63" s="661" t="s">
        <v>6306</v>
      </c>
      <c r="F63" s="661"/>
      <c r="G63" s="661" t="s">
        <v>6306</v>
      </c>
      <c r="H63" s="661" t="s">
        <v>6306</v>
      </c>
      <c r="I63" s="661" t="s">
        <v>6306</v>
      </c>
      <c r="J63" s="64"/>
      <c r="K63" s="64"/>
      <c r="L63" s="64"/>
      <c r="M63" s="64" t="s">
        <v>119</v>
      </c>
      <c r="N63" s="64"/>
      <c r="O63" s="64"/>
      <c r="P63" s="64"/>
      <c r="Q63" s="64"/>
      <c r="R63" s="64"/>
      <c r="S63" s="64"/>
      <c r="T63" s="64" t="s">
        <v>285</v>
      </c>
      <c r="U63" s="64"/>
      <c r="V63" s="64" t="s">
        <v>1422</v>
      </c>
      <c r="W63" s="1174" t="s">
        <v>120</v>
      </c>
      <c r="X63" s="1213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6"/>
      <c r="BP63" s="63"/>
      <c r="BQ63" s="66"/>
      <c r="BR63" s="713"/>
      <c r="BS63" s="713"/>
      <c r="BT63" s="713"/>
      <c r="BU63" s="713"/>
      <c r="BV63" s="713"/>
      <c r="BW63" s="713"/>
      <c r="BX63" s="713"/>
      <c r="BY63" s="713" t="s">
        <v>109</v>
      </c>
      <c r="BZ63" s="66" t="s">
        <v>109</v>
      </c>
      <c r="CA63" s="64" t="s">
        <v>109</v>
      </c>
      <c r="CB63" s="66" t="s">
        <v>109</v>
      </c>
      <c r="CC63" s="721" t="s">
        <v>110</v>
      </c>
      <c r="CD63" s="63"/>
      <c r="CE63" s="724" t="s">
        <v>111</v>
      </c>
      <c r="CF63" s="725" t="s">
        <v>112</v>
      </c>
      <c r="CG63" s="63"/>
      <c r="CH63" s="66" t="s">
        <v>114</v>
      </c>
    </row>
    <row r="64" spans="2:86" outlineLevel="1">
      <c r="B64" s="69" t="s">
        <v>6455</v>
      </c>
      <c r="C64" s="80"/>
      <c r="D64" s="716"/>
      <c r="E64" s="662"/>
      <c r="F64" s="69" t="str">
        <f>IF(E64=0,"",MONTH(E64))</f>
        <v/>
      </c>
      <c r="G64" s="80"/>
      <c r="H64" s="80"/>
      <c r="I64" s="648"/>
      <c r="J64" s="69"/>
      <c r="K64" s="69"/>
      <c r="L64" s="69"/>
      <c r="M64" s="67"/>
      <c r="N64" s="69"/>
      <c r="O64" s="69"/>
      <c r="P64" s="69"/>
      <c r="Q64" s="69"/>
      <c r="R64" s="69"/>
      <c r="S64" s="69"/>
      <c r="T64" s="80"/>
      <c r="U64" s="69"/>
      <c r="V64" s="80"/>
      <c r="W64" s="69">
        <f t="shared" ref="W64:W73" si="13">T64*V64/100</f>
        <v>0</v>
      </c>
      <c r="X64" s="495" t="str">
        <f>IFERROR(VLOOKUP(M64,FÉ!$B$41:$L$59,5,FALSE),"")</f>
        <v/>
      </c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63"/>
      <c r="BQ64" s="69"/>
      <c r="BR64" s="719"/>
      <c r="BS64" s="719"/>
      <c r="BT64" s="719"/>
      <c r="BU64" s="719"/>
      <c r="BV64" s="719"/>
      <c r="BW64" s="719"/>
      <c r="BX64" s="719"/>
      <c r="BY64" s="719">
        <f>IF($M64=0, ,VLOOKUP($M64,FÉ!$B$41:$L$59,8,FALSE)*$W64*PRP!$J$8)</f>
        <v>0</v>
      </c>
      <c r="BZ64" s="69">
        <f>IF($M64=0, ,VLOOKUP($M64,FÉ!$B$41:$L$59,9,FALSE)*$W64*PRP!$J$9)</f>
        <v>0</v>
      </c>
      <c r="CA64" s="700">
        <f>IF($M64=0, ,VLOOKUP($M64,FÉ!$B$41:$L$59,10,FALSE)*$W64*PRP!$J$10)</f>
        <v>0</v>
      </c>
      <c r="CB64" s="69">
        <f>SUM(BY64:CA64)</f>
        <v>0</v>
      </c>
      <c r="CC64" s="722">
        <f>CB64/(10^6)</f>
        <v>0</v>
      </c>
      <c r="CD64" s="63"/>
      <c r="CE64" s="726"/>
      <c r="CF64" s="727"/>
      <c r="CG64" s="63"/>
      <c r="CH64" s="730">
        <f>IF($M64=0, ,VLOOKUP($M64,FÉ!$B$41:$K$59,7,FALSE))*W64</f>
        <v>0</v>
      </c>
    </row>
    <row r="65" spans="2:86" outlineLevel="1">
      <c r="B65" s="69" t="str">
        <f t="shared" ref="B65:B73" si="14">B64</f>
        <v>1.2A2</v>
      </c>
      <c r="C65" s="80"/>
      <c r="D65" s="80"/>
      <c r="E65" s="663"/>
      <c r="F65" s="69" t="str">
        <f t="shared" ref="F65:F73" si="15">IF(E65=0,"",MONTH(E65))</f>
        <v/>
      </c>
      <c r="G65" s="80"/>
      <c r="H65" s="80"/>
      <c r="I65" s="648"/>
      <c r="J65" s="69"/>
      <c r="K65" s="69"/>
      <c r="L65" s="69"/>
      <c r="M65" s="67" t="s">
        <v>1418</v>
      </c>
      <c r="N65" s="69"/>
      <c r="O65" s="69"/>
      <c r="P65" s="69"/>
      <c r="Q65" s="69"/>
      <c r="R65" s="69"/>
      <c r="S65" s="69"/>
      <c r="T65" s="80">
        <v>15000</v>
      </c>
      <c r="U65" s="69"/>
      <c r="V65" s="80">
        <v>6</v>
      </c>
      <c r="W65" s="69">
        <f t="shared" si="13"/>
        <v>900</v>
      </c>
      <c r="X65" s="495" t="str">
        <f>IFERROR(VLOOKUP(M65,FÉ!$B$41:$L$59,5,FALSE),"")</f>
        <v>L</v>
      </c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63"/>
      <c r="BQ65" s="69"/>
      <c r="BR65" s="719"/>
      <c r="BS65" s="719"/>
      <c r="BT65" s="719"/>
      <c r="BU65" s="719"/>
      <c r="BV65" s="719"/>
      <c r="BW65" s="719"/>
      <c r="BX65" s="719"/>
      <c r="BY65" s="719">
        <f>IF($M65=0, ,VLOOKUP($M65,FÉ!$B$41:$L$59,8,FALSE)*$W65*PRP!$J$8)</f>
        <v>2076570.0000000002</v>
      </c>
      <c r="BZ65" s="69">
        <f>IF($M65=0, ,VLOOKUP($M65,FÉ!$B$41:$L$59,9,FALSE)*$W65*PRP!$J$9)</f>
        <v>2977.0200000000004</v>
      </c>
      <c r="CA65" s="700">
        <f>IF($M65=0, ,VLOOKUP($M65,FÉ!$B$41:$L$59,10,FALSE)*$W65*PRP!$J$10)</f>
        <v>1719.8999999999999</v>
      </c>
      <c r="CB65" s="69">
        <f>SUM(BY65:CA65)</f>
        <v>2081266.9200000002</v>
      </c>
      <c r="CC65" s="722">
        <f>CB65/(10^6)</f>
        <v>2.08126692</v>
      </c>
      <c r="CD65" s="63"/>
      <c r="CE65" s="726"/>
      <c r="CF65" s="727"/>
      <c r="CG65" s="63"/>
      <c r="CH65" s="730">
        <f>IF($M65=0, ,VLOOKUP($M65,FÉ!$B$41:$K$59,7,FALSE))*W65</f>
        <v>8721</v>
      </c>
    </row>
    <row r="66" spans="2:86" outlineLevel="1">
      <c r="B66" s="69" t="str">
        <f t="shared" si="14"/>
        <v>1.2A2</v>
      </c>
      <c r="C66" s="80"/>
      <c r="D66" s="80"/>
      <c r="E66" s="663">
        <v>45718</v>
      </c>
      <c r="F66" s="69">
        <f t="shared" si="15"/>
        <v>3</v>
      </c>
      <c r="G66" s="80" t="s">
        <v>141</v>
      </c>
      <c r="H66" s="80"/>
      <c r="I66" s="648"/>
      <c r="J66" s="69"/>
      <c r="K66" s="69"/>
      <c r="L66" s="69"/>
      <c r="M66" s="67" t="s">
        <v>1419</v>
      </c>
      <c r="N66" s="69"/>
      <c r="O66" s="69"/>
      <c r="P66" s="69"/>
      <c r="Q66" s="69"/>
      <c r="R66" s="69"/>
      <c r="S66" s="69"/>
      <c r="T66" s="80">
        <v>25000</v>
      </c>
      <c r="U66" s="69"/>
      <c r="V66" s="80">
        <v>10</v>
      </c>
      <c r="W66" s="69">
        <f t="shared" si="13"/>
        <v>2500</v>
      </c>
      <c r="X66" s="495" t="str">
        <f>IFERROR(VLOOKUP(M66,FÉ!$B$41:$L$59,5,FALSE),"")</f>
        <v>lbs</v>
      </c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63"/>
      <c r="BQ66" s="69"/>
      <c r="BR66" s="719"/>
      <c r="BS66" s="719"/>
      <c r="BT66" s="719"/>
      <c r="BU66" s="719"/>
      <c r="BV66" s="719"/>
      <c r="BW66" s="719"/>
      <c r="BX66" s="719"/>
      <c r="BY66" s="719">
        <f>IF($M66=0, ,VLOOKUP($M66,FÉ!$B$41:$L$59,8,FALSE)*$W66*PRP!$J$8)</f>
        <v>3435966.288974971</v>
      </c>
      <c r="BZ66" s="69">
        <f>IF($M66=0, ,VLOOKUP($M66,FÉ!$B$41:$L$59,9,FALSE)*$W66*PRP!$J$9)</f>
        <v>43254.61984378261</v>
      </c>
      <c r="CA66" s="700">
        <f>IF($M66=0, ,VLOOKUP($M66,FÉ!$B$41:$L$59,10,FALSE)*$W66*PRP!$J$10)</f>
        <v>17336.320998630152</v>
      </c>
      <c r="CB66" s="69">
        <f t="shared" ref="CB66:CB73" si="16">SUM(BY66:CA66)</f>
        <v>3496557.2298173835</v>
      </c>
      <c r="CC66" s="722">
        <f t="shared" ref="CC66:CC73" si="17">CB66/(10^6)</f>
        <v>3.4965572298173835</v>
      </c>
      <c r="CD66" s="63"/>
      <c r="CE66" s="726"/>
      <c r="CF66" s="727"/>
      <c r="CG66" s="63"/>
      <c r="CH66" s="730">
        <f>IF($M66=0, ,VLOOKUP($M66,FÉ!$B$41:$K$59,7,FALSE))*W66</f>
        <v>15943.790766662738</v>
      </c>
    </row>
    <row r="67" spans="2:86" outlineLevel="1">
      <c r="B67" s="69" t="str">
        <f t="shared" si="14"/>
        <v>1.2A2</v>
      </c>
      <c r="C67" s="80"/>
      <c r="D67" s="80"/>
      <c r="E67" s="663"/>
      <c r="F67" s="69" t="str">
        <f t="shared" si="15"/>
        <v/>
      </c>
      <c r="G67" s="80"/>
      <c r="H67" s="80"/>
      <c r="I67" s="648"/>
      <c r="J67" s="69"/>
      <c r="K67" s="69"/>
      <c r="L67" s="69"/>
      <c r="M67" s="67"/>
      <c r="N67" s="69"/>
      <c r="O67" s="69"/>
      <c r="P67" s="69"/>
      <c r="Q67" s="69"/>
      <c r="R67" s="69"/>
      <c r="S67" s="69"/>
      <c r="T67" s="80"/>
      <c r="U67" s="69"/>
      <c r="V67" s="80"/>
      <c r="W67" s="69">
        <f t="shared" si="13"/>
        <v>0</v>
      </c>
      <c r="X67" s="495" t="str">
        <f>IFERROR(VLOOKUP(M67,FÉ!$B$41:$L$59,5,FALSE),"")</f>
        <v/>
      </c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63"/>
      <c r="BQ67" s="69"/>
      <c r="BR67" s="719"/>
      <c r="BS67" s="719"/>
      <c r="BT67" s="719"/>
      <c r="BU67" s="719"/>
      <c r="BV67" s="719"/>
      <c r="BW67" s="719"/>
      <c r="BX67" s="719"/>
      <c r="BY67" s="719">
        <f>IF($M67=0, ,VLOOKUP($M67,FÉ!$B$41:$L$59,8,FALSE)*$W67*PRP!$J$8)</f>
        <v>0</v>
      </c>
      <c r="BZ67" s="69">
        <f>IF($M67=0, ,VLOOKUP($M67,FÉ!$B$41:$L$59,9,FALSE)*$W67*PRP!$J$9)</f>
        <v>0</v>
      </c>
      <c r="CA67" s="700">
        <f>IF($M67=0, ,VLOOKUP($M67,FÉ!$B$41:$L$59,10,FALSE)*$W67*PRP!$J$10)</f>
        <v>0</v>
      </c>
      <c r="CB67" s="69">
        <f t="shared" si="16"/>
        <v>0</v>
      </c>
      <c r="CC67" s="722">
        <f t="shared" si="17"/>
        <v>0</v>
      </c>
      <c r="CD67" s="63"/>
      <c r="CE67" s="726"/>
      <c r="CF67" s="727"/>
      <c r="CG67" s="63"/>
      <c r="CH67" s="730">
        <f>IF($M67=0, ,VLOOKUP($M67,FÉ!$B$41:$K$59,7,FALSE))*W67</f>
        <v>0</v>
      </c>
    </row>
    <row r="68" spans="2:86" outlineLevel="1">
      <c r="B68" s="69" t="str">
        <f t="shared" si="14"/>
        <v>1.2A2</v>
      </c>
      <c r="C68" s="80"/>
      <c r="D68" s="80"/>
      <c r="E68" s="663"/>
      <c r="F68" s="69" t="str">
        <f t="shared" si="15"/>
        <v/>
      </c>
      <c r="G68" s="80"/>
      <c r="H68" s="80"/>
      <c r="I68" s="648"/>
      <c r="J68" s="69"/>
      <c r="K68" s="69"/>
      <c r="L68" s="69"/>
      <c r="M68" s="67"/>
      <c r="N68" s="69"/>
      <c r="O68" s="69"/>
      <c r="P68" s="69"/>
      <c r="Q68" s="69"/>
      <c r="R68" s="69"/>
      <c r="S68" s="69"/>
      <c r="T68" s="80"/>
      <c r="U68" s="69"/>
      <c r="V68" s="80"/>
      <c r="W68" s="69">
        <f t="shared" si="13"/>
        <v>0</v>
      </c>
      <c r="X68" s="495" t="str">
        <f>IFERROR(VLOOKUP(M68,FÉ!$B$41:$L$59,5,FALSE),"")</f>
        <v/>
      </c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63"/>
      <c r="BQ68" s="69"/>
      <c r="BR68" s="719"/>
      <c r="BS68" s="719"/>
      <c r="BT68" s="719"/>
      <c r="BU68" s="719"/>
      <c r="BV68" s="719"/>
      <c r="BW68" s="719"/>
      <c r="BX68" s="719"/>
      <c r="BY68" s="719">
        <f>IF($M68=0, ,VLOOKUP($M68,FÉ!$B$41:$L$59,8,FALSE)*$W68*PRP!$J$8)</f>
        <v>0</v>
      </c>
      <c r="BZ68" s="69">
        <f>IF($M68=0, ,VLOOKUP($M68,FÉ!$B$41:$L$59,9,FALSE)*$W68*PRP!$J$9)</f>
        <v>0</v>
      </c>
      <c r="CA68" s="700">
        <f>IF($M68=0, ,VLOOKUP($M68,FÉ!$B$41:$L$59,10,FALSE)*$W68*PRP!$J$10)</f>
        <v>0</v>
      </c>
      <c r="CB68" s="69">
        <f t="shared" si="16"/>
        <v>0</v>
      </c>
      <c r="CC68" s="722">
        <f t="shared" si="17"/>
        <v>0</v>
      </c>
      <c r="CD68" s="63"/>
      <c r="CE68" s="726"/>
      <c r="CF68" s="727"/>
      <c r="CG68" s="63"/>
      <c r="CH68" s="730">
        <f>IF($M68=0, ,VLOOKUP($M68,FÉ!$B$41:$K$59,7,FALSE))*W68</f>
        <v>0</v>
      </c>
    </row>
    <row r="69" spans="2:86" outlineLevel="1">
      <c r="B69" s="69" t="str">
        <f t="shared" si="14"/>
        <v>1.2A2</v>
      </c>
      <c r="C69" s="80"/>
      <c r="D69" s="80"/>
      <c r="E69" s="663"/>
      <c r="F69" s="69" t="str">
        <f t="shared" si="15"/>
        <v/>
      </c>
      <c r="G69" s="80"/>
      <c r="H69" s="80"/>
      <c r="I69" s="648"/>
      <c r="J69" s="69"/>
      <c r="K69" s="69"/>
      <c r="L69" s="69"/>
      <c r="M69" s="67"/>
      <c r="N69" s="69"/>
      <c r="O69" s="69"/>
      <c r="P69" s="69"/>
      <c r="Q69" s="69"/>
      <c r="R69" s="69"/>
      <c r="S69" s="69"/>
      <c r="T69" s="80"/>
      <c r="U69" s="69"/>
      <c r="V69" s="80"/>
      <c r="W69" s="69">
        <f t="shared" si="13"/>
        <v>0</v>
      </c>
      <c r="X69" s="495" t="str">
        <f>IFERROR(VLOOKUP(M69,FÉ!$B$41:$L$59,5,FALSE),"")</f>
        <v/>
      </c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63"/>
      <c r="BQ69" s="69"/>
      <c r="BR69" s="719"/>
      <c r="BS69" s="719"/>
      <c r="BT69" s="719"/>
      <c r="BU69" s="719"/>
      <c r="BV69" s="719"/>
      <c r="BW69" s="719"/>
      <c r="BX69" s="719"/>
      <c r="BY69" s="719">
        <f>IF($M69=0, ,VLOOKUP($M69,FÉ!$B$41:$L$59,8,FALSE)*$W69*PRP!$J$8)</f>
        <v>0</v>
      </c>
      <c r="BZ69" s="69">
        <f>IF($M69=0, ,VLOOKUP($M69,FÉ!$B$41:$L$59,9,FALSE)*$W69*PRP!$J$9)</f>
        <v>0</v>
      </c>
      <c r="CA69" s="700">
        <f>IF($M69=0, ,VLOOKUP($M69,FÉ!$B$41:$L$59,10,FALSE)*$W69*PRP!$J$10)</f>
        <v>0</v>
      </c>
      <c r="CB69" s="69">
        <f t="shared" si="16"/>
        <v>0</v>
      </c>
      <c r="CC69" s="722">
        <f t="shared" si="17"/>
        <v>0</v>
      </c>
      <c r="CD69" s="63"/>
      <c r="CE69" s="726"/>
      <c r="CF69" s="727"/>
      <c r="CG69" s="63"/>
      <c r="CH69" s="730">
        <f>IF($M69=0, ,VLOOKUP($M69,FÉ!$B$41:$K$59,7,FALSE))*W69</f>
        <v>0</v>
      </c>
    </row>
    <row r="70" spans="2:86" outlineLevel="1">
      <c r="B70" s="69" t="str">
        <f t="shared" si="14"/>
        <v>1.2A2</v>
      </c>
      <c r="C70" s="80"/>
      <c r="D70" s="80"/>
      <c r="E70" s="663"/>
      <c r="F70" s="69" t="str">
        <f t="shared" si="15"/>
        <v/>
      </c>
      <c r="G70" s="80"/>
      <c r="H70" s="80"/>
      <c r="I70" s="648"/>
      <c r="J70" s="69"/>
      <c r="K70" s="69"/>
      <c r="L70" s="69"/>
      <c r="M70" s="67"/>
      <c r="N70" s="69"/>
      <c r="O70" s="69"/>
      <c r="P70" s="69"/>
      <c r="Q70" s="69"/>
      <c r="R70" s="69"/>
      <c r="S70" s="69"/>
      <c r="T70" s="80"/>
      <c r="U70" s="69"/>
      <c r="V70" s="80"/>
      <c r="W70" s="69">
        <f t="shared" si="13"/>
        <v>0</v>
      </c>
      <c r="X70" s="495" t="str">
        <f>IFERROR(VLOOKUP(M70,FÉ!$B$41:$L$59,5,FALSE),"")</f>
        <v/>
      </c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63"/>
      <c r="BQ70" s="69"/>
      <c r="BR70" s="719"/>
      <c r="BS70" s="719"/>
      <c r="BT70" s="719"/>
      <c r="BU70" s="719"/>
      <c r="BV70" s="719"/>
      <c r="BW70" s="719"/>
      <c r="BX70" s="719"/>
      <c r="BY70" s="719">
        <f>IF($M70=0, ,VLOOKUP($M70,FÉ!$B$41:$L$59,8,FALSE)*$W70*PRP!$J$8)</f>
        <v>0</v>
      </c>
      <c r="BZ70" s="69">
        <f>IF($M70=0, ,VLOOKUP($M70,FÉ!$B$41:$L$59,9,FALSE)*$W70*PRP!$J$9)</f>
        <v>0</v>
      </c>
      <c r="CA70" s="700">
        <f>IF($M70=0, ,VLOOKUP($M70,FÉ!$B$41:$L$59,10,FALSE)*$W70*PRP!$J$10)</f>
        <v>0</v>
      </c>
      <c r="CB70" s="69">
        <f t="shared" si="16"/>
        <v>0</v>
      </c>
      <c r="CC70" s="722">
        <f t="shared" si="17"/>
        <v>0</v>
      </c>
      <c r="CD70" s="63"/>
      <c r="CE70" s="726"/>
      <c r="CF70" s="727"/>
      <c r="CG70" s="63"/>
      <c r="CH70" s="730">
        <f>IF($M70=0, ,VLOOKUP($M70,FÉ!$B$41:$K$59,7,FALSE))*W70</f>
        <v>0</v>
      </c>
    </row>
    <row r="71" spans="2:86" outlineLevel="1">
      <c r="B71" s="69" t="str">
        <f t="shared" si="14"/>
        <v>1.2A2</v>
      </c>
      <c r="C71" s="80"/>
      <c r="D71" s="80"/>
      <c r="E71" s="663"/>
      <c r="F71" s="69" t="str">
        <f t="shared" si="15"/>
        <v/>
      </c>
      <c r="G71" s="80"/>
      <c r="H71" s="80"/>
      <c r="I71" s="648"/>
      <c r="J71" s="69"/>
      <c r="K71" s="69"/>
      <c r="L71" s="69"/>
      <c r="M71" s="67"/>
      <c r="N71" s="69"/>
      <c r="O71" s="69"/>
      <c r="P71" s="69"/>
      <c r="Q71" s="69"/>
      <c r="R71" s="69"/>
      <c r="S71" s="69"/>
      <c r="T71" s="80"/>
      <c r="U71" s="69"/>
      <c r="V71" s="80"/>
      <c r="W71" s="69">
        <f t="shared" si="13"/>
        <v>0</v>
      </c>
      <c r="X71" s="495" t="str">
        <f>IFERROR(VLOOKUP(M71,FÉ!$B$41:$L$59,5,FALSE),"")</f>
        <v/>
      </c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63"/>
      <c r="BQ71" s="69"/>
      <c r="BR71" s="719"/>
      <c r="BS71" s="719"/>
      <c r="BT71" s="719"/>
      <c r="BU71" s="719"/>
      <c r="BV71" s="719"/>
      <c r="BW71" s="719"/>
      <c r="BX71" s="719"/>
      <c r="BY71" s="719">
        <f>IF($M71=0, ,VLOOKUP($M71,FÉ!$B$41:$L$59,8,FALSE)*$W71*PRP!$J$8)</f>
        <v>0</v>
      </c>
      <c r="BZ71" s="69">
        <f>IF($M71=0, ,VLOOKUP($M71,FÉ!$B$41:$L$59,9,FALSE)*$W71*PRP!$J$9)</f>
        <v>0</v>
      </c>
      <c r="CA71" s="700">
        <f>IF($M71=0, ,VLOOKUP($M71,FÉ!$B$41:$L$59,10,FALSE)*$W71*PRP!$J$10)</f>
        <v>0</v>
      </c>
      <c r="CB71" s="69">
        <f t="shared" si="16"/>
        <v>0</v>
      </c>
      <c r="CC71" s="722">
        <f t="shared" si="17"/>
        <v>0</v>
      </c>
      <c r="CD71" s="63"/>
      <c r="CE71" s="726"/>
      <c r="CF71" s="727"/>
      <c r="CG71" s="63"/>
      <c r="CH71" s="730">
        <f>IF($M71=0, ,VLOOKUP($M71,FÉ!$B$41:$K$59,7,FALSE))*W71</f>
        <v>0</v>
      </c>
    </row>
    <row r="72" spans="2:86" outlineLevel="1">
      <c r="B72" s="69" t="str">
        <f t="shared" si="14"/>
        <v>1.2A2</v>
      </c>
      <c r="C72" s="80"/>
      <c r="D72" s="80"/>
      <c r="E72" s="663"/>
      <c r="F72" s="69" t="str">
        <f t="shared" si="15"/>
        <v/>
      </c>
      <c r="G72" s="80"/>
      <c r="H72" s="80"/>
      <c r="I72" s="648"/>
      <c r="J72" s="69"/>
      <c r="K72" s="69"/>
      <c r="L72" s="69"/>
      <c r="M72" s="67"/>
      <c r="N72" s="69"/>
      <c r="O72" s="69"/>
      <c r="P72" s="69"/>
      <c r="Q72" s="69"/>
      <c r="R72" s="69"/>
      <c r="S72" s="69"/>
      <c r="T72" s="80"/>
      <c r="U72" s="69"/>
      <c r="V72" s="80"/>
      <c r="W72" s="69">
        <f t="shared" si="13"/>
        <v>0</v>
      </c>
      <c r="X72" s="495" t="str">
        <f>IFERROR(VLOOKUP(M72,FÉ!$B$41:$L$59,5,FALSE),"")</f>
        <v/>
      </c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63"/>
      <c r="BQ72" s="69"/>
      <c r="BR72" s="719"/>
      <c r="BS72" s="719"/>
      <c r="BT72" s="719"/>
      <c r="BU72" s="719"/>
      <c r="BV72" s="719"/>
      <c r="BW72" s="719"/>
      <c r="BX72" s="719"/>
      <c r="BY72" s="719">
        <f>IF($M72=0, ,VLOOKUP($M72,FÉ!$B$41:$L$59,8,FALSE)*$W72*PRP!$J$8)</f>
        <v>0</v>
      </c>
      <c r="BZ72" s="69">
        <f>IF($M72=0, ,VLOOKUP($M72,FÉ!$B$41:$L$59,9,FALSE)*$W72*PRP!$J$9)</f>
        <v>0</v>
      </c>
      <c r="CA72" s="700">
        <f>IF($M72=0, ,VLOOKUP($M72,FÉ!$B$41:$L$59,10,FALSE)*$W72*PRP!$J$10)</f>
        <v>0</v>
      </c>
      <c r="CB72" s="69">
        <f t="shared" si="16"/>
        <v>0</v>
      </c>
      <c r="CC72" s="722">
        <f t="shared" si="17"/>
        <v>0</v>
      </c>
      <c r="CD72" s="63"/>
      <c r="CE72" s="726"/>
      <c r="CF72" s="727"/>
      <c r="CG72" s="63"/>
      <c r="CH72" s="730">
        <f>IF($M72=0, ,VLOOKUP($M72,FÉ!$B$41:$K$59,7,FALSE))*W72</f>
        <v>0</v>
      </c>
    </row>
    <row r="73" spans="2:86" ht="15.75" outlineLevel="1" thickBot="1">
      <c r="B73" s="69" t="str">
        <f t="shared" si="14"/>
        <v>1.2A2</v>
      </c>
      <c r="C73" s="80"/>
      <c r="D73" s="717"/>
      <c r="E73" s="663"/>
      <c r="F73" s="69" t="str">
        <f t="shared" si="15"/>
        <v/>
      </c>
      <c r="G73" s="80"/>
      <c r="H73" s="80"/>
      <c r="I73" s="648"/>
      <c r="J73" s="69"/>
      <c r="K73" s="69"/>
      <c r="L73" s="69"/>
      <c r="M73" s="67"/>
      <c r="N73" s="69"/>
      <c r="O73" s="69"/>
      <c r="P73" s="69"/>
      <c r="Q73" s="69"/>
      <c r="R73" s="69"/>
      <c r="S73" s="69"/>
      <c r="T73" s="80"/>
      <c r="U73" s="69"/>
      <c r="V73" s="80"/>
      <c r="W73" s="69">
        <f t="shared" si="13"/>
        <v>0</v>
      </c>
      <c r="X73" s="495" t="str">
        <f>IFERROR(VLOOKUP(M73,FÉ!$B$41:$L$59,5,FALSE),"")</f>
        <v/>
      </c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63"/>
      <c r="BQ73" s="69"/>
      <c r="BR73" s="719"/>
      <c r="BS73" s="719"/>
      <c r="BT73" s="719"/>
      <c r="BU73" s="719"/>
      <c r="BV73" s="719"/>
      <c r="BW73" s="719"/>
      <c r="BX73" s="719"/>
      <c r="BY73" s="719">
        <f>IF($M73=0, ,VLOOKUP($M73,FÉ!$B$41:$L$59,8,FALSE)*$W73*PRP!$J$8)</f>
        <v>0</v>
      </c>
      <c r="BZ73" s="69">
        <f>IF($M73=0, ,VLOOKUP($M73,FÉ!$B$41:$L$59,9,FALSE)*$W73*PRP!$J$9)</f>
        <v>0</v>
      </c>
      <c r="CA73" s="700">
        <f>IF($M73=0, ,VLOOKUP($M73,FÉ!$B$41:$L$59,10,FALSE)*$W73*PRP!$J$10)</f>
        <v>0</v>
      </c>
      <c r="CB73" s="647">
        <f t="shared" si="16"/>
        <v>0</v>
      </c>
      <c r="CC73" s="723">
        <f t="shared" si="17"/>
        <v>0</v>
      </c>
      <c r="CD73" s="63"/>
      <c r="CE73" s="728"/>
      <c r="CF73" s="729"/>
      <c r="CG73" s="63"/>
      <c r="CH73" s="731">
        <f>IF($M73=0, ,VLOOKUP($M73,FÉ!$B$41:$K$59,7,FALSE))*W73</f>
        <v>0</v>
      </c>
    </row>
    <row r="74" spans="2:86" ht="15.75" outlineLevel="1" thickBot="1">
      <c r="B74" s="72"/>
      <c r="C74" s="78"/>
      <c r="D74" s="78"/>
      <c r="E74" s="707"/>
      <c r="F74" s="750" t="str">
        <f>$B64</f>
        <v>1.2A2</v>
      </c>
      <c r="G74" s="750" t="str">
        <f>$B64</f>
        <v>1.2A2</v>
      </c>
      <c r="H74" s="750" t="str">
        <f>$B64</f>
        <v>1.2A2</v>
      </c>
      <c r="I74" s="707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4">
        <f>SUM(T64:T73)</f>
        <v>40000</v>
      </c>
      <c r="U74" s="73"/>
      <c r="V74" s="73"/>
      <c r="W74" s="74">
        <f>SUM(W64:W73)</f>
        <v>3400</v>
      </c>
      <c r="X74" s="698"/>
      <c r="Y74" s="699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63"/>
      <c r="BQ74" s="70"/>
      <c r="BR74" s="70"/>
      <c r="BS74" s="70"/>
      <c r="BT74" s="70"/>
      <c r="BU74" s="70"/>
      <c r="BV74" s="70"/>
      <c r="BW74" s="70"/>
      <c r="BX74" s="70"/>
      <c r="BY74" s="70">
        <f>SUM(BY64:BY73)</f>
        <v>5512536.2889749715</v>
      </c>
      <c r="BZ74" s="70">
        <f>SUM(BZ64:BZ73)</f>
        <v>46231.639843782614</v>
      </c>
      <c r="CA74" s="70">
        <f>SUM(CA64:CA73)</f>
        <v>19056.220998630153</v>
      </c>
      <c r="CB74" s="70">
        <f>SUM(CB64:CB73)</f>
        <v>5577824.1498173838</v>
      </c>
      <c r="CC74" s="76">
        <f>SUM(CC64:CC73)</f>
        <v>5.5778241498173831</v>
      </c>
      <c r="CD74" s="63"/>
      <c r="CE74" s="77">
        <f>SUM(CE64:CE73)</f>
        <v>0</v>
      </c>
      <c r="CF74" s="76">
        <f>SUM(CF64:CF73)</f>
        <v>0</v>
      </c>
      <c r="CG74" s="63"/>
      <c r="CH74" s="664">
        <f>SUM(CH64:CH73)</f>
        <v>24664.790766662736</v>
      </c>
    </row>
    <row r="76" spans="2:86" ht="31.5">
      <c r="B76" s="1224" t="s">
        <v>6474</v>
      </c>
      <c r="C76" s="1225"/>
      <c r="D76" s="1225"/>
      <c r="E76" s="1225"/>
      <c r="F76" s="1225"/>
      <c r="G76" s="1225"/>
      <c r="H76" s="1225"/>
      <c r="I76" s="1225"/>
      <c r="J76" s="1225"/>
      <c r="K76" s="1225"/>
      <c r="L76" s="1225"/>
      <c r="M76" s="1225"/>
      <c r="N76" s="1225"/>
      <c r="O76" s="1225"/>
      <c r="P76" s="1225"/>
      <c r="Q76" s="1225"/>
      <c r="R76" s="1225"/>
      <c r="S76" s="1225"/>
      <c r="T76" s="1225"/>
      <c r="U76" s="1225"/>
      <c r="V76" s="1225"/>
      <c r="W76" s="1225"/>
      <c r="X76" s="1225"/>
      <c r="Y76" s="1225"/>
      <c r="Z76" s="1225"/>
      <c r="AA76" s="1225"/>
      <c r="AB76" s="1225"/>
      <c r="AC76" s="1225"/>
      <c r="AD76" s="1225"/>
      <c r="AE76" s="1225"/>
      <c r="AF76" s="1225"/>
      <c r="AG76" s="1225"/>
      <c r="AH76" s="1225"/>
      <c r="AI76" s="1225"/>
      <c r="AJ76" s="1225"/>
      <c r="AK76" s="1225"/>
      <c r="AL76" s="1225"/>
      <c r="AM76" s="1225"/>
      <c r="AN76" s="1225"/>
      <c r="AO76" s="1225"/>
      <c r="AP76" s="1225"/>
      <c r="AQ76" s="1225"/>
      <c r="AR76" s="1225"/>
      <c r="AS76" s="1225"/>
      <c r="AT76" s="1225"/>
      <c r="AU76" s="1225"/>
      <c r="AV76" s="1225"/>
      <c r="AW76" s="1225"/>
      <c r="AX76" s="1225"/>
      <c r="AY76" s="1225"/>
      <c r="AZ76" s="1225"/>
      <c r="BA76" s="1225"/>
      <c r="BB76" s="1225"/>
      <c r="BC76" s="1225"/>
      <c r="BD76" s="1225"/>
      <c r="BE76" s="1225"/>
      <c r="BF76" s="1225"/>
      <c r="BG76" s="1225"/>
      <c r="BH76" s="1225"/>
      <c r="BI76" s="1225"/>
      <c r="BJ76" s="1225"/>
      <c r="BK76" s="1225"/>
      <c r="BL76" s="1225"/>
      <c r="BM76" s="1225"/>
      <c r="BN76" s="1225"/>
      <c r="BO76" s="1225"/>
      <c r="BP76" s="1225"/>
      <c r="BQ76" s="1225"/>
      <c r="BR76" s="1225"/>
      <c r="BS76" s="1225"/>
      <c r="BT76" s="1225"/>
      <c r="BU76" s="1225"/>
      <c r="BV76" s="1225"/>
      <c r="BW76" s="1225"/>
      <c r="BX76" s="1225"/>
      <c r="BY76" s="1225"/>
      <c r="BZ76" s="1225"/>
      <c r="CA76" s="1225"/>
      <c r="CB76" s="1225"/>
      <c r="CC76" s="1225"/>
      <c r="CD76" s="1225"/>
      <c r="CE76" s="1225"/>
      <c r="CF76" s="1225"/>
      <c r="CG76" s="1225"/>
      <c r="CH76" s="1225"/>
    </row>
    <row r="77" spans="2:86" ht="15.75" outlineLevel="1" thickBot="1"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3"/>
      <c r="BV77" s="63"/>
      <c r="BW77" s="63"/>
      <c r="BX77" s="63"/>
      <c r="BY77" s="63"/>
      <c r="BZ77" s="63"/>
      <c r="CA77" s="63"/>
      <c r="CB77" s="63"/>
      <c r="CC77" s="63"/>
      <c r="CD77" s="63"/>
      <c r="CE77" s="63"/>
      <c r="CF77" s="63"/>
      <c r="CG77" s="63"/>
    </row>
    <row r="78" spans="2:86" ht="21.75" outlineLevel="1" thickBot="1">
      <c r="B78" s="1228" t="s">
        <v>115</v>
      </c>
      <c r="C78" s="1229"/>
      <c r="D78" s="1229"/>
      <c r="E78" s="1229"/>
      <c r="F78" s="1229"/>
      <c r="G78" s="1229"/>
      <c r="H78" s="1229"/>
      <c r="I78" s="1229"/>
      <c r="J78" s="1229"/>
      <c r="K78" s="1229"/>
      <c r="L78" s="1229"/>
      <c r="M78" s="1229"/>
      <c r="N78" s="1229"/>
      <c r="O78" s="1229"/>
      <c r="P78" s="1229"/>
      <c r="Q78" s="1229"/>
      <c r="R78" s="1229"/>
      <c r="S78" s="1229"/>
      <c r="T78" s="1229"/>
      <c r="U78" s="1229"/>
      <c r="V78" s="1229"/>
      <c r="W78" s="1229"/>
      <c r="X78" s="1229"/>
      <c r="Y78" s="1229"/>
      <c r="Z78" s="1229"/>
      <c r="AA78" s="1229"/>
      <c r="AB78" s="1229"/>
      <c r="AC78" s="1229"/>
      <c r="AD78" s="1229"/>
      <c r="AE78" s="1229"/>
      <c r="AF78" s="1229"/>
      <c r="AG78" s="1229"/>
      <c r="AH78" s="1229"/>
      <c r="AI78" s="1229"/>
      <c r="AJ78" s="1229"/>
      <c r="AK78" s="1229"/>
      <c r="AL78" s="1229"/>
      <c r="AM78" s="1229"/>
      <c r="AN78" s="1229"/>
      <c r="AO78" s="1229"/>
      <c r="AP78" s="1229"/>
      <c r="AQ78" s="1229"/>
      <c r="AR78" s="1229"/>
      <c r="AS78" s="1229"/>
      <c r="AT78" s="1229"/>
      <c r="AU78" s="1229"/>
      <c r="AV78" s="1229"/>
      <c r="AW78" s="1229"/>
      <c r="AX78" s="1229"/>
      <c r="AY78" s="1229"/>
      <c r="AZ78" s="1229"/>
      <c r="BA78" s="1229"/>
      <c r="BB78" s="1229"/>
      <c r="BC78" s="1229"/>
      <c r="BD78" s="1229"/>
      <c r="BE78" s="1229"/>
      <c r="BF78" s="1229"/>
      <c r="BG78" s="1229"/>
      <c r="BH78" s="1229"/>
      <c r="BI78" s="1229"/>
      <c r="BJ78" s="1229"/>
      <c r="BK78" s="1229"/>
      <c r="BL78" s="1229"/>
      <c r="BM78" s="1229"/>
      <c r="BN78" s="1229"/>
      <c r="BO78" s="1229"/>
      <c r="BQ78" s="1221" t="s">
        <v>121</v>
      </c>
      <c r="BR78" s="1222"/>
      <c r="BS78" s="1222"/>
      <c r="BT78" s="1222"/>
      <c r="BU78" s="1222"/>
      <c r="BV78" s="1222"/>
      <c r="BW78" s="1222"/>
      <c r="BX78" s="1222"/>
      <c r="BY78" s="1222"/>
      <c r="BZ78" s="1222"/>
      <c r="CA78" s="1222"/>
      <c r="CB78" s="1222"/>
      <c r="CC78" s="1222"/>
      <c r="CD78" s="1222"/>
      <c r="CE78" s="1222"/>
      <c r="CF78" s="1222"/>
      <c r="CG78" s="1222"/>
      <c r="CH78" s="1223"/>
    </row>
    <row r="79" spans="2:86" ht="15" customHeight="1" outlineLevel="1">
      <c r="B79" s="1183" t="s">
        <v>6353</v>
      </c>
      <c r="C79" s="1185" t="s">
        <v>6400</v>
      </c>
      <c r="D79" s="1185" t="s">
        <v>7</v>
      </c>
      <c r="E79" s="1185" t="s">
        <v>127</v>
      </c>
      <c r="F79" s="1187" t="s">
        <v>6348</v>
      </c>
      <c r="G79" s="1185" t="s">
        <v>6333</v>
      </c>
      <c r="H79" s="1185" t="s">
        <v>128</v>
      </c>
      <c r="I79" s="1185" t="s">
        <v>156</v>
      </c>
      <c r="J79" s="655"/>
      <c r="K79" s="655"/>
      <c r="L79" s="655"/>
      <c r="M79" s="1189" t="s">
        <v>1416</v>
      </c>
      <c r="N79" s="1185" t="s">
        <v>1423</v>
      </c>
      <c r="O79" s="1185" t="s">
        <v>1424</v>
      </c>
      <c r="P79" s="655"/>
      <c r="Q79" s="655"/>
      <c r="R79" s="655"/>
      <c r="S79" s="655"/>
      <c r="T79" s="655"/>
      <c r="U79" s="655"/>
      <c r="V79" s="655"/>
      <c r="W79" s="1189" t="s">
        <v>1427</v>
      </c>
      <c r="X79" s="1217"/>
      <c r="Y79" s="655"/>
      <c r="Z79" s="655"/>
      <c r="AA79" s="655"/>
      <c r="AB79" s="655"/>
      <c r="AC79" s="655"/>
      <c r="AD79" s="655"/>
      <c r="AE79" s="655"/>
      <c r="AF79" s="655"/>
      <c r="AG79" s="655"/>
      <c r="AH79" s="655"/>
      <c r="AI79" s="655"/>
      <c r="AJ79" s="655"/>
      <c r="AK79" s="655"/>
      <c r="AL79" s="655"/>
      <c r="AM79" s="655"/>
      <c r="AN79" s="655"/>
      <c r="AO79" s="655"/>
      <c r="AP79" s="655"/>
      <c r="AQ79" s="655"/>
      <c r="AR79" s="655"/>
      <c r="AS79" s="655"/>
      <c r="AT79" s="655"/>
      <c r="AU79" s="655"/>
      <c r="AV79" s="655"/>
      <c r="AW79" s="655"/>
      <c r="AX79" s="655"/>
      <c r="AY79" s="655"/>
      <c r="AZ79" s="655"/>
      <c r="BA79" s="655"/>
      <c r="BB79" s="655"/>
      <c r="BC79" s="655"/>
      <c r="BD79" s="655"/>
      <c r="BE79" s="655"/>
      <c r="BF79" s="655"/>
      <c r="BG79" s="655"/>
      <c r="BH79" s="655"/>
      <c r="BI79" s="655"/>
      <c r="BJ79" s="655"/>
      <c r="BK79" s="655"/>
      <c r="BL79" s="655"/>
      <c r="BM79" s="655"/>
      <c r="BN79" s="655"/>
      <c r="BO79" s="657"/>
      <c r="BQ79" s="732"/>
      <c r="BR79" s="732"/>
      <c r="BS79" s="732"/>
      <c r="BT79" s="732"/>
      <c r="BU79" s="732"/>
      <c r="BV79" s="732"/>
      <c r="BW79" s="732"/>
      <c r="BX79" s="732"/>
      <c r="BY79" s="1193" t="s">
        <v>122</v>
      </c>
      <c r="BZ79" s="1193"/>
      <c r="CA79" s="1193"/>
      <c r="CB79" s="1194" t="s">
        <v>123</v>
      </c>
      <c r="CC79" s="1195"/>
      <c r="CD79" s="63"/>
      <c r="CE79" s="1198" t="s">
        <v>124</v>
      </c>
      <c r="CF79" s="1199"/>
      <c r="CG79" s="63"/>
      <c r="CH79" s="1185" t="s">
        <v>125</v>
      </c>
    </row>
    <row r="80" spans="2:86" ht="18" outlineLevel="1">
      <c r="B80" s="1184"/>
      <c r="C80" s="1186"/>
      <c r="D80" s="1186"/>
      <c r="E80" s="1186"/>
      <c r="F80" s="1188"/>
      <c r="G80" s="1186"/>
      <c r="H80" s="1186"/>
      <c r="I80" s="1186"/>
      <c r="J80" s="656"/>
      <c r="K80" s="656"/>
      <c r="L80" s="656"/>
      <c r="M80" s="1191"/>
      <c r="N80" s="1186"/>
      <c r="O80" s="1186"/>
      <c r="P80" s="656"/>
      <c r="Q80" s="656"/>
      <c r="R80" s="656"/>
      <c r="S80" s="656"/>
      <c r="T80" s="656"/>
      <c r="U80" s="656"/>
      <c r="V80" s="656"/>
      <c r="W80" s="1191"/>
      <c r="X80" s="1218"/>
      <c r="Y80" s="656"/>
      <c r="Z80" s="656"/>
      <c r="AA80" s="656"/>
      <c r="AB80" s="656"/>
      <c r="AC80" s="656"/>
      <c r="AD80" s="656"/>
      <c r="AE80" s="656"/>
      <c r="AF80" s="656"/>
      <c r="AG80" s="656"/>
      <c r="AH80" s="656"/>
      <c r="AI80" s="656"/>
      <c r="AJ80" s="656"/>
      <c r="AK80" s="656"/>
      <c r="AL80" s="656"/>
      <c r="AM80" s="656"/>
      <c r="AN80" s="656"/>
      <c r="AO80" s="656"/>
      <c r="AP80" s="656"/>
      <c r="AQ80" s="656"/>
      <c r="AR80" s="656"/>
      <c r="AS80" s="656"/>
      <c r="AT80" s="656"/>
      <c r="AU80" s="656"/>
      <c r="AV80" s="656"/>
      <c r="AW80" s="656"/>
      <c r="AX80" s="656"/>
      <c r="AY80" s="656"/>
      <c r="AZ80" s="656"/>
      <c r="BA80" s="656"/>
      <c r="BB80" s="656"/>
      <c r="BC80" s="656"/>
      <c r="BD80" s="656"/>
      <c r="BE80" s="656"/>
      <c r="BF80" s="656"/>
      <c r="BG80" s="656"/>
      <c r="BH80" s="656"/>
      <c r="BI80" s="656"/>
      <c r="BJ80" s="656"/>
      <c r="BK80" s="656"/>
      <c r="BL80" s="656"/>
      <c r="BM80" s="656"/>
      <c r="BN80" s="656"/>
      <c r="BO80" s="79"/>
      <c r="BQ80" s="1325"/>
      <c r="BR80" s="712"/>
      <c r="BS80" s="712"/>
      <c r="BT80" s="712"/>
      <c r="BU80" s="712"/>
      <c r="BV80" s="712"/>
      <c r="BW80" s="712"/>
      <c r="BX80" s="712"/>
      <c r="BY80" s="718" t="s">
        <v>106</v>
      </c>
      <c r="BZ80" s="58" t="s">
        <v>107</v>
      </c>
      <c r="CA80" s="720" t="s">
        <v>108</v>
      </c>
      <c r="CB80" s="1196"/>
      <c r="CC80" s="1197"/>
      <c r="CD80" s="63"/>
      <c r="CE80" s="1200"/>
      <c r="CF80" s="1201"/>
      <c r="CG80" s="63"/>
      <c r="CH80" s="1186"/>
    </row>
    <row r="81" spans="2:86" ht="18.75" outlineLevel="1" thickBot="1">
      <c r="B81" s="65"/>
      <c r="C81" s="66"/>
      <c r="D81" s="661" t="s">
        <v>6306</v>
      </c>
      <c r="E81" s="661" t="s">
        <v>6306</v>
      </c>
      <c r="F81" s="661"/>
      <c r="G81" s="661" t="s">
        <v>6306</v>
      </c>
      <c r="H81" s="661" t="s">
        <v>6306</v>
      </c>
      <c r="I81" s="661" t="s">
        <v>6306</v>
      </c>
      <c r="J81" s="64"/>
      <c r="K81" s="64"/>
      <c r="L81" s="64"/>
      <c r="M81" s="64" t="s">
        <v>119</v>
      </c>
      <c r="N81" s="64" t="s">
        <v>1425</v>
      </c>
      <c r="O81" s="64" t="s">
        <v>1426</v>
      </c>
      <c r="P81" s="64"/>
      <c r="Q81" s="64"/>
      <c r="R81" s="64"/>
      <c r="S81" s="64"/>
      <c r="T81" s="64"/>
      <c r="U81" s="64"/>
      <c r="V81" s="64"/>
      <c r="W81" s="1174" t="s">
        <v>120</v>
      </c>
      <c r="X81" s="1213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6"/>
      <c r="BQ81" s="66"/>
      <c r="BR81" s="713"/>
      <c r="BS81" s="713"/>
      <c r="BT81" s="713"/>
      <c r="BU81" s="713"/>
      <c r="BV81" s="713"/>
      <c r="BW81" s="713"/>
      <c r="BX81" s="713"/>
      <c r="BY81" s="713" t="s">
        <v>109</v>
      </c>
      <c r="BZ81" s="66" t="s">
        <v>109</v>
      </c>
      <c r="CA81" s="64" t="s">
        <v>109</v>
      </c>
      <c r="CB81" s="66" t="s">
        <v>109</v>
      </c>
      <c r="CC81" s="721" t="s">
        <v>110</v>
      </c>
      <c r="CD81" s="63"/>
      <c r="CE81" s="724" t="s">
        <v>111</v>
      </c>
      <c r="CF81" s="725" t="s">
        <v>112</v>
      </c>
      <c r="CG81" s="63"/>
      <c r="CH81" s="66" t="s">
        <v>114</v>
      </c>
    </row>
    <row r="82" spans="2:86" outlineLevel="1">
      <c r="B82" s="69" t="s">
        <v>6456</v>
      </c>
      <c r="C82" s="80"/>
      <c r="D82" s="716"/>
      <c r="E82" s="662"/>
      <c r="F82" s="69" t="str">
        <f>IF(E82=0,"",MONTH(E82))</f>
        <v/>
      </c>
      <c r="G82" s="80"/>
      <c r="H82" s="80"/>
      <c r="I82" s="648"/>
      <c r="J82" s="69"/>
      <c r="K82" s="69"/>
      <c r="L82" s="69"/>
      <c r="M82" s="67"/>
      <c r="N82" s="667"/>
      <c r="O82" s="80"/>
      <c r="P82" s="69"/>
      <c r="Q82" s="69"/>
      <c r="R82" s="69"/>
      <c r="S82" s="69"/>
      <c r="T82" s="69"/>
      <c r="U82" s="69"/>
      <c r="V82" s="69"/>
      <c r="W82" s="69">
        <f t="shared" ref="W82:W91" si="18">N82*O82/100</f>
        <v>0</v>
      </c>
      <c r="X82" s="495" t="str">
        <f>IFERROR(VLOOKUP(M82,FÉ!$B$41:$L$59,5,FALSE),"")</f>
        <v/>
      </c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Q82" s="69"/>
      <c r="BR82" s="719"/>
      <c r="BS82" s="719"/>
      <c r="BT82" s="719"/>
      <c r="BU82" s="719"/>
      <c r="BV82" s="719"/>
      <c r="BW82" s="719"/>
      <c r="BX82" s="719"/>
      <c r="BY82" s="719">
        <f>IF($M82=0, ,VLOOKUP($M82,FÉ!$B$41:$L$59,8,FALSE)*$W82*PRP!$J$8)</f>
        <v>0</v>
      </c>
      <c r="BZ82" s="69">
        <f>IF($M82=0, ,VLOOKUP($M82,FÉ!$B$41:$L$59,9,FALSE)*$W82*PRP!$J$9)</f>
        <v>0</v>
      </c>
      <c r="CA82" s="700">
        <f>IF($M82=0, ,VLOOKUP($M82,FÉ!$B$41:$L$59,10,FALSE)*$W82*PRP!$J$10)</f>
        <v>0</v>
      </c>
      <c r="CB82" s="69">
        <f>SUM(BY82:CA82)</f>
        <v>0</v>
      </c>
      <c r="CC82" s="722">
        <f>CB82/(10^6)</f>
        <v>0</v>
      </c>
      <c r="CD82" s="63"/>
      <c r="CE82" s="726"/>
      <c r="CF82" s="727"/>
      <c r="CG82" s="63"/>
      <c r="CH82" s="730">
        <f>IF($M82=0, ,VLOOKUP($M82,FÉ!$B$41:$K$59,7,FALSE))*W82</f>
        <v>0</v>
      </c>
    </row>
    <row r="83" spans="2:86" outlineLevel="1">
      <c r="B83" s="69" t="str">
        <f t="shared" ref="B83:B91" si="19">B82</f>
        <v>1.2A3</v>
      </c>
      <c r="C83" s="80"/>
      <c r="D83" s="80"/>
      <c r="E83" s="663">
        <v>45752</v>
      </c>
      <c r="F83" s="69">
        <f t="shared" ref="F83:F91" si="20">IF(E83=0,"",MONTH(E83))</f>
        <v>4</v>
      </c>
      <c r="G83" s="80" t="s">
        <v>141</v>
      </c>
      <c r="H83" s="80"/>
      <c r="I83" s="648"/>
      <c r="J83" s="69"/>
      <c r="K83" s="69"/>
      <c r="L83" s="69"/>
      <c r="M83" s="67" t="s">
        <v>1418</v>
      </c>
      <c r="N83" s="667">
        <v>15000</v>
      </c>
      <c r="O83" s="80">
        <v>1.46</v>
      </c>
      <c r="P83" s="69"/>
      <c r="Q83" s="69"/>
      <c r="R83" s="69"/>
      <c r="S83" s="69"/>
      <c r="T83" s="69"/>
      <c r="U83" s="69"/>
      <c r="V83" s="69"/>
      <c r="W83" s="69">
        <f t="shared" si="18"/>
        <v>219</v>
      </c>
      <c r="X83" s="495" t="str">
        <f>IFERROR(VLOOKUP(M83,FÉ!$B$41:$L$59,5,FALSE),"")</f>
        <v>L</v>
      </c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Q83" s="69"/>
      <c r="BR83" s="719"/>
      <c r="BS83" s="719"/>
      <c r="BT83" s="719"/>
      <c r="BU83" s="719"/>
      <c r="BV83" s="719"/>
      <c r="BW83" s="719"/>
      <c r="BX83" s="719"/>
      <c r="BY83" s="719">
        <f>IF($M83=0, ,VLOOKUP($M83,FÉ!$B$41:$L$59,8,FALSE)*$W83*PRP!$J$8)</f>
        <v>505298.7</v>
      </c>
      <c r="BZ83" s="69">
        <f>IF($M83=0, ,VLOOKUP($M83,FÉ!$B$41:$L$59,9,FALSE)*$W83*PRP!$J$9)</f>
        <v>724.40820000000008</v>
      </c>
      <c r="CA83" s="700">
        <f>IF($M83=0, ,VLOOKUP($M83,FÉ!$B$41:$L$59,10,FALSE)*$W83*PRP!$J$10)</f>
        <v>418.50900000000001</v>
      </c>
      <c r="CB83" s="69">
        <f>SUM(BY83:CA83)</f>
        <v>506441.61720000004</v>
      </c>
      <c r="CC83" s="722">
        <f>CB83/(10^6)</f>
        <v>0.50644161720000003</v>
      </c>
      <c r="CD83" s="63"/>
      <c r="CE83" s="726"/>
      <c r="CF83" s="727"/>
      <c r="CG83" s="63"/>
      <c r="CH83" s="730">
        <f>IF($M83=0, ,VLOOKUP($M83,FÉ!$B$41:$K$59,7,FALSE))*W83</f>
        <v>2122.1099999999997</v>
      </c>
    </row>
    <row r="84" spans="2:86" outlineLevel="1">
      <c r="B84" s="69" t="str">
        <f t="shared" si="19"/>
        <v>1.2A3</v>
      </c>
      <c r="C84" s="80"/>
      <c r="D84" s="80"/>
      <c r="E84" s="663"/>
      <c r="F84" s="69" t="str">
        <f t="shared" si="20"/>
        <v/>
      </c>
      <c r="G84" s="80" t="s">
        <v>139</v>
      </c>
      <c r="H84" s="80"/>
      <c r="I84" s="648"/>
      <c r="J84" s="69"/>
      <c r="K84" s="69"/>
      <c r="L84" s="69"/>
      <c r="M84" s="67" t="s">
        <v>1419</v>
      </c>
      <c r="N84" s="667">
        <v>25000</v>
      </c>
      <c r="O84" s="80">
        <v>1.52</v>
      </c>
      <c r="P84" s="69"/>
      <c r="Q84" s="69"/>
      <c r="R84" s="69"/>
      <c r="S84" s="69"/>
      <c r="T84" s="69"/>
      <c r="U84" s="69"/>
      <c r="V84" s="69"/>
      <c r="W84" s="69">
        <f t="shared" si="18"/>
        <v>380</v>
      </c>
      <c r="X84" s="495" t="str">
        <f>IFERROR(VLOOKUP(M84,FÉ!$B$41:$L$59,5,FALSE),"")</f>
        <v>lbs</v>
      </c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Q84" s="69"/>
      <c r="BR84" s="719"/>
      <c r="BS84" s="719"/>
      <c r="BT84" s="719"/>
      <c r="BU84" s="719"/>
      <c r="BV84" s="719"/>
      <c r="BW84" s="719"/>
      <c r="BX84" s="719"/>
      <c r="BY84" s="719">
        <f>IF($M84=0, ,VLOOKUP($M84,FÉ!$B$41:$L$59,8,FALSE)*$W84*PRP!$J$8)</f>
        <v>522266.87592419563</v>
      </c>
      <c r="BZ84" s="69">
        <f>IF($M84=0, ,VLOOKUP($M84,FÉ!$B$41:$L$59,9,FALSE)*$W84*PRP!$J$9)</f>
        <v>6574.7022162549574</v>
      </c>
      <c r="CA84" s="700">
        <f>IF($M84=0, ,VLOOKUP($M84,FÉ!$B$41:$L$59,10,FALSE)*$W84*PRP!$J$10)</f>
        <v>2635.1207917917827</v>
      </c>
      <c r="CB84" s="69">
        <f t="shared" ref="CB84:CB91" si="21">SUM(BY84:CA84)</f>
        <v>531476.69893224246</v>
      </c>
      <c r="CC84" s="722">
        <f t="shared" ref="CC84:CC91" si="22">CB84/(10^6)</f>
        <v>0.53147669893224248</v>
      </c>
      <c r="CD84" s="63"/>
      <c r="CE84" s="726"/>
      <c r="CF84" s="727"/>
      <c r="CG84" s="63"/>
      <c r="CH84" s="730">
        <f>IF($M84=0, ,VLOOKUP($M84,FÉ!$B$41:$K$59,7,FALSE))*W84</f>
        <v>2423.4561965327362</v>
      </c>
    </row>
    <row r="85" spans="2:86" outlineLevel="1">
      <c r="B85" s="69" t="str">
        <f t="shared" si="19"/>
        <v>1.2A3</v>
      </c>
      <c r="C85" s="80"/>
      <c r="D85" s="80"/>
      <c r="E85" s="663"/>
      <c r="F85" s="69" t="str">
        <f t="shared" si="20"/>
        <v/>
      </c>
      <c r="G85" s="80"/>
      <c r="H85" s="80"/>
      <c r="I85" s="648"/>
      <c r="J85" s="69"/>
      <c r="K85" s="69"/>
      <c r="L85" s="69"/>
      <c r="M85" s="67"/>
      <c r="N85" s="667"/>
      <c r="O85" s="80"/>
      <c r="P85" s="69"/>
      <c r="Q85" s="69"/>
      <c r="R85" s="69"/>
      <c r="S85" s="69"/>
      <c r="T85" s="69"/>
      <c r="U85" s="69"/>
      <c r="V85" s="69"/>
      <c r="W85" s="69">
        <f t="shared" si="18"/>
        <v>0</v>
      </c>
      <c r="X85" s="495" t="str">
        <f>IFERROR(VLOOKUP(M85,FÉ!$B$41:$L$59,5,FALSE),"")</f>
        <v/>
      </c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Q85" s="69"/>
      <c r="BR85" s="719"/>
      <c r="BS85" s="719"/>
      <c r="BT85" s="719"/>
      <c r="BU85" s="719"/>
      <c r="BV85" s="719"/>
      <c r="BW85" s="719"/>
      <c r="BX85" s="719"/>
      <c r="BY85" s="719">
        <f>IF($M85=0, ,VLOOKUP($M85,FÉ!$B$41:$L$59,8,FALSE)*$W85*PRP!$J$8)</f>
        <v>0</v>
      </c>
      <c r="BZ85" s="69">
        <f>IF($M85=0, ,VLOOKUP($M85,FÉ!$B$41:$L$59,9,FALSE)*$W85*PRP!$J$9)</f>
        <v>0</v>
      </c>
      <c r="CA85" s="700">
        <f>IF($M85=0, ,VLOOKUP($M85,FÉ!$B$41:$L$59,10,FALSE)*$W85*PRP!$J$10)</f>
        <v>0</v>
      </c>
      <c r="CB85" s="69">
        <f t="shared" si="21"/>
        <v>0</v>
      </c>
      <c r="CC85" s="722">
        <f t="shared" si="22"/>
        <v>0</v>
      </c>
      <c r="CD85" s="63"/>
      <c r="CE85" s="726"/>
      <c r="CF85" s="727"/>
      <c r="CG85" s="63"/>
      <c r="CH85" s="730">
        <f>IF($M85=0, ,VLOOKUP($M85,FÉ!$B$41:$K$59,7,FALSE))*W85</f>
        <v>0</v>
      </c>
    </row>
    <row r="86" spans="2:86" outlineLevel="1">
      <c r="B86" s="69" t="str">
        <f t="shared" si="19"/>
        <v>1.2A3</v>
      </c>
      <c r="C86" s="80"/>
      <c r="D86" s="80"/>
      <c r="E86" s="663"/>
      <c r="F86" s="69" t="str">
        <f t="shared" si="20"/>
        <v/>
      </c>
      <c r="G86" s="80"/>
      <c r="H86" s="80"/>
      <c r="I86" s="648"/>
      <c r="J86" s="69"/>
      <c r="K86" s="69"/>
      <c r="L86" s="69"/>
      <c r="M86" s="67"/>
      <c r="N86" s="667"/>
      <c r="O86" s="80"/>
      <c r="P86" s="69"/>
      <c r="Q86" s="69"/>
      <c r="R86" s="69"/>
      <c r="S86" s="69"/>
      <c r="T86" s="69"/>
      <c r="U86" s="69"/>
      <c r="V86" s="69"/>
      <c r="W86" s="69">
        <f t="shared" si="18"/>
        <v>0</v>
      </c>
      <c r="X86" s="495" t="str">
        <f>IFERROR(VLOOKUP(M86,FÉ!$B$41:$L$59,5,FALSE),"")</f>
        <v/>
      </c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Q86" s="69"/>
      <c r="BR86" s="719"/>
      <c r="BS86" s="719"/>
      <c r="BT86" s="719"/>
      <c r="BU86" s="719"/>
      <c r="BV86" s="719"/>
      <c r="BW86" s="719"/>
      <c r="BX86" s="719"/>
      <c r="BY86" s="719">
        <f>IF($M86=0, ,VLOOKUP($M86,FÉ!$B$41:$L$59,8,FALSE)*$W86*PRP!$J$8)</f>
        <v>0</v>
      </c>
      <c r="BZ86" s="69">
        <f>IF($M86=0, ,VLOOKUP($M86,FÉ!$B$41:$L$59,9,FALSE)*$W86*PRP!$J$9)</f>
        <v>0</v>
      </c>
      <c r="CA86" s="700">
        <f>IF($M86=0, ,VLOOKUP($M86,FÉ!$B$41:$L$59,10,FALSE)*$W86*PRP!$J$10)</f>
        <v>0</v>
      </c>
      <c r="CB86" s="69">
        <f t="shared" si="21"/>
        <v>0</v>
      </c>
      <c r="CC86" s="722">
        <f t="shared" si="22"/>
        <v>0</v>
      </c>
      <c r="CD86" s="63"/>
      <c r="CE86" s="726"/>
      <c r="CF86" s="727"/>
      <c r="CG86" s="63"/>
      <c r="CH86" s="730">
        <f>IF($M86=0, ,VLOOKUP($M86,FÉ!$B$41:$K$59,7,FALSE))*W86</f>
        <v>0</v>
      </c>
    </row>
    <row r="87" spans="2:86" outlineLevel="1">
      <c r="B87" s="69" t="str">
        <f t="shared" si="19"/>
        <v>1.2A3</v>
      </c>
      <c r="C87" s="80"/>
      <c r="D87" s="80"/>
      <c r="E87" s="663"/>
      <c r="F87" s="69" t="str">
        <f t="shared" si="20"/>
        <v/>
      </c>
      <c r="G87" s="80"/>
      <c r="H87" s="80"/>
      <c r="I87" s="648"/>
      <c r="J87" s="69"/>
      <c r="K87" s="69"/>
      <c r="L87" s="69"/>
      <c r="M87" s="67"/>
      <c r="N87" s="667"/>
      <c r="O87" s="80"/>
      <c r="P87" s="69"/>
      <c r="Q87" s="69"/>
      <c r="R87" s="69"/>
      <c r="S87" s="69"/>
      <c r="T87" s="69"/>
      <c r="U87" s="69"/>
      <c r="V87" s="69"/>
      <c r="W87" s="69">
        <f t="shared" si="18"/>
        <v>0</v>
      </c>
      <c r="X87" s="495" t="str">
        <f>IFERROR(VLOOKUP(M87,FÉ!$B$41:$L$59,5,FALSE),"")</f>
        <v/>
      </c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Q87" s="69"/>
      <c r="BR87" s="719"/>
      <c r="BS87" s="719"/>
      <c r="BT87" s="719"/>
      <c r="BU87" s="719"/>
      <c r="BV87" s="719"/>
      <c r="BW87" s="719"/>
      <c r="BX87" s="719"/>
      <c r="BY87" s="719">
        <f>IF($M87=0, ,VLOOKUP($M87,FÉ!$B$41:$L$59,8,FALSE)*$W87*PRP!$J$8)</f>
        <v>0</v>
      </c>
      <c r="BZ87" s="69">
        <f>IF($M87=0, ,VLOOKUP($M87,FÉ!$B$41:$L$59,9,FALSE)*$W87*PRP!$J$9)</f>
        <v>0</v>
      </c>
      <c r="CA87" s="700">
        <f>IF($M87=0, ,VLOOKUP($M87,FÉ!$B$41:$L$59,10,FALSE)*$W87*PRP!$J$10)</f>
        <v>0</v>
      </c>
      <c r="CB87" s="69">
        <f t="shared" si="21"/>
        <v>0</v>
      </c>
      <c r="CC87" s="722">
        <f t="shared" si="22"/>
        <v>0</v>
      </c>
      <c r="CD87" s="63"/>
      <c r="CE87" s="726"/>
      <c r="CF87" s="727"/>
      <c r="CG87" s="63"/>
      <c r="CH87" s="730">
        <f>IF($M87=0, ,VLOOKUP($M87,FÉ!$B$41:$K$59,7,FALSE))*W87</f>
        <v>0</v>
      </c>
    </row>
    <row r="88" spans="2:86" outlineLevel="1">
      <c r="B88" s="69" t="str">
        <f t="shared" si="19"/>
        <v>1.2A3</v>
      </c>
      <c r="C88" s="80"/>
      <c r="D88" s="80"/>
      <c r="E88" s="663"/>
      <c r="F88" s="69" t="str">
        <f t="shared" si="20"/>
        <v/>
      </c>
      <c r="G88" s="80"/>
      <c r="H88" s="80"/>
      <c r="I88" s="648"/>
      <c r="J88" s="69"/>
      <c r="K88" s="69"/>
      <c r="L88" s="69"/>
      <c r="M88" s="67"/>
      <c r="N88" s="667"/>
      <c r="O88" s="80"/>
      <c r="P88" s="69"/>
      <c r="Q88" s="69"/>
      <c r="R88" s="69"/>
      <c r="S88" s="69"/>
      <c r="T88" s="69"/>
      <c r="U88" s="69"/>
      <c r="V88" s="69"/>
      <c r="W88" s="69">
        <f t="shared" si="18"/>
        <v>0</v>
      </c>
      <c r="X88" s="495" t="str">
        <f>IFERROR(VLOOKUP(M88,FÉ!$B$41:$L$59,5,FALSE),"")</f>
        <v/>
      </c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Q88" s="69"/>
      <c r="BR88" s="719"/>
      <c r="BS88" s="719"/>
      <c r="BT88" s="719"/>
      <c r="BU88" s="719"/>
      <c r="BV88" s="719"/>
      <c r="BW88" s="719"/>
      <c r="BX88" s="719"/>
      <c r="BY88" s="719">
        <f>IF($M88=0, ,VLOOKUP($M88,FÉ!$B$41:$L$59,8,FALSE)*$W88*PRP!$J$8)</f>
        <v>0</v>
      </c>
      <c r="BZ88" s="69">
        <f>IF($M88=0, ,VLOOKUP($M88,FÉ!$B$41:$L$59,9,FALSE)*$W88*PRP!$J$9)</f>
        <v>0</v>
      </c>
      <c r="CA88" s="700">
        <f>IF($M88=0, ,VLOOKUP($M88,FÉ!$B$41:$L$59,10,FALSE)*$W88*PRP!$J$10)</f>
        <v>0</v>
      </c>
      <c r="CB88" s="69">
        <f t="shared" si="21"/>
        <v>0</v>
      </c>
      <c r="CC88" s="722">
        <f t="shared" si="22"/>
        <v>0</v>
      </c>
      <c r="CD88" s="63"/>
      <c r="CE88" s="726"/>
      <c r="CF88" s="727"/>
      <c r="CG88" s="63"/>
      <c r="CH88" s="730">
        <f>IF($M88=0, ,VLOOKUP($M88,FÉ!$B$41:$K$59,7,FALSE))*W88</f>
        <v>0</v>
      </c>
    </row>
    <row r="89" spans="2:86" outlineLevel="1">
      <c r="B89" s="69" t="str">
        <f t="shared" si="19"/>
        <v>1.2A3</v>
      </c>
      <c r="C89" s="80"/>
      <c r="D89" s="80"/>
      <c r="E89" s="663"/>
      <c r="F89" s="69" t="str">
        <f t="shared" si="20"/>
        <v/>
      </c>
      <c r="G89" s="80"/>
      <c r="H89" s="80"/>
      <c r="I89" s="648"/>
      <c r="J89" s="69"/>
      <c r="K89" s="69"/>
      <c r="L89" s="69"/>
      <c r="M89" s="67"/>
      <c r="N89" s="667"/>
      <c r="O89" s="80"/>
      <c r="P89" s="69"/>
      <c r="Q89" s="69"/>
      <c r="R89" s="69"/>
      <c r="S89" s="69"/>
      <c r="T89" s="69"/>
      <c r="U89" s="69"/>
      <c r="V89" s="69"/>
      <c r="W89" s="69">
        <f t="shared" si="18"/>
        <v>0</v>
      </c>
      <c r="X89" s="495" t="str">
        <f>IFERROR(VLOOKUP(M89,FÉ!$B$41:$L$59,5,FALSE),"")</f>
        <v/>
      </c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Q89" s="69"/>
      <c r="BR89" s="719"/>
      <c r="BS89" s="719"/>
      <c r="BT89" s="719"/>
      <c r="BU89" s="719"/>
      <c r="BV89" s="719"/>
      <c r="BW89" s="719"/>
      <c r="BX89" s="719"/>
      <c r="BY89" s="719">
        <f>IF($M89=0, ,VLOOKUP($M89,FÉ!$B$41:$L$59,8,FALSE)*$W89*PRP!$J$8)</f>
        <v>0</v>
      </c>
      <c r="BZ89" s="69">
        <f>IF($M89=0, ,VLOOKUP($M89,FÉ!$B$41:$L$59,9,FALSE)*$W89*PRP!$J$9)</f>
        <v>0</v>
      </c>
      <c r="CA89" s="700">
        <f>IF($M89=0, ,VLOOKUP($M89,FÉ!$B$41:$L$59,10,FALSE)*$W89*PRP!$J$10)</f>
        <v>0</v>
      </c>
      <c r="CB89" s="69">
        <f t="shared" si="21"/>
        <v>0</v>
      </c>
      <c r="CC89" s="722">
        <f t="shared" si="22"/>
        <v>0</v>
      </c>
      <c r="CD89" s="63"/>
      <c r="CE89" s="726"/>
      <c r="CF89" s="727"/>
      <c r="CG89" s="63"/>
      <c r="CH89" s="730">
        <f>IF($M89=0, ,VLOOKUP($M89,FÉ!$B$41:$K$59,7,FALSE))*W89</f>
        <v>0</v>
      </c>
    </row>
    <row r="90" spans="2:86" outlineLevel="1">
      <c r="B90" s="69" t="str">
        <f t="shared" si="19"/>
        <v>1.2A3</v>
      </c>
      <c r="C90" s="80"/>
      <c r="D90" s="80"/>
      <c r="E90" s="663"/>
      <c r="F90" s="69" t="str">
        <f t="shared" si="20"/>
        <v/>
      </c>
      <c r="G90" s="80"/>
      <c r="H90" s="80"/>
      <c r="I90" s="648"/>
      <c r="J90" s="69"/>
      <c r="K90" s="69"/>
      <c r="L90" s="69"/>
      <c r="M90" s="67"/>
      <c r="N90" s="667"/>
      <c r="O90" s="80"/>
      <c r="P90" s="69"/>
      <c r="Q90" s="69"/>
      <c r="R90" s="69"/>
      <c r="S90" s="69"/>
      <c r="T90" s="69"/>
      <c r="U90" s="69"/>
      <c r="V90" s="69"/>
      <c r="W90" s="69">
        <f t="shared" si="18"/>
        <v>0</v>
      </c>
      <c r="X90" s="495" t="str">
        <f>IFERROR(VLOOKUP(M90,FÉ!$B$41:$L$59,5,FALSE),"")</f>
        <v/>
      </c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Q90" s="69"/>
      <c r="BR90" s="719"/>
      <c r="BS90" s="719"/>
      <c r="BT90" s="719"/>
      <c r="BU90" s="719"/>
      <c r="BV90" s="719"/>
      <c r="BW90" s="719"/>
      <c r="BX90" s="719"/>
      <c r="BY90" s="719">
        <f>IF($M90=0, ,VLOOKUP($M90,FÉ!$B$41:$L$59,8,FALSE)*$W90*PRP!$J$8)</f>
        <v>0</v>
      </c>
      <c r="BZ90" s="69">
        <f>IF($M90=0, ,VLOOKUP($M90,FÉ!$B$41:$L$59,9,FALSE)*$W90*PRP!$J$9)</f>
        <v>0</v>
      </c>
      <c r="CA90" s="700">
        <f>IF($M90=0, ,VLOOKUP($M90,FÉ!$B$41:$L$59,10,FALSE)*$W90*PRP!$J$10)</f>
        <v>0</v>
      </c>
      <c r="CB90" s="69">
        <f t="shared" si="21"/>
        <v>0</v>
      </c>
      <c r="CC90" s="722">
        <f t="shared" si="22"/>
        <v>0</v>
      </c>
      <c r="CD90" s="63"/>
      <c r="CE90" s="726"/>
      <c r="CF90" s="727"/>
      <c r="CG90" s="63"/>
      <c r="CH90" s="730">
        <f>IF($M90=0, ,VLOOKUP($M90,FÉ!$B$41:$K$59,7,FALSE))*W90</f>
        <v>0</v>
      </c>
    </row>
    <row r="91" spans="2:86" ht="15.75" outlineLevel="1" thickBot="1">
      <c r="B91" s="69" t="str">
        <f t="shared" si="19"/>
        <v>1.2A3</v>
      </c>
      <c r="C91" s="80"/>
      <c r="D91" s="717"/>
      <c r="E91" s="663"/>
      <c r="F91" s="69" t="str">
        <f t="shared" si="20"/>
        <v/>
      </c>
      <c r="G91" s="80"/>
      <c r="H91" s="80"/>
      <c r="I91" s="648"/>
      <c r="J91" s="69"/>
      <c r="K91" s="69"/>
      <c r="L91" s="69"/>
      <c r="M91" s="67"/>
      <c r="N91" s="667"/>
      <c r="O91" s="80"/>
      <c r="P91" s="69"/>
      <c r="Q91" s="69"/>
      <c r="R91" s="69"/>
      <c r="S91" s="69"/>
      <c r="T91" s="69"/>
      <c r="U91" s="69"/>
      <c r="V91" s="69"/>
      <c r="W91" s="69">
        <f t="shared" si="18"/>
        <v>0</v>
      </c>
      <c r="X91" s="495" t="str">
        <f>IFERROR(VLOOKUP(M91,FÉ!$B$41:$L$59,5,FALSE),"")</f>
        <v/>
      </c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Q91" s="69"/>
      <c r="BR91" s="719"/>
      <c r="BS91" s="719"/>
      <c r="BT91" s="719"/>
      <c r="BU91" s="719"/>
      <c r="BV91" s="719"/>
      <c r="BW91" s="719"/>
      <c r="BX91" s="719"/>
      <c r="BY91" s="719">
        <f>IF($M91=0, ,VLOOKUP($M91,FÉ!$B$41:$L$59,8,FALSE)*$W91*PRP!$J$8)</f>
        <v>0</v>
      </c>
      <c r="BZ91" s="69">
        <f>IF($M91=0, ,VLOOKUP($M91,FÉ!$B$41:$L$59,9,FALSE)*$W91*PRP!$J$9)</f>
        <v>0</v>
      </c>
      <c r="CA91" s="700">
        <f>IF($M91=0, ,VLOOKUP($M91,FÉ!$B$41:$L$59,10,FALSE)*$W91*PRP!$J$10)</f>
        <v>0</v>
      </c>
      <c r="CB91" s="647">
        <f t="shared" si="21"/>
        <v>0</v>
      </c>
      <c r="CC91" s="723">
        <f t="shared" si="22"/>
        <v>0</v>
      </c>
      <c r="CD91" s="63"/>
      <c r="CE91" s="728"/>
      <c r="CF91" s="729"/>
      <c r="CG91" s="63"/>
      <c r="CH91" s="731">
        <f>IF($M91=0, ,VLOOKUP($M91,FÉ!$B$41:$K$59,7,FALSE))*W91</f>
        <v>0</v>
      </c>
    </row>
    <row r="92" spans="2:86" ht="15.75" outlineLevel="1" thickBot="1">
      <c r="B92" s="72"/>
      <c r="C92" s="78"/>
      <c r="D92" s="78"/>
      <c r="E92" s="707"/>
      <c r="F92" s="750" t="str">
        <f>$B82</f>
        <v>1.2A3</v>
      </c>
      <c r="G92" s="750" t="str">
        <f>$B82</f>
        <v>1.2A3</v>
      </c>
      <c r="H92" s="750" t="str">
        <f>$B82</f>
        <v>1.2A3</v>
      </c>
      <c r="I92" s="707"/>
      <c r="J92" s="73"/>
      <c r="K92" s="73"/>
      <c r="L92" s="73"/>
      <c r="M92" s="73"/>
      <c r="N92" s="666">
        <f>SUM(N82:N91)</f>
        <v>40000</v>
      </c>
      <c r="O92" s="73"/>
      <c r="P92" s="73"/>
      <c r="Q92" s="73"/>
      <c r="R92" s="73"/>
      <c r="S92" s="73"/>
      <c r="T92" s="73"/>
      <c r="U92" s="73"/>
      <c r="V92" s="73"/>
      <c r="W92" s="74">
        <f>SUM(W82:W91)</f>
        <v>599</v>
      </c>
      <c r="X92" s="698"/>
      <c r="Y92" s="699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Q92" s="70"/>
      <c r="BR92" s="70"/>
      <c r="BS92" s="70"/>
      <c r="BT92" s="70"/>
      <c r="BU92" s="70"/>
      <c r="BV92" s="70"/>
      <c r="BW92" s="70"/>
      <c r="BX92" s="70"/>
      <c r="BY92" s="70">
        <f>SUM(BY82:BY91)</f>
        <v>1027565.5759241956</v>
      </c>
      <c r="BZ92" s="70">
        <f>SUM(BZ82:BZ91)</f>
        <v>7299.1104162549573</v>
      </c>
      <c r="CA92" s="70">
        <f>SUM(CA82:CA91)</f>
        <v>3053.6297917917827</v>
      </c>
      <c r="CB92" s="70">
        <f>SUM(CB82:CB91)</f>
        <v>1037918.3161322426</v>
      </c>
      <c r="CC92" s="76">
        <f>SUM(CC82:CC91)</f>
        <v>1.0379183161322425</v>
      </c>
      <c r="CD92" s="63"/>
      <c r="CE92" s="77">
        <f>SUM(CE82:CE91)</f>
        <v>0</v>
      </c>
      <c r="CF92" s="76">
        <f>SUM(CF82:CF91)</f>
        <v>0</v>
      </c>
      <c r="CG92" s="63"/>
      <c r="CH92" s="664">
        <f>SUM(CH82:CH91)</f>
        <v>4545.5661965327363</v>
      </c>
    </row>
    <row r="94" spans="2:86" ht="31.5">
      <c r="B94" s="1224" t="s">
        <v>6475</v>
      </c>
      <c r="C94" s="1225"/>
      <c r="D94" s="1225"/>
      <c r="E94" s="1225"/>
      <c r="F94" s="1225"/>
      <c r="G94" s="1225"/>
      <c r="H94" s="1225"/>
      <c r="I94" s="1225"/>
      <c r="J94" s="1225"/>
      <c r="K94" s="1225"/>
      <c r="L94" s="1225"/>
      <c r="M94" s="1225"/>
      <c r="N94" s="1225"/>
      <c r="O94" s="1225"/>
      <c r="P94" s="1225"/>
      <c r="Q94" s="1225"/>
      <c r="R94" s="1225"/>
      <c r="S94" s="1225"/>
      <c r="T94" s="1225"/>
      <c r="U94" s="1225"/>
      <c r="V94" s="1225"/>
      <c r="W94" s="1225"/>
      <c r="X94" s="1225"/>
      <c r="Y94" s="1225"/>
      <c r="Z94" s="1225"/>
      <c r="AA94" s="1225"/>
      <c r="AB94" s="1225"/>
      <c r="AC94" s="1225"/>
      <c r="AD94" s="1225"/>
      <c r="AE94" s="1225"/>
      <c r="AF94" s="1225"/>
      <c r="AG94" s="1225"/>
      <c r="AH94" s="1225"/>
      <c r="AI94" s="1225"/>
      <c r="AJ94" s="1225"/>
      <c r="AK94" s="1225"/>
      <c r="AL94" s="1225"/>
      <c r="AM94" s="1225"/>
      <c r="AN94" s="1225"/>
      <c r="AO94" s="1225"/>
      <c r="AP94" s="1225"/>
      <c r="AQ94" s="1225"/>
      <c r="AR94" s="1225"/>
      <c r="AS94" s="1225"/>
      <c r="AT94" s="1225"/>
      <c r="AU94" s="1225"/>
      <c r="AV94" s="1225"/>
      <c r="AW94" s="1225"/>
      <c r="AX94" s="1225"/>
      <c r="AY94" s="1225"/>
      <c r="AZ94" s="1225"/>
      <c r="BA94" s="1225"/>
      <c r="BB94" s="1225"/>
      <c r="BC94" s="1225"/>
      <c r="BD94" s="1225"/>
      <c r="BE94" s="1225"/>
      <c r="BF94" s="1225"/>
      <c r="BG94" s="1225"/>
      <c r="BH94" s="1225"/>
      <c r="BI94" s="1225"/>
      <c r="BJ94" s="1225"/>
      <c r="BK94" s="1225"/>
      <c r="BL94" s="1225"/>
      <c r="BM94" s="1225"/>
      <c r="BN94" s="1225"/>
      <c r="BO94" s="1225"/>
      <c r="BP94" s="1225"/>
      <c r="BQ94" s="1225"/>
      <c r="BR94" s="1225"/>
      <c r="BS94" s="1225"/>
      <c r="BT94" s="1225"/>
      <c r="BU94" s="1225"/>
      <c r="BV94" s="1225"/>
      <c r="BW94" s="1225"/>
      <c r="BX94" s="1225"/>
      <c r="BY94" s="1225"/>
      <c r="BZ94" s="1225"/>
      <c r="CA94" s="1225"/>
      <c r="CB94" s="1225"/>
      <c r="CC94" s="1225"/>
      <c r="CD94" s="1225"/>
      <c r="CE94" s="1225"/>
      <c r="CF94" s="1225"/>
      <c r="CG94" s="1225"/>
      <c r="CH94" s="1225"/>
    </row>
    <row r="95" spans="2:86" ht="15.75" outlineLevel="1" thickBot="1">
      <c r="CH95" s="63"/>
    </row>
    <row r="96" spans="2:86" ht="21.75" outlineLevel="1" thickBot="1">
      <c r="B96" s="1228" t="s">
        <v>115</v>
      </c>
      <c r="C96" s="1229"/>
      <c r="D96" s="1229"/>
      <c r="E96" s="1229"/>
      <c r="F96" s="1229"/>
      <c r="G96" s="1229"/>
      <c r="H96" s="1229"/>
      <c r="I96" s="1229"/>
      <c r="J96" s="1229"/>
      <c r="K96" s="1229"/>
      <c r="L96" s="1229"/>
      <c r="M96" s="1229"/>
      <c r="N96" s="1229"/>
      <c r="O96" s="1229"/>
      <c r="P96" s="1229"/>
      <c r="Q96" s="1229"/>
      <c r="R96" s="1229"/>
      <c r="S96" s="1229"/>
      <c r="T96" s="1229"/>
      <c r="U96" s="1229"/>
      <c r="V96" s="1229"/>
      <c r="W96" s="1229"/>
      <c r="X96" s="1229"/>
      <c r="Y96" s="1229"/>
      <c r="Z96" s="1229"/>
      <c r="AA96" s="1229"/>
      <c r="AB96" s="1229"/>
      <c r="AC96" s="1229"/>
      <c r="AD96" s="1229"/>
      <c r="AE96" s="1229"/>
      <c r="AF96" s="1229"/>
      <c r="AG96" s="1229"/>
      <c r="AH96" s="1229"/>
      <c r="AI96" s="1229"/>
      <c r="AJ96" s="1229"/>
      <c r="AK96" s="1229"/>
      <c r="AL96" s="1229"/>
      <c r="AM96" s="1229"/>
      <c r="AN96" s="1229"/>
      <c r="AO96" s="1229"/>
      <c r="AP96" s="1229"/>
      <c r="AQ96" s="1229"/>
      <c r="AR96" s="1229"/>
      <c r="AS96" s="1229"/>
      <c r="AT96" s="1229"/>
      <c r="AU96" s="1229"/>
      <c r="AV96" s="1229"/>
      <c r="AW96" s="1229"/>
      <c r="AX96" s="1229"/>
      <c r="AY96" s="1229"/>
      <c r="AZ96" s="1229"/>
      <c r="BA96" s="1229"/>
      <c r="BB96" s="1229"/>
      <c r="BC96" s="1229"/>
      <c r="BD96" s="1229"/>
      <c r="BE96" s="1229"/>
      <c r="BF96" s="1229"/>
      <c r="BG96" s="1229"/>
      <c r="BH96" s="1229"/>
      <c r="BI96" s="1229"/>
      <c r="BJ96" s="1229"/>
      <c r="BK96" s="1229"/>
      <c r="BL96" s="1229"/>
      <c r="BM96" s="1229"/>
      <c r="BN96" s="1229"/>
      <c r="BO96" s="1229"/>
      <c r="BP96" s="63"/>
      <c r="BQ96" s="1221" t="s">
        <v>121</v>
      </c>
      <c r="BR96" s="1222"/>
      <c r="BS96" s="1222"/>
      <c r="BT96" s="1222"/>
      <c r="BU96" s="1222"/>
      <c r="BV96" s="1222"/>
      <c r="BW96" s="1222"/>
      <c r="BX96" s="1222"/>
      <c r="BY96" s="1222"/>
      <c r="BZ96" s="1222"/>
      <c r="CA96" s="1222"/>
      <c r="CB96" s="1222"/>
      <c r="CC96" s="1222"/>
      <c r="CD96" s="1222"/>
      <c r="CE96" s="1222"/>
      <c r="CF96" s="1222"/>
      <c r="CG96" s="1222"/>
      <c r="CH96" s="1223"/>
    </row>
    <row r="97" spans="2:86" ht="15" customHeight="1" outlineLevel="1">
      <c r="B97" s="1183" t="s">
        <v>6353</v>
      </c>
      <c r="C97" s="1185" t="s">
        <v>1417</v>
      </c>
      <c r="D97" s="1185" t="s">
        <v>7</v>
      </c>
      <c r="E97" s="1185" t="s">
        <v>127</v>
      </c>
      <c r="F97" s="1187" t="s">
        <v>6348</v>
      </c>
      <c r="G97" s="1185" t="s">
        <v>6333</v>
      </c>
      <c r="H97" s="1185" t="s">
        <v>128</v>
      </c>
      <c r="I97" s="1185" t="s">
        <v>156</v>
      </c>
      <c r="J97" s="655"/>
      <c r="K97" s="655"/>
      <c r="L97" s="655"/>
      <c r="M97" s="1185" t="s">
        <v>1416</v>
      </c>
      <c r="N97" s="655"/>
      <c r="O97" s="655"/>
      <c r="P97" s="1189" t="s">
        <v>1428</v>
      </c>
      <c r="Q97" s="1185" t="s">
        <v>1429</v>
      </c>
      <c r="R97" s="1185" t="s">
        <v>1430</v>
      </c>
      <c r="S97" s="657"/>
      <c r="T97" s="1185" t="s">
        <v>1420</v>
      </c>
      <c r="U97" s="1185" t="s">
        <v>25</v>
      </c>
      <c r="V97" s="1214" t="s">
        <v>1435</v>
      </c>
      <c r="W97" s="1215"/>
      <c r="X97" s="1216"/>
      <c r="Y97" s="1214" t="s">
        <v>745</v>
      </c>
      <c r="Z97" s="1215"/>
      <c r="AA97" s="1215"/>
      <c r="AB97" s="1215"/>
      <c r="AC97" s="655"/>
      <c r="AD97" s="655"/>
      <c r="AE97" s="655"/>
      <c r="AF97" s="655"/>
      <c r="AG97" s="655"/>
      <c r="AH97" s="655"/>
      <c r="AI97" s="655"/>
      <c r="AJ97" s="655"/>
      <c r="AK97" s="655"/>
      <c r="AL97" s="655"/>
      <c r="AM97" s="655"/>
      <c r="AN97" s="655"/>
      <c r="AO97" s="655"/>
      <c r="AP97" s="655"/>
      <c r="AQ97" s="655"/>
      <c r="AR97" s="655"/>
      <c r="AS97" s="655"/>
      <c r="AT97" s="655"/>
      <c r="AU97" s="655"/>
      <c r="AV97" s="655"/>
      <c r="AW97" s="655"/>
      <c r="AX97" s="655"/>
      <c r="AY97" s="655"/>
      <c r="AZ97" s="655"/>
      <c r="BA97" s="655"/>
      <c r="BB97" s="655"/>
      <c r="BC97" s="655"/>
      <c r="BD97" s="655"/>
      <c r="BE97" s="655"/>
      <c r="BF97" s="655"/>
      <c r="BG97" s="655"/>
      <c r="BH97" s="655"/>
      <c r="BI97" s="655"/>
      <c r="BJ97" s="655"/>
      <c r="BK97" s="655"/>
      <c r="BL97" s="655"/>
      <c r="BM97" s="655"/>
      <c r="BN97" s="655"/>
      <c r="BO97" s="657"/>
      <c r="BP97" s="63"/>
      <c r="BQ97" s="732"/>
      <c r="BR97" s="732"/>
      <c r="BS97" s="732"/>
      <c r="BT97" s="732"/>
      <c r="BU97" s="732"/>
      <c r="BV97" s="732"/>
      <c r="BW97" s="732"/>
      <c r="BX97" s="732"/>
      <c r="BY97" s="1193" t="s">
        <v>122</v>
      </c>
      <c r="BZ97" s="1193"/>
      <c r="CA97" s="1193"/>
      <c r="CB97" s="1194" t="s">
        <v>123</v>
      </c>
      <c r="CC97" s="1195"/>
      <c r="CD97" s="63"/>
      <c r="CE97" s="1198" t="s">
        <v>124</v>
      </c>
      <c r="CF97" s="1199"/>
      <c r="CG97" s="63"/>
      <c r="CH97" s="1185" t="s">
        <v>125</v>
      </c>
    </row>
    <row r="98" spans="2:86" ht="30" outlineLevel="1">
      <c r="B98" s="1184"/>
      <c r="C98" s="1186"/>
      <c r="D98" s="1186"/>
      <c r="E98" s="1186"/>
      <c r="F98" s="1188"/>
      <c r="G98" s="1186"/>
      <c r="H98" s="1186"/>
      <c r="I98" s="1186"/>
      <c r="J98" s="656"/>
      <c r="K98" s="656"/>
      <c r="L98" s="656"/>
      <c r="M98" s="1186"/>
      <c r="N98" s="656"/>
      <c r="O98" s="656"/>
      <c r="P98" s="1191"/>
      <c r="Q98" s="1186"/>
      <c r="R98" s="1186"/>
      <c r="S98" s="79"/>
      <c r="T98" s="1186"/>
      <c r="U98" s="1186"/>
      <c r="V98" s="79" t="s">
        <v>1421</v>
      </c>
      <c r="W98" s="1191" t="s">
        <v>1432</v>
      </c>
      <c r="X98" s="1192"/>
      <c r="Y98" s="79" t="s">
        <v>1434</v>
      </c>
      <c r="Z98" s="79" t="s">
        <v>1421</v>
      </c>
      <c r="AA98" s="1219" t="s">
        <v>1432</v>
      </c>
      <c r="AB98" s="1220"/>
      <c r="AC98" s="656"/>
      <c r="AD98" s="656"/>
      <c r="AE98" s="656"/>
      <c r="AF98" s="656"/>
      <c r="AG98" s="656"/>
      <c r="AH98" s="656"/>
      <c r="AI98" s="656"/>
      <c r="AJ98" s="656"/>
      <c r="AK98" s="656"/>
      <c r="AL98" s="656"/>
      <c r="AM98" s="656"/>
      <c r="AN98" s="656"/>
      <c r="AO98" s="656"/>
      <c r="AP98" s="656"/>
      <c r="AQ98" s="656"/>
      <c r="AR98" s="656"/>
      <c r="AS98" s="656"/>
      <c r="AT98" s="656"/>
      <c r="AU98" s="656"/>
      <c r="AV98" s="656"/>
      <c r="AW98" s="656"/>
      <c r="AX98" s="656"/>
      <c r="AY98" s="656"/>
      <c r="AZ98" s="656"/>
      <c r="BA98" s="656"/>
      <c r="BB98" s="656"/>
      <c r="BC98" s="656"/>
      <c r="BD98" s="656"/>
      <c r="BE98" s="656"/>
      <c r="BF98" s="656"/>
      <c r="BG98" s="656"/>
      <c r="BH98" s="656"/>
      <c r="BI98" s="656"/>
      <c r="BJ98" s="656"/>
      <c r="BK98" s="656"/>
      <c r="BL98" s="656"/>
      <c r="BM98" s="656"/>
      <c r="BN98" s="656"/>
      <c r="BO98" s="79"/>
      <c r="BP98" s="63"/>
      <c r="BQ98" s="1325"/>
      <c r="BR98" s="712"/>
      <c r="BS98" s="712"/>
      <c r="BT98" s="712"/>
      <c r="BU98" s="712"/>
      <c r="BV98" s="712"/>
      <c r="BW98" s="712"/>
      <c r="BX98" s="712"/>
      <c r="BY98" s="718" t="s">
        <v>106</v>
      </c>
      <c r="BZ98" s="58" t="s">
        <v>107</v>
      </c>
      <c r="CA98" s="720" t="s">
        <v>108</v>
      </c>
      <c r="CB98" s="1196"/>
      <c r="CC98" s="1197"/>
      <c r="CD98" s="63"/>
      <c r="CE98" s="1200"/>
      <c r="CF98" s="1201"/>
      <c r="CG98" s="63"/>
      <c r="CH98" s="1186"/>
    </row>
    <row r="99" spans="2:86" ht="18.75" outlineLevel="1" thickBot="1">
      <c r="B99" s="65"/>
      <c r="C99" s="66"/>
      <c r="D99" s="661" t="s">
        <v>6306</v>
      </c>
      <c r="E99" s="661" t="s">
        <v>6306</v>
      </c>
      <c r="F99" s="661"/>
      <c r="G99" s="661" t="s">
        <v>6306</v>
      </c>
      <c r="H99" s="661" t="s">
        <v>6306</v>
      </c>
      <c r="I99" s="661" t="s">
        <v>6306</v>
      </c>
      <c r="J99" s="64"/>
      <c r="K99" s="64"/>
      <c r="L99" s="64"/>
      <c r="M99" s="64"/>
      <c r="N99" s="64"/>
      <c r="O99" s="64"/>
      <c r="P99" s="64" t="s">
        <v>119</v>
      </c>
      <c r="Q99" s="64" t="s">
        <v>119</v>
      </c>
      <c r="R99" s="64" t="s">
        <v>119</v>
      </c>
      <c r="S99" s="64"/>
      <c r="T99" s="64" t="s">
        <v>285</v>
      </c>
      <c r="U99" s="64"/>
      <c r="V99" s="64" t="s">
        <v>1422</v>
      </c>
      <c r="W99" s="1174" t="s">
        <v>120</v>
      </c>
      <c r="X99" s="1175"/>
      <c r="Y99" s="64" t="s">
        <v>119</v>
      </c>
      <c r="Z99" s="64" t="s">
        <v>1433</v>
      </c>
      <c r="AA99" s="1174" t="s">
        <v>120</v>
      </c>
      <c r="AB99" s="1213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6"/>
      <c r="BP99" s="63"/>
      <c r="BQ99" s="66"/>
      <c r="BR99" s="713"/>
      <c r="BS99" s="713"/>
      <c r="BT99" s="713"/>
      <c r="BU99" s="713"/>
      <c r="BV99" s="713"/>
      <c r="BW99" s="713"/>
      <c r="BX99" s="713"/>
      <c r="BY99" s="713" t="s">
        <v>109</v>
      </c>
      <c r="BZ99" s="66" t="s">
        <v>109</v>
      </c>
      <c r="CA99" s="64" t="s">
        <v>109</v>
      </c>
      <c r="CB99" s="66" t="s">
        <v>109</v>
      </c>
      <c r="CC99" s="721" t="s">
        <v>110</v>
      </c>
      <c r="CD99" s="63"/>
      <c r="CE99" s="724" t="s">
        <v>111</v>
      </c>
      <c r="CF99" s="725" t="s">
        <v>112</v>
      </c>
      <c r="CG99" s="63"/>
      <c r="CH99" s="66" t="s">
        <v>114</v>
      </c>
    </row>
    <row r="100" spans="2:86" outlineLevel="1">
      <c r="B100" s="69" t="s">
        <v>6457</v>
      </c>
      <c r="C100" s="737"/>
      <c r="D100" s="716"/>
      <c r="E100" s="662"/>
      <c r="F100" s="69" t="str">
        <f>IF(E100=0,"",MONTH(E100))</f>
        <v/>
      </c>
      <c r="G100" s="80"/>
      <c r="H100" s="80"/>
      <c r="I100" s="648"/>
      <c r="J100" s="69"/>
      <c r="K100" s="69"/>
      <c r="L100" s="69"/>
      <c r="M100" s="773">
        <f>IFERROR(VLOOKUP($U100,[1]!Tableau2[#Data],20,FALSE),)</f>
        <v>0</v>
      </c>
      <c r="N100" s="69"/>
      <c r="O100" s="69"/>
      <c r="P100" s="80"/>
      <c r="Q100" s="80"/>
      <c r="R100" s="80"/>
      <c r="S100" s="648"/>
      <c r="T100" s="665"/>
      <c r="U100" s="69" t="str">
        <f t="shared" ref="U100:U109" si="23">_xlfn.CONCAT(P100,", ",Q100,", ",R100)</f>
        <v xml:space="preserve">, , </v>
      </c>
      <c r="V100" s="649">
        <f>IFERROR(VLOOKUP($U100,[1]!Tableau2[#Data],12,FALSE),)</f>
        <v>0</v>
      </c>
      <c r="W100" s="774">
        <f>IFERROR($T100*V100/100,)</f>
        <v>0</v>
      </c>
      <c r="X100" s="71" t="s">
        <v>77</v>
      </c>
      <c r="Y100" s="775"/>
      <c r="Z100" s="649">
        <f>IFERROR(VLOOKUP($U100,[1]!Tableau2[#Data],15,FALSE),)</f>
        <v>0</v>
      </c>
      <c r="AA100" s="774">
        <f>IFERROR($T100*Z100/100,)</f>
        <v>0</v>
      </c>
      <c r="AB100" s="495" t="s">
        <v>251</v>
      </c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  <c r="BP100" s="63"/>
      <c r="BQ100" s="69"/>
      <c r="BR100" s="719"/>
      <c r="BS100" s="719"/>
      <c r="BT100" s="719"/>
      <c r="BU100" s="719"/>
      <c r="BV100" s="719"/>
      <c r="BW100" s="719"/>
      <c r="BX100" s="719"/>
      <c r="BY100" s="719">
        <f>IFERROR(VLOOKUP($M100,FÉ!$B$41:$L$58,8,FALSE)*$W100*PRP!$J$8,) + IF($M100=FÉ!$B$57, IFERROR(VLOOKUP($Y100,FÉ!$B$385:$L$437,8,FALSE)*$AA100*PRP!$J$8,),0)</f>
        <v>0</v>
      </c>
      <c r="BZ100" s="69">
        <f>IFERROR(VLOOKUP($M100,FÉ!$B$41:$L$58,9,FALSE)*$W100*PRP!$J$9,) + IF($M100=FÉ!$B$57, IFERROR(VLOOKUP($Y100,FÉ!$B$385:$L$437,9,FALSE)*$AA100*PRP!$J$9,),0)</f>
        <v>0</v>
      </c>
      <c r="CA100" s="700">
        <f>IFERROR(VLOOKUP($M100,FÉ!$B$41:$L$58,10,FALSE)*$W100*PRP!$J$10,) + IF($M100=FÉ!$B$57, IFERROR(VLOOKUP($Y100,FÉ!$B$385:$L$437,10,FALSE)*$AA100*PRP!$J$10,),0)</f>
        <v>0</v>
      </c>
      <c r="CB100" s="69">
        <f>SUM(BY100:CA100)</f>
        <v>0</v>
      </c>
      <c r="CC100" s="722">
        <f>CB100/(10^6)</f>
        <v>0</v>
      </c>
      <c r="CD100" s="63"/>
      <c r="CE100" s="726"/>
      <c r="CF100" s="727"/>
      <c r="CG100" s="63"/>
      <c r="CH100" s="730">
        <f>IFERROR(IF($M100=0, ,VLOOKUP($M100,FÉ!$B$41:$K$59,7,FALSE))*W100,) + AA100</f>
        <v>0</v>
      </c>
    </row>
    <row r="101" spans="2:86" outlineLevel="1">
      <c r="B101" s="69" t="str">
        <f t="shared" ref="B101:B109" si="24">B100</f>
        <v>1.2B1</v>
      </c>
      <c r="C101" s="737"/>
      <c r="D101" s="80"/>
      <c r="E101" s="663">
        <v>45842</v>
      </c>
      <c r="F101" s="69">
        <f t="shared" ref="F101:F109" si="25">IF(E101=0,"",MONTH(E101))</f>
        <v>7</v>
      </c>
      <c r="G101" s="80" t="s">
        <v>141</v>
      </c>
      <c r="H101" s="80"/>
      <c r="I101" s="648"/>
      <c r="J101" s="69"/>
      <c r="K101" s="69"/>
      <c r="L101" s="69"/>
      <c r="M101" s="773">
        <f>IFERROR(VLOOKUP($U101,[1]!Tableau2[#Data],20,FALSE),)</f>
        <v>0</v>
      </c>
      <c r="N101" s="69"/>
      <c r="O101" s="69"/>
      <c r="P101" s="80">
        <v>2013</v>
      </c>
      <c r="Q101" s="80" t="s">
        <v>1437</v>
      </c>
      <c r="R101" s="80" t="s">
        <v>1438</v>
      </c>
      <c r="S101" s="648"/>
      <c r="T101" s="665">
        <v>20000</v>
      </c>
      <c r="U101" s="69" t="str">
        <f t="shared" si="23"/>
        <v>2013, Honda, Fit</v>
      </c>
      <c r="V101" s="649">
        <f>IFERROR(VLOOKUP($U101,[1]!Tableau2[#Data],12,FALSE),)</f>
        <v>0</v>
      </c>
      <c r="W101" s="774">
        <f>IFERROR($T101*V101/100,)</f>
        <v>0</v>
      </c>
      <c r="X101" s="71" t="s">
        <v>77</v>
      </c>
      <c r="Y101" s="775"/>
      <c r="Z101" s="649">
        <f>IFERROR(VLOOKUP($U101,[1]!Tableau2[#Data],15,FALSE),)</f>
        <v>0</v>
      </c>
      <c r="AA101" s="774">
        <f>IFERROR($T101*Z101/100,)</f>
        <v>0</v>
      </c>
      <c r="AB101" s="495" t="s">
        <v>251</v>
      </c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  <c r="BM101" s="69"/>
      <c r="BN101" s="69"/>
      <c r="BO101" s="69"/>
      <c r="BP101" s="63"/>
      <c r="BQ101" s="69"/>
      <c r="BR101" s="719"/>
      <c r="BS101" s="719"/>
      <c r="BT101" s="719"/>
      <c r="BU101" s="719"/>
      <c r="BV101" s="719"/>
      <c r="BW101" s="719"/>
      <c r="BX101" s="719"/>
      <c r="BY101" s="719">
        <f>IFERROR(VLOOKUP($M101,FÉ!$B$41:$L$58,8,FALSE)*$W101*PRP!$J$8,) + IF($M101=FÉ!$B$57, IFERROR(VLOOKUP($Y101,FÉ!$B$385:$L$437,8,FALSE)*$AA101*PRP!$J$8,),0)</f>
        <v>0</v>
      </c>
      <c r="BZ101" s="69">
        <f>IFERROR(VLOOKUP($M101,FÉ!$B$41:$L$58,9,FALSE)*$W101*PRP!$J$9,) + IF($M101=FÉ!$B$57, IFERROR(VLOOKUP($Y101,FÉ!$B$385:$L$437,9,FALSE)*$AA101*PRP!$J$9,),0)</f>
        <v>0</v>
      </c>
      <c r="CA101" s="700">
        <f>IFERROR(VLOOKUP($M101,FÉ!$B$41:$L$58,10,FALSE)*$W101*PRP!$J$10,) + IF($M101=FÉ!$B$57, IFERROR(VLOOKUP($Y101,FÉ!$B$385:$L$437,10,FALSE)*$AA101*PRP!$J$10,),0)</f>
        <v>0</v>
      </c>
      <c r="CB101" s="69">
        <f>SUM(BY101:CA101)</f>
        <v>0</v>
      </c>
      <c r="CC101" s="722">
        <f>CB101/(10^6)</f>
        <v>0</v>
      </c>
      <c r="CD101" s="63"/>
      <c r="CE101" s="726"/>
      <c r="CF101" s="727"/>
      <c r="CG101" s="63"/>
      <c r="CH101" s="730">
        <f>IFERROR(IF($M101=0, ,VLOOKUP($M101,FÉ!$B$41:$K$59,7,FALSE))*W101,) + AA101</f>
        <v>0</v>
      </c>
    </row>
    <row r="102" spans="2:86" outlineLevel="1">
      <c r="B102" s="69" t="str">
        <f t="shared" si="24"/>
        <v>1.2B1</v>
      </c>
      <c r="C102" s="737"/>
      <c r="D102" s="80"/>
      <c r="E102" s="663"/>
      <c r="F102" s="69" t="str">
        <f t="shared" si="25"/>
        <v/>
      </c>
      <c r="G102" s="80" t="s">
        <v>136</v>
      </c>
      <c r="H102" s="80"/>
      <c r="I102" s="648"/>
      <c r="J102" s="69"/>
      <c r="K102" s="69"/>
      <c r="L102" s="69"/>
      <c r="M102" s="773">
        <f>IFERROR(VLOOKUP($U102,[1]!Tableau2[#Data],20,FALSE),)</f>
        <v>0</v>
      </c>
      <c r="N102" s="69"/>
      <c r="O102" s="69"/>
      <c r="P102" s="80">
        <v>2016</v>
      </c>
      <c r="Q102" s="80" t="s">
        <v>1440</v>
      </c>
      <c r="R102" s="80" t="s">
        <v>1441</v>
      </c>
      <c r="S102" s="648"/>
      <c r="T102" s="665">
        <v>20000</v>
      </c>
      <c r="U102" s="69" t="str">
        <f t="shared" si="23"/>
        <v>2016, Nissan, LEAF (24 kWh)</v>
      </c>
      <c r="V102" s="649">
        <f>IFERROR(VLOOKUP($U102,[1]!Tableau2[#Data],12,FALSE),)</f>
        <v>0</v>
      </c>
      <c r="W102" s="774">
        <f>IFERROR($T102*V102/100,)</f>
        <v>0</v>
      </c>
      <c r="X102" s="71" t="s">
        <v>77</v>
      </c>
      <c r="Y102" s="775" t="s">
        <v>596</v>
      </c>
      <c r="Z102" s="649">
        <f>IFERROR(VLOOKUP($U102,[1]!Tableau2[#Data],15,FALSE),)</f>
        <v>0</v>
      </c>
      <c r="AA102" s="774">
        <f>IFERROR($T102*Z102/100,)</f>
        <v>0</v>
      </c>
      <c r="AB102" s="495" t="s">
        <v>251</v>
      </c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  <c r="BM102" s="69"/>
      <c r="BN102" s="69"/>
      <c r="BO102" s="69"/>
      <c r="BP102" s="63"/>
      <c r="BQ102" s="69"/>
      <c r="BR102" s="719"/>
      <c r="BS102" s="719"/>
      <c r="BT102" s="719"/>
      <c r="BU102" s="719"/>
      <c r="BV102" s="719"/>
      <c r="BW102" s="719"/>
      <c r="BX102" s="719"/>
      <c r="BY102" s="719">
        <f>IFERROR(VLOOKUP($M102,FÉ!$B$41:$L$58,8,FALSE)*$W102*PRP!$J$8,) + IF($M102=FÉ!$B$57, IFERROR(VLOOKUP($Y102,FÉ!$B$385:$L$437,8,FALSE)*$AA102*PRP!$J$8,),0)</f>
        <v>0</v>
      </c>
      <c r="BZ102" s="69">
        <f>IFERROR(VLOOKUP($M102,FÉ!$B$41:$L$58,9,FALSE)*$W102*PRP!$J$9,) + IF($M102=FÉ!$B$57, IFERROR(VLOOKUP($Y102,FÉ!$B$385:$L$437,9,FALSE)*$AA102*PRP!$J$9,),0)</f>
        <v>0</v>
      </c>
      <c r="CA102" s="700">
        <f>IFERROR(VLOOKUP($M102,FÉ!$B$41:$L$58,10,FALSE)*$W102*PRP!$J$10,) + IF($M102=FÉ!$B$57, IFERROR(VLOOKUP($Y102,FÉ!$B$385:$L$437,10,FALSE)*$AA102*PRP!$J$10,),0)</f>
        <v>0</v>
      </c>
      <c r="CB102" s="69">
        <f t="shared" ref="CB102:CB109" si="26">SUM(BY102:CA102)</f>
        <v>0</v>
      </c>
      <c r="CC102" s="722">
        <f t="shared" ref="CC102:CC109" si="27">CB102/(10^6)</f>
        <v>0</v>
      </c>
      <c r="CD102" s="63"/>
      <c r="CE102" s="726"/>
      <c r="CF102" s="727"/>
      <c r="CG102" s="63"/>
      <c r="CH102" s="730">
        <f>IFERROR(IF($M102=0, ,VLOOKUP($M102,FÉ!$B$41:$K$59,7,FALSE))*W102,) + AA102</f>
        <v>0</v>
      </c>
    </row>
    <row r="103" spans="2:86" outlineLevel="1">
      <c r="B103" s="69" t="str">
        <f t="shared" si="24"/>
        <v>1.2B1</v>
      </c>
      <c r="C103" s="737"/>
      <c r="D103" s="80"/>
      <c r="E103" s="663"/>
      <c r="F103" s="69" t="str">
        <f t="shared" si="25"/>
        <v/>
      </c>
      <c r="G103" s="80"/>
      <c r="H103" s="80"/>
      <c r="I103" s="648"/>
      <c r="J103" s="69"/>
      <c r="K103" s="69"/>
      <c r="L103" s="69"/>
      <c r="M103" s="773">
        <f>IFERROR(VLOOKUP($U103,[1]!Tableau2[#Data],20,FALSE),)</f>
        <v>0</v>
      </c>
      <c r="N103" s="69"/>
      <c r="O103" s="69"/>
      <c r="P103" s="80"/>
      <c r="Q103" s="80"/>
      <c r="R103" s="80"/>
      <c r="S103" s="648"/>
      <c r="T103" s="665"/>
      <c r="U103" s="69" t="str">
        <f t="shared" si="23"/>
        <v xml:space="preserve">, , </v>
      </c>
      <c r="V103" s="649">
        <f>IFERROR(VLOOKUP($U103,[1]!Tableau2[#Data],12,FALSE),)</f>
        <v>0</v>
      </c>
      <c r="W103" s="774">
        <f t="shared" ref="W103:W109" si="28">IFERROR($T103*V103/100,)</f>
        <v>0</v>
      </c>
      <c r="X103" s="71" t="s">
        <v>77</v>
      </c>
      <c r="Y103" s="775"/>
      <c r="Z103" s="649">
        <f>IFERROR(VLOOKUP($U103,[1]!Tableau2[#Data],15,FALSE),)</f>
        <v>0</v>
      </c>
      <c r="AA103" s="774">
        <f t="shared" ref="AA103:AA109" si="29">IFERROR($T103*Z103/100,)</f>
        <v>0</v>
      </c>
      <c r="AB103" s="495" t="s">
        <v>251</v>
      </c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  <c r="BN103" s="69"/>
      <c r="BO103" s="69"/>
      <c r="BP103" s="63"/>
      <c r="BQ103" s="69"/>
      <c r="BR103" s="719"/>
      <c r="BS103" s="719"/>
      <c r="BT103" s="719"/>
      <c r="BU103" s="719"/>
      <c r="BV103" s="719"/>
      <c r="BW103" s="719"/>
      <c r="BX103" s="719"/>
      <c r="BY103" s="719">
        <f>IFERROR(VLOOKUP($M103,FÉ!$B$41:$L$58,8,FALSE)*$W103*PRP!$J$8,) + IF($M103=FÉ!$B$57, IFERROR(VLOOKUP($Y103,FÉ!$B$385:$L$437,8,FALSE)*$AA103*PRP!$J$8,),0)</f>
        <v>0</v>
      </c>
      <c r="BZ103" s="69">
        <f>IFERROR(VLOOKUP($M103,FÉ!$B$41:$L$58,9,FALSE)*$W103*PRP!$J$9,) + IF($M103=FÉ!$B$57, IFERROR(VLOOKUP($Y103,FÉ!$B$385:$L$437,9,FALSE)*$AA103*PRP!$J$9,),0)</f>
        <v>0</v>
      </c>
      <c r="CA103" s="700">
        <f>IFERROR(VLOOKUP($M103,FÉ!$B$41:$L$58,10,FALSE)*$W103*PRP!$J$10,) + IF($M103=FÉ!$B$57, IFERROR(VLOOKUP($Y103,FÉ!$B$385:$L$437,10,FALSE)*$AA103*PRP!$J$10,),0)</f>
        <v>0</v>
      </c>
      <c r="CB103" s="69">
        <f t="shared" si="26"/>
        <v>0</v>
      </c>
      <c r="CC103" s="722">
        <f t="shared" si="27"/>
        <v>0</v>
      </c>
      <c r="CD103" s="63"/>
      <c r="CE103" s="726"/>
      <c r="CF103" s="727"/>
      <c r="CG103" s="63"/>
      <c r="CH103" s="730">
        <f>IFERROR(IF($M103=0, ,VLOOKUP($M103,FÉ!$B$41:$K$59,7,FALSE))*W103,) + AA103</f>
        <v>0</v>
      </c>
    </row>
    <row r="104" spans="2:86" outlineLevel="1">
      <c r="B104" s="69" t="str">
        <f t="shared" si="24"/>
        <v>1.2B1</v>
      </c>
      <c r="C104" s="737"/>
      <c r="D104" s="80"/>
      <c r="E104" s="663"/>
      <c r="F104" s="69" t="str">
        <f t="shared" si="25"/>
        <v/>
      </c>
      <c r="G104" s="80"/>
      <c r="H104" s="80"/>
      <c r="I104" s="648"/>
      <c r="J104" s="69"/>
      <c r="K104" s="69"/>
      <c r="L104" s="69"/>
      <c r="M104" s="773">
        <f>IFERROR(VLOOKUP($U104,[1]!Tableau2[#Data],20,FALSE),)</f>
        <v>0</v>
      </c>
      <c r="N104" s="69"/>
      <c r="O104" s="69"/>
      <c r="P104" s="80"/>
      <c r="Q104" s="80"/>
      <c r="R104" s="80"/>
      <c r="S104" s="648"/>
      <c r="T104" s="665"/>
      <c r="U104" s="69" t="str">
        <f t="shared" si="23"/>
        <v xml:space="preserve">, , </v>
      </c>
      <c r="V104" s="649">
        <f>IFERROR(VLOOKUP($U104,[1]!Tableau2[#Data],12,FALSE),)</f>
        <v>0</v>
      </c>
      <c r="W104" s="774">
        <f t="shared" si="28"/>
        <v>0</v>
      </c>
      <c r="X104" s="71" t="s">
        <v>77</v>
      </c>
      <c r="Y104" s="775"/>
      <c r="Z104" s="649">
        <f>IFERROR(VLOOKUP($U104,[1]!Tableau2[#Data],15,FALSE),)</f>
        <v>0</v>
      </c>
      <c r="AA104" s="774">
        <f t="shared" si="29"/>
        <v>0</v>
      </c>
      <c r="AB104" s="495" t="s">
        <v>251</v>
      </c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  <c r="BP104" s="63"/>
      <c r="BQ104" s="69"/>
      <c r="BR104" s="719"/>
      <c r="BS104" s="719"/>
      <c r="BT104" s="719"/>
      <c r="BU104" s="719"/>
      <c r="BV104" s="719"/>
      <c r="BW104" s="719"/>
      <c r="BX104" s="719"/>
      <c r="BY104" s="719">
        <f>IFERROR(VLOOKUP($M104,FÉ!$B$41:$L$58,8,FALSE)*$W104*PRP!$J$8,) + IF($M104=FÉ!$B$57, IFERROR(VLOOKUP($Y104,FÉ!$B$385:$L$437,8,FALSE)*$AA104*PRP!$J$8,),0)</f>
        <v>0</v>
      </c>
      <c r="BZ104" s="69">
        <f>IFERROR(VLOOKUP($M104,FÉ!$B$41:$L$58,9,FALSE)*$W104*PRP!$J$9,) + IF($M104=FÉ!$B$57, IFERROR(VLOOKUP($Y104,FÉ!$B$385:$L$437,9,FALSE)*$AA104*PRP!$J$9,),0)</f>
        <v>0</v>
      </c>
      <c r="CA104" s="700">
        <f>IFERROR(VLOOKUP($M104,FÉ!$B$41:$L$58,10,FALSE)*$W104*PRP!$J$10,) + IF($M104=FÉ!$B$57, IFERROR(VLOOKUP($Y104,FÉ!$B$385:$L$437,10,FALSE)*$AA104*PRP!$J$10,),0)</f>
        <v>0</v>
      </c>
      <c r="CB104" s="69">
        <f t="shared" si="26"/>
        <v>0</v>
      </c>
      <c r="CC104" s="722">
        <f t="shared" si="27"/>
        <v>0</v>
      </c>
      <c r="CD104" s="63"/>
      <c r="CE104" s="726"/>
      <c r="CF104" s="727"/>
      <c r="CG104" s="63"/>
      <c r="CH104" s="730">
        <f>IFERROR(IF($M104=0, ,VLOOKUP($M104,FÉ!$B$41:$K$59,7,FALSE))*W104,) + AA104</f>
        <v>0</v>
      </c>
    </row>
    <row r="105" spans="2:86" outlineLevel="1">
      <c r="B105" s="69" t="str">
        <f t="shared" si="24"/>
        <v>1.2B1</v>
      </c>
      <c r="C105" s="737"/>
      <c r="D105" s="80"/>
      <c r="E105" s="663"/>
      <c r="F105" s="69" t="str">
        <f t="shared" si="25"/>
        <v/>
      </c>
      <c r="G105" s="80"/>
      <c r="H105" s="80"/>
      <c r="I105" s="648"/>
      <c r="J105" s="69"/>
      <c r="K105" s="69"/>
      <c r="L105" s="69"/>
      <c r="M105" s="773">
        <f>IFERROR(VLOOKUP($U105,[1]!Tableau2[#Data],20,FALSE),)</f>
        <v>0</v>
      </c>
      <c r="N105" s="69"/>
      <c r="O105" s="69"/>
      <c r="P105" s="80"/>
      <c r="Q105" s="80"/>
      <c r="R105" s="80"/>
      <c r="S105" s="648"/>
      <c r="T105" s="665"/>
      <c r="U105" s="69" t="str">
        <f t="shared" si="23"/>
        <v xml:space="preserve">, , </v>
      </c>
      <c r="V105" s="649">
        <f>IFERROR(VLOOKUP($U105,[1]!Tableau2[#Data],12,FALSE),)</f>
        <v>0</v>
      </c>
      <c r="W105" s="774">
        <f t="shared" si="28"/>
        <v>0</v>
      </c>
      <c r="X105" s="71" t="s">
        <v>77</v>
      </c>
      <c r="Y105" s="775"/>
      <c r="Z105" s="649">
        <f>IFERROR(VLOOKUP($U105,[1]!Tableau2[#Data],15,FALSE),)</f>
        <v>0</v>
      </c>
      <c r="AA105" s="774">
        <f t="shared" si="29"/>
        <v>0</v>
      </c>
      <c r="AB105" s="495" t="s">
        <v>251</v>
      </c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  <c r="BN105" s="69"/>
      <c r="BO105" s="69"/>
      <c r="BP105" s="63"/>
      <c r="BQ105" s="69"/>
      <c r="BR105" s="719"/>
      <c r="BS105" s="719"/>
      <c r="BT105" s="719"/>
      <c r="BU105" s="719"/>
      <c r="BV105" s="719"/>
      <c r="BW105" s="719"/>
      <c r="BX105" s="719"/>
      <c r="BY105" s="719">
        <f>IFERROR(VLOOKUP($M105,FÉ!$B$41:$L$58,8,FALSE)*$W105*PRP!$J$8,) + IF($M105=FÉ!$B$57, IFERROR(VLOOKUP($Y105,FÉ!$B$385:$L$437,8,FALSE)*$AA105*PRP!$J$8,),0)</f>
        <v>0</v>
      </c>
      <c r="BZ105" s="69">
        <f>IFERROR(VLOOKUP($M105,FÉ!$B$41:$L$58,9,FALSE)*$W105*PRP!$J$9,) + IF($M105=FÉ!$B$57, IFERROR(VLOOKUP($Y105,FÉ!$B$385:$L$437,9,FALSE)*$AA105*PRP!$J$9,),0)</f>
        <v>0</v>
      </c>
      <c r="CA105" s="700">
        <f>IFERROR(VLOOKUP($M105,FÉ!$B$41:$L$58,10,FALSE)*$W105*PRP!$J$10,) + IF($M105=FÉ!$B$57, IFERROR(VLOOKUP($Y105,FÉ!$B$385:$L$437,10,FALSE)*$AA105*PRP!$J$10,),0)</f>
        <v>0</v>
      </c>
      <c r="CB105" s="69">
        <f t="shared" si="26"/>
        <v>0</v>
      </c>
      <c r="CC105" s="722">
        <f t="shared" si="27"/>
        <v>0</v>
      </c>
      <c r="CD105" s="63"/>
      <c r="CE105" s="726"/>
      <c r="CF105" s="727"/>
      <c r="CG105" s="63"/>
      <c r="CH105" s="730">
        <f>IFERROR(IF($M105=0, ,VLOOKUP($M105,FÉ!$B$41:$K$59,7,FALSE))*W105,) + AA105</f>
        <v>0</v>
      </c>
    </row>
    <row r="106" spans="2:86" outlineLevel="1">
      <c r="B106" s="69" t="str">
        <f t="shared" si="24"/>
        <v>1.2B1</v>
      </c>
      <c r="C106" s="737"/>
      <c r="D106" s="80"/>
      <c r="E106" s="663"/>
      <c r="F106" s="69" t="str">
        <f t="shared" si="25"/>
        <v/>
      </c>
      <c r="G106" s="80"/>
      <c r="H106" s="80"/>
      <c r="I106" s="648"/>
      <c r="J106" s="69"/>
      <c r="K106" s="69"/>
      <c r="L106" s="69"/>
      <c r="M106" s="773">
        <f>IFERROR(VLOOKUP($U106,[1]!Tableau2[#Data],20,FALSE),)</f>
        <v>0</v>
      </c>
      <c r="N106" s="69"/>
      <c r="O106" s="69"/>
      <c r="P106" s="80"/>
      <c r="Q106" s="80"/>
      <c r="R106" s="80"/>
      <c r="S106" s="648"/>
      <c r="T106" s="665"/>
      <c r="U106" s="69" t="str">
        <f t="shared" si="23"/>
        <v xml:space="preserve">, , </v>
      </c>
      <c r="V106" s="649">
        <f>IFERROR(VLOOKUP($U106,[1]!Tableau2[#Data],12,FALSE),)</f>
        <v>0</v>
      </c>
      <c r="W106" s="774">
        <f t="shared" si="28"/>
        <v>0</v>
      </c>
      <c r="X106" s="71" t="s">
        <v>77</v>
      </c>
      <c r="Y106" s="775"/>
      <c r="Z106" s="649">
        <f>IFERROR(VLOOKUP($U106,[1]!Tableau2[#Data],15,FALSE),)</f>
        <v>0</v>
      </c>
      <c r="AA106" s="774">
        <f t="shared" si="29"/>
        <v>0</v>
      </c>
      <c r="AB106" s="495" t="s">
        <v>251</v>
      </c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69"/>
      <c r="BN106" s="69"/>
      <c r="BO106" s="69"/>
      <c r="BP106" s="63"/>
      <c r="BQ106" s="69"/>
      <c r="BR106" s="719"/>
      <c r="BS106" s="719"/>
      <c r="BT106" s="719"/>
      <c r="BU106" s="719"/>
      <c r="BV106" s="719"/>
      <c r="BW106" s="719"/>
      <c r="BX106" s="719"/>
      <c r="BY106" s="719">
        <f>IFERROR(VLOOKUP($M106,FÉ!$B$41:$L$58,8,FALSE)*$W106*PRP!$J$8,) + IF($M106=FÉ!$B$57, IFERROR(VLOOKUP($Y106,FÉ!$B$385:$L$437,8,FALSE)*$AA106*PRP!$J$8,),0)</f>
        <v>0</v>
      </c>
      <c r="BZ106" s="69">
        <f>IFERROR(VLOOKUP($M106,FÉ!$B$41:$L$58,9,FALSE)*$W106*PRP!$J$9,) + IF($M106=FÉ!$B$57, IFERROR(VLOOKUP($Y106,FÉ!$B$385:$L$437,9,FALSE)*$AA106*PRP!$J$9,),0)</f>
        <v>0</v>
      </c>
      <c r="CA106" s="700">
        <f>IFERROR(VLOOKUP($M106,FÉ!$B$41:$L$58,10,FALSE)*$W106*PRP!$J$10,) + IF($M106=FÉ!$B$57, IFERROR(VLOOKUP($Y106,FÉ!$B$385:$L$437,10,FALSE)*$AA106*PRP!$J$10,),0)</f>
        <v>0</v>
      </c>
      <c r="CB106" s="69">
        <f t="shared" si="26"/>
        <v>0</v>
      </c>
      <c r="CC106" s="722">
        <f t="shared" si="27"/>
        <v>0</v>
      </c>
      <c r="CD106" s="63"/>
      <c r="CE106" s="726"/>
      <c r="CF106" s="727"/>
      <c r="CG106" s="63"/>
      <c r="CH106" s="730">
        <f>IFERROR(IF($M106=0, ,VLOOKUP($M106,FÉ!$B$41:$K$59,7,FALSE))*W106,) + AA106</f>
        <v>0</v>
      </c>
    </row>
    <row r="107" spans="2:86" outlineLevel="1">
      <c r="B107" s="69" t="str">
        <f t="shared" si="24"/>
        <v>1.2B1</v>
      </c>
      <c r="C107" s="737"/>
      <c r="D107" s="80"/>
      <c r="E107" s="663"/>
      <c r="F107" s="69" t="str">
        <f t="shared" si="25"/>
        <v/>
      </c>
      <c r="G107" s="80"/>
      <c r="H107" s="80"/>
      <c r="I107" s="648"/>
      <c r="J107" s="69"/>
      <c r="K107" s="69"/>
      <c r="L107" s="69"/>
      <c r="M107" s="773">
        <f>IFERROR(VLOOKUP($U107,[1]!Tableau2[#Data],20,FALSE),)</f>
        <v>0</v>
      </c>
      <c r="N107" s="69"/>
      <c r="O107" s="69"/>
      <c r="P107" s="80"/>
      <c r="Q107" s="80"/>
      <c r="R107" s="80"/>
      <c r="S107" s="648"/>
      <c r="T107" s="665"/>
      <c r="U107" s="69" t="str">
        <f t="shared" si="23"/>
        <v xml:space="preserve">, , </v>
      </c>
      <c r="V107" s="649">
        <f>IFERROR(VLOOKUP($U107,[1]!Tableau2[#Data],12,FALSE),)</f>
        <v>0</v>
      </c>
      <c r="W107" s="774">
        <f t="shared" si="28"/>
        <v>0</v>
      </c>
      <c r="X107" s="71" t="s">
        <v>77</v>
      </c>
      <c r="Y107" s="775"/>
      <c r="Z107" s="649">
        <f>IFERROR(VLOOKUP($U107,[1]!Tableau2[#Data],15,FALSE),)</f>
        <v>0</v>
      </c>
      <c r="AA107" s="774">
        <f t="shared" si="29"/>
        <v>0</v>
      </c>
      <c r="AB107" s="495" t="s">
        <v>251</v>
      </c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  <c r="BN107" s="69"/>
      <c r="BO107" s="69"/>
      <c r="BP107" s="63"/>
      <c r="BQ107" s="69"/>
      <c r="BR107" s="719"/>
      <c r="BS107" s="719"/>
      <c r="BT107" s="719"/>
      <c r="BU107" s="719"/>
      <c r="BV107" s="719"/>
      <c r="BW107" s="719"/>
      <c r="BX107" s="719"/>
      <c r="BY107" s="719">
        <f>IFERROR(VLOOKUP($M107,FÉ!$B$41:$L$58,8,FALSE)*$W107*PRP!$J$8,) + IF($M107=FÉ!$B$57, IFERROR(VLOOKUP($Y107,FÉ!$B$385:$L$437,8,FALSE)*$AA107*PRP!$J$8,),0)</f>
        <v>0</v>
      </c>
      <c r="BZ107" s="69">
        <f>IFERROR(VLOOKUP($M107,FÉ!$B$41:$L$58,9,FALSE)*$W107*PRP!$J$9,) + IF($M107=FÉ!$B$57, IFERROR(VLOOKUP($Y107,FÉ!$B$385:$L$437,9,FALSE)*$AA107*PRP!$J$9,),0)</f>
        <v>0</v>
      </c>
      <c r="CA107" s="700">
        <f>IFERROR(VLOOKUP($M107,FÉ!$B$41:$L$58,10,FALSE)*$W107*PRP!$J$10,) + IF($M107=FÉ!$B$57, IFERROR(VLOOKUP($Y107,FÉ!$B$385:$L$437,10,FALSE)*$AA107*PRP!$J$10,),0)</f>
        <v>0</v>
      </c>
      <c r="CB107" s="69">
        <f t="shared" si="26"/>
        <v>0</v>
      </c>
      <c r="CC107" s="722">
        <f t="shared" si="27"/>
        <v>0</v>
      </c>
      <c r="CD107" s="63"/>
      <c r="CE107" s="726"/>
      <c r="CF107" s="727"/>
      <c r="CG107" s="63"/>
      <c r="CH107" s="730">
        <f>IFERROR(IF($M107=0, ,VLOOKUP($M107,FÉ!$B$41:$K$59,7,FALSE))*W107,) + AA107</f>
        <v>0</v>
      </c>
    </row>
    <row r="108" spans="2:86" outlineLevel="1">
      <c r="B108" s="69" t="str">
        <f t="shared" si="24"/>
        <v>1.2B1</v>
      </c>
      <c r="C108" s="737"/>
      <c r="D108" s="80"/>
      <c r="E108" s="663"/>
      <c r="F108" s="69" t="str">
        <f t="shared" si="25"/>
        <v/>
      </c>
      <c r="G108" s="80"/>
      <c r="H108" s="80"/>
      <c r="I108" s="648"/>
      <c r="J108" s="69"/>
      <c r="K108" s="69"/>
      <c r="L108" s="69"/>
      <c r="M108" s="773">
        <f>IFERROR(VLOOKUP($U108,[1]!Tableau2[#Data],20,FALSE),)</f>
        <v>0</v>
      </c>
      <c r="N108" s="69"/>
      <c r="O108" s="69"/>
      <c r="P108" s="80"/>
      <c r="Q108" s="80"/>
      <c r="R108" s="80"/>
      <c r="S108" s="648"/>
      <c r="T108" s="665"/>
      <c r="U108" s="69" t="str">
        <f t="shared" si="23"/>
        <v xml:space="preserve">, , </v>
      </c>
      <c r="V108" s="649">
        <f>IFERROR(VLOOKUP($U108,[1]!Tableau2[#Data],12,FALSE),)</f>
        <v>0</v>
      </c>
      <c r="W108" s="774">
        <f t="shared" si="28"/>
        <v>0</v>
      </c>
      <c r="X108" s="71" t="s">
        <v>77</v>
      </c>
      <c r="Y108" s="775"/>
      <c r="Z108" s="649">
        <f>IFERROR(VLOOKUP($U108,[1]!Tableau2[#Data],15,FALSE),)</f>
        <v>0</v>
      </c>
      <c r="AA108" s="774">
        <f t="shared" si="29"/>
        <v>0</v>
      </c>
      <c r="AB108" s="495" t="s">
        <v>251</v>
      </c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  <c r="BP108" s="63"/>
      <c r="BQ108" s="69"/>
      <c r="BR108" s="719"/>
      <c r="BS108" s="719"/>
      <c r="BT108" s="719"/>
      <c r="BU108" s="719"/>
      <c r="BV108" s="719"/>
      <c r="BW108" s="719"/>
      <c r="BX108" s="719"/>
      <c r="BY108" s="719">
        <f>IFERROR(VLOOKUP($M108,FÉ!$B$41:$L$58,8,FALSE)*$W108*PRP!$J$8,) + IF($M108=FÉ!$B$57, IFERROR(VLOOKUP($Y108,FÉ!$B$385:$L$437,8,FALSE)*$AA108*PRP!$J$8,),0)</f>
        <v>0</v>
      </c>
      <c r="BZ108" s="69">
        <f>IFERROR(VLOOKUP($M108,FÉ!$B$41:$L$58,9,FALSE)*$W108*PRP!$J$9,) + IF($M108=FÉ!$B$57, IFERROR(VLOOKUP($Y108,FÉ!$B$385:$L$437,9,FALSE)*$AA108*PRP!$J$9,),0)</f>
        <v>0</v>
      </c>
      <c r="CA108" s="700">
        <f>IFERROR(VLOOKUP($M108,FÉ!$B$41:$L$58,10,FALSE)*$W108*PRP!$J$10,) + IF($M108=FÉ!$B$57, IFERROR(VLOOKUP($Y108,FÉ!$B$385:$L$437,10,FALSE)*$AA108*PRP!$J$10,),0)</f>
        <v>0</v>
      </c>
      <c r="CB108" s="69">
        <f t="shared" si="26"/>
        <v>0</v>
      </c>
      <c r="CC108" s="722">
        <f t="shared" si="27"/>
        <v>0</v>
      </c>
      <c r="CD108" s="63"/>
      <c r="CE108" s="726"/>
      <c r="CF108" s="727"/>
      <c r="CG108" s="63"/>
      <c r="CH108" s="730">
        <f>IFERROR(IF($M108=0, ,VLOOKUP($M108,FÉ!$B$41:$K$59,7,FALSE))*W108,) + AA108</f>
        <v>0</v>
      </c>
    </row>
    <row r="109" spans="2:86" ht="15.75" outlineLevel="1" thickBot="1">
      <c r="B109" s="69" t="str">
        <f t="shared" si="24"/>
        <v>1.2B1</v>
      </c>
      <c r="C109" s="737"/>
      <c r="D109" s="717"/>
      <c r="E109" s="663"/>
      <c r="F109" s="69" t="str">
        <f t="shared" si="25"/>
        <v/>
      </c>
      <c r="G109" s="80"/>
      <c r="H109" s="80"/>
      <c r="I109" s="648"/>
      <c r="J109" s="69"/>
      <c r="K109" s="69"/>
      <c r="L109" s="69"/>
      <c r="M109" s="773">
        <f>IFERROR(VLOOKUP($U109,[1]!Tableau2[#Data],20,FALSE),)</f>
        <v>0</v>
      </c>
      <c r="N109" s="69"/>
      <c r="O109" s="69"/>
      <c r="P109" s="80"/>
      <c r="Q109" s="80"/>
      <c r="R109" s="80"/>
      <c r="S109" s="648"/>
      <c r="T109" s="665"/>
      <c r="U109" s="69" t="str">
        <f t="shared" si="23"/>
        <v xml:space="preserve">, , </v>
      </c>
      <c r="V109" s="649">
        <f>IFERROR(VLOOKUP($U109,[1]!Tableau2[#Data],12,FALSE),)</f>
        <v>0</v>
      </c>
      <c r="W109" s="774">
        <f t="shared" si="28"/>
        <v>0</v>
      </c>
      <c r="X109" s="71" t="s">
        <v>77</v>
      </c>
      <c r="Y109" s="775"/>
      <c r="Z109" s="649">
        <f>IFERROR(VLOOKUP($U109,[1]!Tableau2[#Data],15,FALSE),)</f>
        <v>0</v>
      </c>
      <c r="AA109" s="774">
        <f t="shared" si="29"/>
        <v>0</v>
      </c>
      <c r="AB109" s="495" t="s">
        <v>251</v>
      </c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  <c r="BM109" s="69"/>
      <c r="BN109" s="69"/>
      <c r="BO109" s="69"/>
      <c r="BP109" s="63"/>
      <c r="BQ109" s="69"/>
      <c r="BR109" s="719"/>
      <c r="BS109" s="719"/>
      <c r="BT109" s="719"/>
      <c r="BU109" s="719"/>
      <c r="BV109" s="719"/>
      <c r="BW109" s="719"/>
      <c r="BX109" s="719"/>
      <c r="BY109" s="719">
        <f>IFERROR(VLOOKUP($M109,FÉ!$B$41:$L$58,8,FALSE)*$W109*PRP!$J$8,) + IF($M109=FÉ!$B$57, IFERROR(VLOOKUP($Y109,FÉ!$B$385:$L$437,8,FALSE)*$AA109*PRP!$J$8,),0)</f>
        <v>0</v>
      </c>
      <c r="BZ109" s="69">
        <f>IFERROR(VLOOKUP($M109,FÉ!$B$41:$L$58,9,FALSE)*$W109*PRP!$J$9,) + IF($M109=FÉ!$B$57, IFERROR(VLOOKUP($Y109,FÉ!$B$385:$L$437,9,FALSE)*$AA109*PRP!$J$9,),0)</f>
        <v>0</v>
      </c>
      <c r="CA109" s="700">
        <f>IFERROR(VLOOKUP($M109,FÉ!$B$41:$L$58,10,FALSE)*$W109*PRP!$J$10,) + IF($M109=FÉ!$B$57, IFERROR(VLOOKUP($Y109,FÉ!$B$385:$L$437,10,FALSE)*$AA109*PRP!$J$10,),0)</f>
        <v>0</v>
      </c>
      <c r="CB109" s="647">
        <f t="shared" si="26"/>
        <v>0</v>
      </c>
      <c r="CC109" s="723">
        <f t="shared" si="27"/>
        <v>0</v>
      </c>
      <c r="CD109" s="63"/>
      <c r="CE109" s="728"/>
      <c r="CF109" s="729"/>
      <c r="CG109" s="63"/>
      <c r="CH109" s="731">
        <f>IFERROR(IF($M109=0, ,VLOOKUP($M109,FÉ!$B$41:$K$59,7,FALSE))*W109,) + AA109</f>
        <v>0</v>
      </c>
    </row>
    <row r="110" spans="2:86" ht="15.75" outlineLevel="1" thickBot="1">
      <c r="B110" s="72"/>
      <c r="C110" s="78"/>
      <c r="D110" s="78"/>
      <c r="E110" s="707"/>
      <c r="F110" s="750" t="str">
        <f>$B100</f>
        <v>1.2B1</v>
      </c>
      <c r="G110" s="750" t="str">
        <f>$B100</f>
        <v>1.2B1</v>
      </c>
      <c r="H110" s="750" t="str">
        <f>$B100</f>
        <v>1.2B1</v>
      </c>
      <c r="I110" s="707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4">
        <f>SUM(T100:T109)</f>
        <v>40000</v>
      </c>
      <c r="U110" s="73"/>
      <c r="V110" s="73"/>
      <c r="W110" s="74">
        <f>SUM(W100:W109)</f>
        <v>0</v>
      </c>
      <c r="X110" s="73"/>
      <c r="Y110" s="73"/>
      <c r="Z110" s="73"/>
      <c r="AA110" s="74">
        <f>SUM(AA100:AA109)</f>
        <v>0</v>
      </c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63"/>
      <c r="BQ110" s="70"/>
      <c r="BR110" s="70"/>
      <c r="BS110" s="70"/>
      <c r="BT110" s="70"/>
      <c r="BU110" s="70"/>
      <c r="BV110" s="70"/>
      <c r="BW110" s="70"/>
      <c r="BX110" s="70"/>
      <c r="BY110" s="70">
        <f>SUM(BY100:BY109)</f>
        <v>0</v>
      </c>
      <c r="BZ110" s="70">
        <f>SUM(BZ100:BZ109)</f>
        <v>0</v>
      </c>
      <c r="CA110" s="70">
        <f>SUM(CA100:CA109)</f>
        <v>0</v>
      </c>
      <c r="CB110" s="70">
        <f>SUM(CB100:CB109)</f>
        <v>0</v>
      </c>
      <c r="CC110" s="76">
        <f>SUM(CC100:CC109)</f>
        <v>0</v>
      </c>
      <c r="CD110" s="63"/>
      <c r="CE110" s="77">
        <f>SUM(CE100:CE109)</f>
        <v>0</v>
      </c>
      <c r="CF110" s="76">
        <f>SUM(CF100:CF109)</f>
        <v>0</v>
      </c>
      <c r="CG110" s="63"/>
      <c r="CH110" s="664">
        <f>SUM(CH100:CH109)</f>
        <v>0</v>
      </c>
    </row>
    <row r="112" spans="2:86" ht="31.5">
      <c r="B112" s="1224" t="s">
        <v>6476</v>
      </c>
      <c r="C112" s="1225"/>
      <c r="D112" s="1225"/>
      <c r="E112" s="1225"/>
      <c r="F112" s="1225"/>
      <c r="G112" s="1225"/>
      <c r="H112" s="1225"/>
      <c r="I112" s="1225"/>
      <c r="J112" s="1225"/>
      <c r="K112" s="1225"/>
      <c r="L112" s="1225"/>
      <c r="M112" s="1225"/>
      <c r="N112" s="1225"/>
      <c r="O112" s="1225"/>
      <c r="P112" s="1225"/>
      <c r="Q112" s="1225"/>
      <c r="R112" s="1225"/>
      <c r="S112" s="1225"/>
      <c r="T112" s="1225"/>
      <c r="U112" s="1225"/>
      <c r="V112" s="1225"/>
      <c r="W112" s="1225"/>
      <c r="X112" s="1225"/>
      <c r="Y112" s="1225"/>
      <c r="Z112" s="1225"/>
      <c r="AA112" s="1225"/>
      <c r="AB112" s="1225"/>
      <c r="AC112" s="1225"/>
      <c r="AD112" s="1225"/>
      <c r="AE112" s="1225"/>
      <c r="AF112" s="1225"/>
      <c r="AG112" s="1225"/>
      <c r="AH112" s="1225"/>
      <c r="AI112" s="1225"/>
      <c r="AJ112" s="1225"/>
      <c r="AK112" s="1225"/>
      <c r="AL112" s="1225"/>
      <c r="AM112" s="1225"/>
      <c r="AN112" s="1225"/>
      <c r="AO112" s="1225"/>
      <c r="AP112" s="1225"/>
      <c r="AQ112" s="1225"/>
      <c r="AR112" s="1225"/>
      <c r="AS112" s="1225"/>
      <c r="AT112" s="1225"/>
      <c r="AU112" s="1225"/>
      <c r="AV112" s="1225"/>
      <c r="AW112" s="1225"/>
      <c r="AX112" s="1225"/>
      <c r="AY112" s="1225"/>
      <c r="AZ112" s="1225"/>
      <c r="BA112" s="1225"/>
      <c r="BB112" s="1225"/>
      <c r="BC112" s="1225"/>
      <c r="BD112" s="1225"/>
      <c r="BE112" s="1225"/>
      <c r="BF112" s="1225"/>
      <c r="BG112" s="1225"/>
      <c r="BH112" s="1225"/>
      <c r="BI112" s="1225"/>
      <c r="BJ112" s="1225"/>
      <c r="BK112" s="1225"/>
      <c r="BL112" s="1225"/>
      <c r="BM112" s="1225"/>
      <c r="BN112" s="1225"/>
      <c r="BO112" s="1225"/>
      <c r="BP112" s="1225"/>
      <c r="BQ112" s="1225"/>
      <c r="BR112" s="1225"/>
      <c r="BS112" s="1225"/>
      <c r="BT112" s="1225"/>
      <c r="BU112" s="1225"/>
      <c r="BV112" s="1225"/>
      <c r="BW112" s="1225"/>
      <c r="BX112" s="1225"/>
      <c r="BY112" s="1225"/>
      <c r="BZ112" s="1225"/>
      <c r="CA112" s="1225"/>
      <c r="CB112" s="1225"/>
      <c r="CC112" s="1225"/>
      <c r="CD112" s="1225"/>
      <c r="CE112" s="1225"/>
      <c r="CF112" s="1225"/>
      <c r="CG112" s="1225"/>
      <c r="CH112" s="1225"/>
    </row>
    <row r="113" spans="2:86" ht="15.75" outlineLevel="1" thickBot="1">
      <c r="CH113" s="63"/>
    </row>
    <row r="114" spans="2:86" ht="21.75" outlineLevel="1" thickBot="1">
      <c r="B114" s="1228" t="s">
        <v>115</v>
      </c>
      <c r="C114" s="1229"/>
      <c r="D114" s="1229"/>
      <c r="E114" s="1229"/>
      <c r="F114" s="1229"/>
      <c r="G114" s="1229"/>
      <c r="H114" s="1229"/>
      <c r="I114" s="1229"/>
      <c r="J114" s="1229"/>
      <c r="K114" s="1229"/>
      <c r="L114" s="1229"/>
      <c r="M114" s="1229"/>
      <c r="N114" s="1229"/>
      <c r="O114" s="1229"/>
      <c r="P114" s="1229"/>
      <c r="Q114" s="1229"/>
      <c r="R114" s="1229"/>
      <c r="S114" s="1229"/>
      <c r="T114" s="1229"/>
      <c r="U114" s="1229"/>
      <c r="V114" s="1229"/>
      <c r="W114" s="1229"/>
      <c r="X114" s="1229"/>
      <c r="Y114" s="1229"/>
      <c r="Z114" s="1229"/>
      <c r="AA114" s="1229"/>
      <c r="AB114" s="1229"/>
      <c r="AC114" s="1229"/>
      <c r="AD114" s="1229"/>
      <c r="AE114" s="1229"/>
      <c r="AF114" s="1229"/>
      <c r="AG114" s="1229"/>
      <c r="AH114" s="1229"/>
      <c r="AI114" s="1229"/>
      <c r="AJ114" s="1229"/>
      <c r="AK114" s="1229"/>
      <c r="AL114" s="1229"/>
      <c r="AM114" s="1229"/>
      <c r="AN114" s="1229"/>
      <c r="AO114" s="1229"/>
      <c r="AP114" s="1229"/>
      <c r="AQ114" s="1229"/>
      <c r="AR114" s="1229"/>
      <c r="AS114" s="1229"/>
      <c r="AT114" s="1229"/>
      <c r="AU114" s="1229"/>
      <c r="AV114" s="1229"/>
      <c r="AW114" s="1229"/>
      <c r="AX114" s="1229"/>
      <c r="AY114" s="1229"/>
      <c r="AZ114" s="1229"/>
      <c r="BA114" s="1229"/>
      <c r="BB114" s="1229"/>
      <c r="BC114" s="1229"/>
      <c r="BD114" s="1229"/>
      <c r="BE114" s="1229"/>
      <c r="BF114" s="1229"/>
      <c r="BG114" s="1229"/>
      <c r="BH114" s="1229"/>
      <c r="BI114" s="1229"/>
      <c r="BJ114" s="1229"/>
      <c r="BK114" s="1229"/>
      <c r="BL114" s="1229"/>
      <c r="BM114" s="1229"/>
      <c r="BN114" s="1229"/>
      <c r="BO114" s="1229"/>
      <c r="BP114" s="63"/>
      <c r="BQ114" s="1221" t="s">
        <v>121</v>
      </c>
      <c r="BR114" s="1222"/>
      <c r="BS114" s="1222"/>
      <c r="BT114" s="1222"/>
      <c r="BU114" s="1222"/>
      <c r="BV114" s="1222"/>
      <c r="BW114" s="1222"/>
      <c r="BX114" s="1222"/>
      <c r="BY114" s="1222"/>
      <c r="BZ114" s="1222"/>
      <c r="CA114" s="1222"/>
      <c r="CB114" s="1222"/>
      <c r="CC114" s="1222"/>
      <c r="CD114" s="1222"/>
      <c r="CE114" s="1222"/>
      <c r="CF114" s="1222"/>
      <c r="CG114" s="1222"/>
      <c r="CH114" s="1223"/>
    </row>
    <row r="115" spans="2:86" ht="15" customHeight="1" outlineLevel="1">
      <c r="B115" s="1183" t="s">
        <v>6353</v>
      </c>
      <c r="C115" s="1185" t="s">
        <v>6372</v>
      </c>
      <c r="D115" s="1185" t="s">
        <v>7</v>
      </c>
      <c r="E115" s="1185" t="s">
        <v>127</v>
      </c>
      <c r="F115" s="1187" t="s">
        <v>6348</v>
      </c>
      <c r="G115" s="1185" t="s">
        <v>6333</v>
      </c>
      <c r="H115" s="1185" t="s">
        <v>128</v>
      </c>
      <c r="I115" s="1185" t="s">
        <v>156</v>
      </c>
      <c r="J115" s="655"/>
      <c r="K115" s="655"/>
      <c r="L115" s="655"/>
      <c r="M115" s="655"/>
      <c r="N115" s="655"/>
      <c r="O115" s="655"/>
      <c r="P115" s="655"/>
      <c r="Q115" s="655"/>
      <c r="R115" s="655"/>
      <c r="S115" s="655"/>
      <c r="T115" s="655"/>
      <c r="U115" s="655"/>
      <c r="V115" s="655"/>
      <c r="W115" s="655"/>
      <c r="X115" s="655"/>
      <c r="Y115" s="655"/>
      <c r="Z115" s="655"/>
      <c r="AA115" s="655"/>
      <c r="AB115" s="655"/>
      <c r="AC115" s="1185" t="s">
        <v>6373</v>
      </c>
      <c r="AD115" s="1185" t="s">
        <v>6374</v>
      </c>
      <c r="AE115" s="1185" t="s">
        <v>6376</v>
      </c>
      <c r="AF115" s="1185" t="s">
        <v>6377</v>
      </c>
      <c r="AG115" s="657"/>
      <c r="AH115" s="657"/>
      <c r="AI115" s="657"/>
      <c r="AJ115" s="657"/>
      <c r="AK115" s="657"/>
      <c r="AL115" s="657"/>
      <c r="AM115" s="657"/>
      <c r="AN115" s="657"/>
      <c r="AO115" s="657"/>
      <c r="AP115" s="657"/>
      <c r="AQ115" s="657"/>
      <c r="AR115" s="657"/>
      <c r="AS115" s="657"/>
      <c r="AT115" s="657"/>
      <c r="AU115" s="657"/>
      <c r="AV115" s="657"/>
      <c r="AW115" s="657"/>
      <c r="AX115" s="657"/>
      <c r="AY115" s="657"/>
      <c r="AZ115" s="657"/>
      <c r="BA115" s="657"/>
      <c r="BB115" s="657"/>
      <c r="BC115" s="657"/>
      <c r="BD115" s="657"/>
      <c r="BE115" s="657"/>
      <c r="BF115" s="657"/>
      <c r="BG115" s="657"/>
      <c r="BH115" s="657"/>
      <c r="BI115" s="657"/>
      <c r="BJ115" s="657"/>
      <c r="BK115" s="657"/>
      <c r="BL115" s="657"/>
      <c r="BM115" s="657"/>
      <c r="BN115" s="657"/>
      <c r="BO115" s="657"/>
      <c r="BP115" s="63"/>
      <c r="BQ115" s="1185" t="s">
        <v>572</v>
      </c>
      <c r="BR115" s="1185" t="s">
        <v>6379</v>
      </c>
      <c r="BS115" s="1185" t="s">
        <v>6380</v>
      </c>
      <c r="BT115" s="1185" t="s">
        <v>6381</v>
      </c>
      <c r="BU115" s="732"/>
      <c r="BV115" s="732"/>
      <c r="BW115" s="732"/>
      <c r="BX115" s="732"/>
      <c r="BY115" s="1193" t="s">
        <v>122</v>
      </c>
      <c r="BZ115" s="1193"/>
      <c r="CA115" s="1193"/>
      <c r="CB115" s="1194" t="s">
        <v>123</v>
      </c>
      <c r="CC115" s="1195"/>
      <c r="CD115" s="63"/>
      <c r="CE115" s="1198" t="s">
        <v>124</v>
      </c>
      <c r="CF115" s="1199"/>
      <c r="CG115" s="63"/>
      <c r="CH115" s="1185" t="s">
        <v>125</v>
      </c>
    </row>
    <row r="116" spans="2:86" ht="30" customHeight="1" outlineLevel="1">
      <c r="B116" s="1184"/>
      <c r="C116" s="1186"/>
      <c r="D116" s="1186"/>
      <c r="E116" s="1186"/>
      <c r="F116" s="1188"/>
      <c r="G116" s="1186"/>
      <c r="H116" s="1186"/>
      <c r="I116" s="1186"/>
      <c r="J116" s="656"/>
      <c r="K116" s="656"/>
      <c r="L116" s="656"/>
      <c r="M116" s="656"/>
      <c r="N116" s="656"/>
      <c r="O116" s="656"/>
      <c r="P116" s="656"/>
      <c r="Q116" s="656"/>
      <c r="R116" s="656"/>
      <c r="S116" s="656"/>
      <c r="T116" s="656"/>
      <c r="U116" s="656"/>
      <c r="V116" s="656"/>
      <c r="W116" s="656"/>
      <c r="X116" s="656"/>
      <c r="Y116" s="656"/>
      <c r="Z116" s="656"/>
      <c r="AA116" s="656"/>
      <c r="AB116" s="656"/>
      <c r="AC116" s="1186"/>
      <c r="AD116" s="1186"/>
      <c r="AE116" s="1186"/>
      <c r="AF116" s="1186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  <c r="AZ116" s="79"/>
      <c r="BA116" s="79"/>
      <c r="BB116" s="79"/>
      <c r="BC116" s="79"/>
      <c r="BD116" s="79"/>
      <c r="BE116" s="79"/>
      <c r="BF116" s="79"/>
      <c r="BG116" s="79"/>
      <c r="BH116" s="79"/>
      <c r="BI116" s="79"/>
      <c r="BJ116" s="79"/>
      <c r="BK116" s="79"/>
      <c r="BL116" s="79"/>
      <c r="BM116" s="79"/>
      <c r="BN116" s="79"/>
      <c r="BO116" s="79"/>
      <c r="BP116" s="63"/>
      <c r="BQ116" s="1186"/>
      <c r="BR116" s="1186"/>
      <c r="BS116" s="1186"/>
      <c r="BT116" s="1186"/>
      <c r="BU116" s="712"/>
      <c r="BV116" s="712"/>
      <c r="BW116" s="712"/>
      <c r="BX116" s="712"/>
      <c r="BY116" s="718" t="s">
        <v>106</v>
      </c>
      <c r="BZ116" s="58" t="s">
        <v>107</v>
      </c>
      <c r="CA116" s="720" t="s">
        <v>108</v>
      </c>
      <c r="CB116" s="1196"/>
      <c r="CC116" s="1197"/>
      <c r="CD116" s="63"/>
      <c r="CE116" s="1200"/>
      <c r="CF116" s="1201"/>
      <c r="CG116" s="63"/>
      <c r="CH116" s="1186"/>
    </row>
    <row r="117" spans="2:86" ht="18.75" outlineLevel="1" thickBot="1">
      <c r="B117" s="65"/>
      <c r="C117" s="66"/>
      <c r="D117" s="661" t="s">
        <v>6306</v>
      </c>
      <c r="E117" s="661" t="s">
        <v>6306</v>
      </c>
      <c r="F117" s="661"/>
      <c r="G117" s="661" t="s">
        <v>6306</v>
      </c>
      <c r="H117" s="661" t="s">
        <v>6306</v>
      </c>
      <c r="I117" s="661" t="s">
        <v>6306</v>
      </c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 t="s">
        <v>119</v>
      </c>
      <c r="AD117" s="64" t="s">
        <v>119</v>
      </c>
      <c r="AE117" s="64" t="s">
        <v>6378</v>
      </c>
      <c r="AF117" s="64" t="s">
        <v>6378</v>
      </c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6"/>
      <c r="BP117" s="63"/>
      <c r="BQ117" s="66"/>
      <c r="BR117" s="713"/>
      <c r="BS117" s="713"/>
      <c r="BT117" s="713"/>
      <c r="BU117" s="713"/>
      <c r="BV117" s="713"/>
      <c r="BW117" s="713"/>
      <c r="BX117" s="713"/>
      <c r="BY117" s="713" t="s">
        <v>109</v>
      </c>
      <c r="BZ117" s="66" t="s">
        <v>109</v>
      </c>
      <c r="CA117" s="64" t="s">
        <v>109</v>
      </c>
      <c r="CB117" s="66" t="s">
        <v>109</v>
      </c>
      <c r="CC117" s="721" t="s">
        <v>110</v>
      </c>
      <c r="CD117" s="63"/>
      <c r="CE117" s="724" t="s">
        <v>111</v>
      </c>
      <c r="CF117" s="725" t="s">
        <v>112</v>
      </c>
      <c r="CG117" s="63"/>
      <c r="CH117" s="66" t="s">
        <v>114</v>
      </c>
    </row>
    <row r="118" spans="2:86" outlineLevel="1">
      <c r="B118" s="69" t="s">
        <v>6463</v>
      </c>
      <c r="C118" s="80"/>
      <c r="D118" s="716"/>
      <c r="E118" s="662"/>
      <c r="F118" s="69" t="str">
        <f>IF(E118=0,"",MONTH(E118))</f>
        <v/>
      </c>
      <c r="G118" s="80"/>
      <c r="H118" s="80"/>
      <c r="I118" s="648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733"/>
      <c r="AD118" s="665"/>
      <c r="AE118" s="665"/>
      <c r="AF118" s="665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69"/>
      <c r="BN118" s="69"/>
      <c r="BO118" s="69"/>
      <c r="BP118" s="63"/>
      <c r="BQ118" s="734">
        <f>IF(AC118="",0,VLOOKUP(AC118,FÉ!$C$365:$H$373,6,FALSE))</f>
        <v>0</v>
      </c>
      <c r="BR118" s="735">
        <f>AE118*BQ118/FÉ!$C$1072</f>
        <v>0</v>
      </c>
      <c r="BS118" s="735">
        <f>IF(AF118="",BR118,AF118/FÉ!$C$1072)</f>
        <v>0</v>
      </c>
      <c r="BT118" s="719">
        <f>IF(AD118="",0,VLOOKUP(AD118,PRP!$B$18:$J$39,9,FALSE))</f>
        <v>0</v>
      </c>
      <c r="BU118" s="719"/>
      <c r="BV118" s="719"/>
      <c r="BW118" s="719"/>
      <c r="BX118" s="719"/>
      <c r="BY118" s="719"/>
      <c r="BZ118" s="69"/>
      <c r="CA118" s="700"/>
      <c r="CB118" s="69">
        <f>BT118*BS118 *10^3</f>
        <v>0</v>
      </c>
      <c r="CC118" s="722">
        <f>CB118/(10^6)</f>
        <v>0</v>
      </c>
      <c r="CD118" s="63"/>
      <c r="CE118" s="726"/>
      <c r="CF118" s="727"/>
      <c r="CG118" s="63"/>
      <c r="CH118" s="730">
        <f>IFERROR(IF($M118=0, ,VLOOKUP($M118,FÉ!$B$41:$K$59,7,FALSE))*W118,) + AA118</f>
        <v>0</v>
      </c>
    </row>
    <row r="119" spans="2:86" outlineLevel="1">
      <c r="B119" s="69" t="str">
        <f t="shared" ref="B119:B127" si="30">B118</f>
        <v>1.4A1</v>
      </c>
      <c r="C119" s="80"/>
      <c r="D119" s="80"/>
      <c r="E119" s="663">
        <v>45842</v>
      </c>
      <c r="F119" s="69">
        <f t="shared" ref="F119:F127" si="31">IF(E119=0,"",MONTH(E119))</f>
        <v>7</v>
      </c>
      <c r="G119" s="80" t="s">
        <v>136</v>
      </c>
      <c r="H119" s="80"/>
      <c r="I119" s="648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733" t="s">
        <v>577</v>
      </c>
      <c r="AD119" s="665" t="s">
        <v>1350</v>
      </c>
      <c r="AE119" s="665">
        <v>5</v>
      </c>
      <c r="AF119" s="665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  <c r="BM119" s="69"/>
      <c r="BN119" s="69"/>
      <c r="BO119" s="69"/>
      <c r="BP119" s="63"/>
      <c r="BQ119" s="734">
        <f>IF(AC119="",0,VLOOKUP(AC119,FÉ!$C$365:$H$373,6,FALSE))</f>
        <v>4.7E-2</v>
      </c>
      <c r="BR119" s="735">
        <f>AE119*BQ119/FÉ!$C$1072</f>
        <v>0.10659420695235831</v>
      </c>
      <c r="BS119" s="735">
        <f>IF(AF119="",BR119,AF119/FÉ!$C$1072)</f>
        <v>0.10659420695235831</v>
      </c>
      <c r="BT119" s="719">
        <f>IF(AD119="",0,VLOOKUP(AD119,PRP!$B$18:$J$39,9,FALSE))</f>
        <v>1526</v>
      </c>
      <c r="BU119" s="719"/>
      <c r="BV119" s="719"/>
      <c r="BW119" s="719"/>
      <c r="BX119" s="719"/>
      <c r="BY119" s="719"/>
      <c r="BZ119" s="69"/>
      <c r="CA119" s="700"/>
      <c r="CB119" s="69">
        <f>BT119*BS119 *10^3</f>
        <v>162662.75980929879</v>
      </c>
      <c r="CC119" s="722">
        <f>CB119/(10^6)</f>
        <v>0.16266275980929878</v>
      </c>
      <c r="CD119" s="63"/>
      <c r="CE119" s="726"/>
      <c r="CF119" s="727"/>
      <c r="CG119" s="63"/>
      <c r="CH119" s="730">
        <f>IFERROR(IF($M119=0, ,VLOOKUP($M119,FÉ!$B$41:$K$59,7,FALSE))*W119,) + AA119</f>
        <v>0</v>
      </c>
    </row>
    <row r="120" spans="2:86" outlineLevel="1">
      <c r="B120" s="69" t="str">
        <f t="shared" si="30"/>
        <v>1.4A1</v>
      </c>
      <c r="C120" s="80"/>
      <c r="D120" s="80"/>
      <c r="E120" s="663">
        <v>45814</v>
      </c>
      <c r="F120" s="69">
        <f t="shared" si="31"/>
        <v>6</v>
      </c>
      <c r="G120" s="80" t="s">
        <v>139</v>
      </c>
      <c r="H120" s="80" t="s">
        <v>147</v>
      </c>
      <c r="I120" s="648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733" t="s">
        <v>6383</v>
      </c>
      <c r="AD120" s="665" t="s">
        <v>1364</v>
      </c>
      <c r="AE120" s="665"/>
      <c r="AF120" s="665">
        <v>10</v>
      </c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69"/>
      <c r="BD120" s="69"/>
      <c r="BE120" s="69"/>
      <c r="BF120" s="69"/>
      <c r="BG120" s="69"/>
      <c r="BH120" s="69"/>
      <c r="BI120" s="69"/>
      <c r="BJ120" s="69"/>
      <c r="BK120" s="69"/>
      <c r="BL120" s="69"/>
      <c r="BM120" s="69"/>
      <c r="BN120" s="69"/>
      <c r="BO120" s="69"/>
      <c r="BP120" s="63"/>
      <c r="BQ120" s="734">
        <f>IF(AC120="",0,VLOOKUP(AC120,FÉ!$C$365:$H$373,6,FALSE))</f>
        <v>0.1</v>
      </c>
      <c r="BR120" s="735">
        <f>AE120*BQ120/FÉ!$C$1072</f>
        <v>0</v>
      </c>
      <c r="BS120" s="735">
        <f>IF(AF120="",BR120,AF120/FÉ!$C$1072)</f>
        <v>4.5359237001003541</v>
      </c>
      <c r="BT120" s="719">
        <f>IF(AD120="",0,VLOOKUP(AD120,PRP!$B$18:$J$39,9,FALSE))</f>
        <v>1431.72</v>
      </c>
      <c r="BU120" s="719"/>
      <c r="BV120" s="719"/>
      <c r="BW120" s="719"/>
      <c r="BX120" s="719"/>
      <c r="BY120" s="719"/>
      <c r="BZ120" s="69"/>
      <c r="CA120" s="700"/>
      <c r="CB120" s="69">
        <f t="shared" ref="CB120:CB127" si="32">BT120*BS120 *10^3</f>
        <v>6494172.6799076786</v>
      </c>
      <c r="CC120" s="722">
        <f t="shared" ref="CC120:CC127" si="33">CB120/(10^6)</f>
        <v>6.4941726799076784</v>
      </c>
      <c r="CD120" s="63"/>
      <c r="CE120" s="726"/>
      <c r="CF120" s="727"/>
      <c r="CG120" s="63"/>
      <c r="CH120" s="730">
        <f>IFERROR(IF($M120=0, ,VLOOKUP($M120,FÉ!$B$41:$K$59,7,FALSE))*W120,) + AA120</f>
        <v>0</v>
      </c>
    </row>
    <row r="121" spans="2:86" outlineLevel="1">
      <c r="B121" s="69" t="str">
        <f t="shared" si="30"/>
        <v>1.4A1</v>
      </c>
      <c r="C121" s="80"/>
      <c r="D121" s="80"/>
      <c r="E121" s="663"/>
      <c r="F121" s="69" t="str">
        <f t="shared" si="31"/>
        <v/>
      </c>
      <c r="G121" s="80"/>
      <c r="H121" s="80"/>
      <c r="I121" s="648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733"/>
      <c r="AD121" s="665"/>
      <c r="AE121" s="665"/>
      <c r="AF121" s="665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  <c r="BM121" s="69"/>
      <c r="BN121" s="69"/>
      <c r="BO121" s="69"/>
      <c r="BP121" s="63"/>
      <c r="BQ121" s="734">
        <f>IF(AC121="",0,VLOOKUP(AC121,FÉ!$C$365:$H$373,6,FALSE))</f>
        <v>0</v>
      </c>
      <c r="BR121" s="735">
        <f>AE121*BQ121/FÉ!$C$1072</f>
        <v>0</v>
      </c>
      <c r="BS121" s="735">
        <f>IF(AF121="",BR121,AF121/FÉ!$C$1072)</f>
        <v>0</v>
      </c>
      <c r="BT121" s="719">
        <f>IF(AD121="",0,VLOOKUP(AD121,PRP!$B$18:$J$39,9,FALSE))</f>
        <v>0</v>
      </c>
      <c r="BU121" s="719"/>
      <c r="BV121" s="719"/>
      <c r="BW121" s="719"/>
      <c r="BX121" s="719"/>
      <c r="BY121" s="719"/>
      <c r="BZ121" s="69"/>
      <c r="CA121" s="700"/>
      <c r="CB121" s="69">
        <f t="shared" si="32"/>
        <v>0</v>
      </c>
      <c r="CC121" s="722">
        <f t="shared" si="33"/>
        <v>0</v>
      </c>
      <c r="CD121" s="63"/>
      <c r="CE121" s="726"/>
      <c r="CF121" s="727"/>
      <c r="CG121" s="63"/>
      <c r="CH121" s="730">
        <f>IFERROR(IF($M121=0, ,VLOOKUP($M121,FÉ!$B$41:$K$59,7,FALSE))*W121,) + AA121</f>
        <v>0</v>
      </c>
    </row>
    <row r="122" spans="2:86" outlineLevel="1">
      <c r="B122" s="69" t="str">
        <f t="shared" si="30"/>
        <v>1.4A1</v>
      </c>
      <c r="C122" s="80"/>
      <c r="D122" s="80"/>
      <c r="E122" s="663"/>
      <c r="F122" s="69" t="str">
        <f t="shared" si="31"/>
        <v/>
      </c>
      <c r="G122" s="80"/>
      <c r="H122" s="80"/>
      <c r="I122" s="648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733"/>
      <c r="AD122" s="665"/>
      <c r="AE122" s="665"/>
      <c r="AF122" s="665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69"/>
      <c r="BG122" s="69"/>
      <c r="BH122" s="69"/>
      <c r="BI122" s="69"/>
      <c r="BJ122" s="69"/>
      <c r="BK122" s="69"/>
      <c r="BL122" s="69"/>
      <c r="BM122" s="69"/>
      <c r="BN122" s="69"/>
      <c r="BO122" s="69"/>
      <c r="BP122" s="63"/>
      <c r="BQ122" s="734">
        <f>IF(AC122="",0,VLOOKUP(AC122,FÉ!$C$365:$H$373,6,FALSE))</f>
        <v>0</v>
      </c>
      <c r="BR122" s="735">
        <f>AE122*BQ122/FÉ!$C$1072</f>
        <v>0</v>
      </c>
      <c r="BS122" s="735">
        <f>IF(AF122="",BR122,AF122/FÉ!$C$1072)</f>
        <v>0</v>
      </c>
      <c r="BT122" s="719">
        <f>IF(AD122="",0,VLOOKUP(AD122,PRP!$B$18:$J$39,9,FALSE))</f>
        <v>0</v>
      </c>
      <c r="BU122" s="719"/>
      <c r="BV122" s="719"/>
      <c r="BW122" s="719"/>
      <c r="BX122" s="719"/>
      <c r="BY122" s="719"/>
      <c r="BZ122" s="69"/>
      <c r="CA122" s="700"/>
      <c r="CB122" s="69">
        <f t="shared" si="32"/>
        <v>0</v>
      </c>
      <c r="CC122" s="722">
        <f t="shared" si="33"/>
        <v>0</v>
      </c>
      <c r="CD122" s="63"/>
      <c r="CE122" s="726"/>
      <c r="CF122" s="727"/>
      <c r="CG122" s="63"/>
      <c r="CH122" s="730">
        <f>IFERROR(IF($M122=0, ,VLOOKUP($M122,FÉ!$B$41:$K$59,7,FALSE))*W122,) + AA122</f>
        <v>0</v>
      </c>
    </row>
    <row r="123" spans="2:86" outlineLevel="1">
      <c r="B123" s="69" t="str">
        <f t="shared" si="30"/>
        <v>1.4A1</v>
      </c>
      <c r="C123" s="80"/>
      <c r="D123" s="80"/>
      <c r="E123" s="663"/>
      <c r="F123" s="69" t="str">
        <f t="shared" si="31"/>
        <v/>
      </c>
      <c r="G123" s="80"/>
      <c r="H123" s="80"/>
      <c r="I123" s="648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733"/>
      <c r="AD123" s="665"/>
      <c r="AE123" s="665"/>
      <c r="AF123" s="665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69"/>
      <c r="BH123" s="69"/>
      <c r="BI123" s="69"/>
      <c r="BJ123" s="69"/>
      <c r="BK123" s="69"/>
      <c r="BL123" s="69"/>
      <c r="BM123" s="69"/>
      <c r="BN123" s="69"/>
      <c r="BO123" s="69"/>
      <c r="BP123" s="63"/>
      <c r="BQ123" s="734">
        <f>IF(AC123="",0,VLOOKUP(AC123,FÉ!$C$365:$H$373,6,FALSE))</f>
        <v>0</v>
      </c>
      <c r="BR123" s="735">
        <f>AE123*BQ123/FÉ!$C$1072</f>
        <v>0</v>
      </c>
      <c r="BS123" s="735">
        <f>IF(AF123="",BR123,AF123/FÉ!$C$1072)</f>
        <v>0</v>
      </c>
      <c r="BT123" s="719">
        <f>IF(AD123="",0,VLOOKUP(AD123,PRP!$B$18:$J$39,9,FALSE))</f>
        <v>0</v>
      </c>
      <c r="BU123" s="719"/>
      <c r="BV123" s="719"/>
      <c r="BW123" s="719"/>
      <c r="BX123" s="719"/>
      <c r="BY123" s="719"/>
      <c r="BZ123" s="69"/>
      <c r="CA123" s="700"/>
      <c r="CB123" s="69">
        <f t="shared" si="32"/>
        <v>0</v>
      </c>
      <c r="CC123" s="722">
        <f t="shared" si="33"/>
        <v>0</v>
      </c>
      <c r="CD123" s="63"/>
      <c r="CE123" s="726"/>
      <c r="CF123" s="727"/>
      <c r="CG123" s="63"/>
      <c r="CH123" s="730">
        <f>IFERROR(IF($M123=0, ,VLOOKUP($M123,FÉ!$B$41:$K$59,7,FALSE))*W123,) + AA123</f>
        <v>0</v>
      </c>
    </row>
    <row r="124" spans="2:86" outlineLevel="1">
      <c r="B124" s="69" t="str">
        <f t="shared" si="30"/>
        <v>1.4A1</v>
      </c>
      <c r="C124" s="80"/>
      <c r="D124" s="80"/>
      <c r="E124" s="663"/>
      <c r="F124" s="69" t="str">
        <f t="shared" si="31"/>
        <v/>
      </c>
      <c r="G124" s="80"/>
      <c r="H124" s="80"/>
      <c r="I124" s="648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733"/>
      <c r="AD124" s="665"/>
      <c r="AE124" s="665"/>
      <c r="AF124" s="665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69"/>
      <c r="BC124" s="69"/>
      <c r="BD124" s="69"/>
      <c r="BE124" s="69"/>
      <c r="BF124" s="69"/>
      <c r="BG124" s="69"/>
      <c r="BH124" s="69"/>
      <c r="BI124" s="69"/>
      <c r="BJ124" s="69"/>
      <c r="BK124" s="69"/>
      <c r="BL124" s="69"/>
      <c r="BM124" s="69"/>
      <c r="BN124" s="69"/>
      <c r="BO124" s="69"/>
      <c r="BP124" s="63"/>
      <c r="BQ124" s="734">
        <f>IF(AC124="",0,VLOOKUP(AC124,FÉ!$C$365:$H$373,6,FALSE))</f>
        <v>0</v>
      </c>
      <c r="BR124" s="735">
        <f>AE124*BQ124/FÉ!$C$1072</f>
        <v>0</v>
      </c>
      <c r="BS124" s="735">
        <f>IF(AF124="",BR124,AF124/FÉ!$C$1072)</f>
        <v>0</v>
      </c>
      <c r="BT124" s="719">
        <f>IF(AD124="",0,VLOOKUP(AD124,PRP!$B$18:$J$39,9,FALSE))</f>
        <v>0</v>
      </c>
      <c r="BU124" s="719"/>
      <c r="BV124" s="719"/>
      <c r="BW124" s="719"/>
      <c r="BX124" s="719"/>
      <c r="BY124" s="719"/>
      <c r="BZ124" s="69"/>
      <c r="CA124" s="700"/>
      <c r="CB124" s="69">
        <f t="shared" si="32"/>
        <v>0</v>
      </c>
      <c r="CC124" s="722">
        <f t="shared" si="33"/>
        <v>0</v>
      </c>
      <c r="CD124" s="63"/>
      <c r="CE124" s="726"/>
      <c r="CF124" s="727"/>
      <c r="CG124" s="63"/>
      <c r="CH124" s="730">
        <f>IFERROR(IF($M124=0, ,VLOOKUP($M124,FÉ!$B$41:$K$59,7,FALSE))*W124,) + AA124</f>
        <v>0</v>
      </c>
    </row>
    <row r="125" spans="2:86" outlineLevel="1">
      <c r="B125" s="69" t="str">
        <f t="shared" si="30"/>
        <v>1.4A1</v>
      </c>
      <c r="C125" s="80"/>
      <c r="D125" s="80"/>
      <c r="E125" s="663"/>
      <c r="F125" s="69" t="str">
        <f t="shared" si="31"/>
        <v/>
      </c>
      <c r="G125" s="80"/>
      <c r="H125" s="80"/>
      <c r="I125" s="648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733"/>
      <c r="AD125" s="665"/>
      <c r="AE125" s="665"/>
      <c r="AF125" s="665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  <c r="BD125" s="69"/>
      <c r="BE125" s="69"/>
      <c r="BF125" s="69"/>
      <c r="BG125" s="69"/>
      <c r="BH125" s="69"/>
      <c r="BI125" s="69"/>
      <c r="BJ125" s="69"/>
      <c r="BK125" s="69"/>
      <c r="BL125" s="69"/>
      <c r="BM125" s="69"/>
      <c r="BN125" s="69"/>
      <c r="BO125" s="69"/>
      <c r="BP125" s="63"/>
      <c r="BQ125" s="734">
        <f>IF(AC125="",0,VLOOKUP(AC125,FÉ!$C$365:$H$373,6,FALSE))</f>
        <v>0</v>
      </c>
      <c r="BR125" s="735">
        <f>AE125*BQ125/FÉ!$C$1072</f>
        <v>0</v>
      </c>
      <c r="BS125" s="735">
        <f>IF(AF125="",BR125,AF125/FÉ!$C$1072)</f>
        <v>0</v>
      </c>
      <c r="BT125" s="719">
        <f>IF(AD125="",0,VLOOKUP(AD125,PRP!$B$18:$J$39,9,FALSE))</f>
        <v>0</v>
      </c>
      <c r="BU125" s="719"/>
      <c r="BV125" s="719"/>
      <c r="BW125" s="719"/>
      <c r="BX125" s="719"/>
      <c r="BY125" s="719"/>
      <c r="BZ125" s="69"/>
      <c r="CA125" s="700"/>
      <c r="CB125" s="69">
        <f t="shared" si="32"/>
        <v>0</v>
      </c>
      <c r="CC125" s="722">
        <f t="shared" si="33"/>
        <v>0</v>
      </c>
      <c r="CD125" s="63"/>
      <c r="CE125" s="726"/>
      <c r="CF125" s="727"/>
      <c r="CG125" s="63"/>
      <c r="CH125" s="730">
        <f>IFERROR(IF($M125=0, ,VLOOKUP($M125,FÉ!$B$41:$K$59,7,FALSE))*W125,) + AA125</f>
        <v>0</v>
      </c>
    </row>
    <row r="126" spans="2:86" outlineLevel="1">
      <c r="B126" s="69" t="str">
        <f t="shared" si="30"/>
        <v>1.4A1</v>
      </c>
      <c r="C126" s="80"/>
      <c r="D126" s="80"/>
      <c r="E126" s="663"/>
      <c r="F126" s="69" t="str">
        <f t="shared" si="31"/>
        <v/>
      </c>
      <c r="G126" s="80"/>
      <c r="H126" s="80"/>
      <c r="I126" s="648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733"/>
      <c r="AD126" s="665"/>
      <c r="AE126" s="665"/>
      <c r="AF126" s="665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  <c r="BD126" s="69"/>
      <c r="BE126" s="69"/>
      <c r="BF126" s="69"/>
      <c r="BG126" s="69"/>
      <c r="BH126" s="69"/>
      <c r="BI126" s="69"/>
      <c r="BJ126" s="69"/>
      <c r="BK126" s="69"/>
      <c r="BL126" s="69"/>
      <c r="BM126" s="69"/>
      <c r="BN126" s="69"/>
      <c r="BO126" s="69"/>
      <c r="BP126" s="63"/>
      <c r="BQ126" s="734">
        <f>IF(AC126="",0,VLOOKUP(AC126,FÉ!$C$365:$H$373,6,FALSE))</f>
        <v>0</v>
      </c>
      <c r="BR126" s="735">
        <f>AE126*BQ126/FÉ!$C$1072</f>
        <v>0</v>
      </c>
      <c r="BS126" s="735">
        <f>IF(AF126="",BR126,AF126/FÉ!$C$1072)</f>
        <v>0</v>
      </c>
      <c r="BT126" s="719">
        <f>IF(AD126="",0,VLOOKUP(AD126,PRP!$B$18:$J$39,9,FALSE))</f>
        <v>0</v>
      </c>
      <c r="BU126" s="719"/>
      <c r="BV126" s="719"/>
      <c r="BW126" s="719"/>
      <c r="BX126" s="719"/>
      <c r="BY126" s="719"/>
      <c r="BZ126" s="69"/>
      <c r="CA126" s="700"/>
      <c r="CB126" s="69">
        <f t="shared" si="32"/>
        <v>0</v>
      </c>
      <c r="CC126" s="722">
        <f t="shared" si="33"/>
        <v>0</v>
      </c>
      <c r="CD126" s="63"/>
      <c r="CE126" s="726"/>
      <c r="CF126" s="727"/>
      <c r="CG126" s="63"/>
      <c r="CH126" s="730">
        <f>IFERROR(IF($M126=0, ,VLOOKUP($M126,FÉ!$B$41:$K$59,7,FALSE))*W126,) + AA126</f>
        <v>0</v>
      </c>
    </row>
    <row r="127" spans="2:86" ht="15.75" outlineLevel="1" thickBot="1">
      <c r="B127" s="69" t="str">
        <f t="shared" si="30"/>
        <v>1.4A1</v>
      </c>
      <c r="C127" s="80"/>
      <c r="D127" s="717"/>
      <c r="E127" s="663"/>
      <c r="F127" s="69" t="str">
        <f t="shared" si="31"/>
        <v/>
      </c>
      <c r="G127" s="80"/>
      <c r="H127" s="80"/>
      <c r="I127" s="648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733"/>
      <c r="AD127" s="665"/>
      <c r="AE127" s="665"/>
      <c r="AF127" s="665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  <c r="BD127" s="69"/>
      <c r="BE127" s="69"/>
      <c r="BF127" s="69"/>
      <c r="BG127" s="69"/>
      <c r="BH127" s="69"/>
      <c r="BI127" s="69"/>
      <c r="BJ127" s="69"/>
      <c r="BK127" s="69"/>
      <c r="BL127" s="69"/>
      <c r="BM127" s="69"/>
      <c r="BN127" s="69"/>
      <c r="BO127" s="69"/>
      <c r="BP127" s="63"/>
      <c r="BQ127" s="734">
        <f>IF(AC127="",0,VLOOKUP(AC127,FÉ!$C$365:$H$373,6,FALSE))</f>
        <v>0</v>
      </c>
      <c r="BR127" s="735">
        <f>AE127*BQ127/FÉ!$C$1072</f>
        <v>0</v>
      </c>
      <c r="BS127" s="735">
        <f>IF(AF127="",BR127,AF127/FÉ!$C$1072)</f>
        <v>0</v>
      </c>
      <c r="BT127" s="719">
        <f>IF(AD127="",0,VLOOKUP(AD127,PRP!$B$18:$J$39,9,FALSE))</f>
        <v>0</v>
      </c>
      <c r="BU127" s="719"/>
      <c r="BV127" s="719"/>
      <c r="BW127" s="719"/>
      <c r="BX127" s="719"/>
      <c r="BY127" s="719"/>
      <c r="BZ127" s="69"/>
      <c r="CA127" s="700"/>
      <c r="CB127" s="69">
        <f t="shared" si="32"/>
        <v>0</v>
      </c>
      <c r="CC127" s="723">
        <f t="shared" si="33"/>
        <v>0</v>
      </c>
      <c r="CD127" s="63"/>
      <c r="CE127" s="728"/>
      <c r="CF127" s="729"/>
      <c r="CG127" s="63"/>
      <c r="CH127" s="731">
        <f>IFERROR(IF($M127=0, ,VLOOKUP($M127,FÉ!$B$41:$K$59,7,FALSE))*W127,) + AA127</f>
        <v>0</v>
      </c>
    </row>
    <row r="128" spans="2:86" ht="15.75" outlineLevel="1" thickBot="1">
      <c r="B128" s="72"/>
      <c r="C128" s="78"/>
      <c r="D128" s="78"/>
      <c r="E128" s="707"/>
      <c r="F128" s="750" t="str">
        <f>$B118</f>
        <v>1.4A1</v>
      </c>
      <c r="G128" s="750" t="str">
        <f>$B118</f>
        <v>1.4A1</v>
      </c>
      <c r="H128" s="750" t="str">
        <f>$B118</f>
        <v>1.4A1</v>
      </c>
      <c r="I128" s="707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63"/>
      <c r="BQ128" s="70"/>
      <c r="BR128" s="70"/>
      <c r="BS128" s="70"/>
      <c r="BT128" s="70"/>
      <c r="BU128" s="70"/>
      <c r="BV128" s="70"/>
      <c r="BW128" s="70"/>
      <c r="BX128" s="70"/>
      <c r="BY128" s="70">
        <f>SUM(BY118:BY127)</f>
        <v>0</v>
      </c>
      <c r="BZ128" s="70">
        <f>SUM(BZ118:BZ127)</f>
        <v>0</v>
      </c>
      <c r="CA128" s="70">
        <f>SUM(CA118:CA127)</f>
        <v>0</v>
      </c>
      <c r="CB128" s="70">
        <f>SUM(CB118:CB127)</f>
        <v>6656835.4397169771</v>
      </c>
      <c r="CC128" s="76">
        <f>SUM(CC118:CC127)</f>
        <v>6.6568354397169776</v>
      </c>
      <c r="CD128" s="63"/>
      <c r="CE128" s="77">
        <f>SUM(CE118:CE127)</f>
        <v>0</v>
      </c>
      <c r="CF128" s="76">
        <f>SUM(CF118:CF127)</f>
        <v>0</v>
      </c>
      <c r="CG128" s="63"/>
      <c r="CH128" s="664">
        <f>SUM(CH118:CH127)</f>
        <v>0</v>
      </c>
    </row>
    <row r="130" spans="2:86" ht="31.5">
      <c r="B130" s="1224" t="s">
        <v>6477</v>
      </c>
      <c r="C130" s="1225"/>
      <c r="D130" s="1225"/>
      <c r="E130" s="1225"/>
      <c r="F130" s="1225"/>
      <c r="G130" s="1225"/>
      <c r="H130" s="1225"/>
      <c r="I130" s="1225"/>
      <c r="J130" s="1225"/>
      <c r="K130" s="1225"/>
      <c r="L130" s="1225"/>
      <c r="M130" s="1225"/>
      <c r="N130" s="1225"/>
      <c r="O130" s="1225"/>
      <c r="P130" s="1225"/>
      <c r="Q130" s="1225"/>
      <c r="R130" s="1225"/>
      <c r="S130" s="1225"/>
      <c r="T130" s="1225"/>
      <c r="U130" s="1225"/>
      <c r="V130" s="1225"/>
      <c r="W130" s="1225"/>
      <c r="X130" s="1225"/>
      <c r="Y130" s="1225"/>
      <c r="Z130" s="1225"/>
      <c r="AA130" s="1225"/>
      <c r="AB130" s="1225"/>
      <c r="AC130" s="1225"/>
      <c r="AD130" s="1225"/>
      <c r="AE130" s="1225"/>
      <c r="AF130" s="1225"/>
      <c r="AG130" s="1225"/>
      <c r="AH130" s="1225"/>
      <c r="AI130" s="1225"/>
      <c r="AJ130" s="1225"/>
      <c r="AK130" s="1225"/>
      <c r="AL130" s="1225"/>
      <c r="AM130" s="1225"/>
      <c r="AN130" s="1225"/>
      <c r="AO130" s="1225"/>
      <c r="AP130" s="1225"/>
      <c r="AQ130" s="1225"/>
      <c r="AR130" s="1225"/>
      <c r="AS130" s="1225"/>
      <c r="AT130" s="1225"/>
      <c r="AU130" s="1225"/>
      <c r="AV130" s="1225"/>
      <c r="AW130" s="1225"/>
      <c r="AX130" s="1225"/>
      <c r="AY130" s="1225"/>
      <c r="AZ130" s="1225"/>
      <c r="BA130" s="1225"/>
      <c r="BB130" s="1225"/>
      <c r="BC130" s="1225"/>
      <c r="BD130" s="1225"/>
      <c r="BE130" s="1225"/>
      <c r="BF130" s="1225"/>
      <c r="BG130" s="1225"/>
      <c r="BH130" s="1225"/>
      <c r="BI130" s="1225"/>
      <c r="BJ130" s="1225"/>
      <c r="BK130" s="1225"/>
      <c r="BL130" s="1225"/>
      <c r="BM130" s="1225"/>
      <c r="BN130" s="1225"/>
      <c r="BO130" s="1225"/>
      <c r="BP130" s="1225"/>
      <c r="BQ130" s="1225"/>
      <c r="BR130" s="1225"/>
      <c r="BS130" s="1225"/>
      <c r="BT130" s="1225"/>
      <c r="BU130" s="1225"/>
      <c r="BV130" s="1225"/>
      <c r="BW130" s="1225"/>
      <c r="BX130" s="1225"/>
      <c r="BY130" s="1225"/>
      <c r="BZ130" s="1225"/>
      <c r="CA130" s="1225"/>
      <c r="CB130" s="1225"/>
      <c r="CC130" s="1225"/>
      <c r="CD130" s="1225"/>
      <c r="CE130" s="1225"/>
      <c r="CF130" s="1225"/>
      <c r="CG130" s="1225"/>
      <c r="CH130" s="1225"/>
    </row>
    <row r="131" spans="2:86" ht="15.75" outlineLevel="1" thickBot="1">
      <c r="CH131" s="63"/>
    </row>
    <row r="132" spans="2:86" ht="21.75" outlineLevel="1" thickBot="1">
      <c r="B132" s="1228" t="s">
        <v>115</v>
      </c>
      <c r="C132" s="1229"/>
      <c r="D132" s="1229"/>
      <c r="E132" s="1229"/>
      <c r="F132" s="1229"/>
      <c r="G132" s="1229"/>
      <c r="H132" s="1229"/>
      <c r="I132" s="1229"/>
      <c r="J132" s="1229"/>
      <c r="K132" s="1229"/>
      <c r="L132" s="1229"/>
      <c r="M132" s="1229"/>
      <c r="N132" s="1229"/>
      <c r="O132" s="1229"/>
      <c r="P132" s="1229"/>
      <c r="Q132" s="1229"/>
      <c r="R132" s="1229"/>
      <c r="S132" s="1229"/>
      <c r="T132" s="1229"/>
      <c r="U132" s="1229"/>
      <c r="V132" s="1229"/>
      <c r="W132" s="1229"/>
      <c r="X132" s="1229"/>
      <c r="Y132" s="1229"/>
      <c r="Z132" s="1229"/>
      <c r="AA132" s="1229"/>
      <c r="AB132" s="1229"/>
      <c r="AC132" s="1229"/>
      <c r="AD132" s="1229"/>
      <c r="AE132" s="1229"/>
      <c r="AF132" s="1229"/>
      <c r="AG132" s="1229"/>
      <c r="AH132" s="1229"/>
      <c r="AI132" s="1229"/>
      <c r="AJ132" s="1229"/>
      <c r="AK132" s="1229"/>
      <c r="AL132" s="1229"/>
      <c r="AM132" s="1229"/>
      <c r="AN132" s="1229"/>
      <c r="AO132" s="1229"/>
      <c r="AP132" s="1229"/>
      <c r="AQ132" s="1229"/>
      <c r="AR132" s="1229"/>
      <c r="AS132" s="1229"/>
      <c r="AT132" s="1229"/>
      <c r="AU132" s="1229"/>
      <c r="AV132" s="1229"/>
      <c r="AW132" s="1229"/>
      <c r="AX132" s="1229"/>
      <c r="AY132" s="1229"/>
      <c r="AZ132" s="1229"/>
      <c r="BA132" s="1229"/>
      <c r="BB132" s="1229"/>
      <c r="BC132" s="1229"/>
      <c r="BD132" s="1229"/>
      <c r="BE132" s="1229"/>
      <c r="BF132" s="1229"/>
      <c r="BG132" s="1229"/>
      <c r="BH132" s="1229"/>
      <c r="BI132" s="1229"/>
      <c r="BJ132" s="1229"/>
      <c r="BK132" s="1229"/>
      <c r="BL132" s="1229"/>
      <c r="BM132" s="1229"/>
      <c r="BN132" s="1229"/>
      <c r="BO132" s="1229"/>
      <c r="BP132" s="63"/>
      <c r="BQ132" s="1221" t="s">
        <v>121</v>
      </c>
      <c r="BR132" s="1222"/>
      <c r="BS132" s="1222"/>
      <c r="BT132" s="1222"/>
      <c r="BU132" s="1222"/>
      <c r="BV132" s="1222"/>
      <c r="BW132" s="1222"/>
      <c r="BX132" s="1222"/>
      <c r="BY132" s="1222"/>
      <c r="BZ132" s="1222"/>
      <c r="CA132" s="1222"/>
      <c r="CB132" s="1222"/>
      <c r="CC132" s="1222"/>
      <c r="CD132" s="1222"/>
      <c r="CE132" s="1222"/>
      <c r="CF132" s="1222"/>
      <c r="CG132" s="1222"/>
      <c r="CH132" s="1223"/>
    </row>
    <row r="133" spans="2:86" ht="15" customHeight="1" outlineLevel="1">
      <c r="B133" s="1183" t="s">
        <v>6353</v>
      </c>
      <c r="C133" s="1185" t="s">
        <v>1417</v>
      </c>
      <c r="D133" s="802"/>
      <c r="E133" s="802"/>
      <c r="F133" s="805"/>
      <c r="G133" s="802"/>
      <c r="H133" s="802"/>
      <c r="I133" s="802"/>
      <c r="J133" s="655"/>
      <c r="K133" s="655"/>
      <c r="L133" s="655"/>
      <c r="M133" s="655"/>
      <c r="N133" s="655"/>
      <c r="O133" s="655"/>
      <c r="P133" s="655"/>
      <c r="Q133" s="655"/>
      <c r="R133" s="655"/>
      <c r="S133" s="655"/>
      <c r="T133" s="655"/>
      <c r="U133" s="655"/>
      <c r="V133" s="655"/>
      <c r="W133" s="655"/>
      <c r="X133" s="655"/>
      <c r="Y133" s="655"/>
      <c r="Z133" s="655"/>
      <c r="AA133" s="655"/>
      <c r="AB133" s="655"/>
      <c r="AC133" s="1185" t="s">
        <v>6373</v>
      </c>
      <c r="AD133" s="1185" t="s">
        <v>6374</v>
      </c>
      <c r="AE133" s="1185" t="s">
        <v>6376</v>
      </c>
      <c r="AF133" s="1185"/>
      <c r="AG133" s="657"/>
      <c r="AH133" s="657"/>
      <c r="AI133" s="657"/>
      <c r="AJ133" s="657"/>
      <c r="AK133" s="657"/>
      <c r="AL133" s="657"/>
      <c r="AM133" s="657"/>
      <c r="AN133" s="657"/>
      <c r="AO133" s="657"/>
      <c r="AP133" s="657"/>
      <c r="AQ133" s="657"/>
      <c r="AR133" s="657"/>
      <c r="AS133" s="657"/>
      <c r="AT133" s="657"/>
      <c r="AU133" s="657"/>
      <c r="AV133" s="657"/>
      <c r="AW133" s="657"/>
      <c r="AX133" s="657"/>
      <c r="AY133" s="657"/>
      <c r="AZ133" s="657"/>
      <c r="BA133" s="657"/>
      <c r="BB133" s="657"/>
      <c r="BC133" s="657"/>
      <c r="BD133" s="657"/>
      <c r="BE133" s="657"/>
      <c r="BF133" s="657"/>
      <c r="BG133" s="657"/>
      <c r="BH133" s="657"/>
      <c r="BI133" s="657"/>
      <c r="BJ133" s="657"/>
      <c r="BK133" s="657"/>
      <c r="BL133" s="657"/>
      <c r="BM133" s="657"/>
      <c r="BN133" s="657"/>
      <c r="BO133" s="657"/>
      <c r="BP133" s="63"/>
      <c r="BQ133" s="1185" t="s">
        <v>572</v>
      </c>
      <c r="BR133" s="1185" t="s">
        <v>6379</v>
      </c>
      <c r="BS133" s="1185" t="s">
        <v>6380</v>
      </c>
      <c r="BT133" s="1185" t="s">
        <v>6381</v>
      </c>
      <c r="BU133" s="732"/>
      <c r="BV133" s="732"/>
      <c r="BW133" s="732"/>
      <c r="BX133" s="732"/>
      <c r="BY133" s="1193" t="s">
        <v>122</v>
      </c>
      <c r="BZ133" s="1193"/>
      <c r="CA133" s="1193"/>
      <c r="CB133" s="1194" t="s">
        <v>123</v>
      </c>
      <c r="CC133" s="1195"/>
      <c r="CD133" s="63"/>
      <c r="CE133" s="1198" t="s">
        <v>124</v>
      </c>
      <c r="CF133" s="1199"/>
      <c r="CG133" s="63"/>
      <c r="CH133" s="1185" t="s">
        <v>125</v>
      </c>
    </row>
    <row r="134" spans="2:86" ht="30" customHeight="1" outlineLevel="1">
      <c r="B134" s="1184"/>
      <c r="C134" s="1186"/>
      <c r="D134" s="803"/>
      <c r="E134" s="803"/>
      <c r="F134" s="806"/>
      <c r="G134" s="803"/>
      <c r="H134" s="803"/>
      <c r="I134" s="803"/>
      <c r="J134" s="656"/>
      <c r="K134" s="656"/>
      <c r="L134" s="656"/>
      <c r="M134" s="656"/>
      <c r="N134" s="656"/>
      <c r="O134" s="656"/>
      <c r="P134" s="656"/>
      <c r="Q134" s="656"/>
      <c r="R134" s="656"/>
      <c r="S134" s="656"/>
      <c r="T134" s="656"/>
      <c r="U134" s="656"/>
      <c r="V134" s="656"/>
      <c r="W134" s="656"/>
      <c r="X134" s="656"/>
      <c r="Y134" s="656"/>
      <c r="Z134" s="656"/>
      <c r="AA134" s="656"/>
      <c r="AB134" s="656"/>
      <c r="AC134" s="1186"/>
      <c r="AD134" s="1186"/>
      <c r="AE134" s="1186"/>
      <c r="AF134" s="1186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79"/>
      <c r="AW134" s="79"/>
      <c r="AX134" s="79"/>
      <c r="AY134" s="79"/>
      <c r="AZ134" s="79"/>
      <c r="BA134" s="79"/>
      <c r="BB134" s="79"/>
      <c r="BC134" s="79"/>
      <c r="BD134" s="79"/>
      <c r="BE134" s="79"/>
      <c r="BF134" s="79"/>
      <c r="BG134" s="79"/>
      <c r="BH134" s="79"/>
      <c r="BI134" s="79"/>
      <c r="BJ134" s="79"/>
      <c r="BK134" s="79"/>
      <c r="BL134" s="79"/>
      <c r="BM134" s="79"/>
      <c r="BN134" s="79"/>
      <c r="BO134" s="79"/>
      <c r="BP134" s="63"/>
      <c r="BQ134" s="1186"/>
      <c r="BR134" s="1186"/>
      <c r="BS134" s="1186"/>
      <c r="BT134" s="1186"/>
      <c r="BU134" s="712"/>
      <c r="BV134" s="712"/>
      <c r="BW134" s="712"/>
      <c r="BX134" s="712"/>
      <c r="BY134" s="718" t="s">
        <v>106</v>
      </c>
      <c r="BZ134" s="58" t="s">
        <v>107</v>
      </c>
      <c r="CA134" s="720" t="s">
        <v>108</v>
      </c>
      <c r="CB134" s="1196"/>
      <c r="CC134" s="1197"/>
      <c r="CD134" s="63"/>
      <c r="CE134" s="1200"/>
      <c r="CF134" s="1201"/>
      <c r="CG134" s="63"/>
      <c r="CH134" s="1186"/>
    </row>
    <row r="135" spans="2:86" ht="18.75" outlineLevel="1" thickBot="1">
      <c r="B135" s="65"/>
      <c r="C135" s="66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 t="s">
        <v>119</v>
      </c>
      <c r="AD135" s="64" t="s">
        <v>119</v>
      </c>
      <c r="AE135" s="64" t="s">
        <v>6378</v>
      </c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6"/>
      <c r="BP135" s="63"/>
      <c r="BQ135" s="66"/>
      <c r="BR135" s="713"/>
      <c r="BS135" s="713"/>
      <c r="BT135" s="713"/>
      <c r="BU135" s="713"/>
      <c r="BV135" s="713"/>
      <c r="BW135" s="713"/>
      <c r="BX135" s="713"/>
      <c r="BY135" s="713" t="s">
        <v>109</v>
      </c>
      <c r="BZ135" s="66" t="s">
        <v>109</v>
      </c>
      <c r="CA135" s="64" t="s">
        <v>109</v>
      </c>
      <c r="CB135" s="66" t="s">
        <v>109</v>
      </c>
      <c r="CC135" s="721" t="s">
        <v>110</v>
      </c>
      <c r="CD135" s="63"/>
      <c r="CE135" s="724" t="s">
        <v>111</v>
      </c>
      <c r="CF135" s="725" t="s">
        <v>112</v>
      </c>
      <c r="CG135" s="63"/>
      <c r="CH135" s="66" t="s">
        <v>114</v>
      </c>
    </row>
    <row r="136" spans="2:86" ht="15.75" outlineLevel="1" thickBot="1">
      <c r="B136" s="69" t="s">
        <v>6465</v>
      </c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 t="s">
        <v>6385</v>
      </c>
      <c r="AD136" s="69" t="s">
        <v>1350</v>
      </c>
      <c r="AE136" s="736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  <c r="BD136" s="69"/>
      <c r="BE136" s="69"/>
      <c r="BF136" s="69"/>
      <c r="BG136" s="69"/>
      <c r="BH136" s="69"/>
      <c r="BI136" s="69"/>
      <c r="BJ136" s="69"/>
      <c r="BK136" s="69"/>
      <c r="BL136" s="69"/>
      <c r="BM136" s="69"/>
      <c r="BN136" s="69"/>
      <c r="BO136" s="69"/>
      <c r="BP136" s="63"/>
      <c r="BQ136" s="734">
        <f>IF(AC136="",0,VLOOKUP(AC136,FÉ!$C$365:$H$373,6,FALSE))</f>
        <v>0.1</v>
      </c>
      <c r="BR136" s="735">
        <f>AE136*BQ136/FÉ!$C$1072</f>
        <v>0</v>
      </c>
      <c r="BS136" s="735">
        <f>IF(AF136="",BR136,AF136/FÉ!$C$1072)</f>
        <v>0</v>
      </c>
      <c r="BT136" s="719">
        <f>IF(AD136="",0,VLOOKUP(AD136,PRP!$B$18:$J$39,9,FALSE))</f>
        <v>1526</v>
      </c>
      <c r="BU136" s="719"/>
      <c r="BV136" s="719"/>
      <c r="BW136" s="719"/>
      <c r="BX136" s="719"/>
      <c r="BY136" s="719"/>
      <c r="BZ136" s="69"/>
      <c r="CA136" s="700"/>
      <c r="CB136" s="69">
        <f>BT136*BS136 *10^3</f>
        <v>0</v>
      </c>
      <c r="CC136" s="722">
        <f>CB136/(10^6)</f>
        <v>0</v>
      </c>
      <c r="CD136" s="63"/>
      <c r="CE136" s="726"/>
      <c r="CF136" s="727"/>
      <c r="CG136" s="63"/>
      <c r="CH136" s="730">
        <f>IFERROR(IF($M136=0, ,VLOOKUP($M136,FÉ!$B$41:$K$59,7,FALSE))*W136,) + AA136</f>
        <v>0</v>
      </c>
    </row>
    <row r="137" spans="2:86" ht="15.75" outlineLevel="1" thickBot="1">
      <c r="B137" s="72"/>
      <c r="C137" s="78"/>
      <c r="D137" s="78"/>
      <c r="E137" s="707"/>
      <c r="F137" s="750" t="str">
        <f>$B136</f>
        <v>1.4B1</v>
      </c>
      <c r="G137" s="750" t="str">
        <f>$B136</f>
        <v>1.4B1</v>
      </c>
      <c r="H137" s="750" t="str">
        <f>$B136</f>
        <v>1.4B1</v>
      </c>
      <c r="I137" s="707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52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63"/>
      <c r="BQ137" s="70"/>
      <c r="BR137" s="70"/>
      <c r="BS137" s="70"/>
      <c r="BT137" s="70"/>
      <c r="BU137" s="70"/>
      <c r="BV137" s="70"/>
      <c r="BW137" s="70"/>
      <c r="BX137" s="70"/>
      <c r="BY137" s="70">
        <f>SUM(BY136:BY136)</f>
        <v>0</v>
      </c>
      <c r="BZ137" s="70">
        <f>SUM(BZ136:BZ136)</f>
        <v>0</v>
      </c>
      <c r="CA137" s="70">
        <f>SUM(CA136:CA136)</f>
        <v>0</v>
      </c>
      <c r="CB137" s="70">
        <f>SUM(CB136:CB136)</f>
        <v>0</v>
      </c>
      <c r="CC137" s="76">
        <f>SUM(CC136:CC136)</f>
        <v>0</v>
      </c>
      <c r="CD137" s="63"/>
      <c r="CE137" s="77">
        <f>SUM(CE136:CE136)</f>
        <v>0</v>
      </c>
      <c r="CF137" s="76">
        <f>SUM(CF136:CF136)</f>
        <v>0</v>
      </c>
      <c r="CG137" s="63"/>
      <c r="CH137" s="664">
        <f>SUM(CH136:CH136)</f>
        <v>0</v>
      </c>
    </row>
    <row r="139" spans="2:86" ht="31.5">
      <c r="B139" s="1224" t="s">
        <v>6478</v>
      </c>
      <c r="C139" s="1225"/>
      <c r="D139" s="1225"/>
      <c r="E139" s="1225"/>
      <c r="F139" s="1225"/>
      <c r="G139" s="1225"/>
      <c r="H139" s="1225"/>
      <c r="I139" s="1225"/>
      <c r="J139" s="1225"/>
      <c r="K139" s="1225"/>
      <c r="L139" s="1225"/>
      <c r="M139" s="1225"/>
      <c r="N139" s="1225"/>
      <c r="O139" s="1225"/>
      <c r="P139" s="1225"/>
      <c r="Q139" s="1225"/>
      <c r="R139" s="1225"/>
      <c r="S139" s="1225"/>
      <c r="T139" s="1225"/>
      <c r="U139" s="1225"/>
      <c r="V139" s="1225"/>
      <c r="W139" s="1225"/>
      <c r="X139" s="1225"/>
      <c r="Y139" s="1225"/>
      <c r="Z139" s="1225"/>
      <c r="AA139" s="1225"/>
      <c r="AB139" s="1225"/>
      <c r="AC139" s="1225"/>
      <c r="AD139" s="1225"/>
      <c r="AE139" s="1225"/>
      <c r="AF139" s="1225"/>
      <c r="AG139" s="1225"/>
      <c r="AH139" s="1225"/>
      <c r="AI139" s="1225"/>
      <c r="AJ139" s="1225"/>
      <c r="AK139" s="1225"/>
      <c r="AL139" s="1225"/>
      <c r="AM139" s="1225"/>
      <c r="AN139" s="1225"/>
      <c r="AO139" s="1225"/>
      <c r="AP139" s="1225"/>
      <c r="AQ139" s="1225"/>
      <c r="AR139" s="1225"/>
      <c r="AS139" s="1225"/>
      <c r="AT139" s="1225"/>
      <c r="AU139" s="1225"/>
      <c r="AV139" s="1225"/>
      <c r="AW139" s="1225"/>
      <c r="AX139" s="1225"/>
      <c r="AY139" s="1225"/>
      <c r="AZ139" s="1225"/>
      <c r="BA139" s="1225"/>
      <c r="BB139" s="1225"/>
      <c r="BC139" s="1225"/>
      <c r="BD139" s="1225"/>
      <c r="BE139" s="1225"/>
      <c r="BF139" s="1225"/>
      <c r="BG139" s="1225"/>
      <c r="BH139" s="1225"/>
      <c r="BI139" s="1225"/>
      <c r="BJ139" s="1225"/>
      <c r="BK139" s="1225"/>
      <c r="BL139" s="1225"/>
      <c r="BM139" s="1225"/>
      <c r="BN139" s="1225"/>
      <c r="BO139" s="1225"/>
      <c r="BP139" s="1225"/>
      <c r="BQ139" s="1225"/>
      <c r="BR139" s="1225"/>
      <c r="BS139" s="1225"/>
      <c r="BT139" s="1225"/>
      <c r="BU139" s="1225"/>
      <c r="BV139" s="1225"/>
      <c r="BW139" s="1225"/>
      <c r="BX139" s="1225"/>
      <c r="BY139" s="1225"/>
      <c r="BZ139" s="1225"/>
      <c r="CA139" s="1225"/>
      <c r="CB139" s="1225"/>
      <c r="CC139" s="1225"/>
      <c r="CD139" s="1225"/>
      <c r="CE139" s="1225"/>
      <c r="CF139" s="1225"/>
      <c r="CG139" s="1225"/>
      <c r="CH139" s="1225"/>
    </row>
    <row r="140" spans="2:86" ht="15.75" outlineLevel="1" thickBot="1">
      <c r="CH140" s="63"/>
    </row>
    <row r="141" spans="2:86" ht="21.75" outlineLevel="1" thickBot="1">
      <c r="B141" s="1228" t="s">
        <v>115</v>
      </c>
      <c r="C141" s="1229"/>
      <c r="D141" s="1229"/>
      <c r="E141" s="1229"/>
      <c r="F141" s="1229"/>
      <c r="G141" s="1229"/>
      <c r="H141" s="1229"/>
      <c r="I141" s="1229"/>
      <c r="J141" s="1229"/>
      <c r="K141" s="1229"/>
      <c r="L141" s="1229"/>
      <c r="M141" s="1229"/>
      <c r="N141" s="1229"/>
      <c r="O141" s="1229"/>
      <c r="P141" s="1229"/>
      <c r="Q141" s="1229"/>
      <c r="R141" s="1229"/>
      <c r="S141" s="1229"/>
      <c r="T141" s="1229"/>
      <c r="U141" s="1229"/>
      <c r="V141" s="1229"/>
      <c r="W141" s="1229"/>
      <c r="X141" s="1229"/>
      <c r="Y141" s="1229"/>
      <c r="Z141" s="1229"/>
      <c r="AA141" s="1229"/>
      <c r="AB141" s="1229"/>
      <c r="AC141" s="1229"/>
      <c r="AD141" s="1229"/>
      <c r="AE141" s="1229"/>
      <c r="AF141" s="1229"/>
      <c r="AG141" s="1229"/>
      <c r="AH141" s="1229"/>
      <c r="AI141" s="1229"/>
      <c r="AJ141" s="1229"/>
      <c r="AK141" s="1229"/>
      <c r="AL141" s="1229"/>
      <c r="AM141" s="1229"/>
      <c r="AN141" s="1229"/>
      <c r="AO141" s="1229"/>
      <c r="AP141" s="1229"/>
      <c r="AQ141" s="1229"/>
      <c r="AR141" s="1229"/>
      <c r="AS141" s="1229"/>
      <c r="AT141" s="1229"/>
      <c r="AU141" s="1229"/>
      <c r="AV141" s="1229"/>
      <c r="AW141" s="1229"/>
      <c r="AX141" s="1229"/>
      <c r="AY141" s="1229"/>
      <c r="AZ141" s="1229"/>
      <c r="BA141" s="1229"/>
      <c r="BB141" s="1229"/>
      <c r="BC141" s="1229"/>
      <c r="BD141" s="1229"/>
      <c r="BE141" s="1229"/>
      <c r="BF141" s="1229"/>
      <c r="BG141" s="1229"/>
      <c r="BH141" s="1229"/>
      <c r="BI141" s="1229"/>
      <c r="BJ141" s="1229"/>
      <c r="BK141" s="1229"/>
      <c r="BL141" s="1229"/>
      <c r="BM141" s="1229"/>
      <c r="BN141" s="1229"/>
      <c r="BO141" s="1229"/>
      <c r="BP141" s="63"/>
      <c r="BQ141" s="1221" t="s">
        <v>121</v>
      </c>
      <c r="BR141" s="1222"/>
      <c r="BS141" s="1222"/>
      <c r="BT141" s="1222"/>
      <c r="BU141" s="1222"/>
      <c r="BV141" s="1222"/>
      <c r="BW141" s="1222"/>
      <c r="BX141" s="1222"/>
      <c r="BY141" s="1222"/>
      <c r="BZ141" s="1222"/>
      <c r="CA141" s="1222"/>
      <c r="CB141" s="1222"/>
      <c r="CC141" s="1222"/>
      <c r="CD141" s="1222"/>
      <c r="CE141" s="1222"/>
      <c r="CF141" s="1222"/>
      <c r="CG141" s="1222"/>
      <c r="CH141" s="1223"/>
    </row>
    <row r="142" spans="2:86" ht="15" customHeight="1" outlineLevel="1">
      <c r="B142" s="1183" t="s">
        <v>6353</v>
      </c>
      <c r="C142" s="1185" t="s">
        <v>1417</v>
      </c>
      <c r="D142" s="1185" t="s">
        <v>7</v>
      </c>
      <c r="E142" s="1185" t="s">
        <v>127</v>
      </c>
      <c r="F142" s="1187" t="s">
        <v>6348</v>
      </c>
      <c r="G142" s="1185" t="s">
        <v>6333</v>
      </c>
      <c r="H142" s="1185" t="s">
        <v>128</v>
      </c>
      <c r="I142" s="1185" t="s">
        <v>156</v>
      </c>
      <c r="J142" s="655"/>
      <c r="K142" s="655"/>
      <c r="L142" s="655"/>
      <c r="M142" s="655"/>
      <c r="N142" s="655"/>
      <c r="O142" s="655"/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  <c r="AA142" s="655"/>
      <c r="AB142" s="655"/>
      <c r="AC142" s="1185" t="s">
        <v>6373</v>
      </c>
      <c r="AD142" s="1185" t="s">
        <v>6374</v>
      </c>
      <c r="AE142" s="1185" t="s">
        <v>6376</v>
      </c>
      <c r="AF142" s="1185" t="s">
        <v>6386</v>
      </c>
      <c r="AG142" s="657"/>
      <c r="AH142" s="657"/>
      <c r="AI142" s="657"/>
      <c r="AJ142" s="657"/>
      <c r="AK142" s="657"/>
      <c r="AL142" s="657"/>
      <c r="AM142" s="657"/>
      <c r="AN142" s="657"/>
      <c r="AO142" s="657"/>
      <c r="AP142" s="657"/>
      <c r="AQ142" s="657"/>
      <c r="AR142" s="657"/>
      <c r="AS142" s="657"/>
      <c r="AT142" s="657"/>
      <c r="AU142" s="657"/>
      <c r="AV142" s="657"/>
      <c r="AW142" s="657"/>
      <c r="AX142" s="657"/>
      <c r="AY142" s="657"/>
      <c r="AZ142" s="657"/>
      <c r="BA142" s="657"/>
      <c r="BB142" s="657"/>
      <c r="BC142" s="657"/>
      <c r="BD142" s="657"/>
      <c r="BE142" s="657"/>
      <c r="BF142" s="657"/>
      <c r="BG142" s="657"/>
      <c r="BH142" s="657"/>
      <c r="BI142" s="657"/>
      <c r="BJ142" s="657"/>
      <c r="BK142" s="657"/>
      <c r="BL142" s="657"/>
      <c r="BM142" s="657"/>
      <c r="BN142" s="657"/>
      <c r="BO142" s="657"/>
      <c r="BP142" s="63"/>
      <c r="BQ142" s="1185" t="s">
        <v>572</v>
      </c>
      <c r="BR142" s="1185" t="s">
        <v>6379</v>
      </c>
      <c r="BS142" s="1185" t="s">
        <v>6380</v>
      </c>
      <c r="BT142" s="1185" t="s">
        <v>6381</v>
      </c>
      <c r="BU142" s="732"/>
      <c r="BV142" s="732"/>
      <c r="BW142" s="732"/>
      <c r="BX142" s="732"/>
      <c r="BY142" s="1193" t="s">
        <v>122</v>
      </c>
      <c r="BZ142" s="1193"/>
      <c r="CA142" s="1193"/>
      <c r="CB142" s="1194" t="s">
        <v>123</v>
      </c>
      <c r="CC142" s="1195"/>
      <c r="CD142" s="63"/>
      <c r="CE142" s="1198" t="s">
        <v>124</v>
      </c>
      <c r="CF142" s="1199"/>
      <c r="CG142" s="63"/>
      <c r="CH142" s="1185" t="s">
        <v>125</v>
      </c>
    </row>
    <row r="143" spans="2:86" ht="30" customHeight="1" outlineLevel="1">
      <c r="B143" s="1184"/>
      <c r="C143" s="1186"/>
      <c r="D143" s="1186"/>
      <c r="E143" s="1186"/>
      <c r="F143" s="1188"/>
      <c r="G143" s="1186"/>
      <c r="H143" s="1186"/>
      <c r="I143" s="1186"/>
      <c r="J143" s="656"/>
      <c r="K143" s="656"/>
      <c r="L143" s="656"/>
      <c r="M143" s="656"/>
      <c r="N143" s="656"/>
      <c r="O143" s="656"/>
      <c r="P143" s="656"/>
      <c r="Q143" s="656"/>
      <c r="R143" s="656"/>
      <c r="S143" s="656"/>
      <c r="T143" s="656"/>
      <c r="U143" s="656"/>
      <c r="V143" s="656"/>
      <c r="W143" s="656"/>
      <c r="X143" s="656"/>
      <c r="Y143" s="656"/>
      <c r="Z143" s="656"/>
      <c r="AA143" s="656"/>
      <c r="AB143" s="656"/>
      <c r="AC143" s="1186"/>
      <c r="AD143" s="1186"/>
      <c r="AE143" s="1186"/>
      <c r="AF143" s="1186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79"/>
      <c r="AX143" s="79"/>
      <c r="AY143" s="79"/>
      <c r="AZ143" s="79"/>
      <c r="BA143" s="79"/>
      <c r="BB143" s="79"/>
      <c r="BC143" s="79"/>
      <c r="BD143" s="79"/>
      <c r="BE143" s="79"/>
      <c r="BF143" s="79"/>
      <c r="BG143" s="79"/>
      <c r="BH143" s="79"/>
      <c r="BI143" s="79"/>
      <c r="BJ143" s="79"/>
      <c r="BK143" s="79"/>
      <c r="BL143" s="79"/>
      <c r="BM143" s="79"/>
      <c r="BN143" s="79"/>
      <c r="BO143" s="79"/>
      <c r="BP143" s="63"/>
      <c r="BQ143" s="1186"/>
      <c r="BR143" s="1186"/>
      <c r="BS143" s="1186"/>
      <c r="BT143" s="1186"/>
      <c r="BU143" s="712"/>
      <c r="BV143" s="712"/>
      <c r="BW143" s="712"/>
      <c r="BX143" s="712"/>
      <c r="BY143" s="718" t="s">
        <v>106</v>
      </c>
      <c r="BZ143" s="58" t="s">
        <v>107</v>
      </c>
      <c r="CA143" s="720" t="s">
        <v>108</v>
      </c>
      <c r="CB143" s="1196"/>
      <c r="CC143" s="1197"/>
      <c r="CD143" s="63"/>
      <c r="CE143" s="1200"/>
      <c r="CF143" s="1201"/>
      <c r="CG143" s="63"/>
      <c r="CH143" s="1186"/>
    </row>
    <row r="144" spans="2:86" ht="18.75" outlineLevel="1" thickBot="1">
      <c r="B144" s="65"/>
      <c r="C144" s="66"/>
      <c r="D144" s="661" t="s">
        <v>6306</v>
      </c>
      <c r="E144" s="661" t="s">
        <v>6306</v>
      </c>
      <c r="F144" s="661"/>
      <c r="G144" s="661" t="s">
        <v>6306</v>
      </c>
      <c r="H144" s="661" t="s">
        <v>6306</v>
      </c>
      <c r="I144" s="661" t="s">
        <v>6306</v>
      </c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 t="s">
        <v>119</v>
      </c>
      <c r="AD144" s="64" t="s">
        <v>119</v>
      </c>
      <c r="AE144" s="64" t="s">
        <v>6378</v>
      </c>
      <c r="AF144" s="64" t="s">
        <v>6378</v>
      </c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6"/>
      <c r="BP144" s="63"/>
      <c r="BQ144" s="66"/>
      <c r="BR144" s="713"/>
      <c r="BS144" s="713"/>
      <c r="BT144" s="713"/>
      <c r="BU144" s="713"/>
      <c r="BV144" s="713"/>
      <c r="BW144" s="713"/>
      <c r="BX144" s="713"/>
      <c r="BY144" s="713" t="s">
        <v>109</v>
      </c>
      <c r="BZ144" s="66" t="s">
        <v>109</v>
      </c>
      <c r="CA144" s="64" t="s">
        <v>109</v>
      </c>
      <c r="CB144" s="66" t="s">
        <v>109</v>
      </c>
      <c r="CC144" s="721" t="s">
        <v>110</v>
      </c>
      <c r="CD144" s="63"/>
      <c r="CE144" s="724" t="s">
        <v>111</v>
      </c>
      <c r="CF144" s="725" t="s">
        <v>112</v>
      </c>
      <c r="CG144" s="63"/>
      <c r="CH144" s="66" t="s">
        <v>114</v>
      </c>
    </row>
    <row r="145" spans="2:86" outlineLevel="1">
      <c r="B145" s="69" t="s">
        <v>6466</v>
      </c>
      <c r="C145" s="69" t="str" cm="1">
        <f t="array" ref="C145:C147">_xlfn.UNIQUE(Liste_Véhicules_Compagnie)</f>
        <v>Petit camion #1</v>
      </c>
      <c r="D145" s="716"/>
      <c r="E145" s="663">
        <v>45690</v>
      </c>
      <c r="F145" s="69">
        <f>IF(E145=0,"",MONTH(E145))</f>
        <v>2</v>
      </c>
      <c r="G145" s="80" t="s">
        <v>141</v>
      </c>
      <c r="H145" s="80" t="s">
        <v>145</v>
      </c>
      <c r="I145" s="648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 t="s">
        <v>6385</v>
      </c>
      <c r="AD145" s="665" t="s">
        <v>1350</v>
      </c>
      <c r="AE145" s="665">
        <v>2</v>
      </c>
      <c r="AF145" s="736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  <c r="BE145" s="69"/>
      <c r="BF145" s="69"/>
      <c r="BG145" s="69"/>
      <c r="BH145" s="69"/>
      <c r="BI145" s="69"/>
      <c r="BJ145" s="69"/>
      <c r="BK145" s="69"/>
      <c r="BL145" s="69"/>
      <c r="BM145" s="69"/>
      <c r="BN145" s="69"/>
      <c r="BO145" s="69"/>
      <c r="BP145" s="63"/>
      <c r="BQ145" s="734">
        <f>IF(AC145="",0,VLOOKUP(AC145,FÉ!$C$365:$H$373,6,FALSE))</f>
        <v>0.1</v>
      </c>
      <c r="BR145" s="735">
        <f>AE145*BQ145/FÉ!$C$1072</f>
        <v>9.0718474002007096E-2</v>
      </c>
      <c r="BS145" s="735">
        <f>IF(AF145="",BR145,AF145/FÉ!$C$1072)</f>
        <v>9.0718474002007096E-2</v>
      </c>
      <c r="BT145" s="719">
        <f>IF(AD145="",0,VLOOKUP(AD145,PRP!$B$18:$J$39,9,FALSE))</f>
        <v>1526</v>
      </c>
      <c r="BU145" s="719"/>
      <c r="BV145" s="719"/>
      <c r="BW145" s="719"/>
      <c r="BX145" s="719"/>
      <c r="BY145" s="719"/>
      <c r="BZ145" s="69"/>
      <c r="CA145" s="700"/>
      <c r="CB145" s="69">
        <f>BT145*BS145 *10^3</f>
        <v>138436.39132706283</v>
      </c>
      <c r="CC145" s="722">
        <f>CB145/(10^6)</f>
        <v>0.13843639132706281</v>
      </c>
      <c r="CD145" s="63"/>
      <c r="CE145" s="726"/>
      <c r="CF145" s="727"/>
      <c r="CG145" s="63"/>
      <c r="CH145" s="730">
        <f>IFERROR(IF($M145=0, ,VLOOKUP($M145,FÉ!$B$41:$K$59,7,FALSE))*W145,) + AA145</f>
        <v>0</v>
      </c>
    </row>
    <row r="146" spans="2:86" outlineLevel="1">
      <c r="B146" s="69" t="str">
        <f t="shared" ref="B146:B154" si="34">B145</f>
        <v>1.4B2</v>
      </c>
      <c r="C146" s="69" t="str">
        <v>Gros camion #2</v>
      </c>
      <c r="D146" s="80"/>
      <c r="E146" s="663">
        <v>45842</v>
      </c>
      <c r="F146" s="69">
        <f t="shared" ref="F146:F154" si="35">IF(E146=0,"",MONTH(E146))</f>
        <v>7</v>
      </c>
      <c r="G146" s="80" t="s">
        <v>141</v>
      </c>
      <c r="H146" s="80" t="s">
        <v>145</v>
      </c>
      <c r="I146" s="648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 t="s">
        <v>6385</v>
      </c>
      <c r="AD146" s="665" t="s">
        <v>1350</v>
      </c>
      <c r="AE146" s="665">
        <v>2</v>
      </c>
      <c r="AF146" s="736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69"/>
      <c r="BE146" s="69"/>
      <c r="BF146" s="69"/>
      <c r="BG146" s="69"/>
      <c r="BH146" s="69"/>
      <c r="BI146" s="69"/>
      <c r="BJ146" s="69"/>
      <c r="BK146" s="69"/>
      <c r="BL146" s="69"/>
      <c r="BM146" s="69"/>
      <c r="BN146" s="69"/>
      <c r="BO146" s="69"/>
      <c r="BP146" s="63"/>
      <c r="BQ146" s="734">
        <f>IF(AC146="",0,VLOOKUP(AC146,FÉ!$C$365:$H$373,6,FALSE))</f>
        <v>0.1</v>
      </c>
      <c r="BR146" s="735">
        <f>AE146*BQ146/FÉ!$C$1072</f>
        <v>9.0718474002007096E-2</v>
      </c>
      <c r="BS146" s="735">
        <f>IF(AF146="",BR146,AF146/FÉ!$C$1072)</f>
        <v>9.0718474002007096E-2</v>
      </c>
      <c r="BT146" s="719">
        <f>IF(AD146="",0,VLOOKUP(AD146,PRP!$B$18:$J$39,9,FALSE))</f>
        <v>1526</v>
      </c>
      <c r="BU146" s="719"/>
      <c r="BV146" s="719"/>
      <c r="BW146" s="719"/>
      <c r="BX146" s="719"/>
      <c r="BY146" s="719"/>
      <c r="BZ146" s="69"/>
      <c r="CA146" s="700"/>
      <c r="CB146" s="69">
        <f>BT146*BS146 *10^3</f>
        <v>138436.39132706283</v>
      </c>
      <c r="CC146" s="722">
        <f>CB146/(10^6)</f>
        <v>0.13843639132706281</v>
      </c>
      <c r="CD146" s="63"/>
      <c r="CE146" s="726"/>
      <c r="CF146" s="727"/>
      <c r="CG146" s="63"/>
      <c r="CH146" s="730">
        <f>IFERROR(IF($M146=0, ,VLOOKUP($M146,FÉ!$B$41:$K$59,7,FALSE))*W146,) + AA146</f>
        <v>0</v>
      </c>
    </row>
    <row r="147" spans="2:86" outlineLevel="1">
      <c r="B147" s="69" t="str">
        <f t="shared" si="34"/>
        <v>1.4B2</v>
      </c>
      <c r="C147" s="69">
        <v>0</v>
      </c>
      <c r="D147" s="80"/>
      <c r="E147" s="663"/>
      <c r="F147" s="69" t="str">
        <f t="shared" si="35"/>
        <v/>
      </c>
      <c r="G147" s="80"/>
      <c r="H147" s="80"/>
      <c r="I147" s="648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 t="s">
        <v>6385</v>
      </c>
      <c r="AD147" s="665"/>
      <c r="AE147" s="665"/>
      <c r="AF147" s="736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  <c r="BL147" s="69"/>
      <c r="BM147" s="69"/>
      <c r="BN147" s="69"/>
      <c r="BO147" s="69"/>
      <c r="BP147" s="63"/>
      <c r="BQ147" s="734">
        <f>IF(AC147="",0,VLOOKUP(AC147,FÉ!$C$365:$H$373,6,FALSE))</f>
        <v>0.1</v>
      </c>
      <c r="BR147" s="735">
        <f>AE147*BQ147/FÉ!$C$1072</f>
        <v>0</v>
      </c>
      <c r="BS147" s="735">
        <f>IF(AF147="",BR147,AF147/FÉ!$C$1072)</f>
        <v>0</v>
      </c>
      <c r="BT147" s="719">
        <f>IF(AD147="",0,VLOOKUP(AD147,PRP!$B$18:$J$39,9,FALSE))</f>
        <v>0</v>
      </c>
      <c r="BU147" s="719"/>
      <c r="BV147" s="719"/>
      <c r="BW147" s="719"/>
      <c r="BX147" s="719"/>
      <c r="BY147" s="719"/>
      <c r="BZ147" s="69"/>
      <c r="CA147" s="700"/>
      <c r="CB147" s="69">
        <f t="shared" ref="CB147:CB154" si="36">BT147*BS147 *10^3</f>
        <v>0</v>
      </c>
      <c r="CC147" s="722">
        <f t="shared" ref="CC147:CC154" si="37">CB147/(10^6)</f>
        <v>0</v>
      </c>
      <c r="CD147" s="63"/>
      <c r="CE147" s="726"/>
      <c r="CF147" s="727"/>
      <c r="CG147" s="63"/>
      <c r="CH147" s="730">
        <f>IFERROR(IF($M147=0, ,VLOOKUP($M147,FÉ!$B$41:$K$59,7,FALSE))*W147,) + AA147</f>
        <v>0</v>
      </c>
    </row>
    <row r="148" spans="2:86" outlineLevel="1">
      <c r="B148" s="69" t="str">
        <f t="shared" si="34"/>
        <v>1.4B2</v>
      </c>
      <c r="C148" s="69"/>
      <c r="D148" s="80"/>
      <c r="E148" s="663"/>
      <c r="F148" s="69" t="str">
        <f t="shared" si="35"/>
        <v/>
      </c>
      <c r="G148" s="80"/>
      <c r="H148" s="80"/>
      <c r="I148" s="648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 t="s">
        <v>6385</v>
      </c>
      <c r="AD148" s="665"/>
      <c r="AE148" s="665"/>
      <c r="AF148" s="736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69"/>
      <c r="BC148" s="69"/>
      <c r="BD148" s="69"/>
      <c r="BE148" s="69"/>
      <c r="BF148" s="69"/>
      <c r="BG148" s="69"/>
      <c r="BH148" s="69"/>
      <c r="BI148" s="69"/>
      <c r="BJ148" s="69"/>
      <c r="BK148" s="69"/>
      <c r="BL148" s="69"/>
      <c r="BM148" s="69"/>
      <c r="BN148" s="69"/>
      <c r="BO148" s="69"/>
      <c r="BP148" s="63"/>
      <c r="BQ148" s="734">
        <f>IF(AC148="",0,VLOOKUP(AC148,FÉ!$C$365:$H$373,6,FALSE))</f>
        <v>0.1</v>
      </c>
      <c r="BR148" s="735">
        <f>AE148*BQ148/FÉ!$C$1072</f>
        <v>0</v>
      </c>
      <c r="BS148" s="735">
        <f>IF(AF148="",BR148,AF148/FÉ!$C$1072)</f>
        <v>0</v>
      </c>
      <c r="BT148" s="719">
        <f>IF(AD148="",0,VLOOKUP(AD148,PRP!$B$18:$J$39,9,FALSE))</f>
        <v>0</v>
      </c>
      <c r="BU148" s="719"/>
      <c r="BV148" s="719"/>
      <c r="BW148" s="719"/>
      <c r="BX148" s="719"/>
      <c r="BY148" s="719"/>
      <c r="BZ148" s="69"/>
      <c r="CA148" s="700"/>
      <c r="CB148" s="69">
        <f t="shared" si="36"/>
        <v>0</v>
      </c>
      <c r="CC148" s="722">
        <f t="shared" si="37"/>
        <v>0</v>
      </c>
      <c r="CD148" s="63"/>
      <c r="CE148" s="726"/>
      <c r="CF148" s="727"/>
      <c r="CG148" s="63"/>
      <c r="CH148" s="730">
        <f>IFERROR(IF($M148=0, ,VLOOKUP($M148,FÉ!$B$41:$K$59,7,FALSE))*W148,) + AA148</f>
        <v>0</v>
      </c>
    </row>
    <row r="149" spans="2:86" outlineLevel="1">
      <c r="B149" s="69" t="str">
        <f t="shared" si="34"/>
        <v>1.4B2</v>
      </c>
      <c r="C149" s="69"/>
      <c r="D149" s="80"/>
      <c r="E149" s="663"/>
      <c r="F149" s="69" t="str">
        <f t="shared" si="35"/>
        <v/>
      </c>
      <c r="G149" s="80"/>
      <c r="H149" s="80"/>
      <c r="I149" s="648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 t="s">
        <v>6385</v>
      </c>
      <c r="AD149" s="665"/>
      <c r="AE149" s="665"/>
      <c r="AF149" s="736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69"/>
      <c r="BC149" s="69"/>
      <c r="BD149" s="69"/>
      <c r="BE149" s="69"/>
      <c r="BF149" s="69"/>
      <c r="BG149" s="69"/>
      <c r="BH149" s="69"/>
      <c r="BI149" s="69"/>
      <c r="BJ149" s="69"/>
      <c r="BK149" s="69"/>
      <c r="BL149" s="69"/>
      <c r="BM149" s="69"/>
      <c r="BN149" s="69"/>
      <c r="BO149" s="69"/>
      <c r="BP149" s="63"/>
      <c r="BQ149" s="734">
        <f>IF(AC149="",0,VLOOKUP(AC149,FÉ!$C$365:$H$373,6,FALSE))</f>
        <v>0.1</v>
      </c>
      <c r="BR149" s="735">
        <f>AE149*BQ149/FÉ!$C$1072</f>
        <v>0</v>
      </c>
      <c r="BS149" s="735">
        <f>IF(AF149="",BR149,AF149/FÉ!$C$1072)</f>
        <v>0</v>
      </c>
      <c r="BT149" s="719">
        <f>IF(AD149="",0,VLOOKUP(AD149,PRP!$B$18:$J$39,9,FALSE))</f>
        <v>0</v>
      </c>
      <c r="BU149" s="719"/>
      <c r="BV149" s="719"/>
      <c r="BW149" s="719"/>
      <c r="BX149" s="719"/>
      <c r="BY149" s="719"/>
      <c r="BZ149" s="69"/>
      <c r="CA149" s="700"/>
      <c r="CB149" s="69">
        <f t="shared" si="36"/>
        <v>0</v>
      </c>
      <c r="CC149" s="722">
        <f t="shared" si="37"/>
        <v>0</v>
      </c>
      <c r="CD149" s="63"/>
      <c r="CE149" s="726"/>
      <c r="CF149" s="727"/>
      <c r="CG149" s="63"/>
      <c r="CH149" s="730">
        <f>IFERROR(IF($M149=0, ,VLOOKUP($M149,FÉ!$B$41:$K$59,7,FALSE))*W149,) + AA149</f>
        <v>0</v>
      </c>
    </row>
    <row r="150" spans="2:86" outlineLevel="1">
      <c r="B150" s="69" t="str">
        <f t="shared" si="34"/>
        <v>1.4B2</v>
      </c>
      <c r="C150" s="69"/>
      <c r="D150" s="80"/>
      <c r="E150" s="663"/>
      <c r="F150" s="69" t="str">
        <f t="shared" si="35"/>
        <v/>
      </c>
      <c r="G150" s="80"/>
      <c r="H150" s="80"/>
      <c r="I150" s="648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 t="s">
        <v>6385</v>
      </c>
      <c r="AD150" s="665"/>
      <c r="AE150" s="665"/>
      <c r="AF150" s="736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69"/>
      <c r="BC150" s="69"/>
      <c r="BD150" s="69"/>
      <c r="BE150" s="69"/>
      <c r="BF150" s="69"/>
      <c r="BG150" s="69"/>
      <c r="BH150" s="69"/>
      <c r="BI150" s="69"/>
      <c r="BJ150" s="69"/>
      <c r="BK150" s="69"/>
      <c r="BL150" s="69"/>
      <c r="BM150" s="69"/>
      <c r="BN150" s="69"/>
      <c r="BO150" s="69"/>
      <c r="BP150" s="63"/>
      <c r="BQ150" s="734">
        <f>IF(AC150="",0,VLOOKUP(AC150,FÉ!$C$365:$H$373,6,FALSE))</f>
        <v>0.1</v>
      </c>
      <c r="BR150" s="735">
        <f>AE150*BQ150/FÉ!$C$1072</f>
        <v>0</v>
      </c>
      <c r="BS150" s="735">
        <f>IF(AF150="",BR150,AF150/FÉ!$C$1072)</f>
        <v>0</v>
      </c>
      <c r="BT150" s="719">
        <f>IF(AD150="",0,VLOOKUP(AD150,PRP!$B$18:$J$39,9,FALSE))</f>
        <v>0</v>
      </c>
      <c r="BU150" s="719"/>
      <c r="BV150" s="719"/>
      <c r="BW150" s="719"/>
      <c r="BX150" s="719"/>
      <c r="BY150" s="719"/>
      <c r="BZ150" s="69"/>
      <c r="CA150" s="700"/>
      <c r="CB150" s="69">
        <f t="shared" si="36"/>
        <v>0</v>
      </c>
      <c r="CC150" s="722">
        <f t="shared" si="37"/>
        <v>0</v>
      </c>
      <c r="CD150" s="63"/>
      <c r="CE150" s="726"/>
      <c r="CF150" s="727"/>
      <c r="CG150" s="63"/>
      <c r="CH150" s="730">
        <f>IFERROR(IF($M150=0, ,VLOOKUP($M150,FÉ!$B$41:$K$59,7,FALSE))*W150,) + AA150</f>
        <v>0</v>
      </c>
    </row>
    <row r="151" spans="2:86" outlineLevel="1">
      <c r="B151" s="69" t="str">
        <f t="shared" si="34"/>
        <v>1.4B2</v>
      </c>
      <c r="C151" s="69"/>
      <c r="D151" s="80"/>
      <c r="E151" s="663"/>
      <c r="F151" s="69" t="str">
        <f t="shared" si="35"/>
        <v/>
      </c>
      <c r="G151" s="80"/>
      <c r="H151" s="80"/>
      <c r="I151" s="648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 t="s">
        <v>6385</v>
      </c>
      <c r="AD151" s="665"/>
      <c r="AE151" s="665"/>
      <c r="AF151" s="736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69"/>
      <c r="BC151" s="69"/>
      <c r="BD151" s="69"/>
      <c r="BE151" s="69"/>
      <c r="BF151" s="69"/>
      <c r="BG151" s="69"/>
      <c r="BH151" s="69"/>
      <c r="BI151" s="69"/>
      <c r="BJ151" s="69"/>
      <c r="BK151" s="69"/>
      <c r="BL151" s="69"/>
      <c r="BM151" s="69"/>
      <c r="BN151" s="69"/>
      <c r="BO151" s="69"/>
      <c r="BP151" s="63"/>
      <c r="BQ151" s="734">
        <f>IF(AC151="",0,VLOOKUP(AC151,FÉ!$C$365:$H$373,6,FALSE))</f>
        <v>0.1</v>
      </c>
      <c r="BR151" s="735">
        <f>AE151*BQ151/FÉ!$C$1072</f>
        <v>0</v>
      </c>
      <c r="BS151" s="735">
        <f>IF(AF151="",BR151,AF151/FÉ!$C$1072)</f>
        <v>0</v>
      </c>
      <c r="BT151" s="719">
        <f>IF(AD151="",0,VLOOKUP(AD151,PRP!$B$18:$J$39,9,FALSE))</f>
        <v>0</v>
      </c>
      <c r="BU151" s="719"/>
      <c r="BV151" s="719"/>
      <c r="BW151" s="719"/>
      <c r="BX151" s="719"/>
      <c r="BY151" s="719"/>
      <c r="BZ151" s="69"/>
      <c r="CA151" s="700"/>
      <c r="CB151" s="69">
        <f t="shared" si="36"/>
        <v>0</v>
      </c>
      <c r="CC151" s="722">
        <f t="shared" si="37"/>
        <v>0</v>
      </c>
      <c r="CD151" s="63"/>
      <c r="CE151" s="726"/>
      <c r="CF151" s="727"/>
      <c r="CG151" s="63"/>
      <c r="CH151" s="730">
        <f>IFERROR(IF($M151=0, ,VLOOKUP($M151,FÉ!$B$41:$K$59,7,FALSE))*W151,) + AA151</f>
        <v>0</v>
      </c>
    </row>
    <row r="152" spans="2:86" outlineLevel="1">
      <c r="B152" s="69" t="str">
        <f t="shared" si="34"/>
        <v>1.4B2</v>
      </c>
      <c r="C152" s="69"/>
      <c r="D152" s="80"/>
      <c r="E152" s="663"/>
      <c r="F152" s="69" t="str">
        <f t="shared" si="35"/>
        <v/>
      </c>
      <c r="G152" s="80"/>
      <c r="H152" s="80"/>
      <c r="I152" s="648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 t="s">
        <v>6385</v>
      </c>
      <c r="AD152" s="665"/>
      <c r="AE152" s="665"/>
      <c r="AF152" s="736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69"/>
      <c r="BC152" s="69"/>
      <c r="BD152" s="69"/>
      <c r="BE152" s="69"/>
      <c r="BF152" s="69"/>
      <c r="BG152" s="69"/>
      <c r="BH152" s="69"/>
      <c r="BI152" s="69"/>
      <c r="BJ152" s="69"/>
      <c r="BK152" s="69"/>
      <c r="BL152" s="69"/>
      <c r="BM152" s="69"/>
      <c r="BN152" s="69"/>
      <c r="BO152" s="69"/>
      <c r="BP152" s="63"/>
      <c r="BQ152" s="734">
        <f>IF(AC152="",0,VLOOKUP(AC152,FÉ!$C$365:$H$373,6,FALSE))</f>
        <v>0.1</v>
      </c>
      <c r="BR152" s="735">
        <f>AE152*BQ152/FÉ!$C$1072</f>
        <v>0</v>
      </c>
      <c r="BS152" s="735">
        <f>IF(AF152="",BR152,AF152/FÉ!$C$1072)</f>
        <v>0</v>
      </c>
      <c r="BT152" s="719">
        <f>IF(AD152="",0,VLOOKUP(AD152,PRP!$B$18:$J$39,9,FALSE))</f>
        <v>0</v>
      </c>
      <c r="BU152" s="719"/>
      <c r="BV152" s="719"/>
      <c r="BW152" s="719"/>
      <c r="BX152" s="719"/>
      <c r="BY152" s="719"/>
      <c r="BZ152" s="69"/>
      <c r="CA152" s="700"/>
      <c r="CB152" s="69">
        <f t="shared" si="36"/>
        <v>0</v>
      </c>
      <c r="CC152" s="722">
        <f t="shared" si="37"/>
        <v>0</v>
      </c>
      <c r="CD152" s="63"/>
      <c r="CE152" s="726"/>
      <c r="CF152" s="727"/>
      <c r="CG152" s="63"/>
      <c r="CH152" s="730">
        <f>IFERROR(IF($M152=0, ,VLOOKUP($M152,FÉ!$B$41:$K$59,7,FALSE))*W152,) + AA152</f>
        <v>0</v>
      </c>
    </row>
    <row r="153" spans="2:86" outlineLevel="1">
      <c r="B153" s="69" t="str">
        <f t="shared" si="34"/>
        <v>1.4B2</v>
      </c>
      <c r="C153" s="69"/>
      <c r="D153" s="80"/>
      <c r="E153" s="663"/>
      <c r="F153" s="69" t="str">
        <f t="shared" si="35"/>
        <v/>
      </c>
      <c r="G153" s="80"/>
      <c r="H153" s="80"/>
      <c r="I153" s="648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 t="s">
        <v>6385</v>
      </c>
      <c r="AD153" s="665"/>
      <c r="AE153" s="665"/>
      <c r="AF153" s="736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69"/>
      <c r="BC153" s="69"/>
      <c r="BD153" s="69"/>
      <c r="BE153" s="69"/>
      <c r="BF153" s="69"/>
      <c r="BG153" s="69"/>
      <c r="BH153" s="69"/>
      <c r="BI153" s="69"/>
      <c r="BJ153" s="69"/>
      <c r="BK153" s="69"/>
      <c r="BL153" s="69"/>
      <c r="BM153" s="69"/>
      <c r="BN153" s="69"/>
      <c r="BO153" s="69"/>
      <c r="BP153" s="63"/>
      <c r="BQ153" s="734">
        <f>IF(AC153="",0,VLOOKUP(AC153,FÉ!$C$365:$H$373,6,FALSE))</f>
        <v>0.1</v>
      </c>
      <c r="BR153" s="735">
        <f>AE153*BQ153/FÉ!$C$1072</f>
        <v>0</v>
      </c>
      <c r="BS153" s="735">
        <f>IF(AF153="",BR153,AF153/FÉ!$C$1072)</f>
        <v>0</v>
      </c>
      <c r="BT153" s="719">
        <f>IF(AD153="",0,VLOOKUP(AD153,PRP!$B$18:$J$39,9,FALSE))</f>
        <v>0</v>
      </c>
      <c r="BU153" s="719"/>
      <c r="BV153" s="719"/>
      <c r="BW153" s="719"/>
      <c r="BX153" s="719"/>
      <c r="BY153" s="719"/>
      <c r="BZ153" s="69"/>
      <c r="CA153" s="700"/>
      <c r="CB153" s="69">
        <f t="shared" si="36"/>
        <v>0</v>
      </c>
      <c r="CC153" s="722">
        <f t="shared" si="37"/>
        <v>0</v>
      </c>
      <c r="CD153" s="63"/>
      <c r="CE153" s="726"/>
      <c r="CF153" s="727"/>
      <c r="CG153" s="63"/>
      <c r="CH153" s="730">
        <f>IFERROR(IF($M153=0, ,VLOOKUP($M153,FÉ!$B$41:$K$59,7,FALSE))*W153,) + AA153</f>
        <v>0</v>
      </c>
    </row>
    <row r="154" spans="2:86" ht="15.75" outlineLevel="1" thickBot="1">
      <c r="B154" s="69" t="str">
        <f t="shared" si="34"/>
        <v>1.4B2</v>
      </c>
      <c r="C154" s="69"/>
      <c r="D154" s="717"/>
      <c r="E154" s="663"/>
      <c r="F154" s="69" t="str">
        <f t="shared" si="35"/>
        <v/>
      </c>
      <c r="G154" s="80"/>
      <c r="H154" s="80"/>
      <c r="I154" s="648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 t="s">
        <v>6385</v>
      </c>
      <c r="AD154" s="665"/>
      <c r="AE154" s="665"/>
      <c r="AF154" s="736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69"/>
      <c r="BC154" s="69"/>
      <c r="BD154" s="69"/>
      <c r="BE154" s="69"/>
      <c r="BF154" s="69"/>
      <c r="BG154" s="69"/>
      <c r="BH154" s="69"/>
      <c r="BI154" s="69"/>
      <c r="BJ154" s="69"/>
      <c r="BK154" s="69"/>
      <c r="BL154" s="69"/>
      <c r="BM154" s="69"/>
      <c r="BN154" s="69"/>
      <c r="BO154" s="69"/>
      <c r="BP154" s="63"/>
      <c r="BQ154" s="734">
        <f>IF(AC154="",0,VLOOKUP(AC154,FÉ!$C$365:$H$373,6,FALSE))</f>
        <v>0.1</v>
      </c>
      <c r="BR154" s="735">
        <f>AE154*BQ154/FÉ!$C$1072</f>
        <v>0</v>
      </c>
      <c r="BS154" s="735">
        <f>IF(AF154="",BR154,AF154/FÉ!$C$1072)</f>
        <v>0</v>
      </c>
      <c r="BT154" s="719">
        <f>IF(AD154="",0,VLOOKUP(AD154,PRP!$B$18:$J$39,9,FALSE))</f>
        <v>0</v>
      </c>
      <c r="BU154" s="719"/>
      <c r="BV154" s="719"/>
      <c r="BW154" s="719"/>
      <c r="BX154" s="719"/>
      <c r="BY154" s="719"/>
      <c r="BZ154" s="69"/>
      <c r="CA154" s="700"/>
      <c r="CB154" s="69">
        <f t="shared" si="36"/>
        <v>0</v>
      </c>
      <c r="CC154" s="723">
        <f t="shared" si="37"/>
        <v>0</v>
      </c>
      <c r="CD154" s="63"/>
      <c r="CE154" s="728"/>
      <c r="CF154" s="729"/>
      <c r="CG154" s="63"/>
      <c r="CH154" s="731">
        <f>IFERROR(IF($M154=0, ,VLOOKUP($M154,FÉ!$B$41:$K$59,7,FALSE))*W154,) + AA154</f>
        <v>0</v>
      </c>
    </row>
    <row r="155" spans="2:86" ht="15.75" outlineLevel="1" thickBot="1">
      <c r="B155" s="72"/>
      <c r="C155" s="78"/>
      <c r="D155" s="78"/>
      <c r="E155" s="707"/>
      <c r="F155" s="750" t="str">
        <f>$B145</f>
        <v>1.4B2</v>
      </c>
      <c r="G155" s="750" t="str">
        <f>$B145</f>
        <v>1.4B2</v>
      </c>
      <c r="H155" s="750" t="str">
        <f>$B145</f>
        <v>1.4B2</v>
      </c>
      <c r="I155" s="707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52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63"/>
      <c r="BQ155" s="70"/>
      <c r="BR155" s="70"/>
      <c r="BS155" s="70"/>
      <c r="BT155" s="70"/>
      <c r="BU155" s="70"/>
      <c r="BV155" s="70"/>
      <c r="BW155" s="70"/>
      <c r="BX155" s="70"/>
      <c r="BY155" s="70">
        <f>SUM(BY145:BY154)</f>
        <v>0</v>
      </c>
      <c r="BZ155" s="70">
        <f>SUM(BZ145:BZ154)</f>
        <v>0</v>
      </c>
      <c r="CA155" s="70">
        <f>SUM(CA145:CA154)</f>
        <v>0</v>
      </c>
      <c r="CB155" s="70">
        <f>SUM(CB145:CB154)</f>
        <v>276872.78265412565</v>
      </c>
      <c r="CC155" s="76">
        <f>SUM(CC145:CC154)</f>
        <v>0.27687278265412563</v>
      </c>
      <c r="CD155" s="63"/>
      <c r="CE155" s="77">
        <f>SUM(CE145:CE154)</f>
        <v>0</v>
      </c>
      <c r="CF155" s="76">
        <f>SUM(CF145:CF154)</f>
        <v>0</v>
      </c>
      <c r="CG155" s="63"/>
      <c r="CH155" s="664">
        <f>SUM(CH145:CH154)</f>
        <v>0</v>
      </c>
    </row>
    <row r="157" spans="2:86" ht="31.5">
      <c r="B157" s="1203" t="s">
        <v>6480</v>
      </c>
      <c r="C157" s="1204"/>
      <c r="D157" s="1204"/>
      <c r="E157" s="1204"/>
      <c r="F157" s="1204"/>
      <c r="G157" s="1204"/>
      <c r="H157" s="1204"/>
      <c r="I157" s="1204"/>
      <c r="J157" s="1204"/>
      <c r="K157" s="1204"/>
      <c r="L157" s="1204"/>
      <c r="M157" s="1204"/>
      <c r="N157" s="1204"/>
      <c r="O157" s="1204"/>
      <c r="P157" s="1204"/>
      <c r="Q157" s="1204"/>
      <c r="R157" s="1204"/>
      <c r="S157" s="1204"/>
      <c r="T157" s="1204"/>
      <c r="U157" s="1204"/>
      <c r="V157" s="1204"/>
      <c r="W157" s="1204"/>
      <c r="X157" s="1204"/>
      <c r="Y157" s="1204"/>
      <c r="Z157" s="1204"/>
      <c r="AA157" s="1204"/>
      <c r="AB157" s="1204"/>
      <c r="AC157" s="1204"/>
      <c r="AD157" s="1204"/>
      <c r="AE157" s="1204"/>
      <c r="AF157" s="1204"/>
      <c r="AG157" s="1204"/>
      <c r="AH157" s="1204"/>
      <c r="AI157" s="1204"/>
      <c r="AJ157" s="1204"/>
      <c r="AK157" s="1204"/>
      <c r="AL157" s="1204"/>
      <c r="AM157" s="1204"/>
      <c r="AN157" s="1204"/>
      <c r="AO157" s="1204"/>
      <c r="AP157" s="1204"/>
      <c r="AQ157" s="1204"/>
      <c r="AR157" s="1204"/>
      <c r="AS157" s="1204"/>
      <c r="AT157" s="1204"/>
      <c r="AU157" s="1204"/>
      <c r="AV157" s="1204"/>
      <c r="AW157" s="1204"/>
      <c r="AX157" s="1204"/>
      <c r="AY157" s="1204"/>
      <c r="AZ157" s="1204"/>
      <c r="BA157" s="1204"/>
      <c r="BB157" s="1204"/>
      <c r="BC157" s="1204"/>
      <c r="BD157" s="1204"/>
      <c r="BE157" s="1204"/>
      <c r="BF157" s="1204"/>
      <c r="BG157" s="1204"/>
      <c r="BH157" s="1204"/>
      <c r="BI157" s="1204"/>
      <c r="BJ157" s="1204"/>
      <c r="BK157" s="1204"/>
      <c r="BL157" s="1204"/>
      <c r="BM157" s="1204"/>
      <c r="BN157" s="1204"/>
      <c r="BO157" s="1204"/>
      <c r="BP157" s="1204"/>
      <c r="BQ157" s="1204"/>
      <c r="BR157" s="1204"/>
      <c r="BS157" s="1204"/>
      <c r="BT157" s="1204"/>
      <c r="BU157" s="1204"/>
      <c r="BV157" s="1204"/>
      <c r="BW157" s="1204"/>
      <c r="BX157" s="1204"/>
      <c r="BY157" s="1204"/>
      <c r="BZ157" s="1204"/>
      <c r="CA157" s="1204"/>
      <c r="CB157" s="1204"/>
      <c r="CC157" s="1204"/>
      <c r="CD157" s="1204"/>
      <c r="CE157" s="1204"/>
      <c r="CF157" s="1204"/>
      <c r="CG157" s="1204"/>
      <c r="CH157" s="1204"/>
    </row>
    <row r="158" spans="2:86" ht="15.75" outlineLevel="1" thickBot="1">
      <c r="CH158" s="63"/>
    </row>
    <row r="159" spans="2:86" ht="21.75" outlineLevel="1" thickBot="1">
      <c r="B159" s="1205" t="s">
        <v>115</v>
      </c>
      <c r="C159" s="1206"/>
      <c r="D159" s="1206"/>
      <c r="E159" s="1206"/>
      <c r="F159" s="1206"/>
      <c r="G159" s="1206"/>
      <c r="H159" s="1206"/>
      <c r="I159" s="1206"/>
      <c r="J159" s="1206"/>
      <c r="K159" s="1206"/>
      <c r="L159" s="1206"/>
      <c r="M159" s="1206"/>
      <c r="N159" s="1206"/>
      <c r="O159" s="1206"/>
      <c r="P159" s="1206"/>
      <c r="Q159" s="1206"/>
      <c r="R159" s="1206"/>
      <c r="S159" s="1206"/>
      <c r="T159" s="1206"/>
      <c r="U159" s="1206"/>
      <c r="V159" s="1206"/>
      <c r="W159" s="1206"/>
      <c r="X159" s="1206"/>
      <c r="Y159" s="1206"/>
      <c r="Z159" s="1206"/>
      <c r="AA159" s="1206"/>
      <c r="AB159" s="1206"/>
      <c r="AC159" s="1206"/>
      <c r="AD159" s="1206"/>
      <c r="AE159" s="1206"/>
      <c r="AF159" s="1206"/>
      <c r="AG159" s="1206"/>
      <c r="AH159" s="1206"/>
      <c r="AI159" s="1206"/>
      <c r="AJ159" s="1206"/>
      <c r="AK159" s="1206"/>
      <c r="AL159" s="1206"/>
      <c r="AM159" s="1206"/>
      <c r="AN159" s="1206"/>
      <c r="AO159" s="1206"/>
      <c r="AP159" s="1206"/>
      <c r="AQ159" s="1206"/>
      <c r="AR159" s="1206"/>
      <c r="AS159" s="1206"/>
      <c r="AT159" s="1206"/>
      <c r="AU159" s="1206"/>
      <c r="AV159" s="1206"/>
      <c r="AW159" s="1206"/>
      <c r="AX159" s="1206"/>
      <c r="AY159" s="1206"/>
      <c r="AZ159" s="1206"/>
      <c r="BA159" s="1206"/>
      <c r="BB159" s="1206"/>
      <c r="BC159" s="1206"/>
      <c r="BD159" s="1206"/>
      <c r="BE159" s="1206"/>
      <c r="BF159" s="1206"/>
      <c r="BG159" s="1206"/>
      <c r="BH159" s="1206"/>
      <c r="BI159" s="1206"/>
      <c r="BJ159" s="1206"/>
      <c r="BK159" s="1206"/>
      <c r="BL159" s="1206"/>
      <c r="BM159" s="1206"/>
      <c r="BN159" s="1206"/>
      <c r="BO159" s="1206"/>
      <c r="BP159" s="63"/>
      <c r="BQ159" s="1207" t="s">
        <v>121</v>
      </c>
      <c r="BR159" s="1208"/>
      <c r="BS159" s="1208"/>
      <c r="BT159" s="1208"/>
      <c r="BU159" s="1208"/>
      <c r="BV159" s="1208"/>
      <c r="BW159" s="1208"/>
      <c r="BX159" s="1208"/>
      <c r="BY159" s="1208"/>
      <c r="BZ159" s="1208"/>
      <c r="CA159" s="1208"/>
      <c r="CB159" s="1208"/>
      <c r="CC159" s="1208"/>
      <c r="CD159" s="1208"/>
      <c r="CE159" s="1208"/>
      <c r="CF159" s="1208"/>
      <c r="CG159" s="1208"/>
      <c r="CH159" s="1209"/>
    </row>
    <row r="160" spans="2:86" ht="15" customHeight="1" outlineLevel="1">
      <c r="B160" s="1183" t="s">
        <v>6353</v>
      </c>
      <c r="C160" s="1185" t="s">
        <v>6387</v>
      </c>
      <c r="D160" s="1185" t="s">
        <v>6388</v>
      </c>
      <c r="E160" s="1185" t="s">
        <v>127</v>
      </c>
      <c r="F160" s="1187" t="s">
        <v>6348</v>
      </c>
      <c r="G160" s="1185" t="s">
        <v>6333</v>
      </c>
      <c r="H160" s="1185" t="s">
        <v>128</v>
      </c>
      <c r="I160" s="1185" t="s">
        <v>156</v>
      </c>
      <c r="J160" s="655"/>
      <c r="K160" s="655"/>
      <c r="L160" s="655"/>
      <c r="M160" s="655"/>
      <c r="N160" s="655"/>
      <c r="O160" s="655"/>
      <c r="P160" s="655"/>
      <c r="Q160" s="655"/>
      <c r="R160" s="655"/>
      <c r="S160" s="655"/>
      <c r="T160" s="655"/>
      <c r="U160" s="655"/>
      <c r="V160" s="655"/>
      <c r="W160" s="655"/>
      <c r="X160" s="655"/>
      <c r="Y160" s="655"/>
      <c r="Z160" s="655"/>
      <c r="AA160" s="655"/>
      <c r="AB160" s="655"/>
      <c r="AC160" s="655"/>
      <c r="AD160" s="655"/>
      <c r="AE160" s="655"/>
      <c r="AF160" s="655"/>
      <c r="AG160" s="655"/>
      <c r="AH160" s="1185" t="s">
        <v>6393</v>
      </c>
      <c r="AI160" s="1185" t="s">
        <v>6394</v>
      </c>
      <c r="AJ160" s="657"/>
      <c r="AK160" s="657"/>
      <c r="AL160" s="657"/>
      <c r="AM160" s="657"/>
      <c r="AN160" s="657"/>
      <c r="AO160" s="657"/>
      <c r="AP160" s="657"/>
      <c r="AQ160" s="657"/>
      <c r="AR160" s="657"/>
      <c r="AS160" s="657"/>
      <c r="AT160" s="657"/>
      <c r="AU160" s="657"/>
      <c r="AV160" s="657"/>
      <c r="AW160" s="657"/>
      <c r="AX160" s="657"/>
      <c r="AY160" s="657"/>
      <c r="AZ160" s="657"/>
      <c r="BA160" s="657"/>
      <c r="BB160" s="657"/>
      <c r="BC160" s="657"/>
      <c r="BD160" s="657"/>
      <c r="BE160" s="657"/>
      <c r="BF160" s="657"/>
      <c r="BG160" s="657"/>
      <c r="BH160" s="657"/>
      <c r="BI160" s="657"/>
      <c r="BJ160" s="657"/>
      <c r="BK160" s="657"/>
      <c r="BL160" s="657"/>
      <c r="BM160" s="657"/>
      <c r="BN160" s="657"/>
      <c r="BO160" s="657"/>
      <c r="BP160" s="63"/>
      <c r="BQ160" s="732"/>
      <c r="BR160" s="732"/>
      <c r="BS160" s="732"/>
      <c r="BT160" s="732"/>
      <c r="BU160" s="732"/>
      <c r="BV160" s="732"/>
      <c r="BW160" s="732"/>
      <c r="BX160" s="732"/>
      <c r="BY160" s="1193" t="s">
        <v>122</v>
      </c>
      <c r="BZ160" s="1193"/>
      <c r="CA160" s="1193"/>
      <c r="CB160" s="1194" t="s">
        <v>123</v>
      </c>
      <c r="CC160" s="1195"/>
      <c r="CD160" s="63"/>
      <c r="CE160" s="1198" t="s">
        <v>124</v>
      </c>
      <c r="CF160" s="1199"/>
      <c r="CG160" s="63"/>
      <c r="CH160" s="1185" t="s">
        <v>125</v>
      </c>
    </row>
    <row r="161" spans="2:86" ht="30" customHeight="1" outlineLevel="1">
      <c r="B161" s="1184"/>
      <c r="C161" s="1186"/>
      <c r="D161" s="1186"/>
      <c r="E161" s="1186"/>
      <c r="F161" s="1188"/>
      <c r="G161" s="1186"/>
      <c r="H161" s="1186"/>
      <c r="I161" s="1186"/>
      <c r="J161" s="656"/>
      <c r="K161" s="656"/>
      <c r="L161" s="656"/>
      <c r="M161" s="656"/>
      <c r="N161" s="656"/>
      <c r="O161" s="656"/>
      <c r="P161" s="656"/>
      <c r="Q161" s="656"/>
      <c r="R161" s="656"/>
      <c r="S161" s="656"/>
      <c r="T161" s="656"/>
      <c r="U161" s="656"/>
      <c r="V161" s="656"/>
      <c r="W161" s="656"/>
      <c r="X161" s="656"/>
      <c r="Y161" s="656"/>
      <c r="Z161" s="656"/>
      <c r="AA161" s="656"/>
      <c r="AB161" s="656"/>
      <c r="AC161" s="656"/>
      <c r="AD161" s="656"/>
      <c r="AE161" s="656"/>
      <c r="AF161" s="656"/>
      <c r="AG161" s="656"/>
      <c r="AH161" s="1186"/>
      <c r="AI161" s="1186"/>
      <c r="AJ161" s="79"/>
      <c r="AK161" s="79"/>
      <c r="AL161" s="79"/>
      <c r="AM161" s="79"/>
      <c r="AN161" s="79"/>
      <c r="AO161" s="79"/>
      <c r="AP161" s="79"/>
      <c r="AQ161" s="79"/>
      <c r="AR161" s="79"/>
      <c r="AS161" s="79"/>
      <c r="AT161" s="79"/>
      <c r="AU161" s="79"/>
      <c r="AV161" s="79"/>
      <c r="AW161" s="79"/>
      <c r="AX161" s="79"/>
      <c r="AY161" s="79"/>
      <c r="AZ161" s="79"/>
      <c r="BA161" s="79"/>
      <c r="BB161" s="79"/>
      <c r="BC161" s="79"/>
      <c r="BD161" s="79"/>
      <c r="BE161" s="79"/>
      <c r="BF161" s="79"/>
      <c r="BG161" s="79"/>
      <c r="BH161" s="79"/>
      <c r="BI161" s="79"/>
      <c r="BJ161" s="79"/>
      <c r="BK161" s="79"/>
      <c r="BL161" s="79"/>
      <c r="BM161" s="79"/>
      <c r="BN161" s="79"/>
      <c r="BO161" s="79"/>
      <c r="BP161" s="63"/>
      <c r="BQ161" s="1325"/>
      <c r="BR161" s="712"/>
      <c r="BS161" s="712"/>
      <c r="BT161" s="712"/>
      <c r="BU161" s="712"/>
      <c r="BV161" s="712"/>
      <c r="BW161" s="712"/>
      <c r="BX161" s="712"/>
      <c r="BY161" s="718" t="s">
        <v>106</v>
      </c>
      <c r="BZ161" s="58" t="s">
        <v>107</v>
      </c>
      <c r="CA161" s="720" t="s">
        <v>108</v>
      </c>
      <c r="CB161" s="1196"/>
      <c r="CC161" s="1197"/>
      <c r="CD161" s="63"/>
      <c r="CE161" s="1200"/>
      <c r="CF161" s="1201"/>
      <c r="CG161" s="63"/>
      <c r="CH161" s="1186"/>
    </row>
    <row r="162" spans="2:86" ht="18.75" outlineLevel="1" thickBot="1">
      <c r="B162" s="65"/>
      <c r="C162" s="66"/>
      <c r="D162" s="661" t="s">
        <v>6306</v>
      </c>
      <c r="E162" s="661" t="s">
        <v>6306</v>
      </c>
      <c r="F162" s="661"/>
      <c r="G162" s="661" t="s">
        <v>6306</v>
      </c>
      <c r="H162" s="661" t="s">
        <v>6306</v>
      </c>
      <c r="I162" s="661" t="s">
        <v>6306</v>
      </c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 t="s">
        <v>119</v>
      </c>
      <c r="AI162" s="64" t="s">
        <v>114</v>
      </c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6"/>
      <c r="BP162" s="63"/>
      <c r="BQ162" s="66"/>
      <c r="BR162" s="713"/>
      <c r="BS162" s="713"/>
      <c r="BT162" s="713"/>
      <c r="BU162" s="713"/>
      <c r="BV162" s="713"/>
      <c r="BW162" s="713"/>
      <c r="BX162" s="713"/>
      <c r="BY162" s="713" t="s">
        <v>109</v>
      </c>
      <c r="BZ162" s="66" t="s">
        <v>109</v>
      </c>
      <c r="CA162" s="64" t="s">
        <v>109</v>
      </c>
      <c r="CB162" s="66" t="s">
        <v>109</v>
      </c>
      <c r="CC162" s="721" t="s">
        <v>110</v>
      </c>
      <c r="CD162" s="63"/>
      <c r="CE162" s="724" t="s">
        <v>111</v>
      </c>
      <c r="CF162" s="725" t="s">
        <v>112</v>
      </c>
      <c r="CG162" s="63"/>
      <c r="CH162" s="66" t="s">
        <v>114</v>
      </c>
    </row>
    <row r="163" spans="2:86" outlineLevel="1">
      <c r="B163" s="69" t="s">
        <v>6481</v>
      </c>
      <c r="C163" s="716"/>
      <c r="D163" s="716"/>
      <c r="E163" s="662"/>
      <c r="F163" s="69" t="str">
        <f>IF(E163=0,"",MONTH(E163))</f>
        <v/>
      </c>
      <c r="G163" s="80"/>
      <c r="H163" s="80"/>
      <c r="I163" s="648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736"/>
      <c r="AI163" s="736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  <c r="BC163" s="69"/>
      <c r="BD163" s="69"/>
      <c r="BE163" s="69"/>
      <c r="BF163" s="69"/>
      <c r="BG163" s="69"/>
      <c r="BH163" s="69"/>
      <c r="BI163" s="69"/>
      <c r="BJ163" s="69"/>
      <c r="BK163" s="69"/>
      <c r="BL163" s="69"/>
      <c r="BM163" s="69"/>
      <c r="BN163" s="69"/>
      <c r="BO163" s="69"/>
      <c r="BP163" s="63"/>
      <c r="BQ163" s="734"/>
      <c r="BR163" s="735"/>
      <c r="BS163" s="735"/>
      <c r="BT163" s="719"/>
      <c r="BU163" s="719"/>
      <c r="BV163" s="719"/>
      <c r="BW163" s="719"/>
      <c r="BX163" s="719"/>
      <c r="BY163" s="719">
        <f>IF($AH163=0, ,VLOOKUP($AH163,FÉ!$B$385:$L$434,8,FALSE)*$AI163*PRP!$J$8)</f>
        <v>0</v>
      </c>
      <c r="BZ163" s="69">
        <f>IF($AH163=0, ,VLOOKUP($AH163,FÉ!$B$385:$L$434,9,FALSE)*$AI163*PRP!$J$9)</f>
        <v>0</v>
      </c>
      <c r="CA163" s="700">
        <f>IF($AH163=0, ,VLOOKUP($AH163,FÉ!$B$385:$L$434,9,FALSE)*$AI163*PRP!$J$9)</f>
        <v>0</v>
      </c>
      <c r="CB163" s="69">
        <f t="shared" ref="CB163:CB172" si="38">SUM(BY163:CA163)</f>
        <v>0</v>
      </c>
      <c r="CC163" s="722">
        <f>CB163/(10^6)</f>
        <v>0</v>
      </c>
      <c r="CD163" s="63"/>
      <c r="CE163" s="726"/>
      <c r="CF163" s="727"/>
      <c r="CG163" s="63"/>
      <c r="CH163" s="730">
        <f>AI163</f>
        <v>0</v>
      </c>
    </row>
    <row r="164" spans="2:86" outlineLevel="1">
      <c r="B164" s="69" t="str">
        <f t="shared" ref="B164:B172" si="39">B163</f>
        <v>2.1A1</v>
      </c>
      <c r="C164" s="80"/>
      <c r="D164" s="80"/>
      <c r="E164" s="663"/>
      <c r="F164" s="69" t="str">
        <f t="shared" ref="F164:F172" si="40">IF(E164=0,"",MONTH(E164))</f>
        <v/>
      </c>
      <c r="G164" s="80"/>
      <c r="H164" s="80"/>
      <c r="I164" s="648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736"/>
      <c r="AI164" s="736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  <c r="BC164" s="69"/>
      <c r="BD164" s="69"/>
      <c r="BE164" s="69"/>
      <c r="BF164" s="69"/>
      <c r="BG164" s="69"/>
      <c r="BH164" s="69"/>
      <c r="BI164" s="69"/>
      <c r="BJ164" s="69"/>
      <c r="BK164" s="69"/>
      <c r="BL164" s="69"/>
      <c r="BM164" s="69"/>
      <c r="BN164" s="69"/>
      <c r="BO164" s="69"/>
      <c r="BP164" s="63"/>
      <c r="BQ164" s="734"/>
      <c r="BR164" s="735"/>
      <c r="BS164" s="735"/>
      <c r="BT164" s="719"/>
      <c r="BU164" s="719"/>
      <c r="BV164" s="719"/>
      <c r="BW164" s="719"/>
      <c r="BX164" s="719"/>
      <c r="BY164" s="719">
        <f>IF($AH164=0, ,VLOOKUP($AH164,FÉ!$B$385:$L$434,8,FALSE)*$AI164*PRP!$J$8)</f>
        <v>0</v>
      </c>
      <c r="BZ164" s="69">
        <f>IF($AH164=0, ,VLOOKUP($AH164,FÉ!$B$385:$L$434,9,FALSE)*$AI164*PRP!$J$9)</f>
        <v>0</v>
      </c>
      <c r="CA164" s="700">
        <f>IF($AH164=0, ,VLOOKUP($AH164,FÉ!$B$385:$L$434,9,FALSE)*$AI164*PRP!$J$9)</f>
        <v>0</v>
      </c>
      <c r="CB164" s="69">
        <f t="shared" si="38"/>
        <v>0</v>
      </c>
      <c r="CC164" s="722">
        <f>CB164/(10^6)</f>
        <v>0</v>
      </c>
      <c r="CD164" s="63"/>
      <c r="CE164" s="726"/>
      <c r="CF164" s="727"/>
      <c r="CG164" s="63"/>
      <c r="CH164" s="730">
        <f>AI164</f>
        <v>0</v>
      </c>
    </row>
    <row r="165" spans="2:86" outlineLevel="1">
      <c r="B165" s="69" t="str">
        <f t="shared" si="39"/>
        <v>2.1A1</v>
      </c>
      <c r="C165" s="80"/>
      <c r="D165" s="80"/>
      <c r="E165" s="663">
        <v>45690</v>
      </c>
      <c r="F165" s="69">
        <f t="shared" si="40"/>
        <v>2</v>
      </c>
      <c r="G165" s="80" t="s">
        <v>141</v>
      </c>
      <c r="H165" s="80" t="s">
        <v>145</v>
      </c>
      <c r="I165" s="648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736" t="s">
        <v>599</v>
      </c>
      <c r="AI165" s="736">
        <v>1500</v>
      </c>
      <c r="AJ165" s="69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69"/>
      <c r="BC165" s="69"/>
      <c r="BD165" s="69"/>
      <c r="BE165" s="69"/>
      <c r="BF165" s="69"/>
      <c r="BG165" s="69"/>
      <c r="BH165" s="69"/>
      <c r="BI165" s="69"/>
      <c r="BJ165" s="69"/>
      <c r="BK165" s="69"/>
      <c r="BL165" s="69"/>
      <c r="BM165" s="69"/>
      <c r="BN165" s="69"/>
      <c r="BO165" s="69"/>
      <c r="BP165" s="63"/>
      <c r="BQ165" s="734"/>
      <c r="BR165" s="735"/>
      <c r="BS165" s="735"/>
      <c r="BT165" s="719"/>
      <c r="BU165" s="719"/>
      <c r="BV165" s="719"/>
      <c r="BW165" s="719"/>
      <c r="BX165" s="719"/>
      <c r="BY165" s="719">
        <f>IF($AH165=0, ,VLOOKUP($AH165,FÉ!$B$385:$L$434,8,FALSE)*$AI165*PRP!$J$8)</f>
        <v>1080258.8336622412</v>
      </c>
      <c r="BZ165" s="69">
        <f>IF($AH165=0, ,VLOOKUP($AH165,FÉ!$B$385:$L$434,9,FALSE)*$AI165*PRP!$J$9)</f>
        <v>0</v>
      </c>
      <c r="CA165" s="700">
        <f>IF($AH165=0, ,VLOOKUP($AH165,FÉ!$B$385:$L$434,9,FALSE)*$AI165*PRP!$J$9)</f>
        <v>0</v>
      </c>
      <c r="CB165" s="69">
        <f t="shared" si="38"/>
        <v>1080258.8336622412</v>
      </c>
      <c r="CC165" s="722">
        <f t="shared" ref="CC165:CC172" si="41">CB165/(10^6)</f>
        <v>1.0802588336622412</v>
      </c>
      <c r="CD165" s="63"/>
      <c r="CE165" s="726"/>
      <c r="CF165" s="727"/>
      <c r="CG165" s="63"/>
      <c r="CH165" s="730">
        <f>AI165</f>
        <v>1500</v>
      </c>
    </row>
    <row r="166" spans="2:86" outlineLevel="1">
      <c r="B166" s="69" t="str">
        <f t="shared" si="39"/>
        <v>2.1A1</v>
      </c>
      <c r="C166" s="80"/>
      <c r="D166" s="80"/>
      <c r="E166" s="663">
        <v>45691</v>
      </c>
      <c r="F166" s="69">
        <f t="shared" si="40"/>
        <v>2</v>
      </c>
      <c r="G166" s="80" t="s">
        <v>136</v>
      </c>
      <c r="H166" s="80"/>
      <c r="I166" s="648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736" t="s">
        <v>596</v>
      </c>
      <c r="AI166" s="736">
        <v>1500</v>
      </c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69"/>
      <c r="BC166" s="69"/>
      <c r="BD166" s="69"/>
      <c r="BE166" s="69"/>
      <c r="BF166" s="69"/>
      <c r="BG166" s="69"/>
      <c r="BH166" s="69"/>
      <c r="BI166" s="69"/>
      <c r="BJ166" s="69"/>
      <c r="BK166" s="69"/>
      <c r="BL166" s="69"/>
      <c r="BM166" s="69"/>
      <c r="BN166" s="69"/>
      <c r="BO166" s="69"/>
      <c r="BP166" s="63"/>
      <c r="BQ166" s="734"/>
      <c r="BR166" s="735"/>
      <c r="BS166" s="735"/>
      <c r="BT166" s="719"/>
      <c r="BU166" s="719"/>
      <c r="BV166" s="719"/>
      <c r="BW166" s="719"/>
      <c r="BX166" s="719"/>
      <c r="BY166" s="719">
        <f>IF($AH166=0, ,VLOOKUP($AH166,FÉ!$B$385:$L$434,8,FALSE)*$AI166*PRP!$J$8)</f>
        <v>1950</v>
      </c>
      <c r="BZ166" s="69">
        <f>IF($AH166=0, ,VLOOKUP($AH166,FÉ!$B$385:$L$434,9,FALSE)*$AI166*PRP!$J$9)</f>
        <v>0</v>
      </c>
      <c r="CA166" s="700">
        <f>IF($AH166=0, ,VLOOKUP($AH166,FÉ!$B$385:$L$434,9,FALSE)*$AI166*PRP!$J$9)</f>
        <v>0</v>
      </c>
      <c r="CB166" s="69">
        <f t="shared" si="38"/>
        <v>1950</v>
      </c>
      <c r="CC166" s="722">
        <f t="shared" si="41"/>
        <v>1.9499999999999999E-3</v>
      </c>
      <c r="CD166" s="63"/>
      <c r="CE166" s="726"/>
      <c r="CF166" s="727"/>
      <c r="CG166" s="63"/>
      <c r="CH166" s="730">
        <f>AI166</f>
        <v>1500</v>
      </c>
    </row>
    <row r="167" spans="2:86" outlineLevel="1">
      <c r="B167" s="69" t="str">
        <f t="shared" si="39"/>
        <v>2.1A1</v>
      </c>
      <c r="C167" s="80"/>
      <c r="D167" s="80"/>
      <c r="E167" s="663">
        <v>45692</v>
      </c>
      <c r="F167" s="69">
        <f t="shared" si="40"/>
        <v>2</v>
      </c>
      <c r="G167" s="80" t="s">
        <v>137</v>
      </c>
      <c r="H167" s="80" t="s">
        <v>147</v>
      </c>
      <c r="I167" s="648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736" t="s">
        <v>596</v>
      </c>
      <c r="AI167" s="736">
        <v>1500</v>
      </c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69"/>
      <c r="BC167" s="69"/>
      <c r="BD167" s="69"/>
      <c r="BE167" s="69"/>
      <c r="BF167" s="69"/>
      <c r="BG167" s="69"/>
      <c r="BH167" s="69"/>
      <c r="BI167" s="69"/>
      <c r="BJ167" s="69"/>
      <c r="BK167" s="69"/>
      <c r="BL167" s="69"/>
      <c r="BM167" s="69"/>
      <c r="BN167" s="69"/>
      <c r="BO167" s="69"/>
      <c r="BP167" s="63"/>
      <c r="BQ167" s="734"/>
      <c r="BR167" s="735"/>
      <c r="BS167" s="735"/>
      <c r="BT167" s="719"/>
      <c r="BU167" s="719"/>
      <c r="BV167" s="719"/>
      <c r="BW167" s="719"/>
      <c r="BX167" s="719"/>
      <c r="BY167" s="719">
        <f>IF($AH167=0, ,VLOOKUP($AH167,FÉ!$B$385:$L$434,8,FALSE)*$AI167*PRP!$J$8)</f>
        <v>1950</v>
      </c>
      <c r="BZ167" s="69">
        <f>IF($AH167=0, ,VLOOKUP($AH167,FÉ!$B$385:$L$434,9,FALSE)*$AI167*PRP!$J$9)</f>
        <v>0</v>
      </c>
      <c r="CA167" s="700">
        <f>IF($AH167=0, ,VLOOKUP($AH167,FÉ!$B$385:$L$434,9,FALSE)*$AI167*PRP!$J$9)</f>
        <v>0</v>
      </c>
      <c r="CB167" s="69">
        <f t="shared" si="38"/>
        <v>1950</v>
      </c>
      <c r="CC167" s="722">
        <f t="shared" si="41"/>
        <v>1.9499999999999999E-3</v>
      </c>
      <c r="CD167" s="63"/>
      <c r="CE167" s="726"/>
      <c r="CF167" s="727"/>
      <c r="CG167" s="63"/>
      <c r="CH167" s="730">
        <f>AI167</f>
        <v>1500</v>
      </c>
    </row>
    <row r="168" spans="2:86" outlineLevel="1">
      <c r="B168" s="69" t="str">
        <f t="shared" si="39"/>
        <v>2.1A1</v>
      </c>
      <c r="C168" s="80"/>
      <c r="D168" s="80"/>
      <c r="E168" s="663">
        <v>45693</v>
      </c>
      <c r="F168" s="69">
        <f t="shared" si="40"/>
        <v>2</v>
      </c>
      <c r="G168" s="80" t="s">
        <v>139</v>
      </c>
      <c r="H168" s="80" t="s">
        <v>147</v>
      </c>
      <c r="I168" s="648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736" t="s">
        <v>653</v>
      </c>
      <c r="AI168" s="736">
        <v>1500</v>
      </c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69"/>
      <c r="BC168" s="69"/>
      <c r="BD168" s="69"/>
      <c r="BE168" s="69"/>
      <c r="BF168" s="69"/>
      <c r="BG168" s="69"/>
      <c r="BH168" s="69"/>
      <c r="BI168" s="69"/>
      <c r="BJ168" s="69"/>
      <c r="BK168" s="69"/>
      <c r="BL168" s="69"/>
      <c r="BM168" s="69"/>
      <c r="BN168" s="69"/>
      <c r="BO168" s="69"/>
      <c r="BP168" s="63"/>
      <c r="BQ168" s="734"/>
      <c r="BR168" s="735"/>
      <c r="BS168" s="735"/>
      <c r="BT168" s="719"/>
      <c r="BU168" s="719"/>
      <c r="BV168" s="719"/>
      <c r="BW168" s="719"/>
      <c r="BX168" s="719"/>
      <c r="BY168" s="719">
        <f>IF($AH168=0, ,VLOOKUP($AH168,FÉ!$B$385:$L$434,8,FALSE)*$AI168*PRP!$J$8)</f>
        <v>423873.22472316289</v>
      </c>
      <c r="BZ168" s="69">
        <f>IF($AH168=0, ,VLOOKUP($AH168,FÉ!$B$385:$L$434,9,FALSE)*$AI168*PRP!$J$9)</f>
        <v>952.95221015408345</v>
      </c>
      <c r="CA168" s="700">
        <f>IF($AH168=0, ,VLOOKUP($AH168,FÉ!$B$385:$L$434,9,FALSE)*$AI168*PRP!$J$9)</f>
        <v>952.95221015408345</v>
      </c>
      <c r="CB168" s="69">
        <f t="shared" si="38"/>
        <v>425779.12914347107</v>
      </c>
      <c r="CC168" s="722">
        <f t="shared" si="41"/>
        <v>0.42577912914347105</v>
      </c>
      <c r="CD168" s="63"/>
      <c r="CE168" s="726"/>
      <c r="CF168" s="727"/>
      <c r="CG168" s="63"/>
      <c r="CH168" s="730">
        <f>AI168</f>
        <v>1500</v>
      </c>
    </row>
    <row r="169" spans="2:86" outlineLevel="1">
      <c r="B169" s="69" t="str">
        <f t="shared" si="39"/>
        <v>2.1A1</v>
      </c>
      <c r="C169" s="80"/>
      <c r="D169" s="80"/>
      <c r="E169" s="663"/>
      <c r="F169" s="69" t="str">
        <f t="shared" si="40"/>
        <v/>
      </c>
      <c r="G169" s="80"/>
      <c r="H169" s="80"/>
      <c r="I169" s="648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736"/>
      <c r="AI169" s="736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69"/>
      <c r="BC169" s="69"/>
      <c r="BD169" s="69"/>
      <c r="BE169" s="69"/>
      <c r="BF169" s="69"/>
      <c r="BG169" s="69"/>
      <c r="BH169" s="69"/>
      <c r="BI169" s="69"/>
      <c r="BJ169" s="69"/>
      <c r="BK169" s="69"/>
      <c r="BL169" s="69"/>
      <c r="BM169" s="69"/>
      <c r="BN169" s="69"/>
      <c r="BO169" s="69"/>
      <c r="BP169" s="63"/>
      <c r="BQ169" s="734"/>
      <c r="BR169" s="735"/>
      <c r="BS169" s="735"/>
      <c r="BT169" s="719"/>
      <c r="BU169" s="719"/>
      <c r="BV169" s="719"/>
      <c r="BW169" s="719"/>
      <c r="BX169" s="719"/>
      <c r="BY169" s="719">
        <f>IF($AH169=0, ,VLOOKUP($AH169,FÉ!$B$385:$L$434,8,FALSE)*$AI169*PRP!$J$8)</f>
        <v>0</v>
      </c>
      <c r="BZ169" s="69">
        <f>IF($AH169=0, ,VLOOKUP($AH169,FÉ!$B$385:$L$434,9,FALSE)*$AI169*PRP!$J$9)</f>
        <v>0</v>
      </c>
      <c r="CA169" s="700">
        <f>IF($AH169=0, ,VLOOKUP($AH169,FÉ!$B$385:$L$434,9,FALSE)*$AI169*PRP!$J$9)</f>
        <v>0</v>
      </c>
      <c r="CB169" s="69">
        <f t="shared" si="38"/>
        <v>0</v>
      </c>
      <c r="CC169" s="722">
        <f t="shared" si="41"/>
        <v>0</v>
      </c>
      <c r="CD169" s="63"/>
      <c r="CE169" s="726"/>
      <c r="CF169" s="727"/>
      <c r="CG169" s="63"/>
      <c r="CH169" s="730">
        <f>AI169</f>
        <v>0</v>
      </c>
    </row>
    <row r="170" spans="2:86" outlineLevel="1">
      <c r="B170" s="69" t="str">
        <f t="shared" si="39"/>
        <v>2.1A1</v>
      </c>
      <c r="C170" s="80"/>
      <c r="D170" s="80"/>
      <c r="E170" s="663"/>
      <c r="F170" s="69" t="str">
        <f t="shared" si="40"/>
        <v/>
      </c>
      <c r="G170" s="80"/>
      <c r="H170" s="80"/>
      <c r="I170" s="648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736"/>
      <c r="AI170" s="736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69"/>
      <c r="BC170" s="69"/>
      <c r="BD170" s="69"/>
      <c r="BE170" s="69"/>
      <c r="BF170" s="69"/>
      <c r="BG170" s="69"/>
      <c r="BH170" s="69"/>
      <c r="BI170" s="69"/>
      <c r="BJ170" s="69"/>
      <c r="BK170" s="69"/>
      <c r="BL170" s="69"/>
      <c r="BM170" s="69"/>
      <c r="BN170" s="69"/>
      <c r="BO170" s="69"/>
      <c r="BP170" s="63"/>
      <c r="BQ170" s="734"/>
      <c r="BR170" s="735"/>
      <c r="BS170" s="735"/>
      <c r="BT170" s="719"/>
      <c r="BU170" s="719"/>
      <c r="BV170" s="719"/>
      <c r="BW170" s="719"/>
      <c r="BX170" s="719"/>
      <c r="BY170" s="719">
        <f>IF($AH170=0, ,VLOOKUP($AH170,FÉ!$B$385:$L$434,8,FALSE)*$AI170*PRP!$J$8)</f>
        <v>0</v>
      </c>
      <c r="BZ170" s="69">
        <f>IF($AH170=0, ,VLOOKUP($AH170,FÉ!$B$385:$L$434,9,FALSE)*$AI170*PRP!$J$9)</f>
        <v>0</v>
      </c>
      <c r="CA170" s="700">
        <f>IF($AH170=0, ,VLOOKUP($AH170,FÉ!$B$385:$L$434,9,FALSE)*$AI170*PRP!$J$9)</f>
        <v>0</v>
      </c>
      <c r="CB170" s="69">
        <f t="shared" si="38"/>
        <v>0</v>
      </c>
      <c r="CC170" s="722">
        <f t="shared" si="41"/>
        <v>0</v>
      </c>
      <c r="CD170" s="63"/>
      <c r="CE170" s="726"/>
      <c r="CF170" s="727"/>
      <c r="CG170" s="63"/>
      <c r="CH170" s="730">
        <f>AI170</f>
        <v>0</v>
      </c>
    </row>
    <row r="171" spans="2:86" outlineLevel="1">
      <c r="B171" s="69" t="str">
        <f t="shared" si="39"/>
        <v>2.1A1</v>
      </c>
      <c r="C171" s="80"/>
      <c r="D171" s="80"/>
      <c r="E171" s="663"/>
      <c r="F171" s="69" t="str">
        <f t="shared" si="40"/>
        <v/>
      </c>
      <c r="G171" s="80"/>
      <c r="H171" s="80"/>
      <c r="I171" s="648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736"/>
      <c r="AI171" s="736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69"/>
      <c r="BC171" s="69"/>
      <c r="BD171" s="69"/>
      <c r="BE171" s="69"/>
      <c r="BF171" s="69"/>
      <c r="BG171" s="69"/>
      <c r="BH171" s="69"/>
      <c r="BI171" s="69"/>
      <c r="BJ171" s="69"/>
      <c r="BK171" s="69"/>
      <c r="BL171" s="69"/>
      <c r="BM171" s="69"/>
      <c r="BN171" s="69"/>
      <c r="BO171" s="69"/>
      <c r="BP171" s="63"/>
      <c r="BQ171" s="734"/>
      <c r="BR171" s="735"/>
      <c r="BS171" s="735"/>
      <c r="BT171" s="719"/>
      <c r="BU171" s="719"/>
      <c r="BV171" s="719"/>
      <c r="BW171" s="719"/>
      <c r="BX171" s="719"/>
      <c r="BY171" s="719">
        <f>IF($AH171=0, ,VLOOKUP($AH171,FÉ!$B$385:$L$434,8,FALSE)*$AI171*PRP!$J$8)</f>
        <v>0</v>
      </c>
      <c r="BZ171" s="69">
        <f>IF($AH171=0, ,VLOOKUP($AH171,FÉ!$B$385:$L$434,9,FALSE)*$AI171*PRP!$J$9)</f>
        <v>0</v>
      </c>
      <c r="CA171" s="700">
        <f>IF($AH171=0, ,VLOOKUP($AH171,FÉ!$B$385:$L$434,9,FALSE)*$AI171*PRP!$J$9)</f>
        <v>0</v>
      </c>
      <c r="CB171" s="69">
        <f t="shared" si="38"/>
        <v>0</v>
      </c>
      <c r="CC171" s="722">
        <f t="shared" si="41"/>
        <v>0</v>
      </c>
      <c r="CD171" s="63"/>
      <c r="CE171" s="726"/>
      <c r="CF171" s="727"/>
      <c r="CG171" s="63"/>
      <c r="CH171" s="730">
        <f>AI171</f>
        <v>0</v>
      </c>
    </row>
    <row r="172" spans="2:86" ht="15.75" outlineLevel="1" thickBot="1">
      <c r="B172" s="69" t="str">
        <f t="shared" si="39"/>
        <v>2.1A1</v>
      </c>
      <c r="C172" s="717"/>
      <c r="D172" s="717"/>
      <c r="E172" s="663"/>
      <c r="F172" s="69" t="str">
        <f t="shared" si="40"/>
        <v/>
      </c>
      <c r="G172" s="80"/>
      <c r="H172" s="80"/>
      <c r="I172" s="648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736"/>
      <c r="AI172" s="736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69"/>
      <c r="BC172" s="69"/>
      <c r="BD172" s="69"/>
      <c r="BE172" s="69"/>
      <c r="BF172" s="69"/>
      <c r="BG172" s="69"/>
      <c r="BH172" s="69"/>
      <c r="BI172" s="69"/>
      <c r="BJ172" s="69"/>
      <c r="BK172" s="69"/>
      <c r="BL172" s="69"/>
      <c r="BM172" s="69"/>
      <c r="BN172" s="69"/>
      <c r="BO172" s="69"/>
      <c r="BP172" s="63"/>
      <c r="BQ172" s="734"/>
      <c r="BR172" s="735"/>
      <c r="BS172" s="735"/>
      <c r="BT172" s="719"/>
      <c r="BU172" s="719"/>
      <c r="BV172" s="719"/>
      <c r="BW172" s="719"/>
      <c r="BX172" s="719"/>
      <c r="BY172" s="719">
        <f>IF($AH172=0, ,VLOOKUP($AH172,FÉ!$B$385:$L$434,8,FALSE)*$AI172*PRP!$J$8)</f>
        <v>0</v>
      </c>
      <c r="BZ172" s="69">
        <f>IF($AH172=0, ,VLOOKUP($AH172,FÉ!$B$385:$L$434,9,FALSE)*$AI172*PRP!$J$9)</f>
        <v>0</v>
      </c>
      <c r="CA172" s="700">
        <f>IF($AH172=0, ,VLOOKUP($AH172,FÉ!$B$385:$L$434,9,FALSE)*$AI172*PRP!$J$9)</f>
        <v>0</v>
      </c>
      <c r="CB172" s="69">
        <f t="shared" si="38"/>
        <v>0</v>
      </c>
      <c r="CC172" s="723">
        <f t="shared" si="41"/>
        <v>0</v>
      </c>
      <c r="CD172" s="63"/>
      <c r="CE172" s="728"/>
      <c r="CF172" s="729"/>
      <c r="CG172" s="63"/>
      <c r="CH172" s="730">
        <f>AI172</f>
        <v>0</v>
      </c>
    </row>
    <row r="173" spans="2:86" ht="15.75" outlineLevel="1" thickBot="1">
      <c r="B173" s="899"/>
      <c r="C173" s="900"/>
      <c r="D173" s="900"/>
      <c r="E173" s="901"/>
      <c r="F173" s="902" t="str">
        <f>$B163</f>
        <v>2.1A1</v>
      </c>
      <c r="G173" s="902" t="str">
        <f>$B163</f>
        <v>2.1A1</v>
      </c>
      <c r="H173" s="902" t="str">
        <f>$B163</f>
        <v>2.1A1</v>
      </c>
      <c r="I173" s="901"/>
      <c r="J173" s="903"/>
      <c r="K173" s="903"/>
      <c r="L173" s="903"/>
      <c r="M173" s="903"/>
      <c r="N173" s="903"/>
      <c r="O173" s="903"/>
      <c r="P173" s="903"/>
      <c r="Q173" s="903"/>
      <c r="R173" s="903"/>
      <c r="S173" s="903"/>
      <c r="T173" s="903"/>
      <c r="U173" s="903"/>
      <c r="V173" s="903"/>
      <c r="W173" s="903"/>
      <c r="X173" s="903"/>
      <c r="Y173" s="903"/>
      <c r="Z173" s="903"/>
      <c r="AA173" s="903"/>
      <c r="AB173" s="903"/>
      <c r="AC173" s="903"/>
      <c r="AD173" s="903"/>
      <c r="AE173" s="903"/>
      <c r="AF173" s="903"/>
      <c r="AG173" s="903"/>
      <c r="AH173" s="903"/>
      <c r="AI173" s="903"/>
      <c r="AJ173" s="903"/>
      <c r="AK173" s="903"/>
      <c r="AL173" s="903"/>
      <c r="AM173" s="903"/>
      <c r="AN173" s="903"/>
      <c r="AO173" s="903"/>
      <c r="AP173" s="903"/>
      <c r="AQ173" s="903"/>
      <c r="AR173" s="903"/>
      <c r="AS173" s="903"/>
      <c r="AT173" s="903"/>
      <c r="AU173" s="903"/>
      <c r="AV173" s="903"/>
      <c r="AW173" s="903"/>
      <c r="AX173" s="903"/>
      <c r="AY173" s="903"/>
      <c r="AZ173" s="903"/>
      <c r="BA173" s="903"/>
      <c r="BB173" s="903"/>
      <c r="BC173" s="903"/>
      <c r="BD173" s="903"/>
      <c r="BE173" s="903"/>
      <c r="BF173" s="903"/>
      <c r="BG173" s="903"/>
      <c r="BH173" s="903"/>
      <c r="BI173" s="903"/>
      <c r="BJ173" s="903"/>
      <c r="BK173" s="903"/>
      <c r="BL173" s="903"/>
      <c r="BM173" s="903"/>
      <c r="BN173" s="903"/>
      <c r="BO173" s="903"/>
      <c r="BP173" s="63"/>
      <c r="BQ173" s="895"/>
      <c r="BR173" s="895"/>
      <c r="BS173" s="895"/>
      <c r="BT173" s="895"/>
      <c r="BU173" s="895"/>
      <c r="BV173" s="895"/>
      <c r="BW173" s="895"/>
      <c r="BX173" s="895"/>
      <c r="BY173" s="895">
        <f>SUM(BY163:BY172)</f>
        <v>1508032.0583854041</v>
      </c>
      <c r="BZ173" s="895">
        <f>SUM(BZ163:BZ172)</f>
        <v>952.95221015408345</v>
      </c>
      <c r="CA173" s="895">
        <f>SUM(CA163:CA172)</f>
        <v>952.95221015408345</v>
      </c>
      <c r="CB173" s="895">
        <f>SUM(CB163:CB172)</f>
        <v>1509937.9628057124</v>
      </c>
      <c r="CC173" s="896">
        <f>SUM(CC163:CC172)</f>
        <v>1.5099379628057119</v>
      </c>
      <c r="CD173" s="63"/>
      <c r="CE173" s="897">
        <f>SUM(CE163:CE172)</f>
        <v>0</v>
      </c>
      <c r="CF173" s="896">
        <f>SUM(CF163:CF172)</f>
        <v>0</v>
      </c>
      <c r="CG173" s="63"/>
      <c r="CH173" s="898">
        <f>SUM(CH163:CH172)</f>
        <v>6000</v>
      </c>
    </row>
    <row r="175" spans="2:86" ht="31.5">
      <c r="B175" s="1203" t="s">
        <v>6641</v>
      </c>
      <c r="C175" s="1204"/>
      <c r="D175" s="1204"/>
      <c r="E175" s="1204"/>
      <c r="F175" s="1204"/>
      <c r="G175" s="1204"/>
      <c r="H175" s="1204"/>
      <c r="I175" s="1204"/>
      <c r="J175" s="1204"/>
      <c r="K175" s="1204"/>
      <c r="L175" s="1204"/>
      <c r="M175" s="1204"/>
      <c r="N175" s="1204"/>
      <c r="O175" s="1204"/>
      <c r="P175" s="1204"/>
      <c r="Q175" s="1204"/>
      <c r="R175" s="1204"/>
      <c r="S175" s="1204"/>
      <c r="T175" s="1204"/>
      <c r="U175" s="1204"/>
      <c r="V175" s="1204"/>
      <c r="W175" s="1204"/>
      <c r="X175" s="1204"/>
      <c r="Y175" s="1204"/>
      <c r="Z175" s="1204"/>
      <c r="AA175" s="1204"/>
      <c r="AB175" s="1204"/>
      <c r="AC175" s="1204"/>
      <c r="AD175" s="1204"/>
      <c r="AE175" s="1204"/>
      <c r="AF175" s="1204"/>
      <c r="AG175" s="1204"/>
      <c r="AH175" s="1204"/>
      <c r="AI175" s="1204"/>
      <c r="AJ175" s="1204"/>
      <c r="AK175" s="1204"/>
      <c r="AL175" s="1204"/>
      <c r="AM175" s="1204"/>
      <c r="AN175" s="1204"/>
      <c r="AO175" s="1204"/>
      <c r="AP175" s="1204"/>
      <c r="AQ175" s="1204"/>
      <c r="AR175" s="1204"/>
      <c r="AS175" s="1204"/>
      <c r="AT175" s="1204"/>
      <c r="AU175" s="1204"/>
      <c r="AV175" s="1204"/>
      <c r="AW175" s="1204"/>
      <c r="AX175" s="1204"/>
      <c r="AY175" s="1204"/>
      <c r="AZ175" s="1204"/>
      <c r="BA175" s="1204"/>
      <c r="BB175" s="1204"/>
      <c r="BC175" s="1204"/>
      <c r="BD175" s="1204"/>
      <c r="BE175" s="1204"/>
      <c r="BF175" s="1204"/>
      <c r="BG175" s="1204"/>
      <c r="BH175" s="1204"/>
      <c r="BI175" s="1204"/>
      <c r="BJ175" s="1204"/>
      <c r="BK175" s="1204"/>
      <c r="BL175" s="1204"/>
      <c r="BM175" s="1204"/>
      <c r="BN175" s="1204"/>
      <c r="BO175" s="1204"/>
      <c r="BP175" s="1204"/>
      <c r="BQ175" s="1204"/>
      <c r="BR175" s="1204"/>
      <c r="BS175" s="1204"/>
      <c r="BT175" s="1204"/>
      <c r="BU175" s="1204"/>
      <c r="BV175" s="1204"/>
      <c r="BW175" s="1204"/>
      <c r="BX175" s="1204"/>
      <c r="BY175" s="1204"/>
      <c r="BZ175" s="1204"/>
      <c r="CA175" s="1204"/>
      <c r="CB175" s="1204"/>
      <c r="CC175" s="1204"/>
      <c r="CD175" s="1204"/>
      <c r="CE175" s="1204"/>
      <c r="CF175" s="1204"/>
      <c r="CG175" s="1204"/>
      <c r="CH175" s="1204"/>
    </row>
    <row r="176" spans="2:86" ht="15.75" outlineLevel="1" thickBot="1">
      <c r="CH176" s="63"/>
    </row>
    <row r="177" spans="2:86" ht="21.75" outlineLevel="1" thickBot="1">
      <c r="B177" s="1205" t="s">
        <v>115</v>
      </c>
      <c r="C177" s="1206"/>
      <c r="D177" s="1206"/>
      <c r="E177" s="1206"/>
      <c r="F177" s="1206"/>
      <c r="G177" s="1206"/>
      <c r="H177" s="1206"/>
      <c r="I177" s="1206"/>
      <c r="J177" s="1206"/>
      <c r="K177" s="1206"/>
      <c r="L177" s="1206"/>
      <c r="M177" s="1206"/>
      <c r="N177" s="1206"/>
      <c r="O177" s="1206"/>
      <c r="P177" s="1206"/>
      <c r="Q177" s="1206"/>
      <c r="R177" s="1206"/>
      <c r="S177" s="1206"/>
      <c r="T177" s="1206"/>
      <c r="U177" s="1206"/>
      <c r="V177" s="1206"/>
      <c r="W177" s="1206"/>
      <c r="X177" s="1206"/>
      <c r="Y177" s="1206"/>
      <c r="Z177" s="1206"/>
      <c r="AA177" s="1206"/>
      <c r="AB177" s="1206"/>
      <c r="AC177" s="1206"/>
      <c r="AD177" s="1206"/>
      <c r="AE177" s="1206"/>
      <c r="AF177" s="1206"/>
      <c r="AG177" s="1206"/>
      <c r="AH177" s="1206"/>
      <c r="AI177" s="1206"/>
      <c r="AJ177" s="1206"/>
      <c r="AK177" s="1206"/>
      <c r="AL177" s="1206"/>
      <c r="AM177" s="1206"/>
      <c r="AN177" s="1206"/>
      <c r="AO177" s="1206"/>
      <c r="AP177" s="1206"/>
      <c r="AQ177" s="1206"/>
      <c r="AR177" s="1206"/>
      <c r="AS177" s="1206"/>
      <c r="AT177" s="1206"/>
      <c r="AU177" s="1206"/>
      <c r="AV177" s="1206"/>
      <c r="AW177" s="1206"/>
      <c r="AX177" s="1206"/>
      <c r="AY177" s="1206"/>
      <c r="AZ177" s="1206"/>
      <c r="BA177" s="1206"/>
      <c r="BB177" s="1206"/>
      <c r="BC177" s="1206"/>
      <c r="BD177" s="1206"/>
      <c r="BE177" s="1206"/>
      <c r="BF177" s="1206"/>
      <c r="BG177" s="1206"/>
      <c r="BH177" s="1206"/>
      <c r="BI177" s="1206"/>
      <c r="BJ177" s="1206"/>
      <c r="BK177" s="1206"/>
      <c r="BL177" s="1206"/>
      <c r="BM177" s="1206"/>
      <c r="BN177" s="1206"/>
      <c r="BO177" s="1206"/>
      <c r="BP177" s="63"/>
      <c r="BQ177" s="1207" t="s">
        <v>121</v>
      </c>
      <c r="BR177" s="1208"/>
      <c r="BS177" s="1208"/>
      <c r="BT177" s="1208"/>
      <c r="BU177" s="1208"/>
      <c r="BV177" s="1208"/>
      <c r="BW177" s="1208"/>
      <c r="BX177" s="1208"/>
      <c r="BY177" s="1208"/>
      <c r="BZ177" s="1208"/>
      <c r="CA177" s="1208"/>
      <c r="CB177" s="1208"/>
      <c r="CC177" s="1208"/>
      <c r="CD177" s="1208"/>
      <c r="CE177" s="1208"/>
      <c r="CF177" s="1208"/>
      <c r="CG177" s="1208"/>
      <c r="CH177" s="1209"/>
    </row>
    <row r="178" spans="2:86" ht="15" customHeight="1" outlineLevel="1">
      <c r="B178" s="1183" t="s">
        <v>6353</v>
      </c>
      <c r="C178" s="1185" t="s">
        <v>6387</v>
      </c>
      <c r="D178" s="1185" t="s">
        <v>6388</v>
      </c>
      <c r="E178" s="1185" t="s">
        <v>127</v>
      </c>
      <c r="F178" s="1187" t="s">
        <v>6348</v>
      </c>
      <c r="G178" s="1185" t="s">
        <v>6333</v>
      </c>
      <c r="H178" s="1185" t="s">
        <v>128</v>
      </c>
      <c r="I178" s="1185" t="s">
        <v>156</v>
      </c>
      <c r="J178" s="655"/>
      <c r="K178" s="655"/>
      <c r="L178" s="655"/>
      <c r="M178" s="655"/>
      <c r="N178" s="655"/>
      <c r="O178" s="655"/>
      <c r="P178" s="655"/>
      <c r="Q178" s="655"/>
      <c r="R178" s="655"/>
      <c r="S178" s="655"/>
      <c r="T178" s="655"/>
      <c r="U178" s="655"/>
      <c r="V178" s="655"/>
      <c r="W178" s="655"/>
      <c r="X178" s="655"/>
      <c r="Y178" s="655"/>
      <c r="Z178" s="655"/>
      <c r="AA178" s="655"/>
      <c r="AB178" s="655"/>
      <c r="AC178" s="655"/>
      <c r="AD178" s="655"/>
      <c r="AE178" s="655"/>
      <c r="AF178" s="655"/>
      <c r="AG178" s="655"/>
      <c r="AH178" s="1185" t="s">
        <v>6393</v>
      </c>
      <c r="AI178" s="1185" t="s">
        <v>6394</v>
      </c>
      <c r="AJ178" s="1185" t="s">
        <v>6398</v>
      </c>
      <c r="AK178" s="657"/>
      <c r="AL178" s="657"/>
      <c r="AM178" s="657"/>
      <c r="AN178" s="657"/>
      <c r="AO178" s="657"/>
      <c r="AP178" s="657"/>
      <c r="AQ178" s="657"/>
      <c r="AR178" s="657"/>
      <c r="AS178" s="657"/>
      <c r="AT178" s="657"/>
      <c r="AU178" s="657"/>
      <c r="AV178" s="657"/>
      <c r="AW178" s="657"/>
      <c r="AX178" s="657"/>
      <c r="AY178" s="657"/>
      <c r="AZ178" s="657"/>
      <c r="BA178" s="657"/>
      <c r="BB178" s="657"/>
      <c r="BC178" s="657"/>
      <c r="BD178" s="657"/>
      <c r="BE178" s="657"/>
      <c r="BF178" s="657"/>
      <c r="BG178" s="657"/>
      <c r="BH178" s="657"/>
      <c r="BI178" s="657"/>
      <c r="BJ178" s="657"/>
      <c r="BK178" s="657"/>
      <c r="BL178" s="657"/>
      <c r="BM178" s="657"/>
      <c r="BN178" s="657"/>
      <c r="BO178" s="657"/>
      <c r="BP178" s="63"/>
      <c r="BQ178" s="732"/>
      <c r="BR178" s="732"/>
      <c r="BS178" s="732"/>
      <c r="BT178" s="732"/>
      <c r="BU178" s="732"/>
      <c r="BV178" s="732"/>
      <c r="BW178" s="732"/>
      <c r="BX178" s="732"/>
      <c r="BY178" s="1193" t="s">
        <v>122</v>
      </c>
      <c r="BZ178" s="1193"/>
      <c r="CA178" s="1193"/>
      <c r="CB178" s="1194" t="s">
        <v>123</v>
      </c>
      <c r="CC178" s="1195"/>
      <c r="CD178" s="63"/>
      <c r="CE178" s="1198" t="s">
        <v>124</v>
      </c>
      <c r="CF178" s="1199"/>
      <c r="CG178" s="63"/>
      <c r="CH178" s="1185" t="s">
        <v>125</v>
      </c>
    </row>
    <row r="179" spans="2:86" ht="30" customHeight="1" outlineLevel="1">
      <c r="B179" s="1184"/>
      <c r="C179" s="1186"/>
      <c r="D179" s="1186"/>
      <c r="E179" s="1186"/>
      <c r="F179" s="1188"/>
      <c r="G179" s="1186"/>
      <c r="H179" s="1186"/>
      <c r="I179" s="1186"/>
      <c r="J179" s="656"/>
      <c r="K179" s="656"/>
      <c r="L179" s="656"/>
      <c r="M179" s="656"/>
      <c r="N179" s="656"/>
      <c r="O179" s="656"/>
      <c r="P179" s="656"/>
      <c r="Q179" s="656"/>
      <c r="R179" s="656"/>
      <c r="S179" s="656"/>
      <c r="T179" s="656"/>
      <c r="U179" s="656"/>
      <c r="V179" s="656"/>
      <c r="W179" s="656"/>
      <c r="X179" s="656"/>
      <c r="Y179" s="656"/>
      <c r="Z179" s="656"/>
      <c r="AA179" s="656"/>
      <c r="AB179" s="656"/>
      <c r="AC179" s="656"/>
      <c r="AD179" s="656"/>
      <c r="AE179" s="656"/>
      <c r="AF179" s="656"/>
      <c r="AG179" s="656"/>
      <c r="AH179" s="1186"/>
      <c r="AI179" s="1186"/>
      <c r="AJ179" s="1186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/>
      <c r="AV179" s="79"/>
      <c r="AW179" s="79"/>
      <c r="AX179" s="79"/>
      <c r="AY179" s="79"/>
      <c r="AZ179" s="79"/>
      <c r="BA179" s="79"/>
      <c r="BB179" s="79"/>
      <c r="BC179" s="79"/>
      <c r="BD179" s="79"/>
      <c r="BE179" s="79"/>
      <c r="BF179" s="79"/>
      <c r="BG179" s="79"/>
      <c r="BH179" s="79"/>
      <c r="BI179" s="79"/>
      <c r="BJ179" s="79"/>
      <c r="BK179" s="79"/>
      <c r="BL179" s="79"/>
      <c r="BM179" s="79"/>
      <c r="BN179" s="79"/>
      <c r="BO179" s="79"/>
      <c r="BP179" s="63"/>
      <c r="BQ179" s="1325"/>
      <c r="BR179" s="712"/>
      <c r="BS179" s="712"/>
      <c r="BT179" s="712"/>
      <c r="BU179" s="712"/>
      <c r="BV179" s="712"/>
      <c r="BW179" s="712"/>
      <c r="BX179" s="712"/>
      <c r="BY179" s="718" t="s">
        <v>106</v>
      </c>
      <c r="BZ179" s="58" t="s">
        <v>107</v>
      </c>
      <c r="CA179" s="720" t="s">
        <v>108</v>
      </c>
      <c r="CB179" s="1196"/>
      <c r="CC179" s="1197"/>
      <c r="CD179" s="63"/>
      <c r="CE179" s="1200"/>
      <c r="CF179" s="1201"/>
      <c r="CG179" s="63"/>
      <c r="CH179" s="1186"/>
    </row>
    <row r="180" spans="2:86" ht="18.75" outlineLevel="1" thickBot="1">
      <c r="B180" s="65"/>
      <c r="C180" s="66"/>
      <c r="D180" s="661" t="s">
        <v>6306</v>
      </c>
      <c r="E180" s="661" t="s">
        <v>6306</v>
      </c>
      <c r="F180" s="661"/>
      <c r="G180" s="661" t="s">
        <v>6306</v>
      </c>
      <c r="H180" s="661" t="s">
        <v>6306</v>
      </c>
      <c r="I180" s="661" t="s">
        <v>6306</v>
      </c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 t="s">
        <v>119</v>
      </c>
      <c r="AI180" s="64" t="s">
        <v>114</v>
      </c>
      <c r="AJ180" s="64" t="s">
        <v>6399</v>
      </c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6"/>
      <c r="BP180" s="63"/>
      <c r="BQ180" s="66"/>
      <c r="BR180" s="713"/>
      <c r="BS180" s="713"/>
      <c r="BT180" s="713"/>
      <c r="BU180" s="713"/>
      <c r="BV180" s="713"/>
      <c r="BW180" s="713"/>
      <c r="BX180" s="713"/>
      <c r="BY180" s="713" t="s">
        <v>109</v>
      </c>
      <c r="BZ180" s="66" t="s">
        <v>109</v>
      </c>
      <c r="CA180" s="64" t="s">
        <v>109</v>
      </c>
      <c r="CB180" s="66" t="s">
        <v>109</v>
      </c>
      <c r="CC180" s="721" t="s">
        <v>110</v>
      </c>
      <c r="CD180" s="63"/>
      <c r="CE180" s="724" t="s">
        <v>111</v>
      </c>
      <c r="CF180" s="725" t="s">
        <v>112</v>
      </c>
      <c r="CG180" s="63"/>
      <c r="CH180" s="66" t="s">
        <v>114</v>
      </c>
    </row>
    <row r="181" spans="2:86" outlineLevel="1">
      <c r="B181" s="69" t="s">
        <v>6483</v>
      </c>
      <c r="C181" s="716"/>
      <c r="D181" s="716"/>
      <c r="E181" s="662"/>
      <c r="F181" s="69" t="str">
        <f>IF(E181=0,"",MONTH(E181))</f>
        <v/>
      </c>
      <c r="G181" s="80"/>
      <c r="H181" s="80"/>
      <c r="I181" s="648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736"/>
      <c r="AI181" s="736"/>
      <c r="AJ181" s="751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69"/>
      <c r="BC181" s="69"/>
      <c r="BD181" s="69"/>
      <c r="BE181" s="69"/>
      <c r="BF181" s="69"/>
      <c r="BG181" s="69"/>
      <c r="BH181" s="69"/>
      <c r="BI181" s="69"/>
      <c r="BJ181" s="69"/>
      <c r="BK181" s="69"/>
      <c r="BL181" s="69"/>
      <c r="BM181" s="69"/>
      <c r="BN181" s="69"/>
      <c r="BO181" s="69"/>
      <c r="BP181" s="63"/>
      <c r="BQ181" s="734"/>
      <c r="BR181" s="735"/>
      <c r="BS181" s="735"/>
      <c r="BT181" s="719"/>
      <c r="BU181" s="719"/>
      <c r="BV181" s="719"/>
      <c r="BW181" s="719"/>
      <c r="BX181" s="719"/>
      <c r="BY181" s="719">
        <f>AJ181*$AI181*PRP!$J$8</f>
        <v>0</v>
      </c>
      <c r="BZ181" s="69">
        <v>0</v>
      </c>
      <c r="CA181" s="700">
        <v>0</v>
      </c>
      <c r="CB181" s="69">
        <f t="shared" ref="CB181:CB190" si="42">SUM(BY181:CA181)</f>
        <v>0</v>
      </c>
      <c r="CC181" s="722">
        <f>CB181/(10^6)</f>
        <v>0</v>
      </c>
      <c r="CD181" s="63"/>
      <c r="CE181" s="726"/>
      <c r="CF181" s="727"/>
      <c r="CG181" s="63"/>
      <c r="CH181" s="730">
        <f>AI181</f>
        <v>0</v>
      </c>
    </row>
    <row r="182" spans="2:86" outlineLevel="1">
      <c r="B182" s="69" t="str">
        <f t="shared" ref="B182:B190" si="43">B181</f>
        <v>2.1B1</v>
      </c>
      <c r="C182" s="80"/>
      <c r="D182" s="80"/>
      <c r="E182" s="663"/>
      <c r="F182" s="69" t="str">
        <f t="shared" ref="F182:F190" si="44">IF(E182=0,"",MONTH(E182))</f>
        <v/>
      </c>
      <c r="G182" s="80"/>
      <c r="H182" s="80"/>
      <c r="I182" s="648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736"/>
      <c r="AI182" s="736"/>
      <c r="AJ182" s="751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69"/>
      <c r="BC182" s="69"/>
      <c r="BD182" s="69"/>
      <c r="BE182" s="69"/>
      <c r="BF182" s="69"/>
      <c r="BG182" s="69"/>
      <c r="BH182" s="69"/>
      <c r="BI182" s="69"/>
      <c r="BJ182" s="69"/>
      <c r="BK182" s="69"/>
      <c r="BL182" s="69"/>
      <c r="BM182" s="69"/>
      <c r="BN182" s="69"/>
      <c r="BO182" s="69"/>
      <c r="BP182" s="63"/>
      <c r="BQ182" s="734"/>
      <c r="BR182" s="735"/>
      <c r="BS182" s="735"/>
      <c r="BT182" s="719"/>
      <c r="BU182" s="719"/>
      <c r="BV182" s="719"/>
      <c r="BW182" s="719"/>
      <c r="BX182" s="719"/>
      <c r="BY182" s="719">
        <f>AJ182*$AI182*PRP!$J$8</f>
        <v>0</v>
      </c>
      <c r="BZ182" s="69">
        <v>0</v>
      </c>
      <c r="CA182" s="700">
        <v>0</v>
      </c>
      <c r="CB182" s="69">
        <f t="shared" si="42"/>
        <v>0</v>
      </c>
      <c r="CC182" s="722">
        <f>CB182/(10^6)</f>
        <v>0</v>
      </c>
      <c r="CD182" s="63"/>
      <c r="CE182" s="726"/>
      <c r="CF182" s="727"/>
      <c r="CG182" s="63"/>
      <c r="CH182" s="730">
        <f>AI182</f>
        <v>0</v>
      </c>
    </row>
    <row r="183" spans="2:86" outlineLevel="1">
      <c r="B183" s="69" t="str">
        <f t="shared" si="43"/>
        <v>2.1B1</v>
      </c>
      <c r="C183" s="80"/>
      <c r="D183" s="80"/>
      <c r="E183" s="663">
        <v>45690</v>
      </c>
      <c r="F183" s="69">
        <f t="shared" si="44"/>
        <v>2</v>
      </c>
      <c r="G183" s="80" t="s">
        <v>141</v>
      </c>
      <c r="H183" s="80" t="s">
        <v>145</v>
      </c>
      <c r="I183" s="648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736" t="s">
        <v>599</v>
      </c>
      <c r="AI183" s="736">
        <v>1500</v>
      </c>
      <c r="AJ183" s="751">
        <v>1.3</v>
      </c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69"/>
      <c r="BC183" s="69"/>
      <c r="BD183" s="69"/>
      <c r="BE183" s="69"/>
      <c r="BF183" s="69"/>
      <c r="BG183" s="69"/>
      <c r="BH183" s="69"/>
      <c r="BI183" s="69"/>
      <c r="BJ183" s="69"/>
      <c r="BK183" s="69"/>
      <c r="BL183" s="69"/>
      <c r="BM183" s="69"/>
      <c r="BN183" s="69"/>
      <c r="BO183" s="69"/>
      <c r="BP183" s="63"/>
      <c r="BQ183" s="734"/>
      <c r="BR183" s="735"/>
      <c r="BS183" s="735"/>
      <c r="BT183" s="719"/>
      <c r="BU183" s="719"/>
      <c r="BV183" s="719"/>
      <c r="BW183" s="719"/>
      <c r="BX183" s="719"/>
      <c r="BY183" s="719">
        <f>AJ183*$AI183*PRP!$J$8</f>
        <v>1950</v>
      </c>
      <c r="BZ183" s="69">
        <v>0</v>
      </c>
      <c r="CA183" s="700">
        <v>0</v>
      </c>
      <c r="CB183" s="69">
        <f t="shared" si="42"/>
        <v>1950</v>
      </c>
      <c r="CC183" s="722">
        <f t="shared" ref="CC183:CC190" si="45">CB183/(10^6)</f>
        <v>1.9499999999999999E-3</v>
      </c>
      <c r="CD183" s="63"/>
      <c r="CE183" s="726"/>
      <c r="CF183" s="727"/>
      <c r="CG183" s="63"/>
      <c r="CH183" s="730">
        <f>AI183</f>
        <v>1500</v>
      </c>
    </row>
    <row r="184" spans="2:86" outlineLevel="1">
      <c r="B184" s="69" t="str">
        <f t="shared" si="43"/>
        <v>2.1B1</v>
      </c>
      <c r="C184" s="80"/>
      <c r="D184" s="80"/>
      <c r="E184" s="663">
        <v>45691</v>
      </c>
      <c r="F184" s="69">
        <f t="shared" si="44"/>
        <v>2</v>
      </c>
      <c r="G184" s="80" t="s">
        <v>136</v>
      </c>
      <c r="H184" s="80"/>
      <c r="I184" s="648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736" t="s">
        <v>596</v>
      </c>
      <c r="AI184" s="736">
        <v>1500</v>
      </c>
      <c r="AJ184" s="751">
        <v>1.3</v>
      </c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  <c r="AY184" s="69"/>
      <c r="AZ184" s="69"/>
      <c r="BA184" s="69"/>
      <c r="BB184" s="69"/>
      <c r="BC184" s="69"/>
      <c r="BD184" s="69"/>
      <c r="BE184" s="69"/>
      <c r="BF184" s="69"/>
      <c r="BG184" s="69"/>
      <c r="BH184" s="69"/>
      <c r="BI184" s="69"/>
      <c r="BJ184" s="69"/>
      <c r="BK184" s="69"/>
      <c r="BL184" s="69"/>
      <c r="BM184" s="69"/>
      <c r="BN184" s="69"/>
      <c r="BO184" s="69"/>
      <c r="BP184" s="63"/>
      <c r="BQ184" s="734"/>
      <c r="BR184" s="735"/>
      <c r="BS184" s="735"/>
      <c r="BT184" s="719"/>
      <c r="BU184" s="719"/>
      <c r="BV184" s="719"/>
      <c r="BW184" s="719"/>
      <c r="BX184" s="719"/>
      <c r="BY184" s="719">
        <f>AJ184*$AI184*PRP!$J$8</f>
        <v>1950</v>
      </c>
      <c r="BZ184" s="69">
        <v>0</v>
      </c>
      <c r="CA184" s="700">
        <v>0</v>
      </c>
      <c r="CB184" s="69">
        <f t="shared" si="42"/>
        <v>1950</v>
      </c>
      <c r="CC184" s="722">
        <f t="shared" si="45"/>
        <v>1.9499999999999999E-3</v>
      </c>
      <c r="CD184" s="63"/>
      <c r="CE184" s="726"/>
      <c r="CF184" s="727"/>
      <c r="CG184" s="63"/>
      <c r="CH184" s="730">
        <f>AI184</f>
        <v>1500</v>
      </c>
    </row>
    <row r="185" spans="2:86" outlineLevel="1">
      <c r="B185" s="69" t="str">
        <f t="shared" si="43"/>
        <v>2.1B1</v>
      </c>
      <c r="C185" s="80"/>
      <c r="D185" s="80"/>
      <c r="E185" s="663">
        <v>45692</v>
      </c>
      <c r="F185" s="69">
        <f t="shared" si="44"/>
        <v>2</v>
      </c>
      <c r="G185" s="80" t="s">
        <v>137</v>
      </c>
      <c r="H185" s="80" t="s">
        <v>147</v>
      </c>
      <c r="I185" s="648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736" t="s">
        <v>596</v>
      </c>
      <c r="AI185" s="736">
        <v>1500</v>
      </c>
      <c r="AJ185" s="751">
        <v>1.3</v>
      </c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69"/>
      <c r="BC185" s="69"/>
      <c r="BD185" s="69"/>
      <c r="BE185" s="69"/>
      <c r="BF185" s="69"/>
      <c r="BG185" s="69"/>
      <c r="BH185" s="69"/>
      <c r="BI185" s="69"/>
      <c r="BJ185" s="69"/>
      <c r="BK185" s="69"/>
      <c r="BL185" s="69"/>
      <c r="BM185" s="69"/>
      <c r="BN185" s="69"/>
      <c r="BO185" s="69"/>
      <c r="BP185" s="63"/>
      <c r="BQ185" s="734"/>
      <c r="BR185" s="735"/>
      <c r="BS185" s="735"/>
      <c r="BT185" s="719"/>
      <c r="BU185" s="719"/>
      <c r="BV185" s="719"/>
      <c r="BW185" s="719"/>
      <c r="BX185" s="719"/>
      <c r="BY185" s="719">
        <f>AJ185*$AI185*PRP!$J$8</f>
        <v>1950</v>
      </c>
      <c r="BZ185" s="69">
        <v>0</v>
      </c>
      <c r="CA185" s="700">
        <v>0</v>
      </c>
      <c r="CB185" s="69">
        <f t="shared" si="42"/>
        <v>1950</v>
      </c>
      <c r="CC185" s="722">
        <f t="shared" si="45"/>
        <v>1.9499999999999999E-3</v>
      </c>
      <c r="CD185" s="63"/>
      <c r="CE185" s="726"/>
      <c r="CF185" s="727"/>
      <c r="CG185" s="63"/>
      <c r="CH185" s="730">
        <f>AI185</f>
        <v>1500</v>
      </c>
    </row>
    <row r="186" spans="2:86" outlineLevel="1">
      <c r="B186" s="69" t="str">
        <f t="shared" si="43"/>
        <v>2.1B1</v>
      </c>
      <c r="C186" s="80"/>
      <c r="D186" s="80"/>
      <c r="E186" s="663">
        <v>45693</v>
      </c>
      <c r="F186" s="69">
        <f t="shared" si="44"/>
        <v>2</v>
      </c>
      <c r="G186" s="80" t="s">
        <v>139</v>
      </c>
      <c r="H186" s="80" t="s">
        <v>147</v>
      </c>
      <c r="I186" s="648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736" t="s">
        <v>653</v>
      </c>
      <c r="AI186" s="736">
        <v>1500</v>
      </c>
      <c r="AJ186" s="751">
        <v>50</v>
      </c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  <c r="AY186" s="69"/>
      <c r="AZ186" s="69"/>
      <c r="BA186" s="69"/>
      <c r="BB186" s="69"/>
      <c r="BC186" s="69"/>
      <c r="BD186" s="69"/>
      <c r="BE186" s="69"/>
      <c r="BF186" s="69"/>
      <c r="BG186" s="69"/>
      <c r="BH186" s="69"/>
      <c r="BI186" s="69"/>
      <c r="BJ186" s="69"/>
      <c r="BK186" s="69"/>
      <c r="BL186" s="69"/>
      <c r="BM186" s="69"/>
      <c r="BN186" s="69"/>
      <c r="BO186" s="69"/>
      <c r="BP186" s="63"/>
      <c r="BQ186" s="734"/>
      <c r="BR186" s="735"/>
      <c r="BS186" s="735"/>
      <c r="BT186" s="719"/>
      <c r="BU186" s="719"/>
      <c r="BV186" s="719"/>
      <c r="BW186" s="719"/>
      <c r="BX186" s="719"/>
      <c r="BY186" s="719">
        <f>AJ186*$AI186*PRP!$J$8</f>
        <v>75000</v>
      </c>
      <c r="BZ186" s="69">
        <v>0</v>
      </c>
      <c r="CA186" s="700">
        <v>0</v>
      </c>
      <c r="CB186" s="69">
        <f t="shared" si="42"/>
        <v>75000</v>
      </c>
      <c r="CC186" s="722">
        <f t="shared" si="45"/>
        <v>7.4999999999999997E-2</v>
      </c>
      <c r="CD186" s="63"/>
      <c r="CE186" s="726"/>
      <c r="CF186" s="727"/>
      <c r="CG186" s="63"/>
      <c r="CH186" s="730">
        <f>AI186</f>
        <v>1500</v>
      </c>
    </row>
    <row r="187" spans="2:86" outlineLevel="1">
      <c r="B187" s="69" t="str">
        <f t="shared" si="43"/>
        <v>2.1B1</v>
      </c>
      <c r="C187" s="80"/>
      <c r="D187" s="80"/>
      <c r="E187" s="663"/>
      <c r="F187" s="69" t="str">
        <f t="shared" si="44"/>
        <v/>
      </c>
      <c r="G187" s="80"/>
      <c r="H187" s="80"/>
      <c r="I187" s="648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736"/>
      <c r="AI187" s="736"/>
      <c r="AJ187" s="751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69"/>
      <c r="BC187" s="69"/>
      <c r="BD187" s="69"/>
      <c r="BE187" s="69"/>
      <c r="BF187" s="69"/>
      <c r="BG187" s="69"/>
      <c r="BH187" s="69"/>
      <c r="BI187" s="69"/>
      <c r="BJ187" s="69"/>
      <c r="BK187" s="69"/>
      <c r="BL187" s="69"/>
      <c r="BM187" s="69"/>
      <c r="BN187" s="69"/>
      <c r="BO187" s="69"/>
      <c r="BP187" s="63"/>
      <c r="BQ187" s="734"/>
      <c r="BR187" s="735"/>
      <c r="BS187" s="735"/>
      <c r="BT187" s="719"/>
      <c r="BU187" s="719"/>
      <c r="BV187" s="719"/>
      <c r="BW187" s="719"/>
      <c r="BX187" s="719"/>
      <c r="BY187" s="719">
        <f>AJ187*$AI187*PRP!$J$8</f>
        <v>0</v>
      </c>
      <c r="BZ187" s="69">
        <v>0</v>
      </c>
      <c r="CA187" s="700">
        <v>0</v>
      </c>
      <c r="CB187" s="69">
        <f t="shared" si="42"/>
        <v>0</v>
      </c>
      <c r="CC187" s="722">
        <f t="shared" si="45"/>
        <v>0</v>
      </c>
      <c r="CD187" s="63"/>
      <c r="CE187" s="726"/>
      <c r="CF187" s="727"/>
      <c r="CG187" s="63"/>
      <c r="CH187" s="730">
        <f>AI187</f>
        <v>0</v>
      </c>
    </row>
    <row r="188" spans="2:86" outlineLevel="1">
      <c r="B188" s="69" t="str">
        <f t="shared" si="43"/>
        <v>2.1B1</v>
      </c>
      <c r="C188" s="80"/>
      <c r="D188" s="80"/>
      <c r="E188" s="663"/>
      <c r="F188" s="69" t="str">
        <f t="shared" si="44"/>
        <v/>
      </c>
      <c r="G188" s="80"/>
      <c r="H188" s="80"/>
      <c r="I188" s="648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736"/>
      <c r="AI188" s="736"/>
      <c r="AJ188" s="751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  <c r="AY188" s="69"/>
      <c r="AZ188" s="69"/>
      <c r="BA188" s="69"/>
      <c r="BB188" s="69"/>
      <c r="BC188" s="69"/>
      <c r="BD188" s="69"/>
      <c r="BE188" s="69"/>
      <c r="BF188" s="69"/>
      <c r="BG188" s="69"/>
      <c r="BH188" s="69"/>
      <c r="BI188" s="69"/>
      <c r="BJ188" s="69"/>
      <c r="BK188" s="69"/>
      <c r="BL188" s="69"/>
      <c r="BM188" s="69"/>
      <c r="BN188" s="69"/>
      <c r="BO188" s="69"/>
      <c r="BP188" s="63"/>
      <c r="BQ188" s="734"/>
      <c r="BR188" s="735"/>
      <c r="BS188" s="735"/>
      <c r="BT188" s="719"/>
      <c r="BU188" s="719"/>
      <c r="BV188" s="719"/>
      <c r="BW188" s="719"/>
      <c r="BX188" s="719"/>
      <c r="BY188" s="719">
        <f>AJ188*$AI188*PRP!$J$8</f>
        <v>0</v>
      </c>
      <c r="BZ188" s="69">
        <v>0</v>
      </c>
      <c r="CA188" s="700">
        <v>0</v>
      </c>
      <c r="CB188" s="69">
        <f t="shared" si="42"/>
        <v>0</v>
      </c>
      <c r="CC188" s="722">
        <f t="shared" si="45"/>
        <v>0</v>
      </c>
      <c r="CD188" s="63"/>
      <c r="CE188" s="726"/>
      <c r="CF188" s="727"/>
      <c r="CG188" s="63"/>
      <c r="CH188" s="730">
        <f>AI188</f>
        <v>0</v>
      </c>
    </row>
    <row r="189" spans="2:86" outlineLevel="1">
      <c r="B189" s="69" t="str">
        <f t="shared" si="43"/>
        <v>2.1B1</v>
      </c>
      <c r="C189" s="80"/>
      <c r="D189" s="80"/>
      <c r="E189" s="663"/>
      <c r="F189" s="69" t="str">
        <f t="shared" si="44"/>
        <v/>
      </c>
      <c r="G189" s="80"/>
      <c r="H189" s="80"/>
      <c r="I189" s="648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736"/>
      <c r="AI189" s="736"/>
      <c r="AJ189" s="751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  <c r="AZ189" s="69"/>
      <c r="BA189" s="69"/>
      <c r="BB189" s="69"/>
      <c r="BC189" s="69"/>
      <c r="BD189" s="69"/>
      <c r="BE189" s="69"/>
      <c r="BF189" s="69"/>
      <c r="BG189" s="69"/>
      <c r="BH189" s="69"/>
      <c r="BI189" s="69"/>
      <c r="BJ189" s="69"/>
      <c r="BK189" s="69"/>
      <c r="BL189" s="69"/>
      <c r="BM189" s="69"/>
      <c r="BN189" s="69"/>
      <c r="BO189" s="69"/>
      <c r="BP189" s="63"/>
      <c r="BQ189" s="734"/>
      <c r="BR189" s="735"/>
      <c r="BS189" s="735"/>
      <c r="BT189" s="719"/>
      <c r="BU189" s="719"/>
      <c r="BV189" s="719"/>
      <c r="BW189" s="719"/>
      <c r="BX189" s="719"/>
      <c r="BY189" s="719">
        <f>AJ189*$AI189*PRP!$J$8</f>
        <v>0</v>
      </c>
      <c r="BZ189" s="69">
        <v>0</v>
      </c>
      <c r="CA189" s="700">
        <v>0</v>
      </c>
      <c r="CB189" s="69">
        <f t="shared" si="42"/>
        <v>0</v>
      </c>
      <c r="CC189" s="722">
        <f t="shared" si="45"/>
        <v>0</v>
      </c>
      <c r="CD189" s="63"/>
      <c r="CE189" s="726"/>
      <c r="CF189" s="727"/>
      <c r="CG189" s="63"/>
      <c r="CH189" s="730">
        <f>AI189</f>
        <v>0</v>
      </c>
    </row>
    <row r="190" spans="2:86" ht="15.75" outlineLevel="1" thickBot="1">
      <c r="B190" s="69" t="str">
        <f t="shared" si="43"/>
        <v>2.1B1</v>
      </c>
      <c r="C190" s="717"/>
      <c r="D190" s="717"/>
      <c r="E190" s="663"/>
      <c r="F190" s="69" t="str">
        <f t="shared" si="44"/>
        <v/>
      </c>
      <c r="G190" s="80"/>
      <c r="H190" s="80"/>
      <c r="I190" s="648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736"/>
      <c r="AI190" s="736"/>
      <c r="AJ190" s="751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  <c r="AY190" s="69"/>
      <c r="AZ190" s="69"/>
      <c r="BA190" s="69"/>
      <c r="BB190" s="69"/>
      <c r="BC190" s="69"/>
      <c r="BD190" s="69"/>
      <c r="BE190" s="69"/>
      <c r="BF190" s="69"/>
      <c r="BG190" s="69"/>
      <c r="BH190" s="69"/>
      <c r="BI190" s="69"/>
      <c r="BJ190" s="69"/>
      <c r="BK190" s="69"/>
      <c r="BL190" s="69"/>
      <c r="BM190" s="69"/>
      <c r="BN190" s="69"/>
      <c r="BO190" s="69"/>
      <c r="BP190" s="63"/>
      <c r="BQ190" s="734"/>
      <c r="BR190" s="735"/>
      <c r="BS190" s="735"/>
      <c r="BT190" s="719"/>
      <c r="BU190" s="719"/>
      <c r="BV190" s="719"/>
      <c r="BW190" s="719"/>
      <c r="BX190" s="719"/>
      <c r="BY190" s="719">
        <f>AJ190*$AI190*PRP!$J$8</f>
        <v>0</v>
      </c>
      <c r="BZ190" s="69">
        <v>0</v>
      </c>
      <c r="CA190" s="700">
        <v>0</v>
      </c>
      <c r="CB190" s="69">
        <f t="shared" si="42"/>
        <v>0</v>
      </c>
      <c r="CC190" s="723">
        <f t="shared" si="45"/>
        <v>0</v>
      </c>
      <c r="CD190" s="63"/>
      <c r="CE190" s="728"/>
      <c r="CF190" s="729"/>
      <c r="CG190" s="63"/>
      <c r="CH190" s="730">
        <f>AI190</f>
        <v>0</v>
      </c>
    </row>
    <row r="191" spans="2:86" ht="15.75" outlineLevel="1" thickBot="1">
      <c r="B191" s="899"/>
      <c r="C191" s="900"/>
      <c r="D191" s="900"/>
      <c r="E191" s="901"/>
      <c r="F191" s="902" t="str">
        <f>$B181</f>
        <v>2.1B1</v>
      </c>
      <c r="G191" s="902" t="str">
        <f>$B181</f>
        <v>2.1B1</v>
      </c>
      <c r="H191" s="902" t="str">
        <f>$B181</f>
        <v>2.1B1</v>
      </c>
      <c r="I191" s="901"/>
      <c r="J191" s="903"/>
      <c r="K191" s="903"/>
      <c r="L191" s="903"/>
      <c r="M191" s="903"/>
      <c r="N191" s="903"/>
      <c r="O191" s="903"/>
      <c r="P191" s="903"/>
      <c r="Q191" s="903"/>
      <c r="R191" s="903"/>
      <c r="S191" s="903"/>
      <c r="T191" s="903"/>
      <c r="U191" s="903"/>
      <c r="V191" s="903"/>
      <c r="W191" s="903"/>
      <c r="X191" s="903"/>
      <c r="Y191" s="903"/>
      <c r="Z191" s="903"/>
      <c r="AA191" s="903"/>
      <c r="AB191" s="903"/>
      <c r="AC191" s="903"/>
      <c r="AD191" s="903"/>
      <c r="AE191" s="903"/>
      <c r="AF191" s="903"/>
      <c r="AG191" s="903"/>
      <c r="AH191" s="903"/>
      <c r="AI191" s="903"/>
      <c r="AJ191" s="903"/>
      <c r="AK191" s="903"/>
      <c r="AL191" s="903"/>
      <c r="AM191" s="903"/>
      <c r="AN191" s="903"/>
      <c r="AO191" s="903"/>
      <c r="AP191" s="903"/>
      <c r="AQ191" s="903"/>
      <c r="AR191" s="903"/>
      <c r="AS191" s="903"/>
      <c r="AT191" s="903"/>
      <c r="AU191" s="903"/>
      <c r="AV191" s="903"/>
      <c r="AW191" s="903"/>
      <c r="AX191" s="903"/>
      <c r="AY191" s="903"/>
      <c r="AZ191" s="903"/>
      <c r="BA191" s="903"/>
      <c r="BB191" s="903"/>
      <c r="BC191" s="903"/>
      <c r="BD191" s="903"/>
      <c r="BE191" s="903"/>
      <c r="BF191" s="903"/>
      <c r="BG191" s="903"/>
      <c r="BH191" s="903"/>
      <c r="BI191" s="903"/>
      <c r="BJ191" s="903"/>
      <c r="BK191" s="903"/>
      <c r="BL191" s="903"/>
      <c r="BM191" s="903"/>
      <c r="BN191" s="903"/>
      <c r="BO191" s="903"/>
      <c r="BP191" s="63"/>
      <c r="BQ191" s="895"/>
      <c r="BR191" s="895"/>
      <c r="BS191" s="895"/>
      <c r="BT191" s="895"/>
      <c r="BU191" s="895"/>
      <c r="BV191" s="895"/>
      <c r="BW191" s="895"/>
      <c r="BX191" s="895"/>
      <c r="BY191" s="895">
        <f>SUM(BY181:BY190)</f>
        <v>80850</v>
      </c>
      <c r="BZ191" s="895">
        <f>SUM(BZ181:BZ190)</f>
        <v>0</v>
      </c>
      <c r="CA191" s="895">
        <f>SUM(CA181:CA190)</f>
        <v>0</v>
      </c>
      <c r="CB191" s="895">
        <f>SUM(CB181:CB190)</f>
        <v>80850</v>
      </c>
      <c r="CC191" s="896">
        <f>SUM(CC181:CC190)</f>
        <v>8.0849999999999991E-2</v>
      </c>
      <c r="CD191" s="63"/>
      <c r="CE191" s="897">
        <f>SUM(CE181:CE190)</f>
        <v>0</v>
      </c>
      <c r="CF191" s="896">
        <f>SUM(CF181:CF190)</f>
        <v>0</v>
      </c>
      <c r="CG191" s="63"/>
      <c r="CH191" s="898">
        <f>SUM(CH181:CH190)</f>
        <v>6000</v>
      </c>
    </row>
    <row r="193" spans="2:86" ht="31.5">
      <c r="B193" s="1203" t="s">
        <v>6613</v>
      </c>
      <c r="C193" s="1204"/>
      <c r="D193" s="1204"/>
      <c r="E193" s="1204"/>
      <c r="F193" s="1204"/>
      <c r="G193" s="1204"/>
      <c r="H193" s="1204"/>
      <c r="I193" s="1204"/>
      <c r="J193" s="1204"/>
      <c r="K193" s="1204"/>
      <c r="L193" s="1204"/>
      <c r="M193" s="1204"/>
      <c r="N193" s="1204"/>
      <c r="O193" s="1204"/>
      <c r="P193" s="1204"/>
      <c r="Q193" s="1204"/>
      <c r="R193" s="1204"/>
      <c r="S193" s="1204"/>
      <c r="T193" s="1204"/>
      <c r="U193" s="1204"/>
      <c r="V193" s="1204"/>
      <c r="W193" s="1204"/>
      <c r="X193" s="1204"/>
      <c r="Y193" s="1204"/>
      <c r="Z193" s="1204"/>
      <c r="AA193" s="1204"/>
      <c r="AB193" s="1204"/>
      <c r="AC193" s="1204"/>
      <c r="AD193" s="1204"/>
      <c r="AE193" s="1204"/>
      <c r="AF193" s="1204"/>
      <c r="AG193" s="1204"/>
      <c r="AH193" s="1204"/>
      <c r="AI193" s="1204"/>
      <c r="AJ193" s="1204"/>
      <c r="AK193" s="1204"/>
      <c r="AL193" s="1204"/>
      <c r="AM193" s="1204"/>
      <c r="AN193" s="1204"/>
      <c r="AO193" s="1204"/>
      <c r="AP193" s="1204"/>
      <c r="AQ193" s="1204"/>
      <c r="AR193" s="1204"/>
      <c r="AS193" s="1204"/>
      <c r="AT193" s="1204"/>
      <c r="AU193" s="1204"/>
      <c r="AV193" s="1204"/>
      <c r="AW193" s="1204"/>
      <c r="AX193" s="1204"/>
      <c r="AY193" s="1204"/>
      <c r="AZ193" s="1204"/>
      <c r="BA193" s="1204"/>
      <c r="BB193" s="1204"/>
      <c r="BC193" s="1204"/>
      <c r="BD193" s="1204"/>
      <c r="BE193" s="1204"/>
      <c r="BF193" s="1204"/>
      <c r="BG193" s="1204"/>
      <c r="BH193" s="1204"/>
      <c r="BI193" s="1204"/>
      <c r="BJ193" s="1204"/>
      <c r="BK193" s="1204"/>
      <c r="BL193" s="1204"/>
      <c r="BM193" s="1204"/>
      <c r="BN193" s="1204"/>
      <c r="BO193" s="1204"/>
      <c r="BP193" s="1204"/>
      <c r="BQ193" s="1204"/>
      <c r="BR193" s="1204"/>
      <c r="BS193" s="1204"/>
      <c r="BT193" s="1204"/>
      <c r="BU193" s="1204"/>
      <c r="BV193" s="1204"/>
      <c r="BW193" s="1204"/>
      <c r="BX193" s="1204"/>
      <c r="BY193" s="1204"/>
      <c r="BZ193" s="1204"/>
      <c r="CA193" s="1204"/>
      <c r="CB193" s="1204"/>
      <c r="CC193" s="1204"/>
      <c r="CD193" s="1204"/>
      <c r="CE193" s="1204"/>
      <c r="CF193" s="1204"/>
      <c r="CG193" s="1204"/>
      <c r="CH193" s="1204"/>
    </row>
    <row r="194" spans="2:86" ht="15.75" outlineLevel="1" thickBot="1">
      <c r="CH194" s="63"/>
    </row>
    <row r="195" spans="2:86" ht="21.75" outlineLevel="1" thickBot="1">
      <c r="B195" s="1205" t="s">
        <v>115</v>
      </c>
      <c r="C195" s="1206"/>
      <c r="D195" s="1206"/>
      <c r="E195" s="1206"/>
      <c r="F195" s="1206"/>
      <c r="G195" s="1206"/>
      <c r="H195" s="1206"/>
      <c r="I195" s="1206"/>
      <c r="J195" s="1206"/>
      <c r="K195" s="1206"/>
      <c r="L195" s="1206"/>
      <c r="M195" s="1206"/>
      <c r="N195" s="1206"/>
      <c r="O195" s="1206"/>
      <c r="P195" s="1206"/>
      <c r="Q195" s="1206"/>
      <c r="R195" s="1206"/>
      <c r="S195" s="1206"/>
      <c r="T195" s="1206"/>
      <c r="U195" s="1206"/>
      <c r="V195" s="1206"/>
      <c r="W195" s="1206"/>
      <c r="X195" s="1206"/>
      <c r="Y195" s="1206"/>
      <c r="Z195" s="1206"/>
      <c r="AA195" s="1206"/>
      <c r="AB195" s="1206"/>
      <c r="AC195" s="1206"/>
      <c r="AD195" s="1206"/>
      <c r="AE195" s="1206"/>
      <c r="AF195" s="1206"/>
      <c r="AG195" s="1206"/>
      <c r="AH195" s="1206"/>
      <c r="AI195" s="1206"/>
      <c r="AJ195" s="1206"/>
      <c r="AK195" s="1206"/>
      <c r="AL195" s="1206"/>
      <c r="AM195" s="1206"/>
      <c r="AN195" s="1206"/>
      <c r="AO195" s="1206"/>
      <c r="AP195" s="1206"/>
      <c r="AQ195" s="1206"/>
      <c r="AR195" s="1206"/>
      <c r="AS195" s="1206"/>
      <c r="AT195" s="1206"/>
      <c r="AU195" s="1206"/>
      <c r="AV195" s="1206"/>
      <c r="AW195" s="1206"/>
      <c r="AX195" s="1206"/>
      <c r="AY195" s="1206"/>
      <c r="AZ195" s="1206"/>
      <c r="BA195" s="1206"/>
      <c r="BB195" s="1206"/>
      <c r="BC195" s="1206"/>
      <c r="BD195" s="1206"/>
      <c r="BE195" s="1206"/>
      <c r="BF195" s="1206"/>
      <c r="BG195" s="1206"/>
      <c r="BH195" s="1206"/>
      <c r="BI195" s="1206"/>
      <c r="BJ195" s="1206"/>
      <c r="BK195" s="1206"/>
      <c r="BL195" s="1206"/>
      <c r="BM195" s="1206"/>
      <c r="BN195" s="1206"/>
      <c r="BO195" s="1206"/>
      <c r="BP195" s="63"/>
      <c r="BQ195" s="1207" t="s">
        <v>121</v>
      </c>
      <c r="BR195" s="1208"/>
      <c r="BS195" s="1208"/>
      <c r="BT195" s="1208"/>
      <c r="BU195" s="1208"/>
      <c r="BV195" s="1208"/>
      <c r="BW195" s="1208"/>
      <c r="BX195" s="1208"/>
      <c r="BY195" s="1208"/>
      <c r="BZ195" s="1208"/>
      <c r="CA195" s="1208"/>
      <c r="CB195" s="1208"/>
      <c r="CC195" s="1208"/>
      <c r="CD195" s="1208"/>
      <c r="CE195" s="1208"/>
      <c r="CF195" s="1208"/>
      <c r="CG195" s="1208"/>
      <c r="CH195" s="1209"/>
    </row>
    <row r="196" spans="2:86" ht="15" customHeight="1" outlineLevel="1">
      <c r="B196" s="1183" t="s">
        <v>6353</v>
      </c>
      <c r="C196" s="1185" t="s">
        <v>6387</v>
      </c>
      <c r="D196" s="1185" t="s">
        <v>6388</v>
      </c>
      <c r="E196" s="1185" t="s">
        <v>127</v>
      </c>
      <c r="F196" s="1187" t="s">
        <v>6348</v>
      </c>
      <c r="G196" s="1185" t="s">
        <v>6333</v>
      </c>
      <c r="H196" s="1185" t="s">
        <v>128</v>
      </c>
      <c r="I196" s="1185" t="s">
        <v>156</v>
      </c>
      <c r="J196" s="1189" t="s">
        <v>117</v>
      </c>
      <c r="K196" s="1185" t="s">
        <v>118</v>
      </c>
      <c r="L196" s="1185"/>
      <c r="M196" s="655"/>
      <c r="N196" s="655"/>
      <c r="O196" s="655"/>
      <c r="P196" s="655"/>
      <c r="Q196" s="655"/>
      <c r="R196" s="655"/>
      <c r="S196" s="655"/>
      <c r="T196" s="655"/>
      <c r="U196" s="655"/>
      <c r="V196" s="655"/>
      <c r="W196" s="655"/>
      <c r="X196" s="655"/>
      <c r="Y196" s="655"/>
      <c r="Z196" s="655"/>
      <c r="AA196" s="655"/>
      <c r="AB196" s="655"/>
      <c r="AC196" s="655"/>
      <c r="AD196" s="655"/>
      <c r="AE196" s="655"/>
      <c r="AF196" s="655"/>
      <c r="AG196" s="655"/>
      <c r="AH196" s="655"/>
      <c r="AI196" s="655"/>
      <c r="AJ196" s="657"/>
      <c r="AK196" s="657"/>
      <c r="AL196" s="657"/>
      <c r="AM196" s="657"/>
      <c r="AN196" s="657"/>
      <c r="AO196" s="657"/>
      <c r="AP196" s="657"/>
      <c r="AQ196" s="657"/>
      <c r="AR196" s="657"/>
      <c r="AS196" s="657"/>
      <c r="AT196" s="657"/>
      <c r="AU196" s="657"/>
      <c r="AV196" s="657"/>
      <c r="AW196" s="657"/>
      <c r="AX196" s="657"/>
      <c r="AY196" s="657"/>
      <c r="AZ196" s="657"/>
      <c r="BA196" s="657"/>
      <c r="BB196" s="657"/>
      <c r="BC196" s="657"/>
      <c r="BD196" s="657"/>
      <c r="BE196" s="657"/>
      <c r="BF196" s="657"/>
      <c r="BG196" s="657"/>
      <c r="BH196" s="657"/>
      <c r="BI196" s="657"/>
      <c r="BJ196" s="657"/>
      <c r="BK196" s="657"/>
      <c r="BL196" s="657"/>
      <c r="BM196" s="657"/>
      <c r="BN196" s="657"/>
      <c r="BO196" s="657"/>
      <c r="BP196" s="63"/>
      <c r="BQ196" s="732"/>
      <c r="BR196" s="732"/>
      <c r="BS196" s="732"/>
      <c r="BT196" s="732"/>
      <c r="BU196" s="732"/>
      <c r="BV196" s="732"/>
      <c r="BW196" s="732"/>
      <c r="BX196" s="732"/>
      <c r="BY196" s="1193" t="s">
        <v>122</v>
      </c>
      <c r="BZ196" s="1193"/>
      <c r="CA196" s="1193"/>
      <c r="CB196" s="1194" t="s">
        <v>123</v>
      </c>
      <c r="CC196" s="1195"/>
      <c r="CD196" s="63"/>
      <c r="CE196" s="1198" t="s">
        <v>124</v>
      </c>
      <c r="CF196" s="1199"/>
      <c r="CG196" s="63"/>
      <c r="CH196" s="1185" t="s">
        <v>125</v>
      </c>
    </row>
    <row r="197" spans="2:86" ht="30" customHeight="1" outlineLevel="1">
      <c r="B197" s="1184"/>
      <c r="C197" s="1186"/>
      <c r="D197" s="1186"/>
      <c r="E197" s="1186"/>
      <c r="F197" s="1188"/>
      <c r="G197" s="1186"/>
      <c r="H197" s="1186"/>
      <c r="I197" s="1186"/>
      <c r="J197" s="1191"/>
      <c r="K197" s="1186"/>
      <c r="L197" s="1186"/>
      <c r="M197" s="656"/>
      <c r="N197" s="656"/>
      <c r="O197" s="656"/>
      <c r="P197" s="656"/>
      <c r="Q197" s="656"/>
      <c r="R197" s="656"/>
      <c r="S197" s="656"/>
      <c r="T197" s="656"/>
      <c r="U197" s="656"/>
      <c r="V197" s="656"/>
      <c r="W197" s="656"/>
      <c r="X197" s="656"/>
      <c r="Y197" s="656"/>
      <c r="Z197" s="656"/>
      <c r="AA197" s="656"/>
      <c r="AB197" s="656"/>
      <c r="AC197" s="656"/>
      <c r="AD197" s="656"/>
      <c r="AE197" s="656"/>
      <c r="AF197" s="656"/>
      <c r="AG197" s="656"/>
      <c r="AH197" s="656"/>
      <c r="AI197" s="656"/>
      <c r="AJ197" s="79"/>
      <c r="AK197" s="79"/>
      <c r="AL197" s="79"/>
      <c r="AM197" s="79"/>
      <c r="AN197" s="79"/>
      <c r="AO197" s="79"/>
      <c r="AP197" s="79"/>
      <c r="AQ197" s="79"/>
      <c r="AR197" s="79"/>
      <c r="AS197" s="79"/>
      <c r="AT197" s="79"/>
      <c r="AU197" s="79"/>
      <c r="AV197" s="79"/>
      <c r="AW197" s="79"/>
      <c r="AX197" s="79"/>
      <c r="AY197" s="79"/>
      <c r="AZ197" s="79"/>
      <c r="BA197" s="79"/>
      <c r="BB197" s="79"/>
      <c r="BC197" s="79"/>
      <c r="BD197" s="79"/>
      <c r="BE197" s="79"/>
      <c r="BF197" s="79"/>
      <c r="BG197" s="79"/>
      <c r="BH197" s="79"/>
      <c r="BI197" s="79"/>
      <c r="BJ197" s="79"/>
      <c r="BK197" s="79"/>
      <c r="BL197" s="79"/>
      <c r="BM197" s="79"/>
      <c r="BN197" s="79"/>
      <c r="BO197" s="79"/>
      <c r="BP197" s="63"/>
      <c r="BQ197" s="1325"/>
      <c r="BR197" s="712"/>
      <c r="BS197" s="712"/>
      <c r="BT197" s="712"/>
      <c r="BU197" s="712"/>
      <c r="BV197" s="712"/>
      <c r="BW197" s="712"/>
      <c r="BX197" s="712"/>
      <c r="BY197" s="718" t="s">
        <v>106</v>
      </c>
      <c r="BZ197" s="58" t="s">
        <v>107</v>
      </c>
      <c r="CA197" s="720" t="s">
        <v>108</v>
      </c>
      <c r="CB197" s="1196"/>
      <c r="CC197" s="1197"/>
      <c r="CD197" s="63"/>
      <c r="CE197" s="1200"/>
      <c r="CF197" s="1201"/>
      <c r="CG197" s="63"/>
      <c r="CH197" s="1186"/>
    </row>
    <row r="198" spans="2:86" ht="18.75" outlineLevel="1" thickBot="1">
      <c r="B198" s="65"/>
      <c r="C198" s="66"/>
      <c r="D198" s="661" t="s">
        <v>6306</v>
      </c>
      <c r="E198" s="661" t="s">
        <v>6306</v>
      </c>
      <c r="F198" s="661"/>
      <c r="G198" s="661" t="s">
        <v>6306</v>
      </c>
      <c r="H198" s="661" t="s">
        <v>6306</v>
      </c>
      <c r="I198" s="661" t="s">
        <v>6306</v>
      </c>
      <c r="J198" s="64" t="s">
        <v>119</v>
      </c>
      <c r="K198" s="1202" t="s">
        <v>120</v>
      </c>
      <c r="L198" s="1202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6"/>
      <c r="BP198" s="63"/>
      <c r="BQ198" s="66"/>
      <c r="BR198" s="713"/>
      <c r="BS198" s="713"/>
      <c r="BT198" s="713"/>
      <c r="BU198" s="713"/>
      <c r="BV198" s="713"/>
      <c r="BW198" s="713"/>
      <c r="BX198" s="713"/>
      <c r="BY198" s="713" t="s">
        <v>109</v>
      </c>
      <c r="BZ198" s="66" t="s">
        <v>109</v>
      </c>
      <c r="CA198" s="64" t="s">
        <v>109</v>
      </c>
      <c r="CB198" s="66" t="s">
        <v>109</v>
      </c>
      <c r="CC198" s="721" t="s">
        <v>110</v>
      </c>
      <c r="CD198" s="63"/>
      <c r="CE198" s="724" t="s">
        <v>111</v>
      </c>
      <c r="CF198" s="725" t="s">
        <v>112</v>
      </c>
      <c r="CG198" s="63"/>
      <c r="CH198" s="66" t="s">
        <v>114</v>
      </c>
    </row>
    <row r="199" spans="2:86" outlineLevel="1">
      <c r="B199" s="69" t="s">
        <v>6485</v>
      </c>
      <c r="C199" s="716"/>
      <c r="D199" s="716"/>
      <c r="E199" s="662"/>
      <c r="F199" s="69" t="str">
        <f>IF(E199=0,"",MONTH(E199))</f>
        <v/>
      </c>
      <c r="G199" s="80"/>
      <c r="H199" s="80"/>
      <c r="I199" s="648"/>
      <c r="J199" s="67"/>
      <c r="K199" s="68"/>
      <c r="L199" s="339" t="str">
        <f>IFERROR(VLOOKUP(J199,FÉ!$B$10:$L$22,5,FALSE),"")</f>
        <v/>
      </c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  <c r="AY199" s="69"/>
      <c r="AZ199" s="69"/>
      <c r="BA199" s="69"/>
      <c r="BB199" s="69"/>
      <c r="BC199" s="69"/>
      <c r="BD199" s="69"/>
      <c r="BE199" s="69"/>
      <c r="BF199" s="69"/>
      <c r="BG199" s="69"/>
      <c r="BH199" s="69"/>
      <c r="BI199" s="69"/>
      <c r="BJ199" s="69"/>
      <c r="BK199" s="69"/>
      <c r="BL199" s="69"/>
      <c r="BM199" s="69"/>
      <c r="BN199" s="69"/>
      <c r="BO199" s="69"/>
      <c r="BP199" s="63"/>
      <c r="BQ199" s="734"/>
      <c r="BR199" s="735"/>
      <c r="BS199" s="735"/>
      <c r="BT199" s="719"/>
      <c r="BU199" s="719"/>
      <c r="BV199" s="719"/>
      <c r="BW199" s="719"/>
      <c r="BX199" s="719"/>
      <c r="BY199" s="719">
        <f>IF($J199=0, ,VLOOKUP($J199,FÉ!$B$9:$K$22,8,FALSE)*$K199*PRP!$J$8)</f>
        <v>0</v>
      </c>
      <c r="BZ199" s="69">
        <f>IF($J199=0, ,VLOOKUP($J199,FÉ!$B$9:$K$22,9,FALSE)*$K199*PRP!$J$9)</f>
        <v>0</v>
      </c>
      <c r="CA199" s="700">
        <f>IF($J199=0, ,VLOOKUP($J199,FÉ!$B$9:$K$22,10,FALSE)*$K199*PRP!$J$10)</f>
        <v>0</v>
      </c>
      <c r="CB199" s="69">
        <f t="shared" ref="CB199:CB208" si="46">SUM(BY199:CA199)</f>
        <v>0</v>
      </c>
      <c r="CC199" s="722">
        <f t="shared" ref="CC199:CC208" si="47">CB199/(10^6)</f>
        <v>0</v>
      </c>
      <c r="CD199" s="63"/>
      <c r="CE199" s="726">
        <f>IF(J199=FÉ!$B$12,K199* FÉ!$Q$12,)</f>
        <v>0</v>
      </c>
      <c r="CF199" s="727">
        <f t="shared" ref="CF199:CF208" si="48">CE199/(10^6)</f>
        <v>0</v>
      </c>
      <c r="CG199" s="63"/>
      <c r="CH199" s="730">
        <f>IF($J199=0, ,VLOOKUP($J199,FÉ!$B$9:$K$22,7,FALSE))*K199</f>
        <v>0</v>
      </c>
    </row>
    <row r="200" spans="2:86" outlineLevel="1">
      <c r="B200" s="69" t="str">
        <f t="shared" ref="B200:B208" si="49">B199</f>
        <v>2.2A2</v>
      </c>
      <c r="C200" s="80"/>
      <c r="D200" s="80"/>
      <c r="E200" s="663"/>
      <c r="F200" s="69" t="str">
        <f t="shared" ref="F200:F208" si="50">IF(E200=0,"",MONTH(E200))</f>
        <v/>
      </c>
      <c r="G200" s="80" t="s">
        <v>137</v>
      </c>
      <c r="H200" s="80"/>
      <c r="I200" s="648" t="s">
        <v>6614</v>
      </c>
      <c r="J200" s="67" t="s">
        <v>6615</v>
      </c>
      <c r="K200" s="68">
        <v>14000</v>
      </c>
      <c r="L200" s="339" t="str">
        <f>IFERROR(VLOOKUP(J200,FÉ!$B$10:$L$22,5,FALSE),"")</f>
        <v/>
      </c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  <c r="AY200" s="69"/>
      <c r="AZ200" s="69"/>
      <c r="BA200" s="69"/>
      <c r="BB200" s="69"/>
      <c r="BC200" s="69"/>
      <c r="BD200" s="69"/>
      <c r="BE200" s="69"/>
      <c r="BF200" s="69"/>
      <c r="BG200" s="69"/>
      <c r="BH200" s="69"/>
      <c r="BI200" s="69"/>
      <c r="BJ200" s="69"/>
      <c r="BK200" s="69"/>
      <c r="BL200" s="69"/>
      <c r="BM200" s="69"/>
      <c r="BN200" s="69"/>
      <c r="BO200" s="69"/>
      <c r="BP200" s="63"/>
      <c r="BQ200" s="734"/>
      <c r="BR200" s="735"/>
      <c r="BS200" s="735"/>
      <c r="BT200" s="719"/>
      <c r="BU200" s="719"/>
      <c r="BV200" s="719"/>
      <c r="BW200" s="719"/>
      <c r="BX200" s="719"/>
      <c r="BY200" s="719">
        <f>IF($J200=0, ,VLOOKUP($J200,FÉ!$B$9:$K$22,8,FALSE)*$K200*PRP!$J$8)</f>
        <v>26292000</v>
      </c>
      <c r="BZ200" s="69">
        <f>IF($J200=0, ,VLOOKUP($J200,FÉ!$B$9:$K$22,9,FALSE)*$K200*PRP!$J$9)</f>
        <v>15436.4</v>
      </c>
      <c r="CA200" s="700">
        <f>IF($J200=0, ,VLOOKUP($J200,FÉ!$B$9:$K$22,10,FALSE)*$K200*PRP!$J$10)</f>
        <v>129948.00000000001</v>
      </c>
      <c r="CB200" s="69">
        <f t="shared" si="46"/>
        <v>26437384.399999999</v>
      </c>
      <c r="CC200" s="722">
        <f t="shared" si="47"/>
        <v>26.437384399999999</v>
      </c>
      <c r="CD200" s="63"/>
      <c r="CE200" s="726">
        <f>IF(J200=FÉ!$B$12,K200* FÉ!$Q$12,)</f>
        <v>0</v>
      </c>
      <c r="CF200" s="727">
        <f t="shared" si="48"/>
        <v>0</v>
      </c>
      <c r="CG200" s="63"/>
      <c r="CH200" s="730">
        <f>IF($J200=0, ,VLOOKUP($J200,FÉ!$B$9:$K$22,7,FALSE))*K200</f>
        <v>147420</v>
      </c>
    </row>
    <row r="201" spans="2:86" outlineLevel="1">
      <c r="B201" s="69" t="str">
        <f t="shared" si="49"/>
        <v>2.2A2</v>
      </c>
      <c r="C201" s="80"/>
      <c r="D201" s="80"/>
      <c r="E201" s="663"/>
      <c r="F201" s="69" t="str">
        <f t="shared" si="50"/>
        <v/>
      </c>
      <c r="G201" s="80"/>
      <c r="H201" s="80"/>
      <c r="I201" s="648"/>
      <c r="J201" s="67"/>
      <c r="K201" s="68"/>
      <c r="L201" s="339" t="str">
        <f>IFERROR(VLOOKUP(J201,FÉ!$B$10:$L$22,5,FALSE),"")</f>
        <v/>
      </c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  <c r="AY201" s="69"/>
      <c r="AZ201" s="69"/>
      <c r="BA201" s="69"/>
      <c r="BB201" s="69"/>
      <c r="BC201" s="69"/>
      <c r="BD201" s="69"/>
      <c r="BE201" s="69"/>
      <c r="BF201" s="69"/>
      <c r="BG201" s="69"/>
      <c r="BH201" s="69"/>
      <c r="BI201" s="69"/>
      <c r="BJ201" s="69"/>
      <c r="BK201" s="69"/>
      <c r="BL201" s="69"/>
      <c r="BM201" s="69"/>
      <c r="BN201" s="69"/>
      <c r="BO201" s="69"/>
      <c r="BP201" s="63"/>
      <c r="BQ201" s="734"/>
      <c r="BR201" s="735"/>
      <c r="BS201" s="735"/>
      <c r="BT201" s="719"/>
      <c r="BU201" s="719"/>
      <c r="BV201" s="719"/>
      <c r="BW201" s="719"/>
      <c r="BX201" s="719"/>
      <c r="BY201" s="719">
        <f>IF($J201=0, ,VLOOKUP($J201,FÉ!$B$9:$K$22,8,FALSE)*$K201*PRP!$J$8)</f>
        <v>0</v>
      </c>
      <c r="BZ201" s="69">
        <f>IF($J201=0, ,VLOOKUP($J201,FÉ!$B$9:$K$22,9,FALSE)*$K201*PRP!$J$9)</f>
        <v>0</v>
      </c>
      <c r="CA201" s="700">
        <f>IF($J201=0, ,VLOOKUP($J201,FÉ!$B$9:$K$22,10,FALSE)*$K201*PRP!$J$10)</f>
        <v>0</v>
      </c>
      <c r="CB201" s="69">
        <f t="shared" si="46"/>
        <v>0</v>
      </c>
      <c r="CC201" s="722">
        <f t="shared" si="47"/>
        <v>0</v>
      </c>
      <c r="CD201" s="63"/>
      <c r="CE201" s="726">
        <f>IF(J201=FÉ!$B$12,K201* FÉ!$Q$12,)</f>
        <v>0</v>
      </c>
      <c r="CF201" s="727">
        <f t="shared" si="48"/>
        <v>0</v>
      </c>
      <c r="CG201" s="63"/>
      <c r="CH201" s="730">
        <f>IF($J201=0, ,VLOOKUP($J201,FÉ!$B$9:$K$22,7,FALSE))*K201</f>
        <v>0</v>
      </c>
    </row>
    <row r="202" spans="2:86" outlineLevel="1">
      <c r="B202" s="69" t="str">
        <f t="shared" si="49"/>
        <v>2.2A2</v>
      </c>
      <c r="C202" s="80"/>
      <c r="D202" s="80"/>
      <c r="E202" s="663"/>
      <c r="F202" s="69" t="str">
        <f t="shared" si="50"/>
        <v/>
      </c>
      <c r="G202" s="80"/>
      <c r="H202" s="80"/>
      <c r="I202" s="648"/>
      <c r="J202" s="67"/>
      <c r="K202" s="68"/>
      <c r="L202" s="339" t="str">
        <f>IFERROR(VLOOKUP(J202,FÉ!$B$10:$L$22,5,FALSE),"")</f>
        <v/>
      </c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/>
      <c r="AY202" s="69"/>
      <c r="AZ202" s="69"/>
      <c r="BA202" s="69"/>
      <c r="BB202" s="69"/>
      <c r="BC202" s="69"/>
      <c r="BD202" s="69"/>
      <c r="BE202" s="69"/>
      <c r="BF202" s="69"/>
      <c r="BG202" s="69"/>
      <c r="BH202" s="69"/>
      <c r="BI202" s="69"/>
      <c r="BJ202" s="69"/>
      <c r="BK202" s="69"/>
      <c r="BL202" s="69"/>
      <c r="BM202" s="69"/>
      <c r="BN202" s="69"/>
      <c r="BO202" s="69"/>
      <c r="BP202" s="63"/>
      <c r="BQ202" s="734"/>
      <c r="BR202" s="735"/>
      <c r="BS202" s="735"/>
      <c r="BT202" s="719"/>
      <c r="BU202" s="719"/>
      <c r="BV202" s="719"/>
      <c r="BW202" s="719"/>
      <c r="BX202" s="719"/>
      <c r="BY202" s="719">
        <f>IF($J202=0, ,VLOOKUP($J202,FÉ!$B$9:$K$22,8,FALSE)*$K202*PRP!$J$8)</f>
        <v>0</v>
      </c>
      <c r="BZ202" s="69">
        <f>IF($J202=0, ,VLOOKUP($J202,FÉ!$B$9:$K$22,9,FALSE)*$K202*PRP!$J$9)</f>
        <v>0</v>
      </c>
      <c r="CA202" s="700">
        <f>IF($J202=0, ,VLOOKUP($J202,FÉ!$B$9:$K$22,10,FALSE)*$K202*PRP!$J$10)</f>
        <v>0</v>
      </c>
      <c r="CB202" s="69">
        <f t="shared" si="46"/>
        <v>0</v>
      </c>
      <c r="CC202" s="722">
        <f t="shared" si="47"/>
        <v>0</v>
      </c>
      <c r="CD202" s="63"/>
      <c r="CE202" s="726">
        <f>IF(J202=FÉ!$B$12,K202* FÉ!$Q$12,)</f>
        <v>0</v>
      </c>
      <c r="CF202" s="727">
        <f t="shared" si="48"/>
        <v>0</v>
      </c>
      <c r="CG202" s="63"/>
      <c r="CH202" s="730">
        <f>IF($J202=0, ,VLOOKUP($J202,FÉ!$B$9:$K$22,7,FALSE))*K202</f>
        <v>0</v>
      </c>
    </row>
    <row r="203" spans="2:86" outlineLevel="1">
      <c r="B203" s="69" t="str">
        <f t="shared" si="49"/>
        <v>2.2A2</v>
      </c>
      <c r="C203" s="80"/>
      <c r="D203" s="80"/>
      <c r="E203" s="663"/>
      <c r="F203" s="69" t="str">
        <f t="shared" si="50"/>
        <v/>
      </c>
      <c r="G203" s="80"/>
      <c r="H203" s="80"/>
      <c r="I203" s="648"/>
      <c r="J203" s="67"/>
      <c r="K203" s="68"/>
      <c r="L203" s="339" t="str">
        <f>IFERROR(VLOOKUP(J203,FÉ!$B$10:$L$22,5,FALSE),"")</f>
        <v/>
      </c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  <c r="AZ203" s="69"/>
      <c r="BA203" s="69"/>
      <c r="BB203" s="69"/>
      <c r="BC203" s="69"/>
      <c r="BD203" s="69"/>
      <c r="BE203" s="69"/>
      <c r="BF203" s="69"/>
      <c r="BG203" s="69"/>
      <c r="BH203" s="69"/>
      <c r="BI203" s="69"/>
      <c r="BJ203" s="69"/>
      <c r="BK203" s="69"/>
      <c r="BL203" s="69"/>
      <c r="BM203" s="69"/>
      <c r="BN203" s="69"/>
      <c r="BO203" s="69"/>
      <c r="BP203" s="63"/>
      <c r="BQ203" s="734"/>
      <c r="BR203" s="735"/>
      <c r="BS203" s="735"/>
      <c r="BT203" s="719"/>
      <c r="BU203" s="719"/>
      <c r="BV203" s="719"/>
      <c r="BW203" s="719"/>
      <c r="BX203" s="719"/>
      <c r="BY203" s="719">
        <f>IF($J203=0, ,VLOOKUP($J203,FÉ!$B$9:$K$22,8,FALSE)*$K203*PRP!$J$8)</f>
        <v>0</v>
      </c>
      <c r="BZ203" s="69">
        <f>IF($J203=0, ,VLOOKUP($J203,FÉ!$B$9:$K$22,9,FALSE)*$K203*PRP!$J$9)</f>
        <v>0</v>
      </c>
      <c r="CA203" s="700">
        <f>IF($J203=0, ,VLOOKUP($J203,FÉ!$B$9:$K$22,10,FALSE)*$K203*PRP!$J$10)</f>
        <v>0</v>
      </c>
      <c r="CB203" s="69">
        <f t="shared" si="46"/>
        <v>0</v>
      </c>
      <c r="CC203" s="722">
        <f t="shared" si="47"/>
        <v>0</v>
      </c>
      <c r="CD203" s="63"/>
      <c r="CE203" s="726">
        <f>IF(J203=FÉ!$B$12,K203* FÉ!$Q$12,)</f>
        <v>0</v>
      </c>
      <c r="CF203" s="727">
        <f t="shared" si="48"/>
        <v>0</v>
      </c>
      <c r="CG203" s="63"/>
      <c r="CH203" s="730">
        <f>IF($J203=0, ,VLOOKUP($J203,FÉ!$B$9:$K$22,7,FALSE))*K203</f>
        <v>0</v>
      </c>
    </row>
    <row r="204" spans="2:86" outlineLevel="1">
      <c r="B204" s="69" t="str">
        <f t="shared" si="49"/>
        <v>2.2A2</v>
      </c>
      <c r="C204" s="80"/>
      <c r="D204" s="80"/>
      <c r="E204" s="663"/>
      <c r="F204" s="69" t="str">
        <f t="shared" si="50"/>
        <v/>
      </c>
      <c r="G204" s="80"/>
      <c r="H204" s="80"/>
      <c r="I204" s="648"/>
      <c r="J204" s="67"/>
      <c r="K204" s="68"/>
      <c r="L204" s="339" t="str">
        <f>IFERROR(VLOOKUP(J204,FÉ!$B$10:$L$22,5,FALSE),"")</f>
        <v/>
      </c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  <c r="AY204" s="69"/>
      <c r="AZ204" s="69"/>
      <c r="BA204" s="69"/>
      <c r="BB204" s="69"/>
      <c r="BC204" s="69"/>
      <c r="BD204" s="69"/>
      <c r="BE204" s="69"/>
      <c r="BF204" s="69"/>
      <c r="BG204" s="69"/>
      <c r="BH204" s="69"/>
      <c r="BI204" s="69"/>
      <c r="BJ204" s="69"/>
      <c r="BK204" s="69"/>
      <c r="BL204" s="69"/>
      <c r="BM204" s="69"/>
      <c r="BN204" s="69"/>
      <c r="BO204" s="69"/>
      <c r="BP204" s="63"/>
      <c r="BQ204" s="734"/>
      <c r="BR204" s="735"/>
      <c r="BS204" s="735"/>
      <c r="BT204" s="719"/>
      <c r="BU204" s="719"/>
      <c r="BV204" s="719"/>
      <c r="BW204" s="719"/>
      <c r="BX204" s="719"/>
      <c r="BY204" s="719">
        <f>IF($J204=0, ,VLOOKUP($J204,FÉ!$B$9:$K$22,8,FALSE)*$K204*PRP!$J$8)</f>
        <v>0</v>
      </c>
      <c r="BZ204" s="69">
        <f>IF($J204=0, ,VLOOKUP($J204,FÉ!$B$9:$K$22,9,FALSE)*$K204*PRP!$J$9)</f>
        <v>0</v>
      </c>
      <c r="CA204" s="700">
        <f>IF($J204=0, ,VLOOKUP($J204,FÉ!$B$9:$K$22,10,FALSE)*$K204*PRP!$J$10)</f>
        <v>0</v>
      </c>
      <c r="CB204" s="69">
        <f t="shared" si="46"/>
        <v>0</v>
      </c>
      <c r="CC204" s="722">
        <f t="shared" si="47"/>
        <v>0</v>
      </c>
      <c r="CD204" s="63"/>
      <c r="CE204" s="726">
        <f>IF(J204=FÉ!$B$12,K204* FÉ!$Q$12,)</f>
        <v>0</v>
      </c>
      <c r="CF204" s="727">
        <f t="shared" si="48"/>
        <v>0</v>
      </c>
      <c r="CG204" s="63"/>
      <c r="CH204" s="730">
        <f>IF($J204=0, ,VLOOKUP($J204,FÉ!$B$9:$K$22,7,FALSE))*K204</f>
        <v>0</v>
      </c>
    </row>
    <row r="205" spans="2:86" outlineLevel="1">
      <c r="B205" s="69" t="str">
        <f t="shared" si="49"/>
        <v>2.2A2</v>
      </c>
      <c r="C205" s="80"/>
      <c r="D205" s="80"/>
      <c r="E205" s="663"/>
      <c r="F205" s="69" t="str">
        <f t="shared" si="50"/>
        <v/>
      </c>
      <c r="G205" s="80"/>
      <c r="H205" s="80"/>
      <c r="I205" s="648"/>
      <c r="J205" s="67"/>
      <c r="K205" s="68"/>
      <c r="L205" s="339" t="str">
        <f>IFERROR(VLOOKUP(J205,FÉ!$B$10:$L$22,5,FALSE),"")</f>
        <v/>
      </c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  <c r="AY205" s="69"/>
      <c r="AZ205" s="69"/>
      <c r="BA205" s="69"/>
      <c r="BB205" s="69"/>
      <c r="BC205" s="69"/>
      <c r="BD205" s="69"/>
      <c r="BE205" s="69"/>
      <c r="BF205" s="69"/>
      <c r="BG205" s="69"/>
      <c r="BH205" s="69"/>
      <c r="BI205" s="69"/>
      <c r="BJ205" s="69"/>
      <c r="BK205" s="69"/>
      <c r="BL205" s="69"/>
      <c r="BM205" s="69"/>
      <c r="BN205" s="69"/>
      <c r="BO205" s="69"/>
      <c r="BP205" s="63"/>
      <c r="BQ205" s="734"/>
      <c r="BR205" s="735"/>
      <c r="BS205" s="735"/>
      <c r="BT205" s="719"/>
      <c r="BU205" s="719"/>
      <c r="BV205" s="719"/>
      <c r="BW205" s="719"/>
      <c r="BX205" s="719"/>
      <c r="BY205" s="719">
        <f>IF($J205=0, ,VLOOKUP($J205,FÉ!$B$9:$K$22,8,FALSE)*$K205*PRP!$J$8)</f>
        <v>0</v>
      </c>
      <c r="BZ205" s="69">
        <f>IF($J205=0, ,VLOOKUP($J205,FÉ!$B$9:$K$22,9,FALSE)*$K205*PRP!$J$9)</f>
        <v>0</v>
      </c>
      <c r="CA205" s="700">
        <f>IF($J205=0, ,VLOOKUP($J205,FÉ!$B$9:$K$22,10,FALSE)*$K205*PRP!$J$10)</f>
        <v>0</v>
      </c>
      <c r="CB205" s="69">
        <f t="shared" si="46"/>
        <v>0</v>
      </c>
      <c r="CC205" s="722">
        <f t="shared" si="47"/>
        <v>0</v>
      </c>
      <c r="CD205" s="63"/>
      <c r="CE205" s="726">
        <f>IF(J205=FÉ!$B$12,K205* FÉ!$Q$12,)</f>
        <v>0</v>
      </c>
      <c r="CF205" s="727">
        <f t="shared" si="48"/>
        <v>0</v>
      </c>
      <c r="CG205" s="63"/>
      <c r="CH205" s="730">
        <f>IF($J205=0, ,VLOOKUP($J205,FÉ!$B$9:$K$22,7,FALSE))*K205</f>
        <v>0</v>
      </c>
    </row>
    <row r="206" spans="2:86" outlineLevel="1">
      <c r="B206" s="69" t="str">
        <f t="shared" si="49"/>
        <v>2.2A2</v>
      </c>
      <c r="C206" s="80"/>
      <c r="D206" s="80"/>
      <c r="E206" s="663"/>
      <c r="F206" s="69" t="str">
        <f t="shared" si="50"/>
        <v/>
      </c>
      <c r="G206" s="80"/>
      <c r="H206" s="80"/>
      <c r="I206" s="648"/>
      <c r="J206" s="67"/>
      <c r="K206" s="68"/>
      <c r="L206" s="339" t="str">
        <f>IFERROR(VLOOKUP(J206,FÉ!$B$10:$L$22,5,FALSE),"")</f>
        <v/>
      </c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  <c r="AY206" s="69"/>
      <c r="AZ206" s="69"/>
      <c r="BA206" s="69"/>
      <c r="BB206" s="69"/>
      <c r="BC206" s="69"/>
      <c r="BD206" s="69"/>
      <c r="BE206" s="69"/>
      <c r="BF206" s="69"/>
      <c r="BG206" s="69"/>
      <c r="BH206" s="69"/>
      <c r="BI206" s="69"/>
      <c r="BJ206" s="69"/>
      <c r="BK206" s="69"/>
      <c r="BL206" s="69"/>
      <c r="BM206" s="69"/>
      <c r="BN206" s="69"/>
      <c r="BO206" s="69"/>
      <c r="BP206" s="63"/>
      <c r="BQ206" s="734"/>
      <c r="BR206" s="735"/>
      <c r="BS206" s="735"/>
      <c r="BT206" s="719"/>
      <c r="BU206" s="719"/>
      <c r="BV206" s="719"/>
      <c r="BW206" s="719"/>
      <c r="BX206" s="719"/>
      <c r="BY206" s="719">
        <f>IF($J206=0, ,VLOOKUP($J206,FÉ!$B$9:$K$22,8,FALSE)*$K206*PRP!$J$8)</f>
        <v>0</v>
      </c>
      <c r="BZ206" s="69">
        <f>IF($J206=0, ,VLOOKUP($J206,FÉ!$B$9:$K$22,9,FALSE)*$K206*PRP!$J$9)</f>
        <v>0</v>
      </c>
      <c r="CA206" s="700">
        <f>IF($J206=0, ,VLOOKUP($J206,FÉ!$B$9:$K$22,10,FALSE)*$K206*PRP!$J$10)</f>
        <v>0</v>
      </c>
      <c r="CB206" s="69">
        <f t="shared" si="46"/>
        <v>0</v>
      </c>
      <c r="CC206" s="722">
        <f t="shared" si="47"/>
        <v>0</v>
      </c>
      <c r="CD206" s="63"/>
      <c r="CE206" s="726">
        <f>IF(J206=FÉ!$B$12,K206* FÉ!$Q$12,)</f>
        <v>0</v>
      </c>
      <c r="CF206" s="727">
        <f t="shared" si="48"/>
        <v>0</v>
      </c>
      <c r="CG206" s="63"/>
      <c r="CH206" s="730">
        <f>IF($J206=0, ,VLOOKUP($J206,FÉ!$B$9:$K$22,7,FALSE))*K206</f>
        <v>0</v>
      </c>
    </row>
    <row r="207" spans="2:86" outlineLevel="1">
      <c r="B207" s="69" t="str">
        <f t="shared" si="49"/>
        <v>2.2A2</v>
      </c>
      <c r="C207" s="80"/>
      <c r="D207" s="80"/>
      <c r="E207" s="663"/>
      <c r="F207" s="69" t="str">
        <f t="shared" si="50"/>
        <v/>
      </c>
      <c r="G207" s="80"/>
      <c r="H207" s="80"/>
      <c r="I207" s="648"/>
      <c r="J207" s="67"/>
      <c r="K207" s="68"/>
      <c r="L207" s="339" t="str">
        <f>IFERROR(VLOOKUP(J207,FÉ!$B$10:$L$22,5,FALSE),"")</f>
        <v/>
      </c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  <c r="AY207" s="69"/>
      <c r="AZ207" s="69"/>
      <c r="BA207" s="69"/>
      <c r="BB207" s="69"/>
      <c r="BC207" s="69"/>
      <c r="BD207" s="69"/>
      <c r="BE207" s="69"/>
      <c r="BF207" s="69"/>
      <c r="BG207" s="69"/>
      <c r="BH207" s="69"/>
      <c r="BI207" s="69"/>
      <c r="BJ207" s="69"/>
      <c r="BK207" s="69"/>
      <c r="BL207" s="69"/>
      <c r="BM207" s="69"/>
      <c r="BN207" s="69"/>
      <c r="BO207" s="69"/>
      <c r="BP207" s="63"/>
      <c r="BQ207" s="734"/>
      <c r="BR207" s="735"/>
      <c r="BS207" s="735"/>
      <c r="BT207" s="719"/>
      <c r="BU207" s="719"/>
      <c r="BV207" s="719"/>
      <c r="BW207" s="719"/>
      <c r="BX207" s="719"/>
      <c r="BY207" s="719">
        <f>IF($J207=0, ,VLOOKUP($J207,FÉ!$B$9:$K$22,8,FALSE)*$K207*PRP!$J$8)</f>
        <v>0</v>
      </c>
      <c r="BZ207" s="69">
        <f>IF($J207=0, ,VLOOKUP($J207,FÉ!$B$9:$K$22,9,FALSE)*$K207*PRP!$J$9)</f>
        <v>0</v>
      </c>
      <c r="CA207" s="700">
        <f>IF($J207=0, ,VLOOKUP($J207,FÉ!$B$9:$K$22,10,FALSE)*$K207*PRP!$J$10)</f>
        <v>0</v>
      </c>
      <c r="CB207" s="69">
        <f t="shared" si="46"/>
        <v>0</v>
      </c>
      <c r="CC207" s="722">
        <f t="shared" si="47"/>
        <v>0</v>
      </c>
      <c r="CD207" s="63"/>
      <c r="CE207" s="726">
        <f>IF(J207=FÉ!$B$12,K207* FÉ!$Q$12,)</f>
        <v>0</v>
      </c>
      <c r="CF207" s="727">
        <f t="shared" si="48"/>
        <v>0</v>
      </c>
      <c r="CG207" s="63"/>
      <c r="CH207" s="730">
        <f>IF($J207=0, ,VLOOKUP($J207,FÉ!$B$9:$K$22,7,FALSE))*K207</f>
        <v>0</v>
      </c>
    </row>
    <row r="208" spans="2:86" ht="15.75" outlineLevel="1" thickBot="1">
      <c r="B208" s="69" t="str">
        <f t="shared" si="49"/>
        <v>2.2A2</v>
      </c>
      <c r="C208" s="717"/>
      <c r="D208" s="717"/>
      <c r="E208" s="663"/>
      <c r="F208" s="69" t="str">
        <f t="shared" si="50"/>
        <v/>
      </c>
      <c r="G208" s="80"/>
      <c r="H208" s="80"/>
      <c r="I208" s="648"/>
      <c r="J208" s="67"/>
      <c r="K208" s="68"/>
      <c r="L208" s="339" t="str">
        <f>IFERROR(VLOOKUP(J208,FÉ!$B$10:$L$22,5,FALSE),"")</f>
        <v/>
      </c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69"/>
      <c r="AW208" s="69"/>
      <c r="AX208" s="69"/>
      <c r="AY208" s="69"/>
      <c r="AZ208" s="69"/>
      <c r="BA208" s="69"/>
      <c r="BB208" s="69"/>
      <c r="BC208" s="69"/>
      <c r="BD208" s="69"/>
      <c r="BE208" s="69"/>
      <c r="BF208" s="69"/>
      <c r="BG208" s="69"/>
      <c r="BH208" s="69"/>
      <c r="BI208" s="69"/>
      <c r="BJ208" s="69"/>
      <c r="BK208" s="69"/>
      <c r="BL208" s="69"/>
      <c r="BM208" s="69"/>
      <c r="BN208" s="69"/>
      <c r="BO208" s="69"/>
      <c r="BP208" s="63"/>
      <c r="BQ208" s="734"/>
      <c r="BR208" s="735"/>
      <c r="BS208" s="735"/>
      <c r="BT208" s="719"/>
      <c r="BU208" s="719"/>
      <c r="BV208" s="719"/>
      <c r="BW208" s="719"/>
      <c r="BX208" s="719"/>
      <c r="BY208" s="719">
        <f>IF($J208=0, ,VLOOKUP($J208,FÉ!$B$9:$K$22,8,FALSE)*$K208*PRP!$J$8)</f>
        <v>0</v>
      </c>
      <c r="BZ208" s="69">
        <f>IF($J208=0, ,VLOOKUP($J208,FÉ!$B$9:$K$22,9,FALSE)*$K208*PRP!$J$9)</f>
        <v>0</v>
      </c>
      <c r="CA208" s="700">
        <f>IF($J208=0, ,VLOOKUP($J208,FÉ!$B$9:$K$22,10,FALSE)*$K208*PRP!$J$10)</f>
        <v>0</v>
      </c>
      <c r="CB208" s="69">
        <f t="shared" si="46"/>
        <v>0</v>
      </c>
      <c r="CC208" s="722">
        <f t="shared" si="47"/>
        <v>0</v>
      </c>
      <c r="CD208" s="63"/>
      <c r="CE208" s="726">
        <f>IF(J208=FÉ!$B$12,K208* FÉ!$Q$12,)</f>
        <v>0</v>
      </c>
      <c r="CF208" s="727">
        <f t="shared" si="48"/>
        <v>0</v>
      </c>
      <c r="CG208" s="63"/>
      <c r="CH208" s="730">
        <f>IF($J208=0, ,VLOOKUP($J208,FÉ!$B$9:$K$22,7,FALSE))*K208</f>
        <v>0</v>
      </c>
    </row>
    <row r="209" spans="2:86" ht="15.75" outlineLevel="1" thickBot="1">
      <c r="B209" s="899"/>
      <c r="C209" s="900"/>
      <c r="D209" s="900"/>
      <c r="E209" s="901"/>
      <c r="F209" s="902" t="str">
        <f>$B199</f>
        <v>2.2A2</v>
      </c>
      <c r="G209" s="902" t="str">
        <f>$B199</f>
        <v>2.2A2</v>
      </c>
      <c r="H209" s="902" t="str">
        <f>$B199</f>
        <v>2.2A2</v>
      </c>
      <c r="I209" s="901"/>
      <c r="J209" s="903"/>
      <c r="K209" s="903"/>
      <c r="L209" s="903"/>
      <c r="M209" s="903"/>
      <c r="N209" s="903"/>
      <c r="O209" s="903"/>
      <c r="P209" s="903"/>
      <c r="Q209" s="903"/>
      <c r="R209" s="903"/>
      <c r="S209" s="903"/>
      <c r="T209" s="903"/>
      <c r="U209" s="903"/>
      <c r="V209" s="903"/>
      <c r="W209" s="903"/>
      <c r="X209" s="903"/>
      <c r="Y209" s="903"/>
      <c r="Z209" s="903"/>
      <c r="AA209" s="903"/>
      <c r="AB209" s="903"/>
      <c r="AC209" s="903"/>
      <c r="AD209" s="903"/>
      <c r="AE209" s="903"/>
      <c r="AF209" s="903"/>
      <c r="AG209" s="903"/>
      <c r="AH209" s="903"/>
      <c r="AI209" s="903"/>
      <c r="AJ209" s="903"/>
      <c r="AK209" s="903"/>
      <c r="AL209" s="903"/>
      <c r="AM209" s="903"/>
      <c r="AN209" s="903"/>
      <c r="AO209" s="903"/>
      <c r="AP209" s="903"/>
      <c r="AQ209" s="903"/>
      <c r="AR209" s="903"/>
      <c r="AS209" s="903"/>
      <c r="AT209" s="903"/>
      <c r="AU209" s="903"/>
      <c r="AV209" s="903"/>
      <c r="AW209" s="903"/>
      <c r="AX209" s="903"/>
      <c r="AY209" s="903"/>
      <c r="AZ209" s="903"/>
      <c r="BA209" s="903"/>
      <c r="BB209" s="903"/>
      <c r="BC209" s="903"/>
      <c r="BD209" s="903"/>
      <c r="BE209" s="903"/>
      <c r="BF209" s="903"/>
      <c r="BG209" s="903"/>
      <c r="BH209" s="903"/>
      <c r="BI209" s="903"/>
      <c r="BJ209" s="903"/>
      <c r="BK209" s="903"/>
      <c r="BL209" s="903"/>
      <c r="BM209" s="903"/>
      <c r="BN209" s="903"/>
      <c r="BO209" s="903"/>
      <c r="BP209" s="63"/>
      <c r="BQ209" s="895"/>
      <c r="BR209" s="895"/>
      <c r="BS209" s="895"/>
      <c r="BT209" s="895"/>
      <c r="BU209" s="895"/>
      <c r="BV209" s="895"/>
      <c r="BW209" s="895"/>
      <c r="BX209" s="895"/>
      <c r="BY209" s="895">
        <f>SUM(BY199:BY208)</f>
        <v>26292000</v>
      </c>
      <c r="BZ209" s="895">
        <f>SUM(BZ199:BZ208)</f>
        <v>15436.4</v>
      </c>
      <c r="CA209" s="895">
        <f>SUM(CA199:CA208)</f>
        <v>129948.00000000001</v>
      </c>
      <c r="CB209" s="895">
        <f>SUM(CB199:CB208)</f>
        <v>26437384.399999999</v>
      </c>
      <c r="CC209" s="896">
        <f>SUM(CC199:CC208)</f>
        <v>26.437384399999999</v>
      </c>
      <c r="CD209" s="63"/>
      <c r="CE209" s="897">
        <f>SUM(CE199:CE208)</f>
        <v>0</v>
      </c>
      <c r="CF209" s="896">
        <f>SUM(CF199:CF208)</f>
        <v>0</v>
      </c>
      <c r="CG209" s="63"/>
      <c r="CH209" s="898">
        <f>SUM(CH199:CH208)</f>
        <v>147420</v>
      </c>
    </row>
    <row r="211" spans="2:86" ht="31.5">
      <c r="B211" s="1232" t="s">
        <v>6649</v>
      </c>
      <c r="C211" s="1233"/>
      <c r="D211" s="1233"/>
      <c r="E211" s="1233"/>
      <c r="F211" s="1233"/>
      <c r="G211" s="1233"/>
      <c r="H211" s="1233"/>
      <c r="I211" s="1233"/>
      <c r="J211" s="1233"/>
      <c r="K211" s="1233"/>
      <c r="L211" s="1233"/>
      <c r="M211" s="1233"/>
      <c r="N211" s="1233"/>
      <c r="O211" s="1233"/>
      <c r="P211" s="1233"/>
      <c r="Q211" s="1233"/>
      <c r="R211" s="1233"/>
      <c r="S211" s="1233"/>
      <c r="T211" s="1233"/>
      <c r="U211" s="1233"/>
      <c r="V211" s="1233"/>
      <c r="W211" s="1233"/>
      <c r="X211" s="1233"/>
      <c r="Y211" s="1233"/>
      <c r="Z211" s="1233"/>
      <c r="AA211" s="1233"/>
      <c r="AB211" s="1233"/>
      <c r="AC211" s="1233"/>
      <c r="AD211" s="1233"/>
      <c r="AE211" s="1233"/>
      <c r="AF211" s="1233"/>
      <c r="AG211" s="1233"/>
      <c r="AH211" s="1233"/>
      <c r="AI211" s="1233"/>
      <c r="AJ211" s="1233"/>
      <c r="AK211" s="1233"/>
      <c r="AL211" s="1233"/>
      <c r="AM211" s="1233"/>
      <c r="AN211" s="1233"/>
      <c r="AO211" s="1233"/>
      <c r="AP211" s="1233"/>
      <c r="AQ211" s="1233"/>
      <c r="AR211" s="1233"/>
      <c r="AS211" s="1233"/>
      <c r="AT211" s="1233"/>
      <c r="AU211" s="1233"/>
      <c r="AV211" s="1233"/>
      <c r="AW211" s="1233"/>
      <c r="AX211" s="1233"/>
      <c r="AY211" s="1233"/>
      <c r="AZ211" s="1233"/>
      <c r="BA211" s="1233"/>
      <c r="BB211" s="1233"/>
      <c r="BC211" s="1233"/>
      <c r="BD211" s="1233"/>
      <c r="BE211" s="1233"/>
      <c r="BF211" s="1233"/>
      <c r="BG211" s="1233"/>
      <c r="BH211" s="1233"/>
      <c r="BI211" s="1233"/>
      <c r="BJ211" s="1233"/>
      <c r="BK211" s="1233"/>
      <c r="BL211" s="1233"/>
      <c r="BM211" s="1233"/>
      <c r="BN211" s="1233"/>
      <c r="BO211" s="1233"/>
      <c r="BP211" s="1233"/>
      <c r="BQ211" s="1233"/>
      <c r="BR211" s="1233"/>
      <c r="BS211" s="1233"/>
      <c r="BT211" s="1233"/>
      <c r="BU211" s="1233"/>
      <c r="BV211" s="1233"/>
      <c r="BW211" s="1233"/>
      <c r="BX211" s="1233"/>
      <c r="BY211" s="1233"/>
      <c r="BZ211" s="1233"/>
      <c r="CA211" s="1233"/>
      <c r="CB211" s="1233"/>
      <c r="CC211" s="1233"/>
      <c r="CD211" s="1233"/>
      <c r="CE211" s="1233"/>
      <c r="CF211" s="1233"/>
      <c r="CG211" s="1233"/>
      <c r="CH211" s="1233"/>
    </row>
    <row r="212" spans="2:86" ht="15.75" outlineLevel="1" thickBot="1">
      <c r="CH212" s="63"/>
    </row>
    <row r="213" spans="2:86" ht="21.75" outlineLevel="1" thickBot="1">
      <c r="B213" s="1234" t="s">
        <v>115</v>
      </c>
      <c r="C213" s="1235"/>
      <c r="D213" s="1235"/>
      <c r="E213" s="1235"/>
      <c r="F213" s="1235"/>
      <c r="G213" s="1235"/>
      <c r="H213" s="1235"/>
      <c r="I213" s="1235"/>
      <c r="J213" s="1235"/>
      <c r="K213" s="1235"/>
      <c r="L213" s="1235"/>
      <c r="M213" s="1235"/>
      <c r="N213" s="1235"/>
      <c r="O213" s="1235"/>
      <c r="P213" s="1235"/>
      <c r="Q213" s="1235"/>
      <c r="R213" s="1235"/>
      <c r="S213" s="1235"/>
      <c r="T213" s="1235"/>
      <c r="U213" s="1235"/>
      <c r="V213" s="1235"/>
      <c r="W213" s="1235"/>
      <c r="X213" s="1235"/>
      <c r="Y213" s="1235"/>
      <c r="Z213" s="1235"/>
      <c r="AA213" s="1235"/>
      <c r="AB213" s="1235"/>
      <c r="AC213" s="1235"/>
      <c r="AD213" s="1235"/>
      <c r="AE213" s="1235"/>
      <c r="AF213" s="1235"/>
      <c r="AG213" s="1235"/>
      <c r="AH213" s="1235"/>
      <c r="AI213" s="1235"/>
      <c r="AJ213" s="1235"/>
      <c r="AK213" s="1235"/>
      <c r="AL213" s="1235"/>
      <c r="AM213" s="1235"/>
      <c r="AN213" s="1235"/>
      <c r="AO213" s="1235"/>
      <c r="AP213" s="1235"/>
      <c r="AQ213" s="1235"/>
      <c r="AR213" s="1235"/>
      <c r="AS213" s="1235"/>
      <c r="AT213" s="1235"/>
      <c r="AU213" s="1235"/>
      <c r="AV213" s="1235"/>
      <c r="AW213" s="1235"/>
      <c r="AX213" s="1235"/>
      <c r="AY213" s="1235"/>
      <c r="AZ213" s="1235"/>
      <c r="BA213" s="1235"/>
      <c r="BB213" s="1235"/>
      <c r="BC213" s="1235"/>
      <c r="BD213" s="1235"/>
      <c r="BE213" s="1235"/>
      <c r="BF213" s="1235"/>
      <c r="BG213" s="1235"/>
      <c r="BH213" s="1235"/>
      <c r="BI213" s="1235"/>
      <c r="BJ213" s="1235"/>
      <c r="BK213" s="1235"/>
      <c r="BL213" s="1235"/>
      <c r="BM213" s="1235"/>
      <c r="BN213" s="1235"/>
      <c r="BO213" s="1235"/>
      <c r="BP213" s="63"/>
      <c r="BQ213" s="1236" t="s">
        <v>121</v>
      </c>
      <c r="BR213" s="1237"/>
      <c r="BS213" s="1237"/>
      <c r="BT213" s="1237"/>
      <c r="BU213" s="1237"/>
      <c r="BV213" s="1237"/>
      <c r="BW213" s="1237"/>
      <c r="BX213" s="1237"/>
      <c r="BY213" s="1237"/>
      <c r="BZ213" s="1237"/>
      <c r="CA213" s="1237"/>
      <c r="CB213" s="1237"/>
      <c r="CC213" s="1237"/>
      <c r="CD213" s="1237"/>
      <c r="CE213" s="1237"/>
      <c r="CF213" s="1237"/>
      <c r="CG213" s="1237"/>
      <c r="CH213" s="1238"/>
    </row>
    <row r="214" spans="2:86" ht="15" customHeight="1" outlineLevel="1">
      <c r="B214" s="1183" t="s">
        <v>6353</v>
      </c>
      <c r="C214" s="1185" t="s">
        <v>6372</v>
      </c>
      <c r="D214" s="1185" t="s">
        <v>7</v>
      </c>
      <c r="E214" s="1185" t="s">
        <v>127</v>
      </c>
      <c r="F214" s="1187" t="s">
        <v>6348</v>
      </c>
      <c r="G214" s="1185" t="s">
        <v>6333</v>
      </c>
      <c r="H214" s="1185" t="s">
        <v>128</v>
      </c>
      <c r="I214" s="1185" t="s">
        <v>156</v>
      </c>
      <c r="J214" s="655"/>
      <c r="K214" s="655"/>
      <c r="L214" s="655"/>
      <c r="M214" s="655"/>
      <c r="N214" s="655"/>
      <c r="O214" s="655"/>
      <c r="P214" s="655"/>
      <c r="Q214" s="655"/>
      <c r="R214" s="655"/>
      <c r="S214" s="655"/>
      <c r="T214" s="655"/>
      <c r="U214" s="655"/>
      <c r="V214" s="655"/>
      <c r="W214" s="655"/>
      <c r="X214" s="655"/>
      <c r="Y214" s="655"/>
      <c r="Z214" s="655"/>
      <c r="AA214" s="655"/>
      <c r="AB214" s="655"/>
      <c r="AC214" s="655"/>
      <c r="AD214" s="655"/>
      <c r="AE214" s="655"/>
      <c r="AF214" s="655"/>
      <c r="AG214" s="655"/>
      <c r="AH214" s="655"/>
      <c r="AI214" s="655"/>
      <c r="AJ214" s="655"/>
      <c r="AK214" s="655"/>
      <c r="AL214" s="655"/>
      <c r="AM214" s="655"/>
      <c r="AN214" s="655"/>
      <c r="AO214" s="655"/>
      <c r="AP214" s="1185" t="s">
        <v>6409</v>
      </c>
      <c r="AQ214" s="655"/>
      <c r="AR214" s="1185" t="s">
        <v>6657</v>
      </c>
      <c r="AS214" s="655"/>
      <c r="AT214" s="655"/>
      <c r="AU214" s="655"/>
      <c r="AV214" s="655"/>
      <c r="AW214" s="655"/>
      <c r="AX214" s="655"/>
      <c r="AY214" s="1185" t="s">
        <v>6650</v>
      </c>
      <c r="AZ214" s="1185" t="s">
        <v>6658</v>
      </c>
      <c r="BA214" s="655"/>
      <c r="BB214" s="655"/>
      <c r="BC214" s="655"/>
      <c r="BD214" s="655"/>
      <c r="BE214" s="655"/>
      <c r="BF214" s="655"/>
      <c r="BG214" s="655"/>
      <c r="BH214" s="655"/>
      <c r="BI214" s="655"/>
      <c r="BJ214" s="655"/>
      <c r="BK214" s="655"/>
      <c r="BL214" s="655"/>
      <c r="BM214" s="655"/>
      <c r="BN214" s="655"/>
      <c r="BO214" s="657"/>
      <c r="BP214" s="63"/>
      <c r="BQ214" s="732"/>
      <c r="BR214" s="732"/>
      <c r="BS214" s="732"/>
      <c r="BT214" s="732"/>
      <c r="BU214" s="1185" t="s">
        <v>288</v>
      </c>
      <c r="BV214" s="1185" t="s">
        <v>6416</v>
      </c>
      <c r="BW214" s="732"/>
      <c r="BX214" s="732"/>
      <c r="BY214" s="1193" t="s">
        <v>122</v>
      </c>
      <c r="BZ214" s="1193"/>
      <c r="CA214" s="1193"/>
      <c r="CB214" s="1194" t="s">
        <v>123</v>
      </c>
      <c r="CC214" s="1195"/>
      <c r="CD214" s="63"/>
      <c r="CE214" s="1198" t="s">
        <v>124</v>
      </c>
      <c r="CF214" s="1199"/>
      <c r="CG214" s="63"/>
      <c r="CH214" s="1185" t="s">
        <v>125</v>
      </c>
    </row>
    <row r="215" spans="2:86" ht="18" outlineLevel="1">
      <c r="B215" s="1184"/>
      <c r="C215" s="1186"/>
      <c r="D215" s="1186"/>
      <c r="E215" s="1186"/>
      <c r="F215" s="1188"/>
      <c r="G215" s="1186"/>
      <c r="H215" s="1186"/>
      <c r="I215" s="1186"/>
      <c r="J215" s="656"/>
      <c r="K215" s="656"/>
      <c r="L215" s="656"/>
      <c r="M215" s="656"/>
      <c r="N215" s="656"/>
      <c r="O215" s="656"/>
      <c r="P215" s="656"/>
      <c r="Q215" s="656"/>
      <c r="R215" s="656"/>
      <c r="S215" s="656"/>
      <c r="T215" s="656"/>
      <c r="U215" s="656"/>
      <c r="V215" s="656"/>
      <c r="W215" s="656"/>
      <c r="X215" s="656"/>
      <c r="Y215" s="656"/>
      <c r="Z215" s="656"/>
      <c r="AA215" s="656"/>
      <c r="AB215" s="656"/>
      <c r="AC215" s="656"/>
      <c r="AD215" s="656"/>
      <c r="AE215" s="656"/>
      <c r="AF215" s="656"/>
      <c r="AG215" s="656"/>
      <c r="AH215" s="656"/>
      <c r="AI215" s="656"/>
      <c r="AJ215" s="656"/>
      <c r="AK215" s="656"/>
      <c r="AL215" s="656"/>
      <c r="AM215" s="656"/>
      <c r="AN215" s="656"/>
      <c r="AO215" s="656"/>
      <c r="AP215" s="1186"/>
      <c r="AQ215" s="656"/>
      <c r="AR215" s="1186"/>
      <c r="AS215" s="656"/>
      <c r="AT215" s="656"/>
      <c r="AU215" s="656"/>
      <c r="AV215" s="656"/>
      <c r="AW215" s="656"/>
      <c r="AX215" s="656"/>
      <c r="AY215" s="1186"/>
      <c r="AZ215" s="1186"/>
      <c r="BA215" s="656"/>
      <c r="BB215" s="656"/>
      <c r="BC215" s="656"/>
      <c r="BD215" s="656"/>
      <c r="BE215" s="656"/>
      <c r="BF215" s="656"/>
      <c r="BG215" s="656"/>
      <c r="BH215" s="656"/>
      <c r="BI215" s="656"/>
      <c r="BJ215" s="656"/>
      <c r="BK215" s="656"/>
      <c r="BL215" s="656"/>
      <c r="BM215" s="656"/>
      <c r="BN215" s="656"/>
      <c r="BO215" s="79"/>
      <c r="BP215" s="63"/>
      <c r="BQ215" s="1325"/>
      <c r="BR215" s="712"/>
      <c r="BS215" s="712"/>
      <c r="BT215" s="712"/>
      <c r="BU215" s="1186"/>
      <c r="BV215" s="1186"/>
      <c r="BW215" s="712"/>
      <c r="BX215" s="712"/>
      <c r="BY215" s="718" t="s">
        <v>106</v>
      </c>
      <c r="BZ215" s="58" t="s">
        <v>107</v>
      </c>
      <c r="CA215" s="720" t="s">
        <v>108</v>
      </c>
      <c r="CB215" s="1196"/>
      <c r="CC215" s="1197"/>
      <c r="CD215" s="63"/>
      <c r="CE215" s="1200"/>
      <c r="CF215" s="1201"/>
      <c r="CG215" s="63"/>
      <c r="CH215" s="1186"/>
    </row>
    <row r="216" spans="2:86" ht="18.75" outlineLevel="1" thickBot="1">
      <c r="B216" s="65"/>
      <c r="C216" s="66"/>
      <c r="D216" s="661" t="s">
        <v>6306</v>
      </c>
      <c r="E216" s="661" t="s">
        <v>6306</v>
      </c>
      <c r="F216" s="661"/>
      <c r="G216" s="661" t="s">
        <v>6306</v>
      </c>
      <c r="H216" s="661" t="s">
        <v>6306</v>
      </c>
      <c r="I216" s="661" t="s">
        <v>6306</v>
      </c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 t="s">
        <v>119</v>
      </c>
      <c r="AQ216" s="64"/>
      <c r="AR216" s="64" t="s">
        <v>285</v>
      </c>
      <c r="AS216" s="64"/>
      <c r="AT216" s="64"/>
      <c r="AU216" s="64"/>
      <c r="AV216" s="64"/>
      <c r="AW216" s="64"/>
      <c r="AX216" s="64"/>
      <c r="AY216" s="64" t="s">
        <v>6651</v>
      </c>
      <c r="AZ216" s="739" t="s">
        <v>6306</v>
      </c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6"/>
      <c r="BP216" s="63"/>
      <c r="BQ216" s="66"/>
      <c r="BR216" s="713"/>
      <c r="BS216" s="713"/>
      <c r="BT216" s="713"/>
      <c r="BU216" s="713" t="s">
        <v>285</v>
      </c>
      <c r="BV216" s="713" t="s">
        <v>6415</v>
      </c>
      <c r="BW216" s="713"/>
      <c r="BX216" s="713"/>
      <c r="BY216" s="713" t="s">
        <v>109</v>
      </c>
      <c r="BZ216" s="66" t="s">
        <v>109</v>
      </c>
      <c r="CA216" s="64" t="s">
        <v>109</v>
      </c>
      <c r="CB216" s="66" t="s">
        <v>109</v>
      </c>
      <c r="CC216" s="721" t="s">
        <v>110</v>
      </c>
      <c r="CD216" s="63"/>
      <c r="CE216" s="724" t="s">
        <v>111</v>
      </c>
      <c r="CF216" s="725" t="s">
        <v>112</v>
      </c>
      <c r="CG216" s="63"/>
      <c r="CH216" s="66" t="s">
        <v>114</v>
      </c>
    </row>
    <row r="217" spans="2:86" outlineLevel="1">
      <c r="B217" s="787" t="s">
        <v>6532</v>
      </c>
      <c r="C217" s="80"/>
      <c r="D217" s="716"/>
      <c r="E217" s="662"/>
      <c r="F217" s="69" t="str">
        <f>IF(E217=0,"",MONTH(E217))</f>
        <v/>
      </c>
      <c r="G217" s="80"/>
      <c r="H217" s="80"/>
      <c r="I217" s="648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  <c r="AP217" s="790" t="s">
        <v>225</v>
      </c>
      <c r="AQ217" s="69"/>
      <c r="AR217" s="790">
        <v>25</v>
      </c>
      <c r="AS217" s="69"/>
      <c r="AT217" s="69"/>
      <c r="AU217" s="69"/>
      <c r="AV217" s="69"/>
      <c r="AW217" s="69"/>
      <c r="AX217" s="69"/>
      <c r="AY217" s="790">
        <v>160</v>
      </c>
      <c r="AZ217" s="790"/>
      <c r="BA217" s="69"/>
      <c r="BB217" s="69"/>
      <c r="BC217" s="69"/>
      <c r="BD217" s="69"/>
      <c r="BE217" s="69"/>
      <c r="BF217" s="69"/>
      <c r="BG217" s="69"/>
      <c r="BH217" s="69"/>
      <c r="BI217" s="69"/>
      <c r="BJ217" s="69"/>
      <c r="BK217" s="69"/>
      <c r="BL217" s="69"/>
      <c r="BM217" s="69"/>
      <c r="BN217" s="69"/>
      <c r="BO217" s="69"/>
      <c r="BP217" s="63"/>
      <c r="BQ217" s="69"/>
      <c r="BR217" s="719"/>
      <c r="BS217" s="719"/>
      <c r="BT217" s="719"/>
      <c r="BU217" s="719">
        <f>AR217*AY217*2*IF($AZ217=0,1,$AZ217)</f>
        <v>8000</v>
      </c>
      <c r="BV217" s="804">
        <f>IF($AP217=0,,VLOOKUP($AP217,FÉ!$B$64:$L$73,4,FALSE)*$BU217/100)</f>
        <v>776</v>
      </c>
      <c r="BW217" s="719"/>
      <c r="BX217" s="719"/>
      <c r="BY217" s="555">
        <f>IF($AP217=0, ,VLOOKUP($AP217,FÉ!$B$64:$L$73,8,FALSE)*$BV217*PRP!$J$8)</f>
        <v>1790464.8</v>
      </c>
      <c r="BZ217" s="555">
        <f>IF($AP217=0, ,VLOOKUP($AP217,FÉ!$B$64:$L$73,9,FALSE)*$BV217*PRP!$J$9)</f>
        <v>3237.4720000000007</v>
      </c>
      <c r="CA217" s="555">
        <f>IF($AP217=0, ,VLOOKUP($AP217,FÉ!$B$64:$L$73,10,FALSE)*$BV217*PRP!$J$10)</f>
        <v>4660.6559999999999</v>
      </c>
      <c r="CB217" s="69">
        <f>SUM(BY217:CA217)</f>
        <v>1798362.9280000001</v>
      </c>
      <c r="CC217" s="722">
        <f>CB217/(10^6)</f>
        <v>1.798362928</v>
      </c>
      <c r="CD217" s="63"/>
      <c r="CE217" s="726"/>
      <c r="CF217" s="727"/>
      <c r="CG217" s="63"/>
      <c r="CH217" s="730">
        <f>IF($AP217=0, ,VLOOKUP($AP217,FÉ!$B$64:$L$73,7,FALSE))*BV217</f>
        <v>7519.44</v>
      </c>
    </row>
    <row r="218" spans="2:86" outlineLevel="1">
      <c r="B218" s="69" t="str">
        <f t="shared" ref="B218:B226" si="51">B217</f>
        <v>3.3A1</v>
      </c>
      <c r="C218" s="80"/>
      <c r="D218" s="80"/>
      <c r="E218" s="663"/>
      <c r="F218" s="69" t="str">
        <f t="shared" ref="F218:F226" si="52">IF(E218=0,"",MONTH(E218))</f>
        <v/>
      </c>
      <c r="G218" s="80" t="s">
        <v>137</v>
      </c>
      <c r="H218" s="80"/>
      <c r="I218" s="648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  <c r="AP218" s="790" t="s">
        <v>225</v>
      </c>
      <c r="AQ218" s="69"/>
      <c r="AR218" s="790">
        <v>25</v>
      </c>
      <c r="AS218" s="69"/>
      <c r="AT218" s="69"/>
      <c r="AU218" s="69"/>
      <c r="AV218" s="69"/>
      <c r="AW218" s="69"/>
      <c r="AX218" s="69"/>
      <c r="AY218" s="790">
        <v>160</v>
      </c>
      <c r="AZ218" s="790">
        <v>2</v>
      </c>
      <c r="BA218" s="69"/>
      <c r="BB218" s="69"/>
      <c r="BC218" s="69"/>
      <c r="BD218" s="69"/>
      <c r="BE218" s="69"/>
      <c r="BF218" s="69"/>
      <c r="BG218" s="69"/>
      <c r="BH218" s="69"/>
      <c r="BI218" s="69"/>
      <c r="BJ218" s="69"/>
      <c r="BK218" s="69"/>
      <c r="BL218" s="69"/>
      <c r="BM218" s="69"/>
      <c r="BN218" s="69"/>
      <c r="BO218" s="69"/>
      <c r="BP218" s="63"/>
      <c r="BQ218" s="69"/>
      <c r="BR218" s="719"/>
      <c r="BS218" s="719"/>
      <c r="BT218" s="719"/>
      <c r="BU218" s="719">
        <f>AR218*AY218*2*IF($AZ218=0,1,$AZ218)</f>
        <v>16000</v>
      </c>
      <c r="BV218" s="804">
        <f>IF($AP218=0,,VLOOKUP($AP218,FÉ!$B$64:$L$73,4,FALSE)*$BU218/100)</f>
        <v>1552</v>
      </c>
      <c r="BW218" s="719"/>
      <c r="BX218" s="719"/>
      <c r="BY218" s="555">
        <f>IF($AP218=0, ,VLOOKUP($AP218,FÉ!$B$64:$L$73,8,FALSE)*$BV218*PRP!$J$8)</f>
        <v>3580929.6</v>
      </c>
      <c r="BZ218" s="555">
        <f>IF($AP218=0, ,VLOOKUP($AP218,FÉ!$B$64:$L$73,9,FALSE)*$BV218*PRP!$J$9)</f>
        <v>6474.9440000000013</v>
      </c>
      <c r="CA218" s="555">
        <f>IF($AP218=0, ,VLOOKUP($AP218,FÉ!$B$64:$L$73,10,FALSE)*$BV218*PRP!$J$10)</f>
        <v>9321.3119999999999</v>
      </c>
      <c r="CB218" s="69">
        <f>SUM(BY218:CA218)</f>
        <v>3596725.8560000001</v>
      </c>
      <c r="CC218" s="722">
        <f>CB218/(10^6)</f>
        <v>3.5967258559999999</v>
      </c>
      <c r="CD218" s="63"/>
      <c r="CE218" s="726"/>
      <c r="CF218" s="727"/>
      <c r="CG218" s="63"/>
      <c r="CH218" s="730">
        <f>IF($AP218=0, ,VLOOKUP($AP218,FÉ!$B$64:$L$73,7,FALSE))*BV218</f>
        <v>15038.88</v>
      </c>
    </row>
    <row r="219" spans="2:86" outlineLevel="1">
      <c r="B219" s="69" t="str">
        <f t="shared" si="51"/>
        <v>3.3A1</v>
      </c>
      <c r="C219" s="80"/>
      <c r="D219" s="80"/>
      <c r="E219" s="663"/>
      <c r="F219" s="69" t="str">
        <f t="shared" si="52"/>
        <v/>
      </c>
      <c r="G219" s="80" t="s">
        <v>139</v>
      </c>
      <c r="H219" s="80"/>
      <c r="I219" s="648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  <c r="AP219" s="790" t="s">
        <v>264</v>
      </c>
      <c r="AQ219" s="69"/>
      <c r="AR219" s="790">
        <v>35</v>
      </c>
      <c r="AS219" s="69"/>
      <c r="AT219" s="69"/>
      <c r="AU219" s="69"/>
      <c r="AV219" s="69"/>
      <c r="AW219" s="69"/>
      <c r="AX219" s="69"/>
      <c r="AY219" s="790">
        <v>240</v>
      </c>
      <c r="AZ219" s="790"/>
      <c r="BA219" s="69"/>
      <c r="BB219" s="69"/>
      <c r="BC219" s="69"/>
      <c r="BD219" s="69"/>
      <c r="BE219" s="69"/>
      <c r="BF219" s="69"/>
      <c r="BG219" s="69"/>
      <c r="BH219" s="69"/>
      <c r="BI219" s="69"/>
      <c r="BJ219" s="69"/>
      <c r="BK219" s="69"/>
      <c r="BL219" s="69"/>
      <c r="BM219" s="69"/>
      <c r="BN219" s="69"/>
      <c r="BO219" s="69"/>
      <c r="BP219" s="63"/>
      <c r="BQ219" s="69"/>
      <c r="BR219" s="719"/>
      <c r="BS219" s="719"/>
      <c r="BT219" s="719"/>
      <c r="BU219" s="719">
        <f t="shared" ref="BU219:BU226" si="53">AR219*AY219*2*IF($AZ219=0,1,$AZ219)</f>
        <v>16800</v>
      </c>
      <c r="BV219" s="804">
        <f>IF($AP219=0,,VLOOKUP($AP219,FÉ!$B$64:$L$73,4,FALSE)*$BU219/100)</f>
        <v>0</v>
      </c>
      <c r="BW219" s="719"/>
      <c r="BX219" s="719"/>
      <c r="BY219" s="555">
        <f>IF($AP219=0, ,VLOOKUP($AP219,FÉ!$B$64:$L$73,8,FALSE)*$BV219*PRP!$J$8)</f>
        <v>0</v>
      </c>
      <c r="BZ219" s="555">
        <f>IF($AP219=0, ,VLOOKUP($AP219,FÉ!$B$64:$L$73,9,FALSE)*$BV219*PRP!$J$9)</f>
        <v>0</v>
      </c>
      <c r="CA219" s="555">
        <f>IF($AP219=0, ,VLOOKUP($AP219,FÉ!$B$64:$L$73,10,FALSE)*$BV219*PRP!$J$10)</f>
        <v>0</v>
      </c>
      <c r="CB219" s="69">
        <f t="shared" ref="CB219:CB226" si="54">SUM(BY219:CA219)</f>
        <v>0</v>
      </c>
      <c r="CC219" s="722">
        <f t="shared" ref="CC219:CC226" si="55">CB219/(10^6)</f>
        <v>0</v>
      </c>
      <c r="CD219" s="63"/>
      <c r="CE219" s="726"/>
      <c r="CF219" s="727"/>
      <c r="CG219" s="63"/>
      <c r="CH219" s="730">
        <f>IF($AP219=0, ,VLOOKUP($AP219,FÉ!$B$64:$L$73,7,FALSE))*BV219</f>
        <v>0</v>
      </c>
    </row>
    <row r="220" spans="2:86" outlineLevel="1">
      <c r="B220" s="69" t="str">
        <f t="shared" si="51"/>
        <v>3.3A1</v>
      </c>
      <c r="C220" s="80"/>
      <c r="D220" s="80"/>
      <c r="E220" s="663"/>
      <c r="F220" s="69" t="str">
        <f t="shared" si="52"/>
        <v/>
      </c>
      <c r="G220" s="80" t="s">
        <v>136</v>
      </c>
      <c r="H220" s="80"/>
      <c r="I220" s="648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  <c r="AP220" s="790" t="s">
        <v>6656</v>
      </c>
      <c r="AQ220" s="69"/>
      <c r="AR220" s="790">
        <v>10</v>
      </c>
      <c r="AS220" s="69"/>
      <c r="AT220" s="69"/>
      <c r="AU220" s="69"/>
      <c r="AV220" s="69"/>
      <c r="AW220" s="69"/>
      <c r="AX220" s="69"/>
      <c r="AY220" s="790">
        <v>240</v>
      </c>
      <c r="AZ220" s="790"/>
      <c r="BA220" s="69"/>
      <c r="BB220" s="69"/>
      <c r="BC220" s="69"/>
      <c r="BD220" s="69"/>
      <c r="BE220" s="69"/>
      <c r="BF220" s="69"/>
      <c r="BG220" s="69"/>
      <c r="BH220" s="69"/>
      <c r="BI220" s="69"/>
      <c r="BJ220" s="69"/>
      <c r="BK220" s="69"/>
      <c r="BL220" s="69"/>
      <c r="BM220" s="69"/>
      <c r="BN220" s="69"/>
      <c r="BO220" s="69"/>
      <c r="BP220" s="63"/>
      <c r="BQ220" s="69"/>
      <c r="BR220" s="719"/>
      <c r="BS220" s="719"/>
      <c r="BT220" s="719"/>
      <c r="BU220" s="719">
        <f t="shared" si="53"/>
        <v>4800</v>
      </c>
      <c r="BV220" s="804">
        <f>IF($AP220=0,,VLOOKUP($AP220,FÉ!$B$64:$L$73,4,FALSE)*$BU220/100)</f>
        <v>117.27848907211411</v>
      </c>
      <c r="BW220" s="719"/>
      <c r="BX220" s="719"/>
      <c r="BY220" s="555">
        <f>IF($AP220=0, ,VLOOKUP($AP220,FÉ!$B$64:$L$73,8,FALSE)*$BV220*PRP!$J$8)</f>
        <v>7680.8856332127771</v>
      </c>
      <c r="BZ220" s="555">
        <f>IF($AP220=0, ,VLOOKUP($AP220,FÉ!$B$64:$L$73,9,FALSE)*$BV220*PRP!$J$9)</f>
        <v>9.3930024643430254</v>
      </c>
      <c r="CA220" s="555">
        <f>IF($AP220=0, ,VLOOKUP($AP220,FÉ!$B$64:$L$73,10,FALSE)*$BV220*PRP!$J$10)</f>
        <v>118.12316674423813</v>
      </c>
      <c r="CB220" s="69">
        <f t="shared" si="54"/>
        <v>7808.4018024213583</v>
      </c>
      <c r="CC220" s="722">
        <f t="shared" si="55"/>
        <v>7.8084018024213581E-3</v>
      </c>
      <c r="CD220" s="63"/>
      <c r="CE220" s="726"/>
      <c r="CF220" s="727"/>
      <c r="CG220" s="63"/>
      <c r="CH220" s="730">
        <f>IF($AP220=0, ,VLOOKUP($AP220,FÉ!$B$64:$L$73,7,FALSE))*BV220</f>
        <v>1247.8431237272941</v>
      </c>
    </row>
    <row r="221" spans="2:86" outlineLevel="1">
      <c r="B221" s="69" t="str">
        <f t="shared" si="51"/>
        <v>3.3A1</v>
      </c>
      <c r="C221" s="80"/>
      <c r="D221" s="80"/>
      <c r="E221" s="663"/>
      <c r="F221" s="69" t="str">
        <f t="shared" si="52"/>
        <v/>
      </c>
      <c r="G221" s="80"/>
      <c r="H221" s="80"/>
      <c r="I221" s="648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  <c r="AP221" s="790"/>
      <c r="AQ221" s="69"/>
      <c r="AR221" s="790"/>
      <c r="AS221" s="69"/>
      <c r="AT221" s="69"/>
      <c r="AU221" s="69"/>
      <c r="AV221" s="69"/>
      <c r="AW221" s="69"/>
      <c r="AX221" s="69"/>
      <c r="AY221" s="790"/>
      <c r="AZ221" s="790"/>
      <c r="BA221" s="69"/>
      <c r="BB221" s="69"/>
      <c r="BC221" s="69"/>
      <c r="BD221" s="69"/>
      <c r="BE221" s="69"/>
      <c r="BF221" s="69"/>
      <c r="BG221" s="69"/>
      <c r="BH221" s="69"/>
      <c r="BI221" s="69"/>
      <c r="BJ221" s="69"/>
      <c r="BK221" s="69"/>
      <c r="BL221" s="69"/>
      <c r="BM221" s="69"/>
      <c r="BN221" s="69"/>
      <c r="BO221" s="69"/>
      <c r="BP221" s="63"/>
      <c r="BQ221" s="69"/>
      <c r="BR221" s="719"/>
      <c r="BS221" s="719"/>
      <c r="BT221" s="719"/>
      <c r="BU221" s="719">
        <f t="shared" si="53"/>
        <v>0</v>
      </c>
      <c r="BV221" s="804">
        <f>IF($AP221=0,,VLOOKUP($AP221,FÉ!$B$64:$L$73,4,FALSE)*$BU221/100)</f>
        <v>0</v>
      </c>
      <c r="BW221" s="719"/>
      <c r="BX221" s="719"/>
      <c r="BY221" s="555">
        <f>IF($AP221=0, ,VLOOKUP($AP221,FÉ!$B$64:$L$73,8,FALSE)*$BV221*PRP!$J$8)</f>
        <v>0</v>
      </c>
      <c r="BZ221" s="555">
        <f>IF($AP221=0, ,VLOOKUP($AP221,FÉ!$B$64:$L$73,9,FALSE)*$BV221*PRP!$J$9)</f>
        <v>0</v>
      </c>
      <c r="CA221" s="555">
        <f>IF($AP221=0, ,VLOOKUP($AP221,FÉ!$B$64:$L$73,10,FALSE)*$BV221*PRP!$J$10)</f>
        <v>0</v>
      </c>
      <c r="CB221" s="69">
        <f t="shared" si="54"/>
        <v>0</v>
      </c>
      <c r="CC221" s="722">
        <f t="shared" si="55"/>
        <v>0</v>
      </c>
      <c r="CD221" s="63"/>
      <c r="CE221" s="726"/>
      <c r="CF221" s="727"/>
      <c r="CG221" s="63"/>
      <c r="CH221" s="730">
        <f>IF($AP221=0, ,VLOOKUP($AP221,FÉ!$B$64:$L$73,7,FALSE))*BV221</f>
        <v>0</v>
      </c>
    </row>
    <row r="222" spans="2:86" outlineLevel="1">
      <c r="B222" s="69" t="str">
        <f t="shared" si="51"/>
        <v>3.3A1</v>
      </c>
      <c r="C222" s="80"/>
      <c r="D222" s="80"/>
      <c r="E222" s="663"/>
      <c r="F222" s="69" t="str">
        <f t="shared" si="52"/>
        <v/>
      </c>
      <c r="G222" s="80"/>
      <c r="H222" s="80"/>
      <c r="I222" s="648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  <c r="AP222" s="790"/>
      <c r="AQ222" s="69"/>
      <c r="AR222" s="790"/>
      <c r="AS222" s="69"/>
      <c r="AT222" s="69"/>
      <c r="AU222" s="69"/>
      <c r="AV222" s="69"/>
      <c r="AW222" s="69"/>
      <c r="AX222" s="69"/>
      <c r="AY222" s="790"/>
      <c r="AZ222" s="790"/>
      <c r="BA222" s="69"/>
      <c r="BB222" s="69"/>
      <c r="BC222" s="69"/>
      <c r="BD222" s="69"/>
      <c r="BE222" s="69"/>
      <c r="BF222" s="69"/>
      <c r="BG222" s="69"/>
      <c r="BH222" s="69"/>
      <c r="BI222" s="69"/>
      <c r="BJ222" s="69"/>
      <c r="BK222" s="69"/>
      <c r="BL222" s="69"/>
      <c r="BM222" s="69"/>
      <c r="BN222" s="69"/>
      <c r="BO222" s="69"/>
      <c r="BP222" s="63"/>
      <c r="BQ222" s="69"/>
      <c r="BR222" s="719"/>
      <c r="BS222" s="719"/>
      <c r="BT222" s="719"/>
      <c r="BU222" s="719">
        <f t="shared" si="53"/>
        <v>0</v>
      </c>
      <c r="BV222" s="804">
        <f>IF($AP222=0,,VLOOKUP($AP222,FÉ!$B$64:$L$73,4,FALSE)*$BU222/100)</f>
        <v>0</v>
      </c>
      <c r="BW222" s="719"/>
      <c r="BX222" s="719"/>
      <c r="BY222" s="555">
        <f>IF($AP222=0, ,VLOOKUP($AP222,FÉ!$B$64:$L$73,8,FALSE)*$BV222*PRP!$J$8)</f>
        <v>0</v>
      </c>
      <c r="BZ222" s="555">
        <f>IF($AP222=0, ,VLOOKUP($AP222,FÉ!$B$64:$L$73,9,FALSE)*$BV222*PRP!$J$9)</f>
        <v>0</v>
      </c>
      <c r="CA222" s="555">
        <f>IF($AP222=0, ,VLOOKUP($AP222,FÉ!$B$64:$L$73,10,FALSE)*$BV222*PRP!$J$10)</f>
        <v>0</v>
      </c>
      <c r="CB222" s="69">
        <f t="shared" si="54"/>
        <v>0</v>
      </c>
      <c r="CC222" s="722">
        <f t="shared" si="55"/>
        <v>0</v>
      </c>
      <c r="CD222" s="63"/>
      <c r="CE222" s="726"/>
      <c r="CF222" s="727"/>
      <c r="CG222" s="63"/>
      <c r="CH222" s="730">
        <f>IF($AP222=0, ,VLOOKUP($AP222,FÉ!$B$64:$L$73,7,FALSE))*BV222</f>
        <v>0</v>
      </c>
    </row>
    <row r="223" spans="2:86" outlineLevel="1">
      <c r="B223" s="69" t="str">
        <f t="shared" si="51"/>
        <v>3.3A1</v>
      </c>
      <c r="C223" s="80"/>
      <c r="D223" s="80"/>
      <c r="E223" s="663"/>
      <c r="F223" s="69" t="str">
        <f t="shared" si="52"/>
        <v/>
      </c>
      <c r="G223" s="80"/>
      <c r="H223" s="80"/>
      <c r="I223" s="648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  <c r="AP223" s="790"/>
      <c r="AQ223" s="69"/>
      <c r="AR223" s="790"/>
      <c r="AS223" s="69"/>
      <c r="AT223" s="69"/>
      <c r="AU223" s="69"/>
      <c r="AV223" s="69"/>
      <c r="AW223" s="69"/>
      <c r="AX223" s="69"/>
      <c r="AY223" s="790"/>
      <c r="AZ223" s="790"/>
      <c r="BA223" s="69"/>
      <c r="BB223" s="69"/>
      <c r="BC223" s="69"/>
      <c r="BD223" s="69"/>
      <c r="BE223" s="69"/>
      <c r="BF223" s="69"/>
      <c r="BG223" s="69"/>
      <c r="BH223" s="69"/>
      <c r="BI223" s="69"/>
      <c r="BJ223" s="69"/>
      <c r="BK223" s="69"/>
      <c r="BL223" s="69"/>
      <c r="BM223" s="69"/>
      <c r="BN223" s="69"/>
      <c r="BO223" s="69"/>
      <c r="BP223" s="63"/>
      <c r="BQ223" s="69"/>
      <c r="BR223" s="719"/>
      <c r="BS223" s="719"/>
      <c r="BT223" s="719"/>
      <c r="BU223" s="719">
        <f t="shared" si="53"/>
        <v>0</v>
      </c>
      <c r="BV223" s="804">
        <f>IF($AP223=0,,VLOOKUP($AP223,FÉ!$B$64:$L$73,4,FALSE)*$BU223/100)</f>
        <v>0</v>
      </c>
      <c r="BW223" s="719"/>
      <c r="BX223" s="719"/>
      <c r="BY223" s="555">
        <f>IF($AP223=0, ,VLOOKUP($AP223,FÉ!$B$64:$L$73,8,FALSE)*$BV223*PRP!$J$8)</f>
        <v>0</v>
      </c>
      <c r="BZ223" s="555">
        <f>IF($AP223=0, ,VLOOKUP($AP223,FÉ!$B$64:$L$73,9,FALSE)*$BV223*PRP!$J$9)</f>
        <v>0</v>
      </c>
      <c r="CA223" s="555">
        <f>IF($AP223=0, ,VLOOKUP($AP223,FÉ!$B$64:$L$73,10,FALSE)*$BV223*PRP!$J$10)</f>
        <v>0</v>
      </c>
      <c r="CB223" s="69">
        <f t="shared" si="54"/>
        <v>0</v>
      </c>
      <c r="CC223" s="722">
        <f t="shared" si="55"/>
        <v>0</v>
      </c>
      <c r="CD223" s="63"/>
      <c r="CE223" s="726"/>
      <c r="CF223" s="727"/>
      <c r="CG223" s="63"/>
      <c r="CH223" s="730">
        <f>IF($AP223=0, ,VLOOKUP($AP223,FÉ!$B$64:$L$73,7,FALSE))*BV223</f>
        <v>0</v>
      </c>
    </row>
    <row r="224" spans="2:86" outlineLevel="1">
      <c r="B224" s="69" t="str">
        <f t="shared" si="51"/>
        <v>3.3A1</v>
      </c>
      <c r="C224" s="80"/>
      <c r="D224" s="80"/>
      <c r="E224" s="663"/>
      <c r="F224" s="69" t="str">
        <f t="shared" si="52"/>
        <v/>
      </c>
      <c r="G224" s="80"/>
      <c r="H224" s="80"/>
      <c r="I224" s="648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  <c r="AP224" s="790"/>
      <c r="AQ224" s="69"/>
      <c r="AR224" s="790"/>
      <c r="AS224" s="69"/>
      <c r="AT224" s="69"/>
      <c r="AU224" s="69"/>
      <c r="AV224" s="69"/>
      <c r="AW224" s="69"/>
      <c r="AX224" s="69"/>
      <c r="AY224" s="790"/>
      <c r="AZ224" s="790"/>
      <c r="BA224" s="69"/>
      <c r="BB224" s="69"/>
      <c r="BC224" s="69"/>
      <c r="BD224" s="69"/>
      <c r="BE224" s="69"/>
      <c r="BF224" s="69"/>
      <c r="BG224" s="69"/>
      <c r="BH224" s="69"/>
      <c r="BI224" s="69"/>
      <c r="BJ224" s="69"/>
      <c r="BK224" s="69"/>
      <c r="BL224" s="69"/>
      <c r="BM224" s="69"/>
      <c r="BN224" s="69"/>
      <c r="BO224" s="69"/>
      <c r="BP224" s="63"/>
      <c r="BQ224" s="69"/>
      <c r="BR224" s="719"/>
      <c r="BS224" s="719"/>
      <c r="BT224" s="719"/>
      <c r="BU224" s="719">
        <f t="shared" si="53"/>
        <v>0</v>
      </c>
      <c r="BV224" s="804">
        <f>IF($AP224=0,,VLOOKUP($AP224,FÉ!$B$64:$L$73,4,FALSE)*$BU224/100)</f>
        <v>0</v>
      </c>
      <c r="BW224" s="719"/>
      <c r="BX224" s="719"/>
      <c r="BY224" s="555">
        <f>IF($AP224=0, ,VLOOKUP($AP224,FÉ!$B$64:$L$73,8,FALSE)*$BV224*PRP!$J$8)</f>
        <v>0</v>
      </c>
      <c r="BZ224" s="555">
        <f>IF($AP224=0, ,VLOOKUP($AP224,FÉ!$B$64:$L$73,9,FALSE)*$BV224*PRP!$J$9)</f>
        <v>0</v>
      </c>
      <c r="CA224" s="555">
        <f>IF($AP224=0, ,VLOOKUP($AP224,FÉ!$B$64:$L$73,10,FALSE)*$BV224*PRP!$J$10)</f>
        <v>0</v>
      </c>
      <c r="CB224" s="69">
        <f t="shared" si="54"/>
        <v>0</v>
      </c>
      <c r="CC224" s="722">
        <f t="shared" si="55"/>
        <v>0</v>
      </c>
      <c r="CD224" s="63"/>
      <c r="CE224" s="726"/>
      <c r="CF224" s="727"/>
      <c r="CG224" s="63"/>
      <c r="CH224" s="730">
        <f>IF($AP224=0, ,VLOOKUP($AP224,FÉ!$B$64:$L$73,7,FALSE))*BV224</f>
        <v>0</v>
      </c>
    </row>
    <row r="225" spans="2:86" outlineLevel="1">
      <c r="B225" s="69" t="str">
        <f t="shared" si="51"/>
        <v>3.3A1</v>
      </c>
      <c r="C225" s="80"/>
      <c r="D225" s="80"/>
      <c r="E225" s="663"/>
      <c r="F225" s="69" t="str">
        <f t="shared" si="52"/>
        <v/>
      </c>
      <c r="G225" s="80"/>
      <c r="H225" s="80"/>
      <c r="I225" s="648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  <c r="AP225" s="790"/>
      <c r="AQ225" s="69"/>
      <c r="AR225" s="790"/>
      <c r="AS225" s="69"/>
      <c r="AT225" s="69"/>
      <c r="AU225" s="69"/>
      <c r="AV225" s="69"/>
      <c r="AW225" s="69"/>
      <c r="AX225" s="69"/>
      <c r="AY225" s="790"/>
      <c r="AZ225" s="790"/>
      <c r="BA225" s="69"/>
      <c r="BB225" s="69"/>
      <c r="BC225" s="69"/>
      <c r="BD225" s="69"/>
      <c r="BE225" s="69"/>
      <c r="BF225" s="69"/>
      <c r="BG225" s="69"/>
      <c r="BH225" s="69"/>
      <c r="BI225" s="69"/>
      <c r="BJ225" s="69"/>
      <c r="BK225" s="69"/>
      <c r="BL225" s="69"/>
      <c r="BM225" s="69"/>
      <c r="BN225" s="69"/>
      <c r="BO225" s="69"/>
      <c r="BP225" s="63"/>
      <c r="BQ225" s="69"/>
      <c r="BR225" s="719"/>
      <c r="BS225" s="719"/>
      <c r="BT225" s="719"/>
      <c r="BU225" s="719">
        <f t="shared" si="53"/>
        <v>0</v>
      </c>
      <c r="BV225" s="804">
        <f>IF($AP225=0,,VLOOKUP($AP225,FÉ!$B$64:$L$73,4,FALSE)*$BU225/100)</f>
        <v>0</v>
      </c>
      <c r="BW225" s="719"/>
      <c r="BX225" s="719"/>
      <c r="BY225" s="555">
        <f>IF($AP225=0, ,VLOOKUP($AP225,FÉ!$B$64:$L$73,8,FALSE)*$BV225*PRP!$J$8)</f>
        <v>0</v>
      </c>
      <c r="BZ225" s="555">
        <f>IF($AP225=0, ,VLOOKUP($AP225,FÉ!$B$64:$L$73,9,FALSE)*$BV225*PRP!$J$9)</f>
        <v>0</v>
      </c>
      <c r="CA225" s="555">
        <f>IF($AP225=0, ,VLOOKUP($AP225,FÉ!$B$64:$L$73,10,FALSE)*$BV225*PRP!$J$10)</f>
        <v>0</v>
      </c>
      <c r="CB225" s="69">
        <f t="shared" si="54"/>
        <v>0</v>
      </c>
      <c r="CC225" s="722">
        <f t="shared" si="55"/>
        <v>0</v>
      </c>
      <c r="CD225" s="63"/>
      <c r="CE225" s="726"/>
      <c r="CF225" s="727"/>
      <c r="CG225" s="63"/>
      <c r="CH225" s="730">
        <f>IF($AP225=0, ,VLOOKUP($AP225,FÉ!$B$64:$L$73,7,FALSE))*BV225</f>
        <v>0</v>
      </c>
    </row>
    <row r="226" spans="2:86" ht="15.75" outlineLevel="1" thickBot="1">
      <c r="B226" s="69" t="str">
        <f t="shared" si="51"/>
        <v>3.3A1</v>
      </c>
      <c r="C226" s="80"/>
      <c r="D226" s="717"/>
      <c r="E226" s="663"/>
      <c r="F226" s="69" t="str">
        <f t="shared" si="52"/>
        <v/>
      </c>
      <c r="G226" s="80"/>
      <c r="H226" s="80"/>
      <c r="I226" s="648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790"/>
      <c r="AQ226" s="69"/>
      <c r="AR226" s="790"/>
      <c r="AS226" s="69"/>
      <c r="AT226" s="69"/>
      <c r="AU226" s="69"/>
      <c r="AV226" s="69"/>
      <c r="AW226" s="69"/>
      <c r="AX226" s="69"/>
      <c r="AY226" s="790"/>
      <c r="AZ226" s="790"/>
      <c r="BA226" s="69"/>
      <c r="BB226" s="69"/>
      <c r="BC226" s="69"/>
      <c r="BD226" s="69"/>
      <c r="BE226" s="69"/>
      <c r="BF226" s="69"/>
      <c r="BG226" s="69"/>
      <c r="BH226" s="69"/>
      <c r="BI226" s="69"/>
      <c r="BJ226" s="69"/>
      <c r="BK226" s="69"/>
      <c r="BL226" s="69"/>
      <c r="BM226" s="69"/>
      <c r="BN226" s="69"/>
      <c r="BO226" s="69"/>
      <c r="BP226" s="63"/>
      <c r="BQ226" s="69"/>
      <c r="BR226" s="719"/>
      <c r="BS226" s="719"/>
      <c r="BT226" s="719"/>
      <c r="BU226" s="719">
        <f t="shared" si="53"/>
        <v>0</v>
      </c>
      <c r="BV226" s="804">
        <f>IF($AP226=0,,VLOOKUP($AP226,FÉ!$B$64:$L$73,4,FALSE)*$BU226/100)</f>
        <v>0</v>
      </c>
      <c r="BW226" s="719"/>
      <c r="BX226" s="719"/>
      <c r="BY226" s="555">
        <f>IF($AP226=0, ,VLOOKUP($AP226,FÉ!$B$64:$L$73,8,FALSE)*$BV226*PRP!$J$8)</f>
        <v>0</v>
      </c>
      <c r="BZ226" s="555">
        <f>IF($AP226=0, ,VLOOKUP($AP226,FÉ!$B$64:$L$73,9,FALSE)*$BV226*PRP!$J$9)</f>
        <v>0</v>
      </c>
      <c r="CA226" s="555">
        <f>IF($AP226=0, ,VLOOKUP($AP226,FÉ!$B$64:$L$73,10,FALSE)*$BV226*PRP!$J$10)</f>
        <v>0</v>
      </c>
      <c r="CB226" s="69">
        <f t="shared" si="54"/>
        <v>0</v>
      </c>
      <c r="CC226" s="722">
        <f t="shared" si="55"/>
        <v>0</v>
      </c>
      <c r="CD226" s="63"/>
      <c r="CE226" s="728"/>
      <c r="CF226" s="729"/>
      <c r="CG226" s="63"/>
      <c r="CH226" s="730">
        <f>IF($AP226=0, ,VLOOKUP($AP226,FÉ!$B$64:$L$73,7,FALSE))*BV226</f>
        <v>0</v>
      </c>
    </row>
    <row r="227" spans="2:86" ht="15.75" outlineLevel="1" thickBot="1">
      <c r="B227" s="793"/>
      <c r="C227" s="794"/>
      <c r="D227" s="794"/>
      <c r="E227" s="795"/>
      <c r="F227" s="796" t="str">
        <f>$B217</f>
        <v>3.3A1</v>
      </c>
      <c r="G227" s="796" t="str">
        <f>$B217</f>
        <v>3.3A1</v>
      </c>
      <c r="H227" s="796" t="str">
        <f>$B217</f>
        <v>3.3A1</v>
      </c>
      <c r="I227" s="795"/>
      <c r="J227" s="797"/>
      <c r="K227" s="797"/>
      <c r="L227" s="797"/>
      <c r="M227" s="797"/>
      <c r="N227" s="797"/>
      <c r="O227" s="797"/>
      <c r="P227" s="797"/>
      <c r="Q227" s="797"/>
      <c r="R227" s="797"/>
      <c r="S227" s="797"/>
      <c r="T227" s="797"/>
      <c r="U227" s="797"/>
      <c r="V227" s="797"/>
      <c r="W227" s="797"/>
      <c r="X227" s="797"/>
      <c r="Y227" s="797"/>
      <c r="Z227" s="797"/>
      <c r="AA227" s="797"/>
      <c r="AB227" s="797"/>
      <c r="AC227" s="797"/>
      <c r="AD227" s="797"/>
      <c r="AE227" s="797"/>
      <c r="AF227" s="797"/>
      <c r="AG227" s="797"/>
      <c r="AH227" s="797"/>
      <c r="AI227" s="797"/>
      <c r="AJ227" s="797"/>
      <c r="AK227" s="797"/>
      <c r="AL227" s="797"/>
      <c r="AM227" s="797"/>
      <c r="AN227" s="797"/>
      <c r="AO227" s="797"/>
      <c r="AP227" s="797"/>
      <c r="AQ227" s="797"/>
      <c r="AR227" s="797"/>
      <c r="AS227" s="797"/>
      <c r="AT227" s="797"/>
      <c r="AU227" s="797"/>
      <c r="AV227" s="797"/>
      <c r="AW227" s="797"/>
      <c r="AX227" s="797"/>
      <c r="AY227" s="797"/>
      <c r="AZ227" s="797"/>
      <c r="BA227" s="797"/>
      <c r="BB227" s="797"/>
      <c r="BC227" s="797"/>
      <c r="BD227" s="797"/>
      <c r="BE227" s="797"/>
      <c r="BF227" s="797"/>
      <c r="BG227" s="797"/>
      <c r="BH227" s="797"/>
      <c r="BI227" s="797"/>
      <c r="BJ227" s="797"/>
      <c r="BK227" s="797"/>
      <c r="BL227" s="797"/>
      <c r="BM227" s="797"/>
      <c r="BN227" s="797"/>
      <c r="BO227" s="797"/>
      <c r="BP227" s="63"/>
      <c r="BQ227" s="798"/>
      <c r="BR227" s="798"/>
      <c r="BS227" s="798"/>
      <c r="BT227" s="798"/>
      <c r="BU227" s="798"/>
      <c r="BV227" s="798"/>
      <c r="BW227" s="798"/>
      <c r="BX227" s="798"/>
      <c r="BY227" s="798">
        <f>SUM(BY217:BY226)</f>
        <v>5379075.2856332129</v>
      </c>
      <c r="BZ227" s="798">
        <f>SUM(BZ217:BZ226)</f>
        <v>9721.8090024643443</v>
      </c>
      <c r="CA227" s="798">
        <f>SUM(CA217:CA226)</f>
        <v>14100.09116674424</v>
      </c>
      <c r="CB227" s="798">
        <f>SUM(CB217:CB226)</f>
        <v>5402897.1858024215</v>
      </c>
      <c r="CC227" s="799">
        <f>SUM(CC217:CC226)</f>
        <v>5.4028971858024217</v>
      </c>
      <c r="CD227" s="63"/>
      <c r="CE227" s="800">
        <f>SUM(CE217:CE226)</f>
        <v>0</v>
      </c>
      <c r="CF227" s="799">
        <f>SUM(CF217:CF226)</f>
        <v>0</v>
      </c>
      <c r="CG227" s="63"/>
      <c r="CH227" s="801">
        <f>SUM(CH217:CH226)</f>
        <v>23806.163123727292</v>
      </c>
    </row>
    <row r="229" spans="2:86" ht="31.5">
      <c r="B229" s="1232" t="s">
        <v>6647</v>
      </c>
      <c r="C229" s="1233"/>
      <c r="D229" s="1233"/>
      <c r="E229" s="1233"/>
      <c r="F229" s="1233"/>
      <c r="G229" s="1233"/>
      <c r="H229" s="1233"/>
      <c r="I229" s="1233"/>
      <c r="J229" s="1233"/>
      <c r="K229" s="1233"/>
      <c r="L229" s="1233"/>
      <c r="M229" s="1233"/>
      <c r="N229" s="1233"/>
      <c r="O229" s="1233"/>
      <c r="P229" s="1233"/>
      <c r="Q229" s="1233"/>
      <c r="R229" s="1233"/>
      <c r="S229" s="1233"/>
      <c r="T229" s="1233"/>
      <c r="U229" s="1233"/>
      <c r="V229" s="1233"/>
      <c r="W229" s="1233"/>
      <c r="X229" s="1233"/>
      <c r="Y229" s="1233"/>
      <c r="Z229" s="1233"/>
      <c r="AA229" s="1233"/>
      <c r="AB229" s="1233"/>
      <c r="AC229" s="1233"/>
      <c r="AD229" s="1233"/>
      <c r="AE229" s="1233"/>
      <c r="AF229" s="1233"/>
      <c r="AG229" s="1233"/>
      <c r="AH229" s="1233"/>
      <c r="AI229" s="1233"/>
      <c r="AJ229" s="1233"/>
      <c r="AK229" s="1233"/>
      <c r="AL229" s="1233"/>
      <c r="AM229" s="1233"/>
      <c r="AN229" s="1233"/>
      <c r="AO229" s="1233"/>
      <c r="AP229" s="1233"/>
      <c r="AQ229" s="1233"/>
      <c r="AR229" s="1233"/>
      <c r="AS229" s="1233"/>
      <c r="AT229" s="1233"/>
      <c r="AU229" s="1233"/>
      <c r="AV229" s="1233"/>
      <c r="AW229" s="1233"/>
      <c r="AX229" s="1233"/>
      <c r="AY229" s="1233"/>
      <c r="AZ229" s="1233"/>
      <c r="BA229" s="1233"/>
      <c r="BB229" s="1233"/>
      <c r="BC229" s="1233"/>
      <c r="BD229" s="1233"/>
      <c r="BE229" s="1233"/>
      <c r="BF229" s="1233"/>
      <c r="BG229" s="1233"/>
      <c r="BH229" s="1233"/>
      <c r="BI229" s="1233"/>
      <c r="BJ229" s="1233"/>
      <c r="BK229" s="1233"/>
      <c r="BL229" s="1233"/>
      <c r="BM229" s="1233"/>
      <c r="BN229" s="1233"/>
      <c r="BO229" s="1233"/>
      <c r="BP229" s="1233"/>
      <c r="BQ229" s="1233"/>
      <c r="BR229" s="1233"/>
      <c r="BS229" s="1233"/>
      <c r="BT229" s="1233"/>
      <c r="BU229" s="1233"/>
      <c r="BV229" s="1233"/>
      <c r="BW229" s="1233"/>
      <c r="BX229" s="1233"/>
      <c r="BY229" s="1233"/>
      <c r="BZ229" s="1233"/>
      <c r="CA229" s="1233"/>
      <c r="CB229" s="1233"/>
      <c r="CC229" s="1233"/>
      <c r="CD229" s="1233"/>
      <c r="CE229" s="1233"/>
      <c r="CF229" s="1233"/>
      <c r="CG229" s="1233"/>
      <c r="CH229" s="1233"/>
    </row>
    <row r="230" spans="2:86" ht="15.75" outlineLevel="1" thickBot="1">
      <c r="CH230" s="63"/>
    </row>
    <row r="231" spans="2:86" ht="21.75" outlineLevel="1" thickBot="1">
      <c r="B231" s="1234" t="s">
        <v>115</v>
      </c>
      <c r="C231" s="1235"/>
      <c r="D231" s="1235"/>
      <c r="E231" s="1235"/>
      <c r="F231" s="1235"/>
      <c r="G231" s="1235"/>
      <c r="H231" s="1235"/>
      <c r="I231" s="1235"/>
      <c r="J231" s="1235"/>
      <c r="K231" s="1235"/>
      <c r="L231" s="1235"/>
      <c r="M231" s="1235"/>
      <c r="N231" s="1235"/>
      <c r="O231" s="1235"/>
      <c r="P231" s="1235"/>
      <c r="Q231" s="1235"/>
      <c r="R231" s="1235"/>
      <c r="S231" s="1235"/>
      <c r="T231" s="1235"/>
      <c r="U231" s="1235"/>
      <c r="V231" s="1235"/>
      <c r="W231" s="1235"/>
      <c r="X231" s="1235"/>
      <c r="Y231" s="1235"/>
      <c r="Z231" s="1235"/>
      <c r="AA231" s="1235"/>
      <c r="AB231" s="1235"/>
      <c r="AC231" s="1235"/>
      <c r="AD231" s="1235"/>
      <c r="AE231" s="1235"/>
      <c r="AF231" s="1235"/>
      <c r="AG231" s="1235"/>
      <c r="AH231" s="1235"/>
      <c r="AI231" s="1235"/>
      <c r="AJ231" s="1235"/>
      <c r="AK231" s="1235"/>
      <c r="AL231" s="1235"/>
      <c r="AM231" s="1235"/>
      <c r="AN231" s="1235"/>
      <c r="AO231" s="1235"/>
      <c r="AP231" s="1235"/>
      <c r="AQ231" s="1235"/>
      <c r="AR231" s="1235"/>
      <c r="AS231" s="1235"/>
      <c r="AT231" s="1235"/>
      <c r="AU231" s="1235"/>
      <c r="AV231" s="1235"/>
      <c r="AW231" s="1235"/>
      <c r="AX231" s="1235"/>
      <c r="AY231" s="1235"/>
      <c r="AZ231" s="1235"/>
      <c r="BA231" s="1235"/>
      <c r="BB231" s="1235"/>
      <c r="BC231" s="1235"/>
      <c r="BD231" s="1235"/>
      <c r="BE231" s="1235"/>
      <c r="BF231" s="1235"/>
      <c r="BG231" s="1235"/>
      <c r="BH231" s="1235"/>
      <c r="BI231" s="1235"/>
      <c r="BJ231" s="1235"/>
      <c r="BK231" s="1235"/>
      <c r="BL231" s="1235"/>
      <c r="BM231" s="1235"/>
      <c r="BN231" s="1235"/>
      <c r="BO231" s="1235"/>
      <c r="BP231" s="63"/>
      <c r="BQ231" s="1236" t="s">
        <v>121</v>
      </c>
      <c r="BR231" s="1237"/>
      <c r="BS231" s="1237"/>
      <c r="BT231" s="1237"/>
      <c r="BU231" s="1237"/>
      <c r="BV231" s="1237"/>
      <c r="BW231" s="1237"/>
      <c r="BX231" s="1237"/>
      <c r="BY231" s="1237"/>
      <c r="BZ231" s="1237"/>
      <c r="CA231" s="1237"/>
      <c r="CB231" s="1237"/>
      <c r="CC231" s="1237"/>
      <c r="CD231" s="1237"/>
      <c r="CE231" s="1237"/>
      <c r="CF231" s="1237"/>
      <c r="CG231" s="1237"/>
      <c r="CH231" s="1238"/>
    </row>
    <row r="232" spans="2:86" ht="15" customHeight="1" outlineLevel="1">
      <c r="B232" s="1183" t="s">
        <v>6353</v>
      </c>
      <c r="C232" s="1185" t="s">
        <v>6372</v>
      </c>
      <c r="D232" s="1185" t="s">
        <v>7</v>
      </c>
      <c r="E232" s="1185" t="s">
        <v>127</v>
      </c>
      <c r="F232" s="1187" t="s">
        <v>6348</v>
      </c>
      <c r="G232" s="1185" t="s">
        <v>6333</v>
      </c>
      <c r="H232" s="1185" t="s">
        <v>128</v>
      </c>
      <c r="I232" s="1185" t="s">
        <v>156</v>
      </c>
      <c r="J232" s="655"/>
      <c r="K232" s="655"/>
      <c r="L232" s="655"/>
      <c r="M232" s="655"/>
      <c r="N232" s="655"/>
      <c r="O232" s="655"/>
      <c r="P232" s="655"/>
      <c r="Q232" s="655"/>
      <c r="R232" s="655"/>
      <c r="S232" s="655"/>
      <c r="T232" s="655"/>
      <c r="U232" s="655"/>
      <c r="V232" s="655"/>
      <c r="W232" s="655"/>
      <c r="X232" s="655"/>
      <c r="Y232" s="655"/>
      <c r="Z232" s="655"/>
      <c r="AA232" s="655"/>
      <c r="AB232" s="655"/>
      <c r="AC232" s="655"/>
      <c r="AD232" s="655"/>
      <c r="AE232" s="655"/>
      <c r="AF232" s="655"/>
      <c r="AG232" s="655"/>
      <c r="AH232" s="655"/>
      <c r="AI232" s="655"/>
      <c r="AJ232" s="655"/>
      <c r="AK232" s="655"/>
      <c r="AL232" s="655"/>
      <c r="AM232" s="655"/>
      <c r="AN232" s="655"/>
      <c r="AO232" s="1185" t="s">
        <v>6408</v>
      </c>
      <c r="AP232" s="1185" t="s">
        <v>6409</v>
      </c>
      <c r="AQ232" s="1185" t="s">
        <v>6411</v>
      </c>
      <c r="AR232" s="1185" t="s">
        <v>288</v>
      </c>
      <c r="AS232" s="655"/>
      <c r="AT232" s="1185" t="s">
        <v>6635</v>
      </c>
      <c r="AU232" s="655"/>
      <c r="AV232" s="655"/>
      <c r="AW232" s="655"/>
      <c r="AX232" s="655"/>
      <c r="AY232" s="655"/>
      <c r="AZ232" s="1185" t="s">
        <v>6413</v>
      </c>
      <c r="BA232" s="655"/>
      <c r="BB232" s="655"/>
      <c r="BC232" s="655"/>
      <c r="BD232" s="655"/>
      <c r="BE232" s="655"/>
      <c r="BF232" s="655"/>
      <c r="BG232" s="655"/>
      <c r="BH232" s="655"/>
      <c r="BI232" s="655"/>
      <c r="BJ232" s="655"/>
      <c r="BK232" s="655"/>
      <c r="BL232" s="655"/>
      <c r="BM232" s="655"/>
      <c r="BN232" s="655"/>
      <c r="BO232" s="657"/>
      <c r="BP232" s="63"/>
      <c r="BQ232" s="732"/>
      <c r="BR232" s="732"/>
      <c r="BS232" s="732"/>
      <c r="BT232" s="732"/>
      <c r="BU232" s="1185" t="s">
        <v>288</v>
      </c>
      <c r="BV232" s="1185" t="s">
        <v>6416</v>
      </c>
      <c r="BW232" s="732"/>
      <c r="BX232" s="732"/>
      <c r="BY232" s="1193" t="s">
        <v>122</v>
      </c>
      <c r="BZ232" s="1193"/>
      <c r="CA232" s="1193"/>
      <c r="CB232" s="1194" t="s">
        <v>123</v>
      </c>
      <c r="CC232" s="1195"/>
      <c r="CD232" s="63"/>
      <c r="CE232" s="1198" t="s">
        <v>124</v>
      </c>
      <c r="CF232" s="1199"/>
      <c r="CG232" s="63"/>
      <c r="CH232" s="1185" t="s">
        <v>125</v>
      </c>
    </row>
    <row r="233" spans="2:86" ht="18" outlineLevel="1">
      <c r="B233" s="1184"/>
      <c r="C233" s="1186"/>
      <c r="D233" s="1186"/>
      <c r="E233" s="1186"/>
      <c r="F233" s="1188"/>
      <c r="G233" s="1186"/>
      <c r="H233" s="1186"/>
      <c r="I233" s="1186"/>
      <c r="J233" s="656"/>
      <c r="K233" s="656"/>
      <c r="L233" s="656"/>
      <c r="M233" s="656"/>
      <c r="N233" s="656"/>
      <c r="O233" s="656"/>
      <c r="P233" s="656"/>
      <c r="Q233" s="656"/>
      <c r="R233" s="656"/>
      <c r="S233" s="656"/>
      <c r="T233" s="656"/>
      <c r="U233" s="656"/>
      <c r="V233" s="656"/>
      <c r="W233" s="656"/>
      <c r="X233" s="656"/>
      <c r="Y233" s="656"/>
      <c r="Z233" s="656"/>
      <c r="AA233" s="656"/>
      <c r="AB233" s="656"/>
      <c r="AC233" s="656"/>
      <c r="AD233" s="656"/>
      <c r="AE233" s="656"/>
      <c r="AF233" s="656"/>
      <c r="AG233" s="656"/>
      <c r="AH233" s="656"/>
      <c r="AI233" s="656"/>
      <c r="AJ233" s="656"/>
      <c r="AK233" s="656"/>
      <c r="AL233" s="656"/>
      <c r="AM233" s="656"/>
      <c r="AN233" s="656"/>
      <c r="AO233" s="1186"/>
      <c r="AP233" s="1186"/>
      <c r="AQ233" s="1186"/>
      <c r="AR233" s="1186"/>
      <c r="AS233" s="656" t="s">
        <v>6636</v>
      </c>
      <c r="AT233" s="1186"/>
      <c r="AU233" s="656"/>
      <c r="AV233" s="656"/>
      <c r="AW233" s="656"/>
      <c r="AX233" s="656"/>
      <c r="AY233" s="656"/>
      <c r="AZ233" s="1186"/>
      <c r="BA233" s="656"/>
      <c r="BB233" s="656"/>
      <c r="BC233" s="656"/>
      <c r="BD233" s="656"/>
      <c r="BE233" s="656"/>
      <c r="BF233" s="656"/>
      <c r="BG233" s="656"/>
      <c r="BH233" s="656"/>
      <c r="BI233" s="656"/>
      <c r="BJ233" s="656"/>
      <c r="BK233" s="656"/>
      <c r="BL233" s="656"/>
      <c r="BM233" s="656"/>
      <c r="BN233" s="656"/>
      <c r="BO233" s="79"/>
      <c r="BP233" s="63"/>
      <c r="BQ233" s="1325"/>
      <c r="BR233" s="712"/>
      <c r="BS233" s="712"/>
      <c r="BT233" s="712"/>
      <c r="BU233" s="1186"/>
      <c r="BV233" s="1186"/>
      <c r="BW233" s="712"/>
      <c r="BX233" s="712"/>
      <c r="BY233" s="718" t="s">
        <v>106</v>
      </c>
      <c r="BZ233" s="58" t="s">
        <v>107</v>
      </c>
      <c r="CA233" s="720" t="s">
        <v>108</v>
      </c>
      <c r="CB233" s="1196"/>
      <c r="CC233" s="1197"/>
      <c r="CD233" s="63"/>
      <c r="CE233" s="1200"/>
      <c r="CF233" s="1201"/>
      <c r="CG233" s="63"/>
      <c r="CH233" s="1186"/>
    </row>
    <row r="234" spans="2:86" ht="18.75" outlineLevel="1" thickBot="1">
      <c r="B234" s="65"/>
      <c r="C234" s="66"/>
      <c r="D234" s="661" t="s">
        <v>6306</v>
      </c>
      <c r="E234" s="661" t="s">
        <v>6306</v>
      </c>
      <c r="F234" s="661"/>
      <c r="G234" s="661" t="s">
        <v>6306</v>
      </c>
      <c r="H234" s="661" t="s">
        <v>6306</v>
      </c>
      <c r="I234" s="661" t="s">
        <v>6306</v>
      </c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739" t="s">
        <v>6306</v>
      </c>
      <c r="AP234" s="64" t="s">
        <v>119</v>
      </c>
      <c r="AQ234" s="64" t="s">
        <v>6410</v>
      </c>
      <c r="AR234" s="64" t="s">
        <v>285</v>
      </c>
      <c r="AS234" s="64"/>
      <c r="AT234" s="64" t="s">
        <v>6415</v>
      </c>
      <c r="AU234" s="64"/>
      <c r="AV234" s="64"/>
      <c r="AW234" s="64"/>
      <c r="AX234" s="64"/>
      <c r="AY234" s="64"/>
      <c r="AZ234" s="739" t="s">
        <v>6306</v>
      </c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6"/>
      <c r="BP234" s="63"/>
      <c r="BQ234" s="66"/>
      <c r="BR234" s="713"/>
      <c r="BS234" s="713"/>
      <c r="BT234" s="713"/>
      <c r="BU234" s="713" t="s">
        <v>285</v>
      </c>
      <c r="BV234" s="713" t="s">
        <v>6415</v>
      </c>
      <c r="BW234" s="713"/>
      <c r="BX234" s="713"/>
      <c r="BY234" s="713" t="s">
        <v>109</v>
      </c>
      <c r="BZ234" s="66" t="s">
        <v>109</v>
      </c>
      <c r="CA234" s="64" t="s">
        <v>109</v>
      </c>
      <c r="CB234" s="66" t="s">
        <v>109</v>
      </c>
      <c r="CC234" s="721" t="s">
        <v>110</v>
      </c>
      <c r="CD234" s="63"/>
      <c r="CE234" s="724" t="s">
        <v>111</v>
      </c>
      <c r="CF234" s="725" t="s">
        <v>112</v>
      </c>
      <c r="CG234" s="63"/>
      <c r="CH234" s="66" t="s">
        <v>114</v>
      </c>
    </row>
    <row r="235" spans="2:86" outlineLevel="1">
      <c r="B235" s="787" t="s">
        <v>6537</v>
      </c>
      <c r="C235" s="80"/>
      <c r="D235" s="716"/>
      <c r="E235" s="662"/>
      <c r="F235" s="69" t="str">
        <f>IF(E235=0,"",MONTH(E235))</f>
        <v/>
      </c>
      <c r="G235" s="80"/>
      <c r="H235" s="80"/>
      <c r="I235" s="648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790"/>
      <c r="AP235" s="790"/>
      <c r="AQ235" s="790"/>
      <c r="AR235" s="790"/>
      <c r="AS235" s="69"/>
      <c r="AT235" s="790"/>
      <c r="AU235" s="69"/>
      <c r="AV235" s="69"/>
      <c r="AW235" s="69"/>
      <c r="AX235" s="69"/>
      <c r="AY235" s="69"/>
      <c r="AZ235" s="790"/>
      <c r="BA235" s="69"/>
      <c r="BB235" s="69"/>
      <c r="BC235" s="69"/>
      <c r="BD235" s="69"/>
      <c r="BE235" s="69"/>
      <c r="BF235" s="69"/>
      <c r="BG235" s="69"/>
      <c r="BH235" s="69"/>
      <c r="BI235" s="69"/>
      <c r="BJ235" s="69"/>
      <c r="BK235" s="69"/>
      <c r="BL235" s="69"/>
      <c r="BM235" s="69"/>
      <c r="BN235" s="69"/>
      <c r="BO235" s="69"/>
      <c r="BP235" s="63"/>
      <c r="BQ235" s="69"/>
      <c r="BR235" s="719"/>
      <c r="BS235" s="719"/>
      <c r="BT235" s="719"/>
      <c r="BU235" s="719">
        <f>AR235*IF(AZ235=0,1,AZ235)</f>
        <v>0</v>
      </c>
      <c r="BV235" s="804">
        <f>IF(AQ235=0, IF(AP235=0, ,VLOOKUP(AP235,FÉ!$B$64:$L$74,4,FALSE)),AQ235)/100 * BU235</f>
        <v>0</v>
      </c>
      <c r="BW235" s="719"/>
      <c r="BX235" s="719"/>
      <c r="BY235" s="791">
        <f>IF($AP235=0, ,VLOOKUP($AP235,FÉ!$B$41:$L$57,8,FALSE)*$BV235*PRP!$J$8)</f>
        <v>0</v>
      </c>
      <c r="BZ235" s="791">
        <f>IF($AP235=0, ,VLOOKUP($AP235,FÉ!$B$41:$L$57,9,FALSE)*$BV235*PRP!$J$9)</f>
        <v>0</v>
      </c>
      <c r="CA235" s="791">
        <f>IF($AP235=0, ,VLOOKUP($AP235,FÉ!$B$41:$L$57,10,FALSE)*$BV235*PRP!$J$10)</f>
        <v>0</v>
      </c>
      <c r="CB235" s="69">
        <f>SUM(BY235:CA235)</f>
        <v>0</v>
      </c>
      <c r="CC235" s="722">
        <f>CB235/(10^6)</f>
        <v>0</v>
      </c>
      <c r="CD235" s="63"/>
      <c r="CE235" s="726"/>
      <c r="CF235" s="727"/>
      <c r="CG235" s="63"/>
      <c r="CH235" s="730">
        <f>IF($AP235=0, ,VLOOKUP($AP235,FÉ!$B$41:$L$59,7,FALSE))*BV235</f>
        <v>0</v>
      </c>
    </row>
    <row r="236" spans="2:86" outlineLevel="1">
      <c r="B236" s="69" t="str">
        <f t="shared" ref="B236:B244" si="56">B235</f>
        <v>3.4A1</v>
      </c>
      <c r="C236" s="80"/>
      <c r="D236" s="80"/>
      <c r="E236" s="663">
        <v>45661</v>
      </c>
      <c r="F236" s="69">
        <f t="shared" ref="F236:F244" si="57">IF(E236=0,"",MONTH(E236))</f>
        <v>1</v>
      </c>
      <c r="G236" s="80" t="s">
        <v>137</v>
      </c>
      <c r="H236" s="80"/>
      <c r="I236" s="648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790"/>
      <c r="AP236" s="790" t="s">
        <v>6637</v>
      </c>
      <c r="AQ236" s="790"/>
      <c r="AR236" s="790"/>
      <c r="AS236" s="69"/>
      <c r="AT236" s="790">
        <v>125</v>
      </c>
      <c r="AU236" s="69"/>
      <c r="AV236" s="69"/>
      <c r="AW236" s="69"/>
      <c r="AX236" s="69"/>
      <c r="AY236" s="69"/>
      <c r="AZ236" s="790">
        <v>2</v>
      </c>
      <c r="BA236" s="69"/>
      <c r="BB236" s="69"/>
      <c r="BC236" s="69"/>
      <c r="BD236" s="69"/>
      <c r="BE236" s="69"/>
      <c r="BF236" s="69"/>
      <c r="BG236" s="69"/>
      <c r="BH236" s="69"/>
      <c r="BI236" s="69"/>
      <c r="BJ236" s="69"/>
      <c r="BK236" s="69"/>
      <c r="BL236" s="69"/>
      <c r="BM236" s="69"/>
      <c r="BN236" s="69"/>
      <c r="BO236" s="69"/>
      <c r="BP236" s="63"/>
      <c r="BQ236" s="69"/>
      <c r="BR236" s="719"/>
      <c r="BS236" s="719"/>
      <c r="BT236" s="719"/>
      <c r="BU236" s="719">
        <f>AR236*IF(AZ236=0,1,AZ236)</f>
        <v>0</v>
      </c>
      <c r="BV236" s="804">
        <f>IF(AT236=0,AQ236*AR236/100,AT236)*AZ236</f>
        <v>250</v>
      </c>
      <c r="BW236" s="719"/>
      <c r="BX236" s="719"/>
      <c r="BY236" s="791">
        <f>IF($AP236=0, ,VLOOKUP($AP236,FÉ!$B$41:$L$57,8,FALSE)*$BV236*PRP!$J$8)</f>
        <v>576825</v>
      </c>
      <c r="BZ236" s="791">
        <f>IF($AP236=0, ,VLOOKUP($AP236,FÉ!$B$41:$L$57,9,FALSE)*$BV236*PRP!$J$9)</f>
        <v>506.6</v>
      </c>
      <c r="CA236" s="791">
        <f>IF($AP236=0, ,VLOOKUP($AP236,FÉ!$B$41:$L$57,10,FALSE)*$BV236*PRP!$J$10)</f>
        <v>13650</v>
      </c>
      <c r="CB236" s="69">
        <f>SUM(BY236:CA236)</f>
        <v>590981.6</v>
      </c>
      <c r="CC236" s="722">
        <f>CB236/(10^6)</f>
        <v>0.5909816</v>
      </c>
      <c r="CD236" s="63"/>
      <c r="CE236" s="726"/>
      <c r="CF236" s="727"/>
      <c r="CG236" s="63"/>
      <c r="CH236" s="730">
        <f>IF($AP236=0, ,VLOOKUP($AP236,FÉ!$B$41:$L$59,7,FALSE))*BV236</f>
        <v>2422.5</v>
      </c>
    </row>
    <row r="237" spans="2:86" outlineLevel="1">
      <c r="B237" s="69" t="str">
        <f t="shared" si="56"/>
        <v>3.4A1</v>
      </c>
      <c r="C237" s="80"/>
      <c r="D237" s="80"/>
      <c r="E237" s="663">
        <v>45661</v>
      </c>
      <c r="F237" s="69">
        <f t="shared" si="57"/>
        <v>1</v>
      </c>
      <c r="G237" s="80" t="s">
        <v>139</v>
      </c>
      <c r="H237" s="80"/>
      <c r="I237" s="648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790"/>
      <c r="AP237" s="790" t="s">
        <v>6638</v>
      </c>
      <c r="AQ237" s="790">
        <v>10</v>
      </c>
      <c r="AR237" s="790">
        <v>1000</v>
      </c>
      <c r="AS237" s="69"/>
      <c r="AT237" s="790"/>
      <c r="AU237" s="69"/>
      <c r="AV237" s="69"/>
      <c r="AW237" s="69"/>
      <c r="AX237" s="69"/>
      <c r="AY237" s="69"/>
      <c r="AZ237" s="790">
        <v>5</v>
      </c>
      <c r="BA237" s="69"/>
      <c r="BB237" s="69"/>
      <c r="BC237" s="69"/>
      <c r="BD237" s="69"/>
      <c r="BE237" s="69"/>
      <c r="BF237" s="69"/>
      <c r="BG237" s="69"/>
      <c r="BH237" s="69"/>
      <c r="BI237" s="69"/>
      <c r="BJ237" s="69"/>
      <c r="BK237" s="69"/>
      <c r="BL237" s="69"/>
      <c r="BM237" s="69"/>
      <c r="BN237" s="69"/>
      <c r="BO237" s="69"/>
      <c r="BP237" s="63"/>
      <c r="BQ237" s="69"/>
      <c r="BR237" s="719"/>
      <c r="BS237" s="719"/>
      <c r="BT237" s="719"/>
      <c r="BU237" s="719">
        <f>AR237*IF(AZ237=0,1,AZ237)</f>
        <v>5000</v>
      </c>
      <c r="BV237" s="804">
        <f>IF(AT237=0,AQ237*AR237/100,AT237)*AZ237</f>
        <v>500</v>
      </c>
      <c r="BW237" s="719"/>
      <c r="BX237" s="719"/>
      <c r="BY237" s="791">
        <f>IF($AP237=0, ,VLOOKUP($AP237,FÉ!$B$41:$L$57,8,FALSE)*$BV237*PRP!$J$8)</f>
        <v>1340250</v>
      </c>
      <c r="BZ237" s="791">
        <f>IF($AP237=0, ,VLOOKUP($AP237,FÉ!$B$41:$L$57,9,FALSE)*$BV237*PRP!$J$9)</f>
        <v>759.9</v>
      </c>
      <c r="CA237" s="791">
        <f>IF($AP237=0, ,VLOOKUP($AP237,FÉ!$B$41:$L$57,10,FALSE)*$BV237*PRP!$J$10)</f>
        <v>30030</v>
      </c>
      <c r="CB237" s="69">
        <f t="shared" ref="CB237:CB244" si="58">SUM(BY237:CA237)</f>
        <v>1371039.9</v>
      </c>
      <c r="CC237" s="722">
        <f t="shared" ref="CC237:CC244" si="59">CB237/(10^6)</f>
        <v>1.3710399</v>
      </c>
      <c r="CD237" s="63"/>
      <c r="CE237" s="726"/>
      <c r="CF237" s="727"/>
      <c r="CG237" s="63"/>
      <c r="CH237" s="730">
        <f>IF($AP237=0, ,VLOOKUP($AP237,FÉ!$B$41:$L$59,7,FALSE))*BV237</f>
        <v>5320</v>
      </c>
    </row>
    <row r="238" spans="2:86" outlineLevel="1">
      <c r="B238" s="69" t="str">
        <f t="shared" si="56"/>
        <v>3.4A1</v>
      </c>
      <c r="C238" s="80"/>
      <c r="D238" s="80"/>
      <c r="E238" s="663"/>
      <c r="F238" s="69" t="str">
        <f t="shared" si="57"/>
        <v/>
      </c>
      <c r="G238" s="80"/>
      <c r="H238" s="80"/>
      <c r="I238" s="648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790"/>
      <c r="AP238" s="790"/>
      <c r="AQ238" s="790"/>
      <c r="AR238" s="790"/>
      <c r="AS238" s="69"/>
      <c r="AT238" s="790"/>
      <c r="AU238" s="69"/>
      <c r="AV238" s="69"/>
      <c r="AW238" s="69"/>
      <c r="AX238" s="69"/>
      <c r="AY238" s="69"/>
      <c r="AZ238" s="790"/>
      <c r="BA238" s="69"/>
      <c r="BB238" s="69"/>
      <c r="BC238" s="69"/>
      <c r="BD238" s="69"/>
      <c r="BE238" s="69"/>
      <c r="BF238" s="69"/>
      <c r="BG238" s="69"/>
      <c r="BH238" s="69"/>
      <c r="BI238" s="69"/>
      <c r="BJ238" s="69"/>
      <c r="BK238" s="69"/>
      <c r="BL238" s="69"/>
      <c r="BM238" s="69"/>
      <c r="BN238" s="69"/>
      <c r="BO238" s="69"/>
      <c r="BP238" s="63"/>
      <c r="BQ238" s="69"/>
      <c r="BR238" s="719"/>
      <c r="BS238" s="719"/>
      <c r="BT238" s="719"/>
      <c r="BU238" s="719">
        <f>AR238*IF(AZ238=0,1,AZ238)</f>
        <v>0</v>
      </c>
      <c r="BV238" s="804">
        <f>IF(AT238=0,AQ238*AR238/100,AT238)*AZ238</f>
        <v>0</v>
      </c>
      <c r="BW238" s="719"/>
      <c r="BX238" s="719"/>
      <c r="BY238" s="791">
        <f>IF($AP238=0, ,VLOOKUP($AP238,FÉ!$B$41:$L$57,8,FALSE)*$BV238*PRP!$J$8)</f>
        <v>0</v>
      </c>
      <c r="BZ238" s="791">
        <f>IF($AP238=0, ,VLOOKUP($AP238,FÉ!$B$41:$L$57,9,FALSE)*$BV238*PRP!$J$9)</f>
        <v>0</v>
      </c>
      <c r="CA238" s="791">
        <f>IF($AP238=0, ,VLOOKUP($AP238,FÉ!$B$41:$L$57,10,FALSE)*$BV238*PRP!$J$10)</f>
        <v>0</v>
      </c>
      <c r="CB238" s="69">
        <f t="shared" si="58"/>
        <v>0</v>
      </c>
      <c r="CC238" s="722">
        <f t="shared" si="59"/>
        <v>0</v>
      </c>
      <c r="CD238" s="63"/>
      <c r="CE238" s="726"/>
      <c r="CF238" s="727"/>
      <c r="CG238" s="63"/>
      <c r="CH238" s="730">
        <f>IF($AP238=0, ,VLOOKUP($AP238,FÉ!$B$41:$L$59,7,FALSE))*BV238</f>
        <v>0</v>
      </c>
    </row>
    <row r="239" spans="2:86" outlineLevel="1">
      <c r="B239" s="69" t="str">
        <f t="shared" si="56"/>
        <v>3.4A1</v>
      </c>
      <c r="C239" s="80"/>
      <c r="D239" s="80"/>
      <c r="E239" s="663"/>
      <c r="F239" s="69" t="str">
        <f t="shared" si="57"/>
        <v/>
      </c>
      <c r="G239" s="80"/>
      <c r="H239" s="80"/>
      <c r="I239" s="648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790"/>
      <c r="AP239" s="790"/>
      <c r="AQ239" s="790"/>
      <c r="AR239" s="790"/>
      <c r="AS239" s="69"/>
      <c r="AT239" s="790"/>
      <c r="AU239" s="69"/>
      <c r="AV239" s="69"/>
      <c r="AW239" s="69"/>
      <c r="AX239" s="69"/>
      <c r="AY239" s="69"/>
      <c r="AZ239" s="790"/>
      <c r="BA239" s="69"/>
      <c r="BB239" s="69"/>
      <c r="BC239" s="69"/>
      <c r="BD239" s="69"/>
      <c r="BE239" s="69"/>
      <c r="BF239" s="69"/>
      <c r="BG239" s="69"/>
      <c r="BH239" s="69"/>
      <c r="BI239" s="69"/>
      <c r="BJ239" s="69"/>
      <c r="BK239" s="69"/>
      <c r="BL239" s="69"/>
      <c r="BM239" s="69"/>
      <c r="BN239" s="69"/>
      <c r="BO239" s="69"/>
      <c r="BP239" s="63"/>
      <c r="BQ239" s="69"/>
      <c r="BR239" s="719"/>
      <c r="BS239" s="719"/>
      <c r="BT239" s="719"/>
      <c r="BU239" s="719">
        <f>AR239*IF(AZ239=0,1,AZ239)</f>
        <v>0</v>
      </c>
      <c r="BV239" s="804">
        <f>IF(AT239=0,AQ239*AR239/100,AT239)*AZ239</f>
        <v>0</v>
      </c>
      <c r="BW239" s="719"/>
      <c r="BX239" s="719"/>
      <c r="BY239" s="791">
        <f>IF($AP239=0, ,VLOOKUP($AP239,FÉ!$B$41:$L$57,8,FALSE)*$BV239*PRP!$J$8)</f>
        <v>0</v>
      </c>
      <c r="BZ239" s="791">
        <f>IF($AP239=0, ,VLOOKUP($AP239,FÉ!$B$41:$L$57,9,FALSE)*$BV239*PRP!$J$9)</f>
        <v>0</v>
      </c>
      <c r="CA239" s="791">
        <f>IF($AP239=0, ,VLOOKUP($AP239,FÉ!$B$41:$L$57,10,FALSE)*$BV239*PRP!$J$10)</f>
        <v>0</v>
      </c>
      <c r="CB239" s="69">
        <f t="shared" si="58"/>
        <v>0</v>
      </c>
      <c r="CC239" s="722">
        <f t="shared" si="59"/>
        <v>0</v>
      </c>
      <c r="CD239" s="63"/>
      <c r="CE239" s="726"/>
      <c r="CF239" s="727"/>
      <c r="CG239" s="63"/>
      <c r="CH239" s="730">
        <f>IF($AP239=0, ,VLOOKUP($AP239,FÉ!$B$41:$L$59,7,FALSE))*BV239</f>
        <v>0</v>
      </c>
    </row>
    <row r="240" spans="2:86" outlineLevel="1">
      <c r="B240" s="69" t="str">
        <f t="shared" si="56"/>
        <v>3.4A1</v>
      </c>
      <c r="C240" s="80"/>
      <c r="D240" s="80"/>
      <c r="E240" s="663"/>
      <c r="F240" s="69" t="str">
        <f t="shared" si="57"/>
        <v/>
      </c>
      <c r="G240" s="80"/>
      <c r="H240" s="80"/>
      <c r="I240" s="648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790"/>
      <c r="AP240" s="790"/>
      <c r="AQ240" s="790"/>
      <c r="AR240" s="790"/>
      <c r="AS240" s="69"/>
      <c r="AT240" s="790"/>
      <c r="AU240" s="69"/>
      <c r="AV240" s="69"/>
      <c r="AW240" s="69"/>
      <c r="AX240" s="69"/>
      <c r="AY240" s="69"/>
      <c r="AZ240" s="790"/>
      <c r="BA240" s="69"/>
      <c r="BB240" s="69"/>
      <c r="BC240" s="69"/>
      <c r="BD240" s="69"/>
      <c r="BE240" s="69"/>
      <c r="BF240" s="69"/>
      <c r="BG240" s="69"/>
      <c r="BH240" s="69"/>
      <c r="BI240" s="69"/>
      <c r="BJ240" s="69"/>
      <c r="BK240" s="69"/>
      <c r="BL240" s="69"/>
      <c r="BM240" s="69"/>
      <c r="BN240" s="69"/>
      <c r="BO240" s="69"/>
      <c r="BP240" s="63"/>
      <c r="BQ240" s="69"/>
      <c r="BR240" s="719"/>
      <c r="BS240" s="719"/>
      <c r="BT240" s="719"/>
      <c r="BU240" s="719">
        <f>AR240*IF(AZ240=0,1,AZ240)</f>
        <v>0</v>
      </c>
      <c r="BV240" s="804">
        <f>IF(AT240=0,AQ240*AR240/100,AT240)*AZ240</f>
        <v>0</v>
      </c>
      <c r="BW240" s="719"/>
      <c r="BX240" s="719"/>
      <c r="BY240" s="791">
        <f>IF($AP240=0, ,VLOOKUP($AP240,FÉ!$B$41:$L$57,8,FALSE)*$BV240*PRP!$J$8)</f>
        <v>0</v>
      </c>
      <c r="BZ240" s="791">
        <f>IF($AP240=0, ,VLOOKUP($AP240,FÉ!$B$41:$L$57,9,FALSE)*$BV240*PRP!$J$9)</f>
        <v>0</v>
      </c>
      <c r="CA240" s="791">
        <f>IF($AP240=0, ,VLOOKUP($AP240,FÉ!$B$41:$L$57,10,FALSE)*$BV240*PRP!$J$10)</f>
        <v>0</v>
      </c>
      <c r="CB240" s="69">
        <f t="shared" si="58"/>
        <v>0</v>
      </c>
      <c r="CC240" s="722">
        <f t="shared" si="59"/>
        <v>0</v>
      </c>
      <c r="CD240" s="63"/>
      <c r="CE240" s="726"/>
      <c r="CF240" s="727"/>
      <c r="CG240" s="63"/>
      <c r="CH240" s="730">
        <f>IF($AP240=0, ,VLOOKUP($AP240,FÉ!$B$41:$L$59,7,FALSE))*BV240</f>
        <v>0</v>
      </c>
    </row>
    <row r="241" spans="2:86" outlineLevel="1">
      <c r="B241" s="69" t="str">
        <f t="shared" si="56"/>
        <v>3.4A1</v>
      </c>
      <c r="C241" s="80"/>
      <c r="D241" s="80"/>
      <c r="E241" s="663"/>
      <c r="F241" s="69" t="str">
        <f t="shared" si="57"/>
        <v/>
      </c>
      <c r="G241" s="80"/>
      <c r="H241" s="80"/>
      <c r="I241" s="648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790"/>
      <c r="AP241" s="790"/>
      <c r="AQ241" s="790"/>
      <c r="AR241" s="790"/>
      <c r="AS241" s="69"/>
      <c r="AT241" s="790"/>
      <c r="AU241" s="69"/>
      <c r="AV241" s="69"/>
      <c r="AW241" s="69"/>
      <c r="AX241" s="69"/>
      <c r="AY241" s="69"/>
      <c r="AZ241" s="790"/>
      <c r="BA241" s="69"/>
      <c r="BB241" s="69"/>
      <c r="BC241" s="69"/>
      <c r="BD241" s="69"/>
      <c r="BE241" s="69"/>
      <c r="BF241" s="69"/>
      <c r="BG241" s="69"/>
      <c r="BH241" s="69"/>
      <c r="BI241" s="69"/>
      <c r="BJ241" s="69"/>
      <c r="BK241" s="69"/>
      <c r="BL241" s="69"/>
      <c r="BM241" s="69"/>
      <c r="BN241" s="69"/>
      <c r="BO241" s="69"/>
      <c r="BP241" s="63"/>
      <c r="BQ241" s="69"/>
      <c r="BR241" s="719"/>
      <c r="BS241" s="719"/>
      <c r="BT241" s="719"/>
      <c r="BU241" s="719">
        <f>AR241*IF(AZ241=0,1,AZ241)</f>
        <v>0</v>
      </c>
      <c r="BV241" s="804">
        <f>IF(AT241=0,AQ241*AR241/100,AT241)*AZ241</f>
        <v>0</v>
      </c>
      <c r="BW241" s="719"/>
      <c r="BX241" s="719"/>
      <c r="BY241" s="791">
        <f>IF($AP241=0, ,VLOOKUP($AP241,FÉ!$B$41:$L$57,8,FALSE)*$BV241*PRP!$J$8)</f>
        <v>0</v>
      </c>
      <c r="BZ241" s="791">
        <f>IF($AP241=0, ,VLOOKUP($AP241,FÉ!$B$41:$L$57,9,FALSE)*$BV241*PRP!$J$9)</f>
        <v>0</v>
      </c>
      <c r="CA241" s="791">
        <f>IF($AP241=0, ,VLOOKUP($AP241,FÉ!$B$41:$L$57,10,FALSE)*$BV241*PRP!$J$10)</f>
        <v>0</v>
      </c>
      <c r="CB241" s="69">
        <f t="shared" si="58"/>
        <v>0</v>
      </c>
      <c r="CC241" s="722">
        <f t="shared" si="59"/>
        <v>0</v>
      </c>
      <c r="CD241" s="63"/>
      <c r="CE241" s="726"/>
      <c r="CF241" s="727"/>
      <c r="CG241" s="63"/>
      <c r="CH241" s="730">
        <f>IF($AP241=0, ,VLOOKUP($AP241,FÉ!$B$41:$L$59,7,FALSE))*BV241</f>
        <v>0</v>
      </c>
    </row>
    <row r="242" spans="2:86" outlineLevel="1">
      <c r="B242" s="69" t="str">
        <f t="shared" si="56"/>
        <v>3.4A1</v>
      </c>
      <c r="C242" s="80"/>
      <c r="D242" s="80"/>
      <c r="E242" s="663"/>
      <c r="F242" s="69" t="str">
        <f t="shared" si="57"/>
        <v/>
      </c>
      <c r="G242" s="80"/>
      <c r="H242" s="80"/>
      <c r="I242" s="648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790"/>
      <c r="AP242" s="790"/>
      <c r="AQ242" s="790"/>
      <c r="AR242" s="790"/>
      <c r="AS242" s="69"/>
      <c r="AT242" s="790"/>
      <c r="AU242" s="69"/>
      <c r="AV242" s="69"/>
      <c r="AW242" s="69"/>
      <c r="AX242" s="69"/>
      <c r="AY242" s="69"/>
      <c r="AZ242" s="790"/>
      <c r="BA242" s="69"/>
      <c r="BB242" s="69"/>
      <c r="BC242" s="69"/>
      <c r="BD242" s="69"/>
      <c r="BE242" s="69"/>
      <c r="BF242" s="69"/>
      <c r="BG242" s="69"/>
      <c r="BH242" s="69"/>
      <c r="BI242" s="69"/>
      <c r="BJ242" s="69"/>
      <c r="BK242" s="69"/>
      <c r="BL242" s="69"/>
      <c r="BM242" s="69"/>
      <c r="BN242" s="69"/>
      <c r="BO242" s="69"/>
      <c r="BP242" s="63"/>
      <c r="BQ242" s="69"/>
      <c r="BR242" s="719"/>
      <c r="BS242" s="719"/>
      <c r="BT242" s="719"/>
      <c r="BU242" s="719">
        <f>AR242*IF(AZ242=0,1,AZ242)</f>
        <v>0</v>
      </c>
      <c r="BV242" s="804">
        <f>IF(AT242=0,AQ242*AR242/100,AT242)*AZ242</f>
        <v>0</v>
      </c>
      <c r="BW242" s="719"/>
      <c r="BX242" s="719"/>
      <c r="BY242" s="791">
        <f>IF($AP242=0, ,VLOOKUP($AP242,FÉ!$B$41:$L$57,8,FALSE)*$BV242*PRP!$J$8)</f>
        <v>0</v>
      </c>
      <c r="BZ242" s="791">
        <f>IF($AP242=0, ,VLOOKUP($AP242,FÉ!$B$41:$L$57,9,FALSE)*$BV242*PRP!$J$9)</f>
        <v>0</v>
      </c>
      <c r="CA242" s="791">
        <f>IF($AP242=0, ,VLOOKUP($AP242,FÉ!$B$41:$L$57,10,FALSE)*$BV242*PRP!$J$10)</f>
        <v>0</v>
      </c>
      <c r="CB242" s="69">
        <f t="shared" si="58"/>
        <v>0</v>
      </c>
      <c r="CC242" s="722">
        <f t="shared" si="59"/>
        <v>0</v>
      </c>
      <c r="CD242" s="63"/>
      <c r="CE242" s="726"/>
      <c r="CF242" s="727"/>
      <c r="CG242" s="63"/>
      <c r="CH242" s="730">
        <f>IF($AP242=0, ,VLOOKUP($AP242,FÉ!$B$41:$L$59,7,FALSE))*BV242</f>
        <v>0</v>
      </c>
    </row>
    <row r="243" spans="2:86" outlineLevel="1">
      <c r="B243" s="69" t="str">
        <f t="shared" si="56"/>
        <v>3.4A1</v>
      </c>
      <c r="C243" s="80"/>
      <c r="D243" s="80"/>
      <c r="E243" s="663"/>
      <c r="F243" s="69" t="str">
        <f t="shared" si="57"/>
        <v/>
      </c>
      <c r="G243" s="80"/>
      <c r="H243" s="80"/>
      <c r="I243" s="648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790"/>
      <c r="AP243" s="790"/>
      <c r="AQ243" s="790"/>
      <c r="AR243" s="790"/>
      <c r="AS243" s="69"/>
      <c r="AT243" s="790"/>
      <c r="AU243" s="69"/>
      <c r="AV243" s="69"/>
      <c r="AW243" s="69"/>
      <c r="AX243" s="69"/>
      <c r="AY243" s="69"/>
      <c r="AZ243" s="790"/>
      <c r="BA243" s="69"/>
      <c r="BB243" s="69"/>
      <c r="BC243" s="69"/>
      <c r="BD243" s="69"/>
      <c r="BE243" s="69"/>
      <c r="BF243" s="69"/>
      <c r="BG243" s="69"/>
      <c r="BH243" s="69"/>
      <c r="BI243" s="69"/>
      <c r="BJ243" s="69"/>
      <c r="BK243" s="69"/>
      <c r="BL243" s="69"/>
      <c r="BM243" s="69"/>
      <c r="BN243" s="69"/>
      <c r="BO243" s="69"/>
      <c r="BP243" s="63"/>
      <c r="BQ243" s="69"/>
      <c r="BR243" s="719"/>
      <c r="BS243" s="719"/>
      <c r="BT243" s="719"/>
      <c r="BU243" s="719">
        <f>AR243*IF(AZ243=0,1,AZ243)</f>
        <v>0</v>
      </c>
      <c r="BV243" s="804">
        <f>IF(AT243=0,AQ243*AR243/100,AT243)*AZ243</f>
        <v>0</v>
      </c>
      <c r="BW243" s="719"/>
      <c r="BX243" s="719"/>
      <c r="BY243" s="791">
        <f>IF($AP243=0, ,VLOOKUP($AP243,FÉ!$B$41:$L$57,8,FALSE)*$BV243*PRP!$J$8)</f>
        <v>0</v>
      </c>
      <c r="BZ243" s="791">
        <f>IF($AP243=0, ,VLOOKUP($AP243,FÉ!$B$41:$L$57,9,FALSE)*$BV243*PRP!$J$9)</f>
        <v>0</v>
      </c>
      <c r="CA243" s="791">
        <f>IF($AP243=0, ,VLOOKUP($AP243,FÉ!$B$41:$L$57,10,FALSE)*$BV243*PRP!$J$10)</f>
        <v>0</v>
      </c>
      <c r="CB243" s="69">
        <f t="shared" si="58"/>
        <v>0</v>
      </c>
      <c r="CC243" s="722">
        <f t="shared" si="59"/>
        <v>0</v>
      </c>
      <c r="CD243" s="63"/>
      <c r="CE243" s="726"/>
      <c r="CF243" s="727"/>
      <c r="CG243" s="63"/>
      <c r="CH243" s="730">
        <f>IF($AP243=0, ,VLOOKUP($AP243,FÉ!$B$41:$L$59,7,FALSE))*BV243</f>
        <v>0</v>
      </c>
    </row>
    <row r="244" spans="2:86" ht="15.75" outlineLevel="1" thickBot="1">
      <c r="B244" s="69" t="str">
        <f t="shared" si="56"/>
        <v>3.4A1</v>
      </c>
      <c r="C244" s="80"/>
      <c r="D244" s="717"/>
      <c r="E244" s="663"/>
      <c r="F244" s="69" t="str">
        <f t="shared" si="57"/>
        <v/>
      </c>
      <c r="G244" s="80"/>
      <c r="H244" s="80"/>
      <c r="I244" s="648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790"/>
      <c r="AP244" s="790"/>
      <c r="AQ244" s="790"/>
      <c r="AR244" s="790"/>
      <c r="AS244" s="69"/>
      <c r="AT244" s="790"/>
      <c r="AU244" s="69"/>
      <c r="AV244" s="69"/>
      <c r="AW244" s="69"/>
      <c r="AX244" s="69"/>
      <c r="AY244" s="69"/>
      <c r="AZ244" s="790"/>
      <c r="BA244" s="69"/>
      <c r="BB244" s="69"/>
      <c r="BC244" s="69"/>
      <c r="BD244" s="69"/>
      <c r="BE244" s="69"/>
      <c r="BF244" s="69"/>
      <c r="BG244" s="69"/>
      <c r="BH244" s="69"/>
      <c r="BI244" s="69"/>
      <c r="BJ244" s="69"/>
      <c r="BK244" s="69"/>
      <c r="BL244" s="69"/>
      <c r="BM244" s="69"/>
      <c r="BN244" s="69"/>
      <c r="BO244" s="69"/>
      <c r="BP244" s="63"/>
      <c r="BQ244" s="69"/>
      <c r="BR244" s="719"/>
      <c r="BS244" s="719"/>
      <c r="BT244" s="719"/>
      <c r="BU244" s="719">
        <f>AR244*IF(AZ244=0,1,AZ244)</f>
        <v>0</v>
      </c>
      <c r="BV244" s="804">
        <f>IF(AT244=0,AQ244*AR244/100,AT244)*AZ244</f>
        <v>0</v>
      </c>
      <c r="BW244" s="719"/>
      <c r="BX244" s="719"/>
      <c r="BY244" s="791">
        <f>IF($AP244=0, ,VLOOKUP($AP244,FÉ!$B$41:$L$57,8,FALSE)*$BV244*PRP!$J$8)</f>
        <v>0</v>
      </c>
      <c r="BZ244" s="791">
        <f>IF($AP244=0, ,VLOOKUP($AP244,FÉ!$B$41:$L$57,9,FALSE)*$BV244*PRP!$J$9)</f>
        <v>0</v>
      </c>
      <c r="CA244" s="791">
        <f>IF($AP244=0, ,VLOOKUP($AP244,FÉ!$B$41:$L$57,10,FALSE)*$BV244*PRP!$J$10)</f>
        <v>0</v>
      </c>
      <c r="CB244" s="69">
        <f t="shared" si="58"/>
        <v>0</v>
      </c>
      <c r="CC244" s="722">
        <f t="shared" si="59"/>
        <v>0</v>
      </c>
      <c r="CD244" s="63"/>
      <c r="CE244" s="728"/>
      <c r="CF244" s="729"/>
      <c r="CG244" s="63"/>
      <c r="CH244" s="730">
        <f>IF($AP244=0, ,VLOOKUP($AP244,FÉ!$B$41:$L$59,7,FALSE))*BV244</f>
        <v>0</v>
      </c>
    </row>
    <row r="245" spans="2:86" ht="15.75" outlineLevel="1" thickBot="1">
      <c r="B245" s="793"/>
      <c r="C245" s="794"/>
      <c r="D245" s="794"/>
      <c r="E245" s="795"/>
      <c r="F245" s="796" t="str">
        <f>$B235</f>
        <v>3.4A1</v>
      </c>
      <c r="G245" s="796" t="str">
        <f>$B235</f>
        <v>3.4A1</v>
      </c>
      <c r="H245" s="796" t="str">
        <f>$B235</f>
        <v>3.4A1</v>
      </c>
      <c r="I245" s="795"/>
      <c r="J245" s="797"/>
      <c r="K245" s="797"/>
      <c r="L245" s="797"/>
      <c r="M245" s="797"/>
      <c r="N245" s="797"/>
      <c r="O245" s="797"/>
      <c r="P245" s="797"/>
      <c r="Q245" s="797"/>
      <c r="R245" s="797"/>
      <c r="S245" s="797"/>
      <c r="T245" s="797"/>
      <c r="U245" s="797"/>
      <c r="V245" s="797"/>
      <c r="W245" s="797"/>
      <c r="X245" s="797"/>
      <c r="Y245" s="797"/>
      <c r="Z245" s="797"/>
      <c r="AA245" s="797"/>
      <c r="AB245" s="797"/>
      <c r="AC245" s="797"/>
      <c r="AD245" s="797"/>
      <c r="AE245" s="797"/>
      <c r="AF245" s="797"/>
      <c r="AG245" s="797"/>
      <c r="AH245" s="797"/>
      <c r="AI245" s="797"/>
      <c r="AJ245" s="797"/>
      <c r="AK245" s="797"/>
      <c r="AL245" s="797"/>
      <c r="AM245" s="797"/>
      <c r="AN245" s="797"/>
      <c r="AO245" s="797"/>
      <c r="AP245" s="797"/>
      <c r="AQ245" s="797"/>
      <c r="AR245" s="797"/>
      <c r="AS245" s="797"/>
      <c r="AT245" s="797"/>
      <c r="AU245" s="797"/>
      <c r="AV245" s="797"/>
      <c r="AW245" s="797"/>
      <c r="AX245" s="797"/>
      <c r="AY245" s="797"/>
      <c r="AZ245" s="797"/>
      <c r="BA245" s="797"/>
      <c r="BB245" s="797"/>
      <c r="BC245" s="797"/>
      <c r="BD245" s="797"/>
      <c r="BE245" s="797"/>
      <c r="BF245" s="797"/>
      <c r="BG245" s="797"/>
      <c r="BH245" s="797"/>
      <c r="BI245" s="797"/>
      <c r="BJ245" s="797"/>
      <c r="BK245" s="797"/>
      <c r="BL245" s="797"/>
      <c r="BM245" s="797"/>
      <c r="BN245" s="797"/>
      <c r="BO245" s="797"/>
      <c r="BP245" s="63"/>
      <c r="BQ245" s="798"/>
      <c r="BR245" s="798"/>
      <c r="BS245" s="798"/>
      <c r="BT245" s="798"/>
      <c r="BU245" s="798"/>
      <c r="BV245" s="798"/>
      <c r="BW245" s="798"/>
      <c r="BX245" s="798"/>
      <c r="BY245" s="798">
        <f>SUM(BY235:BY244)</f>
        <v>1917075</v>
      </c>
      <c r="BZ245" s="798">
        <f>SUM(BZ235:BZ244)</f>
        <v>1266.5</v>
      </c>
      <c r="CA245" s="798">
        <f>SUM(CA235:CA244)</f>
        <v>43680</v>
      </c>
      <c r="CB245" s="798">
        <f>SUM(CB235:CB244)</f>
        <v>1962021.5</v>
      </c>
      <c r="CC245" s="799">
        <f>SUM(CC235:CC244)</f>
        <v>1.9620215000000001</v>
      </c>
      <c r="CD245" s="63"/>
      <c r="CE245" s="800">
        <f>SUM(CE235:CE244)</f>
        <v>0</v>
      </c>
      <c r="CF245" s="799">
        <f>SUM(CF235:CF244)</f>
        <v>0</v>
      </c>
      <c r="CG245" s="63"/>
      <c r="CH245" s="801">
        <f>SUM(CH235:CH244)</f>
        <v>7742.5</v>
      </c>
    </row>
    <row r="247" spans="2:86" ht="31.5">
      <c r="B247" s="1232" t="s">
        <v>6648</v>
      </c>
      <c r="C247" s="1233"/>
      <c r="D247" s="1233"/>
      <c r="E247" s="1233"/>
      <c r="F247" s="1233"/>
      <c r="G247" s="1233"/>
      <c r="H247" s="1233"/>
      <c r="I247" s="1233"/>
      <c r="J247" s="1233"/>
      <c r="K247" s="1233"/>
      <c r="L247" s="1233"/>
      <c r="M247" s="1233"/>
      <c r="N247" s="1233"/>
      <c r="O247" s="1233"/>
      <c r="P247" s="1233"/>
      <c r="Q247" s="1233"/>
      <c r="R247" s="1233"/>
      <c r="S247" s="1233"/>
      <c r="T247" s="1233"/>
      <c r="U247" s="1233"/>
      <c r="V247" s="1233"/>
      <c r="W247" s="1233"/>
      <c r="X247" s="1233"/>
      <c r="Y247" s="1233"/>
      <c r="Z247" s="1233"/>
      <c r="AA247" s="1233"/>
      <c r="AB247" s="1233"/>
      <c r="AC247" s="1233"/>
      <c r="AD247" s="1233"/>
      <c r="AE247" s="1233"/>
      <c r="AF247" s="1233"/>
      <c r="AG247" s="1233"/>
      <c r="AH247" s="1233"/>
      <c r="AI247" s="1233"/>
      <c r="AJ247" s="1233"/>
      <c r="AK247" s="1233"/>
      <c r="AL247" s="1233"/>
      <c r="AM247" s="1233"/>
      <c r="AN247" s="1233"/>
      <c r="AO247" s="1233"/>
      <c r="AP247" s="1233"/>
      <c r="AQ247" s="1233"/>
      <c r="AR247" s="1233"/>
      <c r="AS247" s="1233"/>
      <c r="AT247" s="1233"/>
      <c r="AU247" s="1233"/>
      <c r="AV247" s="1233"/>
      <c r="AW247" s="1233"/>
      <c r="AX247" s="1233"/>
      <c r="AY247" s="1233"/>
      <c r="AZ247" s="1233"/>
      <c r="BA247" s="1233"/>
      <c r="BB247" s="1233"/>
      <c r="BC247" s="1233"/>
      <c r="BD247" s="1233"/>
      <c r="BE247" s="1233"/>
      <c r="BF247" s="1233"/>
      <c r="BG247" s="1233"/>
      <c r="BH247" s="1233"/>
      <c r="BI247" s="1233"/>
      <c r="BJ247" s="1233"/>
      <c r="BK247" s="1233"/>
      <c r="BL247" s="1233"/>
      <c r="BM247" s="1233"/>
      <c r="BN247" s="1233"/>
      <c r="BO247" s="1233"/>
      <c r="BP247" s="1233"/>
      <c r="BQ247" s="1233"/>
      <c r="BR247" s="1233"/>
      <c r="BS247" s="1233"/>
      <c r="BT247" s="1233"/>
      <c r="BU247" s="1233"/>
      <c r="BV247" s="1233"/>
      <c r="BW247" s="1233"/>
      <c r="BX247" s="1233"/>
      <c r="BY247" s="1233"/>
      <c r="BZ247" s="1233"/>
      <c r="CA247" s="1233"/>
      <c r="CB247" s="1233"/>
      <c r="CC247" s="1233"/>
      <c r="CD247" s="1233"/>
      <c r="CE247" s="1233"/>
      <c r="CF247" s="1233"/>
      <c r="CG247" s="1233"/>
      <c r="CH247" s="1233"/>
    </row>
    <row r="248" spans="2:86" ht="15.75" outlineLevel="1" thickBot="1">
      <c r="CH248" s="63"/>
    </row>
    <row r="249" spans="2:86" ht="21.75" outlineLevel="1" thickBot="1">
      <c r="B249" s="1234" t="s">
        <v>115</v>
      </c>
      <c r="C249" s="1235"/>
      <c r="D249" s="1235"/>
      <c r="E249" s="1235"/>
      <c r="F249" s="1235"/>
      <c r="G249" s="1235"/>
      <c r="H249" s="1235"/>
      <c r="I249" s="1235"/>
      <c r="J249" s="1235"/>
      <c r="K249" s="1235"/>
      <c r="L249" s="1235"/>
      <c r="M249" s="1235"/>
      <c r="N249" s="1235"/>
      <c r="O249" s="1235"/>
      <c r="P249" s="1235"/>
      <c r="Q249" s="1235"/>
      <c r="R249" s="1235"/>
      <c r="S249" s="1235"/>
      <c r="T249" s="1235"/>
      <c r="U249" s="1235"/>
      <c r="V249" s="1235"/>
      <c r="W249" s="1235"/>
      <c r="X249" s="1235"/>
      <c r="Y249" s="1235"/>
      <c r="Z249" s="1235"/>
      <c r="AA249" s="1235"/>
      <c r="AB249" s="1235"/>
      <c r="AC249" s="1235"/>
      <c r="AD249" s="1235"/>
      <c r="AE249" s="1235"/>
      <c r="AF249" s="1235"/>
      <c r="AG249" s="1235"/>
      <c r="AH249" s="1235"/>
      <c r="AI249" s="1235"/>
      <c r="AJ249" s="1235"/>
      <c r="AK249" s="1235"/>
      <c r="AL249" s="1235"/>
      <c r="AM249" s="1235"/>
      <c r="AN249" s="1235"/>
      <c r="AO249" s="1235"/>
      <c r="AP249" s="1235"/>
      <c r="AQ249" s="1235"/>
      <c r="AR249" s="1235"/>
      <c r="AS249" s="1235"/>
      <c r="AT249" s="1235"/>
      <c r="AU249" s="1235"/>
      <c r="AV249" s="1235"/>
      <c r="AW249" s="1235"/>
      <c r="AX249" s="1235"/>
      <c r="AY249" s="1235"/>
      <c r="AZ249" s="1235"/>
      <c r="BA249" s="1235"/>
      <c r="BB249" s="1235"/>
      <c r="BC249" s="1235"/>
      <c r="BD249" s="1235"/>
      <c r="BE249" s="1235"/>
      <c r="BF249" s="1235"/>
      <c r="BG249" s="1235"/>
      <c r="BH249" s="1235"/>
      <c r="BI249" s="1235"/>
      <c r="BJ249" s="1235"/>
      <c r="BK249" s="1235"/>
      <c r="BL249" s="1235"/>
      <c r="BM249" s="1235"/>
      <c r="BN249" s="1235"/>
      <c r="BO249" s="1235"/>
      <c r="BP249" s="63"/>
      <c r="BQ249" s="1236" t="s">
        <v>121</v>
      </c>
      <c r="BR249" s="1237"/>
      <c r="BS249" s="1237"/>
      <c r="BT249" s="1237"/>
      <c r="BU249" s="1237"/>
      <c r="BV249" s="1237"/>
      <c r="BW249" s="1237"/>
      <c r="BX249" s="1237"/>
      <c r="BY249" s="1237"/>
      <c r="BZ249" s="1237"/>
      <c r="CA249" s="1237"/>
      <c r="CB249" s="1237"/>
      <c r="CC249" s="1237"/>
      <c r="CD249" s="1237"/>
      <c r="CE249" s="1237"/>
      <c r="CF249" s="1237"/>
      <c r="CG249" s="1237"/>
      <c r="CH249" s="1238"/>
    </row>
    <row r="250" spans="2:86" ht="15" customHeight="1" outlineLevel="1">
      <c r="B250" s="1183" t="s">
        <v>6353</v>
      </c>
      <c r="C250" s="1185" t="s">
        <v>6372</v>
      </c>
      <c r="D250" s="1185" t="s">
        <v>7</v>
      </c>
      <c r="E250" s="1185" t="s">
        <v>127</v>
      </c>
      <c r="F250" s="1187" t="s">
        <v>6348</v>
      </c>
      <c r="G250" s="1185" t="s">
        <v>6333</v>
      </c>
      <c r="H250" s="1185" t="s">
        <v>128</v>
      </c>
      <c r="I250" s="1185" t="s">
        <v>156</v>
      </c>
      <c r="J250" s="655"/>
      <c r="K250" s="655"/>
      <c r="L250" s="655"/>
      <c r="M250" s="655"/>
      <c r="N250" s="655"/>
      <c r="O250" s="655"/>
      <c r="P250" s="655"/>
      <c r="Q250" s="655"/>
      <c r="R250" s="655"/>
      <c r="S250" s="655"/>
      <c r="T250" s="655"/>
      <c r="U250" s="655"/>
      <c r="V250" s="655"/>
      <c r="W250" s="655"/>
      <c r="X250" s="655"/>
      <c r="Y250" s="655"/>
      <c r="Z250" s="655"/>
      <c r="AA250" s="655"/>
      <c r="AB250" s="655"/>
      <c r="AC250" s="655"/>
      <c r="AD250" s="655"/>
      <c r="AE250" s="655"/>
      <c r="AF250" s="655"/>
      <c r="AG250" s="655"/>
      <c r="AH250" s="655"/>
      <c r="AI250" s="655"/>
      <c r="AJ250" s="655"/>
      <c r="AK250" s="655"/>
      <c r="AL250" s="655"/>
      <c r="AM250" s="655"/>
      <c r="AN250" s="655"/>
      <c r="AO250" s="1185" t="s">
        <v>6408</v>
      </c>
      <c r="AP250" s="1185" t="s">
        <v>6409</v>
      </c>
      <c r="AQ250" s="655"/>
      <c r="AR250" s="1185" t="s">
        <v>288</v>
      </c>
      <c r="AS250" s="655"/>
      <c r="AT250" s="655"/>
      <c r="AU250" s="655"/>
      <c r="AV250" s="655"/>
      <c r="AW250" s="655"/>
      <c r="AX250" s="1185" t="s">
        <v>6640</v>
      </c>
      <c r="AY250" s="655"/>
      <c r="AZ250" s="1185" t="s">
        <v>6413</v>
      </c>
      <c r="BA250" s="655"/>
      <c r="BB250" s="655"/>
      <c r="BC250" s="655"/>
      <c r="BD250" s="655"/>
      <c r="BE250" s="655"/>
      <c r="BF250" s="655"/>
      <c r="BG250" s="655"/>
      <c r="BH250" s="655"/>
      <c r="BI250" s="655"/>
      <c r="BJ250" s="655"/>
      <c r="BK250" s="655"/>
      <c r="BL250" s="655"/>
      <c r="BM250" s="655"/>
      <c r="BN250" s="655"/>
      <c r="BO250" s="657"/>
      <c r="BP250" s="63"/>
      <c r="BQ250" s="732"/>
      <c r="BR250" s="732"/>
      <c r="BS250" s="732"/>
      <c r="BT250" s="732"/>
      <c r="BU250" s="1185" t="s">
        <v>288</v>
      </c>
      <c r="BV250" s="1185" t="s">
        <v>6416</v>
      </c>
      <c r="BW250" s="732"/>
      <c r="BX250" s="732"/>
      <c r="BY250" s="1193" t="s">
        <v>122</v>
      </c>
      <c r="BZ250" s="1193"/>
      <c r="CA250" s="1193"/>
      <c r="CB250" s="1194" t="s">
        <v>123</v>
      </c>
      <c r="CC250" s="1195"/>
      <c r="CD250" s="63"/>
      <c r="CE250" s="1198" t="s">
        <v>124</v>
      </c>
      <c r="CF250" s="1199"/>
      <c r="CG250" s="63"/>
      <c r="CH250" s="1185" t="s">
        <v>125</v>
      </c>
    </row>
    <row r="251" spans="2:86" ht="18" outlineLevel="1">
      <c r="B251" s="1184"/>
      <c r="C251" s="1186"/>
      <c r="D251" s="1186"/>
      <c r="E251" s="1186"/>
      <c r="F251" s="1188"/>
      <c r="G251" s="1186"/>
      <c r="H251" s="1186"/>
      <c r="I251" s="1186"/>
      <c r="J251" s="656"/>
      <c r="K251" s="656"/>
      <c r="L251" s="656"/>
      <c r="M251" s="656"/>
      <c r="N251" s="656"/>
      <c r="O251" s="656"/>
      <c r="P251" s="656"/>
      <c r="Q251" s="656"/>
      <c r="R251" s="656"/>
      <c r="S251" s="656"/>
      <c r="T251" s="656"/>
      <c r="U251" s="656"/>
      <c r="V251" s="656"/>
      <c r="W251" s="656"/>
      <c r="X251" s="656"/>
      <c r="Y251" s="656"/>
      <c r="Z251" s="656"/>
      <c r="AA251" s="656"/>
      <c r="AB251" s="656"/>
      <c r="AC251" s="656"/>
      <c r="AD251" s="656"/>
      <c r="AE251" s="656"/>
      <c r="AF251" s="656"/>
      <c r="AG251" s="656"/>
      <c r="AH251" s="656"/>
      <c r="AI251" s="656"/>
      <c r="AJ251" s="656"/>
      <c r="AK251" s="656"/>
      <c r="AL251" s="656"/>
      <c r="AM251" s="656"/>
      <c r="AN251" s="656"/>
      <c r="AO251" s="1186"/>
      <c r="AP251" s="1186"/>
      <c r="AQ251" s="656"/>
      <c r="AR251" s="1186"/>
      <c r="AS251" s="656"/>
      <c r="AT251" s="656"/>
      <c r="AU251" s="656"/>
      <c r="AV251" s="656"/>
      <c r="AW251" s="656"/>
      <c r="AX251" s="1186"/>
      <c r="AY251" s="656"/>
      <c r="AZ251" s="1186"/>
      <c r="BA251" s="656"/>
      <c r="BB251" s="656"/>
      <c r="BC251" s="656"/>
      <c r="BD251" s="656"/>
      <c r="BE251" s="656"/>
      <c r="BF251" s="656"/>
      <c r="BG251" s="656"/>
      <c r="BH251" s="656"/>
      <c r="BI251" s="656"/>
      <c r="BJ251" s="656"/>
      <c r="BK251" s="656"/>
      <c r="BL251" s="656"/>
      <c r="BM251" s="656"/>
      <c r="BN251" s="656"/>
      <c r="BO251" s="79"/>
      <c r="BP251" s="63"/>
      <c r="BQ251" s="1325"/>
      <c r="BR251" s="712"/>
      <c r="BS251" s="712"/>
      <c r="BT251" s="712"/>
      <c r="BU251" s="1186"/>
      <c r="BV251" s="1186"/>
      <c r="BW251" s="712"/>
      <c r="BX251" s="712"/>
      <c r="BY251" s="718" t="s">
        <v>106</v>
      </c>
      <c r="BZ251" s="58" t="s">
        <v>107</v>
      </c>
      <c r="CA251" s="720" t="s">
        <v>108</v>
      </c>
      <c r="CB251" s="1196"/>
      <c r="CC251" s="1197"/>
      <c r="CD251" s="63"/>
      <c r="CE251" s="1200"/>
      <c r="CF251" s="1201"/>
      <c r="CG251" s="63"/>
      <c r="CH251" s="1186"/>
    </row>
    <row r="252" spans="2:86" ht="18.75" outlineLevel="1" thickBot="1">
      <c r="B252" s="65"/>
      <c r="C252" s="66"/>
      <c r="D252" s="661" t="s">
        <v>6306</v>
      </c>
      <c r="E252" s="661" t="s">
        <v>6306</v>
      </c>
      <c r="F252" s="661"/>
      <c r="G252" s="661" t="s">
        <v>6306</v>
      </c>
      <c r="H252" s="661" t="s">
        <v>6306</v>
      </c>
      <c r="I252" s="661" t="s">
        <v>6306</v>
      </c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739" t="s">
        <v>6306</v>
      </c>
      <c r="AP252" s="64" t="s">
        <v>119</v>
      </c>
      <c r="AQ252" s="64"/>
      <c r="AR252" s="64" t="s">
        <v>285</v>
      </c>
      <c r="AS252" s="64"/>
      <c r="AT252" s="64"/>
      <c r="AU252" s="64"/>
      <c r="AV252" s="64"/>
      <c r="AW252" s="64"/>
      <c r="AX252" s="64"/>
      <c r="AY252" s="64"/>
      <c r="AZ252" s="739" t="s">
        <v>6306</v>
      </c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6"/>
      <c r="BP252" s="63"/>
      <c r="BQ252" s="66"/>
      <c r="BR252" s="713"/>
      <c r="BS252" s="713"/>
      <c r="BT252" s="713"/>
      <c r="BU252" s="713" t="s">
        <v>285</v>
      </c>
      <c r="BV252" s="713" t="s">
        <v>6415</v>
      </c>
      <c r="BW252" s="713"/>
      <c r="BX252" s="713"/>
      <c r="BY252" s="713" t="s">
        <v>109</v>
      </c>
      <c r="BZ252" s="66" t="s">
        <v>109</v>
      </c>
      <c r="CA252" s="64" t="s">
        <v>109</v>
      </c>
      <c r="CB252" s="66" t="s">
        <v>109</v>
      </c>
      <c r="CC252" s="721" t="s">
        <v>110</v>
      </c>
      <c r="CD252" s="63"/>
      <c r="CE252" s="724" t="s">
        <v>111</v>
      </c>
      <c r="CF252" s="725" t="s">
        <v>112</v>
      </c>
      <c r="CG252" s="63"/>
      <c r="CH252" s="66" t="s">
        <v>114</v>
      </c>
    </row>
    <row r="253" spans="2:86" outlineLevel="1">
      <c r="B253" s="787" t="s">
        <v>6540</v>
      </c>
      <c r="C253" s="80"/>
      <c r="D253" s="716"/>
      <c r="E253" s="662"/>
      <c r="F253" s="69" t="str">
        <f>IF(E253=0,"",MONTH(E253))</f>
        <v/>
      </c>
      <c r="G253" s="80"/>
      <c r="H253" s="80"/>
      <c r="I253" s="648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790"/>
      <c r="AP253" s="790"/>
      <c r="AQ253" s="69"/>
      <c r="AR253" s="790"/>
      <c r="AS253" s="69"/>
      <c r="AT253" s="69"/>
      <c r="AU253" s="69"/>
      <c r="AV253" s="69"/>
      <c r="AW253" s="69"/>
      <c r="AX253" s="790"/>
      <c r="AY253" s="69"/>
      <c r="AZ253" s="790"/>
      <c r="BA253" s="69"/>
      <c r="BB253" s="69"/>
      <c r="BC253" s="69"/>
      <c r="BD253" s="69"/>
      <c r="BE253" s="69"/>
      <c r="BF253" s="69"/>
      <c r="BG253" s="69"/>
      <c r="BH253" s="69"/>
      <c r="BI253" s="69"/>
      <c r="BJ253" s="69"/>
      <c r="BK253" s="69"/>
      <c r="BL253" s="69"/>
      <c r="BM253" s="69"/>
      <c r="BN253" s="69"/>
      <c r="BO253" s="69"/>
      <c r="BP253" s="63"/>
      <c r="BQ253" s="69"/>
      <c r="BR253" s="719"/>
      <c r="BS253" s="719"/>
      <c r="BT253" s="719"/>
      <c r="BU253" s="719">
        <f>AR253*IF(AZ253=0,1,AZ253)*IF(AX253='Listes déroulantes, autres'!$C$9,2,1)</f>
        <v>0</v>
      </c>
      <c r="BV253" s="804" cm="1">
        <f t="array" ref="BV253">IF(CB253=0,0,_xlfn.IFS($AP253='Listes déroulantes, autres'!$J$9,Calculs!$CB253/FÉ!$L$58,$AP253='Listes déroulantes, autres'!$J$10,Calculs!$CB253/FÉ!$L$53,$AP253='Listes déroulantes, autres'!$J$11,Calculs!$CB253/FÉ!$L$52))</f>
        <v>0</v>
      </c>
      <c r="BW253" s="719"/>
      <c r="BX253" s="719"/>
      <c r="BY253" s="791" cm="1">
        <f t="array" ref="BY253">_xlfn.IFS($AP253="",0,$AP253='Listes déroulantes, autres'!$J$11,$BU253*FÉ!I$83,$AP253='Listes déroulantes, autres'!$J$10,$BU253*FÉ!I$79,$AP253='Listes déroulantes, autres'!$J$9,($BU253*_xlfn.IFS($AR253&lt;FÉ!$E$87,FÉ!I$87,$AR253&lt;FÉ!$E$88,FÉ!I$88,TRUE,FÉ!I$89))) *PRP!$J$8</f>
        <v>0</v>
      </c>
      <c r="BZ253" s="791" cm="1">
        <f t="array" ref="BZ253">_xlfn.IFS($AP253="",0,$AP253='Listes déroulantes, autres'!$J$11,$BU253*FÉ!J$83,$AP253='Listes déroulantes, autres'!$J$10,$BU253*FÉ!J$79,$AP253='Listes déroulantes, autres'!$J$9,($BU253*_xlfn.IFS($AR253&lt;FÉ!$E$87,FÉ!J$87,$AR253&lt;FÉ!$E$88,FÉ!J$88,TRUE,FÉ!J$89))) *PRP!$J$9</f>
        <v>0</v>
      </c>
      <c r="CA253" s="791" cm="1">
        <f t="array" ref="CA253">_xlfn.IFS($AP253="",0,$AP253='Listes déroulantes, autres'!$J$11,$BU253*FÉ!K$83,$AP253='Listes déroulantes, autres'!$J$10,$BU253*FÉ!K$79,$AP253='Listes déroulantes, autres'!$J$9,($BU253*_xlfn.IFS($AR253&lt;FÉ!$E$87,FÉ!K$87,$AR253&lt;FÉ!$E$88,FÉ!K$88,TRUE,FÉ!K$89))) *PRP!$J$10</f>
        <v>0</v>
      </c>
      <c r="CB253" s="69">
        <f>SUM(BY253:CA253)</f>
        <v>0</v>
      </c>
      <c r="CC253" s="722">
        <f>CB253/(10^6)</f>
        <v>0</v>
      </c>
      <c r="CD253" s="63"/>
      <c r="CE253" s="726"/>
      <c r="CF253" s="727"/>
      <c r="CG253" s="63"/>
      <c r="CH253" s="730" cm="1">
        <f t="array" ref="CH253">IF($AP253=0,,_xlfn.IFS($AP253='Listes déroulantes, autres'!$J$9,FÉ!$H$58,$AP253='Listes déroulantes, autres'!$J$10,FÉ!$H$53,$AP253='Listes déroulantes, autres'!$J$11,FÉ!$H$52)*BV253)</f>
        <v>0</v>
      </c>
    </row>
    <row r="254" spans="2:86" outlineLevel="1">
      <c r="B254" s="69" t="str">
        <f t="shared" ref="B254:B262" si="60">B253</f>
        <v>3.4B1</v>
      </c>
      <c r="C254" s="80"/>
      <c r="D254" s="80"/>
      <c r="E254" s="663">
        <v>45661</v>
      </c>
      <c r="F254" s="69">
        <f t="shared" ref="F254:F262" si="61">IF(E254=0,"",MONTH(E254))</f>
        <v>1</v>
      </c>
      <c r="G254" s="80" t="s">
        <v>137</v>
      </c>
      <c r="H254" s="80"/>
      <c r="I254" s="648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790"/>
      <c r="AP254" s="790" t="s">
        <v>286</v>
      </c>
      <c r="AQ254" s="69"/>
      <c r="AR254" s="790">
        <v>10000</v>
      </c>
      <c r="AS254" s="69"/>
      <c r="AT254" s="69"/>
      <c r="AU254" s="69"/>
      <c r="AV254" s="69"/>
      <c r="AW254" s="69"/>
      <c r="AX254" s="790" t="s">
        <v>1446</v>
      </c>
      <c r="AY254" s="69"/>
      <c r="AZ254" s="790">
        <v>2</v>
      </c>
      <c r="BA254" s="69"/>
      <c r="BB254" s="69"/>
      <c r="BC254" s="69"/>
      <c r="BD254" s="69"/>
      <c r="BE254" s="69"/>
      <c r="BF254" s="69"/>
      <c r="BG254" s="69"/>
      <c r="BH254" s="69"/>
      <c r="BI254" s="69"/>
      <c r="BJ254" s="69"/>
      <c r="BK254" s="69"/>
      <c r="BL254" s="69"/>
      <c r="BM254" s="69"/>
      <c r="BN254" s="69"/>
      <c r="BO254" s="69"/>
      <c r="BP254" s="63"/>
      <c r="BQ254" s="69"/>
      <c r="BR254" s="719"/>
      <c r="BS254" s="719"/>
      <c r="BT254" s="719"/>
      <c r="BU254" s="719">
        <f>AR254*IF(AZ254=0,1,AZ254)*IF(AX254='Listes déroulantes, autres'!$C$9,2,1)</f>
        <v>40000</v>
      </c>
      <c r="BV254" s="804" cm="1">
        <f t="array" ref="BV254">IF(CB254=0,0,_xlfn.IFS($AP254='Listes déroulantes, autres'!$J$9,Calculs!$CB254/FÉ!$L$58,$AP254='Listes déroulantes, autres'!$J$10,Calculs!$CB254/FÉ!$L$53,$AP254='Listes déroulantes, autres'!$J$11,Calculs!$CB254/FÉ!$L$52))</f>
        <v>1856.0573714110508</v>
      </c>
      <c r="BW254" s="719"/>
      <c r="BX254" s="719"/>
      <c r="BY254" s="791" cm="1">
        <f t="array" ref="BY254">_xlfn.IFS($AP254="",0,$AP254='Listes déroulantes, autres'!$J$11,$BU254*FÉ!I$83,$AP254='Listes déroulantes, autres'!$J$10,$BU254*FÉ!I$79,$AP254='Listes déroulantes, autres'!$J$9,($BU254*_xlfn.IFS($AR254&lt;FÉ!$E$87,FÉ!I$87,$AR254&lt;FÉ!$E$88,FÉ!I$88,TRUE,FÉ!I$89))) *PRP!$J$8</f>
        <v>4747275.9086932316</v>
      </c>
      <c r="BZ254" s="791" cm="1">
        <f t="array" ref="BZ254">_xlfn.IFS($AP254="",0,$AP254='Listes déroulantes, autres'!$J$11,$BU254*FÉ!J$83,$AP254='Listes déroulantes, autres'!$J$10,$BU254*FÉ!J$79,$AP254='Listes déroulantes, autres'!$J$9,($BU254*_xlfn.IFS($AR254&lt;FÉ!$E$87,FÉ!J$87,$AR254&lt;FÉ!$E$88,FÉ!J$88,TRUE,FÉ!J$89))) *PRP!$J$9</f>
        <v>592.53956891752159</v>
      </c>
      <c r="CA254" s="791" cm="1">
        <f t="array" ref="CA254">_xlfn.IFS($AP254="",0,$AP254='Listes déroulantes, autres'!$J$11,$BU254*FÉ!K$83,$AP254='Listes déroulantes, autres'!$J$10,$BU254*FÉ!K$79,$AP254='Listes déroulantes, autres'!$J$9,($BU254*_xlfn.IFS($AR254&lt;FÉ!$E$87,FÉ!K$87,$AR254&lt;FÉ!$E$88,FÉ!K$88,TRUE,FÉ!K$89))) *PRP!$J$10</f>
        <v>40712.24051539012</v>
      </c>
      <c r="CB254" s="69">
        <f>SUM(BY254:CA254)</f>
        <v>4788580.6887775399</v>
      </c>
      <c r="CC254" s="722">
        <f>CB254/(10^6)</f>
        <v>4.7885806887775395</v>
      </c>
      <c r="CD254" s="63"/>
      <c r="CE254" s="726"/>
      <c r="CF254" s="727"/>
      <c r="CG254" s="63"/>
      <c r="CH254" s="730" cm="1">
        <f t="array" ref="CH254">IF($AP254=0,,_xlfn.IFS($AP254='Listes déroulantes, autres'!$J$9,FÉ!$H$58,$AP254='Listes déroulantes, autres'!$J$10,FÉ!$H$53,$AP254='Listes déroulantes, autres'!$J$11,FÉ!$H$52)*BV254)</f>
        <v>19432.920678673701</v>
      </c>
    </row>
    <row r="255" spans="2:86" outlineLevel="1">
      <c r="B255" s="69" t="str">
        <f t="shared" si="60"/>
        <v>3.4B1</v>
      </c>
      <c r="C255" s="80"/>
      <c r="D255" s="80"/>
      <c r="E255" s="663">
        <v>45661</v>
      </c>
      <c r="F255" s="69">
        <f t="shared" si="61"/>
        <v>1</v>
      </c>
      <c r="G255" s="80" t="s">
        <v>139</v>
      </c>
      <c r="H255" s="80"/>
      <c r="I255" s="648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790"/>
      <c r="AP255" s="790" t="s">
        <v>286</v>
      </c>
      <c r="AQ255" s="69"/>
      <c r="AR255" s="790">
        <v>1000</v>
      </c>
      <c r="AS255" s="69"/>
      <c r="AT255" s="69"/>
      <c r="AU255" s="69"/>
      <c r="AV255" s="69"/>
      <c r="AW255" s="69"/>
      <c r="AX255" s="790" t="s">
        <v>1445</v>
      </c>
      <c r="AY255" s="69"/>
      <c r="AZ255" s="790">
        <v>1</v>
      </c>
      <c r="BA255" s="69"/>
      <c r="BB255" s="69"/>
      <c r="BC255" s="69"/>
      <c r="BD255" s="69"/>
      <c r="BE255" s="69"/>
      <c r="BF255" s="69"/>
      <c r="BG255" s="69"/>
      <c r="BH255" s="69"/>
      <c r="BI255" s="69"/>
      <c r="BJ255" s="69"/>
      <c r="BK255" s="69"/>
      <c r="BL255" s="69"/>
      <c r="BM255" s="69"/>
      <c r="BN255" s="69"/>
      <c r="BO255" s="69"/>
      <c r="BP255" s="63"/>
      <c r="BQ255" s="69"/>
      <c r="BR255" s="719"/>
      <c r="BS255" s="719"/>
      <c r="BT255" s="719"/>
      <c r="BU255" s="719">
        <f>AR255*IF(AZ255=0,1,AZ255)*IF(AX255='Listes déroulantes, autres'!$C$9,2,1)</f>
        <v>1000</v>
      </c>
      <c r="BV255" s="804" cm="1">
        <f t="array" ref="BV255">IF(CB255=0,0,_xlfn.IFS($AP255='Listes déroulantes, autres'!$J$9,Calculs!$CB255/FÉ!$L$58,$AP255='Listes déroulantes, autres'!$J$10,Calculs!$CB255/FÉ!$L$53,$AP255='Listes déroulantes, autres'!$J$11,Calculs!$CB255/FÉ!$L$52))</f>
        <v>39.364360064865437</v>
      </c>
      <c r="BW255" s="719"/>
      <c r="BX255" s="719"/>
      <c r="BY255" s="791" cm="1">
        <f t="array" ref="BY255">_xlfn.IFS($AP255="",0,$AP255='Listes déroulantes, autres'!$J$11,$BU255*FÉ!I$83,$AP255='Listes déroulantes, autres'!$J$10,$BU255*FÉ!I$79,$AP255='Listes déroulantes, autres'!$J$9,($BU255*_xlfn.IFS($AR255&lt;FÉ!$E$87,FÉ!I$87,$AR255&lt;FÉ!$E$88,FÉ!I$88,TRUE,FÉ!I$89))) *PRP!$J$8</f>
        <v>100662.1331424481</v>
      </c>
      <c r="BZ255" s="791" cm="1">
        <f t="array" ref="BZ255">_xlfn.IFS($AP255="",0,$AP255='Listes déroulantes, autres'!$J$11,$BU255*FÉ!J$83,$AP255='Listes déroulantes, autres'!$J$10,$BU255*FÉ!J$79,$AP255='Listes déroulantes, autres'!$J$9,($BU255*_xlfn.IFS($AR255&lt;FÉ!$E$87,FÉ!J$87,$AR255&lt;FÉ!$E$88,FÉ!J$88,TRUE,FÉ!J$89))) *PRP!$J$9</f>
        <v>14.81348922293804</v>
      </c>
      <c r="CA255" s="791" cm="1">
        <f t="array" ref="CA255">_xlfn.IFS($AP255="",0,$AP255='Listes déroulantes, autres'!$J$11,$BU255*FÉ!K$83,$AP255='Listes déroulantes, autres'!$J$10,$BU255*FÉ!K$79,$AP255='Listes déroulantes, autres'!$J$9,($BU255*_xlfn.IFS($AR255&lt;FÉ!$E$87,FÉ!K$87,$AR255&lt;FÉ!$E$88,FÉ!K$88,TRUE,FÉ!K$89))) *PRP!$J$10</f>
        <v>882.09854450011915</v>
      </c>
      <c r="CB255" s="69">
        <f t="shared" ref="CB255:CB262" si="62">SUM(BY255:CA255)</f>
        <v>101559.04517617116</v>
      </c>
      <c r="CC255" s="722">
        <f t="shared" ref="CC255:CC262" si="63">CB255/(10^6)</f>
        <v>0.10155904517617116</v>
      </c>
      <c r="CD255" s="63"/>
      <c r="CE255" s="726"/>
      <c r="CF255" s="727"/>
      <c r="CG255" s="63"/>
      <c r="CH255" s="730" cm="1">
        <f t="array" ref="CH255">IF($AP255=0,,_xlfn.IFS($AP255='Listes déroulantes, autres'!$J$9,FÉ!$H$58,$AP255='Listes déroulantes, autres'!$J$10,FÉ!$H$53,$AP255='Listes déroulantes, autres'!$J$11,FÉ!$H$52)*BV255)</f>
        <v>412.14484987914113</v>
      </c>
    </row>
    <row r="256" spans="2:86" outlineLevel="1">
      <c r="B256" s="69" t="str">
        <f t="shared" si="60"/>
        <v>3.4B1</v>
      </c>
      <c r="C256" s="80"/>
      <c r="D256" s="80"/>
      <c r="E256" s="663"/>
      <c r="F256" s="69" t="str">
        <f t="shared" si="61"/>
        <v/>
      </c>
      <c r="G256" s="80"/>
      <c r="H256" s="80"/>
      <c r="I256" s="648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790"/>
      <c r="AP256" s="790" t="s">
        <v>247</v>
      </c>
      <c r="AQ256" s="69"/>
      <c r="AR256" s="790">
        <v>1000</v>
      </c>
      <c r="AS256" s="69"/>
      <c r="AT256" s="69"/>
      <c r="AU256" s="69"/>
      <c r="AV256" s="69"/>
      <c r="AW256" s="69"/>
      <c r="AX256" s="790" t="s">
        <v>1445</v>
      </c>
      <c r="AY256" s="69"/>
      <c r="AZ256" s="790">
        <v>1</v>
      </c>
      <c r="BA256" s="69"/>
      <c r="BB256" s="69"/>
      <c r="BC256" s="69"/>
      <c r="BD256" s="69"/>
      <c r="BE256" s="69"/>
      <c r="BF256" s="69"/>
      <c r="BG256" s="69"/>
      <c r="BH256" s="69"/>
      <c r="BI256" s="69"/>
      <c r="BJ256" s="69"/>
      <c r="BK256" s="69"/>
      <c r="BL256" s="69"/>
      <c r="BM256" s="69"/>
      <c r="BN256" s="69"/>
      <c r="BO256" s="69"/>
      <c r="BP256" s="63"/>
      <c r="BQ256" s="69"/>
      <c r="BR256" s="719"/>
      <c r="BS256" s="719"/>
      <c r="BT256" s="719"/>
      <c r="BU256" s="719">
        <f>AR256*IF(AZ256=0,1,AZ256)*IF(AX256='Listes déroulantes, autres'!$C$9,2,1)</f>
        <v>1000</v>
      </c>
      <c r="BV256" s="804" cm="1">
        <f t="array" ref="BV256">IF(CB256=0,0,_xlfn.IFS($AP256='Listes déroulantes, autres'!$J$9,Calculs!$CB256/FÉ!$L$58,$AP256='Listes déroulantes, autres'!$J$10,Calculs!$CB256/FÉ!$L$53,$AP256='Listes déroulantes, autres'!$J$11,Calculs!$CB256/FÉ!$L$52))</f>
        <v>30.405265256435246</v>
      </c>
      <c r="BW256" s="719"/>
      <c r="BX256" s="719"/>
      <c r="BY256" s="791" cm="1">
        <f t="array" ref="BY256">_xlfn.IFS($AP256="",0,$AP256='Listes déroulantes, autres'!$J$11,$BU256*FÉ!I$83,$AP256='Listes déroulantes, autres'!$J$10,$BU256*FÉ!I$79,$AP256='Listes déroulantes, autres'!$J$9,($BU256*_xlfn.IFS($AR256&lt;FÉ!$E$87,FÉ!I$87,$AR256&lt;FÉ!$E$88,FÉ!I$88,TRUE,FÉ!I$89))) *PRP!$J$8</f>
        <v>89477.451682176077</v>
      </c>
      <c r="BZ256" s="791" cm="1">
        <f t="array" ref="BZ256">_xlfn.IFS($AP256="",0,$AP256='Listes déroulantes, autres'!$J$11,$BU256*FÉ!J$83,$AP256='Listes déroulantes, autres'!$J$10,$BU256*FÉ!J$79,$AP256='Listes déroulantes, autres'!$J$9,($BU256*_xlfn.IFS($AR256&lt;FÉ!$E$87,FÉ!J$87,$AR256&lt;FÉ!$E$88,FÉ!J$88,TRUE,FÉ!J$89))) *PRP!$J$9</f>
        <v>157.39332299371668</v>
      </c>
      <c r="CA256" s="791" cm="1">
        <f t="array" ref="CA256">_xlfn.IFS($AP256="",0,$AP256='Listes déroulantes, autres'!$J$11,$BU256*FÉ!K$83,$AP256='Listes déroulantes, autres'!$J$10,$BU256*FÉ!K$79,$AP256='Listes déroulantes, autres'!$J$9,($BU256*_xlfn.IFS($AR256&lt;FÉ!$E$87,FÉ!K$87,$AR256&lt;FÉ!$E$88,FÉ!K$88,TRUE,FÉ!K$89))) *PRP!$J$10</f>
        <v>542.82987353853491</v>
      </c>
      <c r="CB256" s="69">
        <f t="shared" si="62"/>
        <v>90177.67487870832</v>
      </c>
      <c r="CC256" s="722">
        <f t="shared" si="63"/>
        <v>9.0177674878708314E-2</v>
      </c>
      <c r="CD256" s="63"/>
      <c r="CE256" s="726"/>
      <c r="CF256" s="727"/>
      <c r="CG256" s="63"/>
      <c r="CH256" s="730" cm="1">
        <f t="array" ref="CH256">IF($AP256=0,,_xlfn.IFS($AP256='Listes déroulantes, autres'!$J$9,FÉ!$H$58,$AP256='Listes déroulantes, autres'!$J$10,FÉ!$H$53,$AP256='Listes déroulantes, autres'!$J$11,FÉ!$H$52)*BV256)</f>
        <v>323.51202232847106</v>
      </c>
    </row>
    <row r="257" spans="2:86" outlineLevel="1">
      <c r="B257" s="69" t="str">
        <f t="shared" si="60"/>
        <v>3.4B1</v>
      </c>
      <c r="C257" s="80"/>
      <c r="D257" s="80"/>
      <c r="E257" s="663"/>
      <c r="F257" s="69" t="str">
        <f t="shared" si="61"/>
        <v/>
      </c>
      <c r="G257" s="80"/>
      <c r="H257" s="80"/>
      <c r="I257" s="648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790"/>
      <c r="AP257" s="790" t="s">
        <v>6642</v>
      </c>
      <c r="AQ257" s="69"/>
      <c r="AR257" s="790">
        <v>1000</v>
      </c>
      <c r="AS257" s="69"/>
      <c r="AT257" s="69"/>
      <c r="AU257" s="69"/>
      <c r="AV257" s="69"/>
      <c r="AW257" s="69"/>
      <c r="AX257" s="790" t="s">
        <v>1445</v>
      </c>
      <c r="AY257" s="69"/>
      <c r="AZ257" s="790">
        <v>1</v>
      </c>
      <c r="BA257" s="69"/>
      <c r="BB257" s="69"/>
      <c r="BC257" s="69"/>
      <c r="BD257" s="69"/>
      <c r="BE257" s="69"/>
      <c r="BF257" s="69"/>
      <c r="BG257" s="69"/>
      <c r="BH257" s="69"/>
      <c r="BI257" s="69"/>
      <c r="BJ257" s="69"/>
      <c r="BK257" s="69"/>
      <c r="BL257" s="69"/>
      <c r="BM257" s="69"/>
      <c r="BN257" s="69"/>
      <c r="BO257" s="69"/>
      <c r="BP257" s="63"/>
      <c r="BQ257" s="69"/>
      <c r="BR257" s="719"/>
      <c r="BS257" s="719"/>
      <c r="BT257" s="719"/>
      <c r="BU257" s="719">
        <f>AR257*IF(AZ257=0,1,AZ257)*IF(AX257='Listes déroulantes, autres'!$C$9,2,1)</f>
        <v>1000</v>
      </c>
      <c r="BV257" s="804" cm="1">
        <f t="array" ref="BV257">IF(CB257=0,0,_xlfn.IFS($AP257='Listes déroulantes, autres'!$J$9,Calculs!$CB257/FÉ!$L$58,$AP257='Listes déroulantes, autres'!$J$10,Calculs!$CB257/FÉ!$L$53,$AP257='Listes déroulantes, autres'!$J$11,Calculs!$CB257/FÉ!$L$52))</f>
        <v>13.255167497930371</v>
      </c>
      <c r="BW257" s="719"/>
      <c r="BX257" s="719"/>
      <c r="BY257" s="791" cm="1">
        <f t="array" ref="BY257">_xlfn.IFS($AP257="",0,$AP257='Listes déroulantes, autres'!$J$11,$BU257*FÉ!I$83,$AP257='Listes déroulantes, autres'!$J$10,$BU257*FÉ!I$79,$AP257='Listes déroulantes, autres'!$J$9,($BU257*_xlfn.IFS($AR257&lt;FÉ!$E$87,FÉ!I$87,$AR257&lt;FÉ!$E$88,FÉ!I$88,TRUE,FÉ!I$89))) *PRP!$J$8</f>
        <v>36039.529149765367</v>
      </c>
      <c r="BZ257" s="791" cm="1">
        <f t="array" ref="BZ257">_xlfn.IFS($AP257="",0,$AP257='Listes déroulantes, autres'!$J$11,$BU257*FÉ!J$83,$AP257='Listes déroulantes, autres'!$J$10,$BU257*FÉ!J$79,$AP257='Listes déroulantes, autres'!$J$9,($BU257*_xlfn.IFS($AR257&lt;FÉ!$E$87,FÉ!J$87,$AR257&lt;FÉ!$E$88,FÉ!J$88,TRUE,FÉ!J$89))) *PRP!$J$9</f>
        <v>12.961803070070786</v>
      </c>
      <c r="CA257" s="791" cm="1">
        <f t="array" ref="CA257">_xlfn.IFS($AP257="",0,$AP257='Listes déroulantes, autres'!$J$11,$BU257*FÉ!K$83,$AP257='Listes déroulantes, autres'!$J$10,$BU257*FÉ!K$79,$AP257='Listes déroulantes, autres'!$J$9,($BU257*_xlfn.IFS($AR257&lt;FÉ!$E$87,FÉ!K$87,$AR257&lt;FÉ!$E$88,FÉ!K$88,TRUE,FÉ!K$89))) *PRP!$J$10</f>
        <v>67.853734192316864</v>
      </c>
      <c r="CB257" s="69">
        <f t="shared" si="62"/>
        <v>36120.344687027755</v>
      </c>
      <c r="CC257" s="722">
        <f t="shared" si="63"/>
        <v>3.6120344687027753E-2</v>
      </c>
      <c r="CD257" s="63"/>
      <c r="CE257" s="726"/>
      <c r="CF257" s="727"/>
      <c r="CG257" s="63"/>
      <c r="CH257" s="730" cm="1">
        <f t="array" ref="CH257">IF($AP257=0,,_xlfn.IFS($AP257='Listes déroulantes, autres'!$J$9,FÉ!$H$58,$AP257='Listes déroulantes, autres'!$J$10,FÉ!$H$53,$AP257='Listes déroulantes, autres'!$J$11,FÉ!$H$52)*BV257)</f>
        <v>141.03498217797915</v>
      </c>
    </row>
    <row r="258" spans="2:86" outlineLevel="1">
      <c r="B258" s="69" t="str">
        <f t="shared" si="60"/>
        <v>3.4B1</v>
      </c>
      <c r="C258" s="80"/>
      <c r="D258" s="80"/>
      <c r="E258" s="663"/>
      <c r="F258" s="69" t="str">
        <f t="shared" si="61"/>
        <v/>
      </c>
      <c r="G258" s="80"/>
      <c r="H258" s="80"/>
      <c r="I258" s="648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790"/>
      <c r="AP258" s="790"/>
      <c r="AQ258" s="69"/>
      <c r="AR258" s="790"/>
      <c r="AS258" s="69"/>
      <c r="AT258" s="69"/>
      <c r="AU258" s="69"/>
      <c r="AV258" s="69"/>
      <c r="AW258" s="69"/>
      <c r="AX258" s="790"/>
      <c r="AY258" s="69"/>
      <c r="AZ258" s="790"/>
      <c r="BA258" s="69"/>
      <c r="BB258" s="69"/>
      <c r="BC258" s="69"/>
      <c r="BD258" s="69"/>
      <c r="BE258" s="69"/>
      <c r="BF258" s="69"/>
      <c r="BG258" s="69"/>
      <c r="BH258" s="69"/>
      <c r="BI258" s="69"/>
      <c r="BJ258" s="69"/>
      <c r="BK258" s="69"/>
      <c r="BL258" s="69"/>
      <c r="BM258" s="69"/>
      <c r="BN258" s="69"/>
      <c r="BO258" s="69"/>
      <c r="BP258" s="63"/>
      <c r="BQ258" s="69"/>
      <c r="BR258" s="719"/>
      <c r="BS258" s="719"/>
      <c r="BT258" s="719"/>
      <c r="BU258" s="719">
        <f>AR258*IF(AZ258=0,1,AZ258)*IF(AX258='Listes déroulantes, autres'!$C$9,2,1)</f>
        <v>0</v>
      </c>
      <c r="BV258" s="804" cm="1">
        <f t="array" ref="BV258">IF(CB258=0,0,_xlfn.IFS($AP258='Listes déroulantes, autres'!$J$9,Calculs!$CB258/FÉ!$L$58,$AP258='Listes déroulantes, autres'!$J$10,Calculs!$CB258/FÉ!$L$53,$AP258='Listes déroulantes, autres'!$J$11,Calculs!$CB258/FÉ!$L$52))</f>
        <v>0</v>
      </c>
      <c r="BW258" s="719"/>
      <c r="BX258" s="719"/>
      <c r="BY258" s="791" cm="1">
        <f t="array" ref="BY258">_xlfn.IFS($AP258="",0,$AP258='Listes déroulantes, autres'!$J$11,$BU258*FÉ!I$83,$AP258='Listes déroulantes, autres'!$J$10,$BU258*FÉ!I$79,$AP258='Listes déroulantes, autres'!$J$9,($BU258*_xlfn.IFS($AR258&lt;FÉ!$E$87,FÉ!I$87,$AR258&lt;FÉ!$E$88,FÉ!I$88,TRUE,FÉ!I$89))) *PRP!$J$8</f>
        <v>0</v>
      </c>
      <c r="BZ258" s="791" cm="1">
        <f t="array" ref="BZ258">_xlfn.IFS($AP258="",0,$AP258='Listes déroulantes, autres'!$J$11,$BU258*FÉ!J$83,$AP258='Listes déroulantes, autres'!$J$10,$BU258*FÉ!J$79,$AP258='Listes déroulantes, autres'!$J$9,($BU258*_xlfn.IFS($AR258&lt;FÉ!$E$87,FÉ!J$87,$AR258&lt;FÉ!$E$88,FÉ!J$88,TRUE,FÉ!J$89))) *PRP!$J$9</f>
        <v>0</v>
      </c>
      <c r="CA258" s="791" cm="1">
        <f t="array" ref="CA258">_xlfn.IFS($AP258="",0,$AP258='Listes déroulantes, autres'!$J$11,$BU258*FÉ!K$83,$AP258='Listes déroulantes, autres'!$J$10,$BU258*FÉ!K$79,$AP258='Listes déroulantes, autres'!$J$9,($BU258*_xlfn.IFS($AR258&lt;FÉ!$E$87,FÉ!K$87,$AR258&lt;FÉ!$E$88,FÉ!K$88,TRUE,FÉ!K$89))) *PRP!$J$10</f>
        <v>0</v>
      </c>
      <c r="CB258" s="69">
        <f t="shared" si="62"/>
        <v>0</v>
      </c>
      <c r="CC258" s="722">
        <f t="shared" si="63"/>
        <v>0</v>
      </c>
      <c r="CD258" s="63"/>
      <c r="CE258" s="726"/>
      <c r="CF258" s="727"/>
      <c r="CG258" s="63"/>
      <c r="CH258" s="730" cm="1">
        <f t="array" ref="CH258">IF($AP258=0,,_xlfn.IFS($AP258='Listes déroulantes, autres'!$J$9,FÉ!$H$58,$AP258='Listes déroulantes, autres'!$J$10,FÉ!$H$53,$AP258='Listes déroulantes, autres'!$J$11,FÉ!$H$52)*BV258)</f>
        <v>0</v>
      </c>
    </row>
    <row r="259" spans="2:86" outlineLevel="1">
      <c r="B259" s="69" t="str">
        <f t="shared" si="60"/>
        <v>3.4B1</v>
      </c>
      <c r="C259" s="80"/>
      <c r="D259" s="80"/>
      <c r="E259" s="663"/>
      <c r="F259" s="69" t="str">
        <f t="shared" si="61"/>
        <v/>
      </c>
      <c r="G259" s="80"/>
      <c r="H259" s="80"/>
      <c r="I259" s="648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790"/>
      <c r="AP259" s="790"/>
      <c r="AQ259" s="69"/>
      <c r="AR259" s="790"/>
      <c r="AS259" s="69"/>
      <c r="AT259" s="69"/>
      <c r="AU259" s="69"/>
      <c r="AV259" s="69"/>
      <c r="AW259" s="69"/>
      <c r="AX259" s="790"/>
      <c r="AY259" s="69"/>
      <c r="AZ259" s="790"/>
      <c r="BA259" s="69"/>
      <c r="BB259" s="69"/>
      <c r="BC259" s="69"/>
      <c r="BD259" s="69"/>
      <c r="BE259" s="69"/>
      <c r="BF259" s="69"/>
      <c r="BG259" s="69"/>
      <c r="BH259" s="69"/>
      <c r="BI259" s="69"/>
      <c r="BJ259" s="69"/>
      <c r="BK259" s="69"/>
      <c r="BL259" s="69"/>
      <c r="BM259" s="69"/>
      <c r="BN259" s="69"/>
      <c r="BO259" s="69"/>
      <c r="BP259" s="63"/>
      <c r="BQ259" s="69"/>
      <c r="BR259" s="719"/>
      <c r="BS259" s="719"/>
      <c r="BT259" s="719"/>
      <c r="BU259" s="719">
        <f>AR259*IF(AZ259=0,1,AZ259)*IF(AX259='Listes déroulantes, autres'!$C$9,2,1)</f>
        <v>0</v>
      </c>
      <c r="BV259" s="804" cm="1">
        <f t="array" ref="BV259">IF(CB259=0,0,_xlfn.IFS($AP259='Listes déroulantes, autres'!$J$9,Calculs!$CB259/FÉ!$L$58,$AP259='Listes déroulantes, autres'!$J$10,Calculs!$CB259/FÉ!$L$53,$AP259='Listes déroulantes, autres'!$J$11,Calculs!$CB259/FÉ!$L$52))</f>
        <v>0</v>
      </c>
      <c r="BW259" s="719"/>
      <c r="BX259" s="719"/>
      <c r="BY259" s="791" cm="1">
        <f t="array" ref="BY259">_xlfn.IFS($AP259="",0,$AP259='Listes déroulantes, autres'!$J$11,$BU259*FÉ!I$83,$AP259='Listes déroulantes, autres'!$J$10,$BU259*FÉ!I$79,$AP259='Listes déroulantes, autres'!$J$9,($BU259*_xlfn.IFS($AR259&lt;FÉ!$E$87,FÉ!I$87,$AR259&lt;FÉ!$E$88,FÉ!I$88,TRUE,FÉ!I$89))) *PRP!$J$8</f>
        <v>0</v>
      </c>
      <c r="BZ259" s="791" cm="1">
        <f t="array" ref="BZ259">_xlfn.IFS($AP259="",0,$AP259='Listes déroulantes, autres'!$J$11,$BU259*FÉ!J$83,$AP259='Listes déroulantes, autres'!$J$10,$BU259*FÉ!J$79,$AP259='Listes déroulantes, autres'!$J$9,($BU259*_xlfn.IFS($AR259&lt;FÉ!$E$87,FÉ!J$87,$AR259&lt;FÉ!$E$88,FÉ!J$88,TRUE,FÉ!J$89))) *PRP!$J$9</f>
        <v>0</v>
      </c>
      <c r="CA259" s="791" cm="1">
        <f t="array" ref="CA259">_xlfn.IFS($AP259="",0,$AP259='Listes déroulantes, autres'!$J$11,$BU259*FÉ!K$83,$AP259='Listes déroulantes, autres'!$J$10,$BU259*FÉ!K$79,$AP259='Listes déroulantes, autres'!$J$9,($BU259*_xlfn.IFS($AR259&lt;FÉ!$E$87,FÉ!K$87,$AR259&lt;FÉ!$E$88,FÉ!K$88,TRUE,FÉ!K$89))) *PRP!$J$10</f>
        <v>0</v>
      </c>
      <c r="CB259" s="69">
        <f t="shared" si="62"/>
        <v>0</v>
      </c>
      <c r="CC259" s="722">
        <f t="shared" si="63"/>
        <v>0</v>
      </c>
      <c r="CD259" s="63"/>
      <c r="CE259" s="726"/>
      <c r="CF259" s="727"/>
      <c r="CG259" s="63"/>
      <c r="CH259" s="730" cm="1">
        <f t="array" ref="CH259">IF($AP259=0,,_xlfn.IFS($AP259='Listes déroulantes, autres'!$J$9,FÉ!$H$58,$AP259='Listes déroulantes, autres'!$J$10,FÉ!$H$53,$AP259='Listes déroulantes, autres'!$J$11,FÉ!$H$52)*BV259)</f>
        <v>0</v>
      </c>
    </row>
    <row r="260" spans="2:86" outlineLevel="1">
      <c r="B260" s="69" t="str">
        <f t="shared" si="60"/>
        <v>3.4B1</v>
      </c>
      <c r="C260" s="80"/>
      <c r="D260" s="80"/>
      <c r="E260" s="663"/>
      <c r="F260" s="69" t="str">
        <f t="shared" si="61"/>
        <v/>
      </c>
      <c r="G260" s="80"/>
      <c r="H260" s="80"/>
      <c r="I260" s="648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790"/>
      <c r="AP260" s="790"/>
      <c r="AQ260" s="69"/>
      <c r="AR260" s="790"/>
      <c r="AS260" s="69"/>
      <c r="AT260" s="69"/>
      <c r="AU260" s="69"/>
      <c r="AV260" s="69"/>
      <c r="AW260" s="69"/>
      <c r="AX260" s="790"/>
      <c r="AY260" s="69"/>
      <c r="AZ260" s="790"/>
      <c r="BA260" s="69"/>
      <c r="BB260" s="69"/>
      <c r="BC260" s="69"/>
      <c r="BD260" s="69"/>
      <c r="BE260" s="69"/>
      <c r="BF260" s="69"/>
      <c r="BG260" s="69"/>
      <c r="BH260" s="69"/>
      <c r="BI260" s="69"/>
      <c r="BJ260" s="69"/>
      <c r="BK260" s="69"/>
      <c r="BL260" s="69"/>
      <c r="BM260" s="69"/>
      <c r="BN260" s="69"/>
      <c r="BO260" s="69"/>
      <c r="BP260" s="63"/>
      <c r="BQ260" s="69"/>
      <c r="BR260" s="719"/>
      <c r="BS260" s="719"/>
      <c r="BT260" s="719"/>
      <c r="BU260" s="719">
        <f>AR260*IF(AZ260=0,1,AZ260)*IF(AX260='Listes déroulantes, autres'!$C$9,2,1)</f>
        <v>0</v>
      </c>
      <c r="BV260" s="804" cm="1">
        <f t="array" ref="BV260">IF(CB260=0,0,_xlfn.IFS($AP260='Listes déroulantes, autres'!$J$9,Calculs!$CB260/FÉ!$L$58,$AP260='Listes déroulantes, autres'!$J$10,Calculs!$CB260/FÉ!$L$53,$AP260='Listes déroulantes, autres'!$J$11,Calculs!$CB260/FÉ!$L$52))</f>
        <v>0</v>
      </c>
      <c r="BW260" s="719"/>
      <c r="BX260" s="719"/>
      <c r="BY260" s="791" cm="1">
        <f t="array" ref="BY260">_xlfn.IFS($AP260="",0,$AP260='Listes déroulantes, autres'!$J$11,$BU260*FÉ!I$83,$AP260='Listes déroulantes, autres'!$J$10,$BU260*FÉ!I$79,$AP260='Listes déroulantes, autres'!$J$9,($BU260*_xlfn.IFS($AR260&lt;FÉ!$E$87,FÉ!I$87,$AR260&lt;FÉ!$E$88,FÉ!I$88,TRUE,FÉ!I$89))) *PRP!$J$8</f>
        <v>0</v>
      </c>
      <c r="BZ260" s="791" cm="1">
        <f t="array" ref="BZ260">_xlfn.IFS($AP260="",0,$AP260='Listes déroulantes, autres'!$J$11,$BU260*FÉ!J$83,$AP260='Listes déroulantes, autres'!$J$10,$BU260*FÉ!J$79,$AP260='Listes déroulantes, autres'!$J$9,($BU260*_xlfn.IFS($AR260&lt;FÉ!$E$87,FÉ!J$87,$AR260&lt;FÉ!$E$88,FÉ!J$88,TRUE,FÉ!J$89))) *PRP!$J$9</f>
        <v>0</v>
      </c>
      <c r="CA260" s="791" cm="1">
        <f t="array" ref="CA260">_xlfn.IFS($AP260="",0,$AP260='Listes déroulantes, autres'!$J$11,$BU260*FÉ!K$83,$AP260='Listes déroulantes, autres'!$J$10,$BU260*FÉ!K$79,$AP260='Listes déroulantes, autres'!$J$9,($BU260*_xlfn.IFS($AR260&lt;FÉ!$E$87,FÉ!K$87,$AR260&lt;FÉ!$E$88,FÉ!K$88,TRUE,FÉ!K$89))) *PRP!$J$10</f>
        <v>0</v>
      </c>
      <c r="CB260" s="69">
        <f t="shared" si="62"/>
        <v>0</v>
      </c>
      <c r="CC260" s="722">
        <f t="shared" si="63"/>
        <v>0</v>
      </c>
      <c r="CD260" s="63"/>
      <c r="CE260" s="726"/>
      <c r="CF260" s="727"/>
      <c r="CG260" s="63"/>
      <c r="CH260" s="730" cm="1">
        <f t="array" ref="CH260">IF($AP260=0,,_xlfn.IFS($AP260='Listes déroulantes, autres'!$J$9,FÉ!$H$58,$AP260='Listes déroulantes, autres'!$J$10,FÉ!$H$53,$AP260='Listes déroulantes, autres'!$J$11,FÉ!$H$52)*BV260)</f>
        <v>0</v>
      </c>
    </row>
    <row r="261" spans="2:86" outlineLevel="1">
      <c r="B261" s="69" t="str">
        <f t="shared" si="60"/>
        <v>3.4B1</v>
      </c>
      <c r="C261" s="80"/>
      <c r="D261" s="80"/>
      <c r="E261" s="663"/>
      <c r="F261" s="69" t="str">
        <f t="shared" si="61"/>
        <v/>
      </c>
      <c r="G261" s="80"/>
      <c r="H261" s="80"/>
      <c r="I261" s="648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790"/>
      <c r="AP261" s="790"/>
      <c r="AQ261" s="69"/>
      <c r="AR261" s="790"/>
      <c r="AS261" s="69"/>
      <c r="AT261" s="69"/>
      <c r="AU261" s="69"/>
      <c r="AV261" s="69"/>
      <c r="AW261" s="69"/>
      <c r="AX261" s="790"/>
      <c r="AY261" s="69"/>
      <c r="AZ261" s="790"/>
      <c r="BA261" s="69"/>
      <c r="BB261" s="69"/>
      <c r="BC261" s="69"/>
      <c r="BD261" s="69"/>
      <c r="BE261" s="69"/>
      <c r="BF261" s="69"/>
      <c r="BG261" s="69"/>
      <c r="BH261" s="69"/>
      <c r="BI261" s="69"/>
      <c r="BJ261" s="69"/>
      <c r="BK261" s="69"/>
      <c r="BL261" s="69"/>
      <c r="BM261" s="69"/>
      <c r="BN261" s="69"/>
      <c r="BO261" s="69"/>
      <c r="BP261" s="63"/>
      <c r="BQ261" s="69"/>
      <c r="BR261" s="719"/>
      <c r="BS261" s="719"/>
      <c r="BT261" s="719"/>
      <c r="BU261" s="719">
        <f>AR261*IF(AZ261=0,1,AZ261)*IF(AX261='Listes déroulantes, autres'!$C$9,2,1)</f>
        <v>0</v>
      </c>
      <c r="BV261" s="804" cm="1">
        <f t="array" ref="BV261">IF(CB261=0,0,_xlfn.IFS($AP261='Listes déroulantes, autres'!$J$9,Calculs!$CB261/FÉ!$L$58,$AP261='Listes déroulantes, autres'!$J$10,Calculs!$CB261/FÉ!$L$53,$AP261='Listes déroulantes, autres'!$J$11,Calculs!$CB261/FÉ!$L$52))</f>
        <v>0</v>
      </c>
      <c r="BW261" s="719"/>
      <c r="BX261" s="719"/>
      <c r="BY261" s="791" cm="1">
        <f t="array" ref="BY261">_xlfn.IFS($AP261="",0,$AP261='Listes déroulantes, autres'!$J$11,$BU261*FÉ!I$83,$AP261='Listes déroulantes, autres'!$J$10,$BU261*FÉ!I$79,$AP261='Listes déroulantes, autres'!$J$9,($BU261*_xlfn.IFS($AR261&lt;FÉ!$E$87,FÉ!I$87,$AR261&lt;FÉ!$E$88,FÉ!I$88,TRUE,FÉ!I$89))) *PRP!$J$8</f>
        <v>0</v>
      </c>
      <c r="BZ261" s="791" cm="1">
        <f t="array" ref="BZ261">_xlfn.IFS($AP261="",0,$AP261='Listes déroulantes, autres'!$J$11,$BU261*FÉ!J$83,$AP261='Listes déroulantes, autres'!$J$10,$BU261*FÉ!J$79,$AP261='Listes déroulantes, autres'!$J$9,($BU261*_xlfn.IFS($AR261&lt;FÉ!$E$87,FÉ!J$87,$AR261&lt;FÉ!$E$88,FÉ!J$88,TRUE,FÉ!J$89))) *PRP!$J$9</f>
        <v>0</v>
      </c>
      <c r="CA261" s="791" cm="1">
        <f t="array" ref="CA261">_xlfn.IFS($AP261="",0,$AP261='Listes déroulantes, autres'!$J$11,$BU261*FÉ!K$83,$AP261='Listes déroulantes, autres'!$J$10,$BU261*FÉ!K$79,$AP261='Listes déroulantes, autres'!$J$9,($BU261*_xlfn.IFS($AR261&lt;FÉ!$E$87,FÉ!K$87,$AR261&lt;FÉ!$E$88,FÉ!K$88,TRUE,FÉ!K$89))) *PRP!$J$10</f>
        <v>0</v>
      </c>
      <c r="CB261" s="69">
        <f t="shared" si="62"/>
        <v>0</v>
      </c>
      <c r="CC261" s="722">
        <f t="shared" si="63"/>
        <v>0</v>
      </c>
      <c r="CD261" s="63"/>
      <c r="CE261" s="726"/>
      <c r="CF261" s="727"/>
      <c r="CG261" s="63"/>
      <c r="CH261" s="730" cm="1">
        <f t="array" ref="CH261">IF($AP261=0,,_xlfn.IFS($AP261='Listes déroulantes, autres'!$J$9,FÉ!$H$58,$AP261='Listes déroulantes, autres'!$J$10,FÉ!$H$53,$AP261='Listes déroulantes, autres'!$J$11,FÉ!$H$52)*BV261)</f>
        <v>0</v>
      </c>
    </row>
    <row r="262" spans="2:86" ht="15.75" outlineLevel="1" thickBot="1">
      <c r="B262" s="69" t="str">
        <f t="shared" si="60"/>
        <v>3.4B1</v>
      </c>
      <c r="C262" s="80"/>
      <c r="D262" s="717"/>
      <c r="E262" s="663"/>
      <c r="F262" s="69" t="str">
        <f t="shared" si="61"/>
        <v/>
      </c>
      <c r="G262" s="80"/>
      <c r="H262" s="80"/>
      <c r="I262" s="648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790"/>
      <c r="AP262" s="790"/>
      <c r="AQ262" s="69"/>
      <c r="AR262" s="790"/>
      <c r="AS262" s="69"/>
      <c r="AT262" s="69"/>
      <c r="AU262" s="69"/>
      <c r="AV262" s="69"/>
      <c r="AW262" s="69"/>
      <c r="AX262" s="790"/>
      <c r="AY262" s="69"/>
      <c r="AZ262" s="790"/>
      <c r="BA262" s="69"/>
      <c r="BB262" s="69"/>
      <c r="BC262" s="69"/>
      <c r="BD262" s="69"/>
      <c r="BE262" s="69"/>
      <c r="BF262" s="69"/>
      <c r="BG262" s="69"/>
      <c r="BH262" s="69"/>
      <c r="BI262" s="69"/>
      <c r="BJ262" s="69"/>
      <c r="BK262" s="69"/>
      <c r="BL262" s="69"/>
      <c r="BM262" s="69"/>
      <c r="BN262" s="69"/>
      <c r="BO262" s="69"/>
      <c r="BP262" s="63"/>
      <c r="BQ262" s="69"/>
      <c r="BR262" s="719"/>
      <c r="BS262" s="719"/>
      <c r="BT262" s="719"/>
      <c r="BU262" s="719">
        <f>AR262*IF(AZ262=0,1,AZ262)*IF(AX262='Listes déroulantes, autres'!$C$9,2,1)</f>
        <v>0</v>
      </c>
      <c r="BV262" s="804" cm="1">
        <f t="array" ref="BV262">IF(CB262=0,0,_xlfn.IFS($AP262='Listes déroulantes, autres'!$J$9,Calculs!$CB262/FÉ!$L$58,$AP262='Listes déroulantes, autres'!$J$10,Calculs!$CB262/FÉ!$L$53,$AP262='Listes déroulantes, autres'!$J$11,Calculs!$CB262/FÉ!$L$52))</f>
        <v>0</v>
      </c>
      <c r="BW262" s="719"/>
      <c r="BX262" s="719"/>
      <c r="BY262" s="791" cm="1">
        <f t="array" ref="BY262">_xlfn.IFS($AP262="",0,$AP262='Listes déroulantes, autres'!$J$11,$BU262*FÉ!I$83,$AP262='Listes déroulantes, autres'!$J$10,$BU262*FÉ!I$79,$AP262='Listes déroulantes, autres'!$J$9,($BU262*_xlfn.IFS($AR262&lt;FÉ!$E$87,FÉ!I$87,$AR262&lt;FÉ!$E$88,FÉ!I$88,TRUE,FÉ!I$89))) *PRP!$J$8</f>
        <v>0</v>
      </c>
      <c r="BZ262" s="791" cm="1">
        <f t="array" ref="BZ262">_xlfn.IFS($AP262="",0,$AP262='Listes déroulantes, autres'!$J$11,$BU262*FÉ!J$83,$AP262='Listes déroulantes, autres'!$J$10,$BU262*FÉ!J$79,$AP262='Listes déroulantes, autres'!$J$9,($BU262*_xlfn.IFS($AR262&lt;FÉ!$E$87,FÉ!J$87,$AR262&lt;FÉ!$E$88,FÉ!J$88,TRUE,FÉ!J$89))) *PRP!$J$9</f>
        <v>0</v>
      </c>
      <c r="CA262" s="791" cm="1">
        <f t="array" ref="CA262">_xlfn.IFS($AP262="",0,$AP262='Listes déroulantes, autres'!$J$11,$BU262*FÉ!K$83,$AP262='Listes déroulantes, autres'!$J$10,$BU262*FÉ!K$79,$AP262='Listes déroulantes, autres'!$J$9,($BU262*_xlfn.IFS($AR262&lt;FÉ!$E$87,FÉ!K$87,$AR262&lt;FÉ!$E$88,FÉ!K$88,TRUE,FÉ!K$89))) *PRP!$J$10</f>
        <v>0</v>
      </c>
      <c r="CB262" s="69">
        <f t="shared" si="62"/>
        <v>0</v>
      </c>
      <c r="CC262" s="722">
        <f t="shared" si="63"/>
        <v>0</v>
      </c>
      <c r="CD262" s="63"/>
      <c r="CE262" s="728"/>
      <c r="CF262" s="729"/>
      <c r="CG262" s="63"/>
      <c r="CH262" s="730" cm="1">
        <f t="array" ref="CH262">IF($AP262=0,,_xlfn.IFS($AP262='Listes déroulantes, autres'!$J$9,FÉ!$H$58,$AP262='Listes déroulantes, autres'!$J$10,FÉ!$H$53,$AP262='Listes déroulantes, autres'!$J$11,FÉ!$H$52)*BV262)</f>
        <v>0</v>
      </c>
    </row>
    <row r="263" spans="2:86" ht="15.75" outlineLevel="1" thickBot="1">
      <c r="B263" s="793"/>
      <c r="C263" s="794"/>
      <c r="D263" s="794"/>
      <c r="E263" s="795"/>
      <c r="F263" s="796" t="str">
        <f>$B253</f>
        <v>3.4B1</v>
      </c>
      <c r="G263" s="796" t="str">
        <f>$B253</f>
        <v>3.4B1</v>
      </c>
      <c r="H263" s="796" t="str">
        <f>$B253</f>
        <v>3.4B1</v>
      </c>
      <c r="I263" s="795"/>
      <c r="J263" s="797"/>
      <c r="K263" s="797"/>
      <c r="L263" s="797"/>
      <c r="M263" s="797"/>
      <c r="N263" s="797"/>
      <c r="O263" s="797"/>
      <c r="P263" s="797"/>
      <c r="Q263" s="797"/>
      <c r="R263" s="797"/>
      <c r="S263" s="797"/>
      <c r="T263" s="797"/>
      <c r="U263" s="797"/>
      <c r="V263" s="797"/>
      <c r="W263" s="797"/>
      <c r="X263" s="797"/>
      <c r="Y263" s="797"/>
      <c r="Z263" s="797"/>
      <c r="AA263" s="797"/>
      <c r="AB263" s="797"/>
      <c r="AC263" s="797"/>
      <c r="AD263" s="797"/>
      <c r="AE263" s="797"/>
      <c r="AF263" s="797"/>
      <c r="AG263" s="797"/>
      <c r="AH263" s="797"/>
      <c r="AI263" s="797"/>
      <c r="AJ263" s="797"/>
      <c r="AK263" s="797"/>
      <c r="AL263" s="797"/>
      <c r="AM263" s="797"/>
      <c r="AN263" s="797"/>
      <c r="AO263" s="797"/>
      <c r="AP263" s="797"/>
      <c r="AQ263" s="797"/>
      <c r="AR263" s="797"/>
      <c r="AS263" s="797"/>
      <c r="AT263" s="797"/>
      <c r="AU263" s="797"/>
      <c r="AV263" s="797"/>
      <c r="AW263" s="797"/>
      <c r="AX263" s="797"/>
      <c r="AY263" s="797"/>
      <c r="AZ263" s="797"/>
      <c r="BA263" s="797"/>
      <c r="BB263" s="797"/>
      <c r="BC263" s="797"/>
      <c r="BD263" s="797"/>
      <c r="BE263" s="797"/>
      <c r="BF263" s="797"/>
      <c r="BG263" s="797"/>
      <c r="BH263" s="797"/>
      <c r="BI263" s="797"/>
      <c r="BJ263" s="797"/>
      <c r="BK263" s="797"/>
      <c r="BL263" s="797"/>
      <c r="BM263" s="797"/>
      <c r="BN263" s="797"/>
      <c r="BO263" s="797"/>
      <c r="BP263" s="63"/>
      <c r="BQ263" s="798"/>
      <c r="BR263" s="798"/>
      <c r="BS263" s="798"/>
      <c r="BT263" s="798"/>
      <c r="BU263" s="798"/>
      <c r="BV263" s="798"/>
      <c r="BW263" s="798"/>
      <c r="BX263" s="798"/>
      <c r="BY263" s="798">
        <f>SUM(BY253:BY262)</f>
        <v>4973455.0226676213</v>
      </c>
      <c r="BZ263" s="798">
        <f>SUM(BZ253:BZ262)</f>
        <v>777.70818420424712</v>
      </c>
      <c r="CA263" s="798">
        <f>SUM(CA253:CA262)</f>
        <v>42205.022667621088</v>
      </c>
      <c r="CB263" s="798">
        <f>SUM(CB253:CB262)</f>
        <v>5016437.7535194466</v>
      </c>
      <c r="CC263" s="799">
        <f>SUM(CC253:CC262)</f>
        <v>5.0164377535194467</v>
      </c>
      <c r="CD263" s="63"/>
      <c r="CE263" s="800">
        <f>SUM(CE253:CE262)</f>
        <v>0</v>
      </c>
      <c r="CF263" s="799">
        <f>SUM(CF253:CF262)</f>
        <v>0</v>
      </c>
      <c r="CG263" s="63"/>
      <c r="CH263" s="801">
        <f>SUM(CH253:CH262)</f>
        <v>20309.612533059291</v>
      </c>
    </row>
    <row r="265" spans="2:86" ht="31.5">
      <c r="B265" s="1232" t="s">
        <v>6634</v>
      </c>
      <c r="C265" s="1233"/>
      <c r="D265" s="1233"/>
      <c r="E265" s="1233"/>
      <c r="F265" s="1233"/>
      <c r="G265" s="1233"/>
      <c r="H265" s="1233"/>
      <c r="I265" s="1233"/>
      <c r="J265" s="1233"/>
      <c r="K265" s="1233"/>
      <c r="L265" s="1233"/>
      <c r="M265" s="1233"/>
      <c r="N265" s="1233"/>
      <c r="O265" s="1233"/>
      <c r="P265" s="1233"/>
      <c r="Q265" s="1233"/>
      <c r="R265" s="1233"/>
      <c r="S265" s="1233"/>
      <c r="T265" s="1233"/>
      <c r="U265" s="1233"/>
      <c r="V265" s="1233"/>
      <c r="W265" s="1233"/>
      <c r="X265" s="1233"/>
      <c r="Y265" s="1233"/>
      <c r="Z265" s="1233"/>
      <c r="AA265" s="1233"/>
      <c r="AB265" s="1233"/>
      <c r="AC265" s="1233"/>
      <c r="AD265" s="1233"/>
      <c r="AE265" s="1233"/>
      <c r="AF265" s="1233"/>
      <c r="AG265" s="1233"/>
      <c r="AH265" s="1233"/>
      <c r="AI265" s="1233"/>
      <c r="AJ265" s="1233"/>
      <c r="AK265" s="1233"/>
      <c r="AL265" s="1233"/>
      <c r="AM265" s="1233"/>
      <c r="AN265" s="1233"/>
      <c r="AO265" s="1233"/>
      <c r="AP265" s="1233"/>
      <c r="AQ265" s="1233"/>
      <c r="AR265" s="1233"/>
      <c r="AS265" s="1233"/>
      <c r="AT265" s="1233"/>
      <c r="AU265" s="1233"/>
      <c r="AV265" s="1233"/>
      <c r="AW265" s="1233"/>
      <c r="AX265" s="1233"/>
      <c r="AY265" s="1233"/>
      <c r="AZ265" s="1233"/>
      <c r="BA265" s="1233"/>
      <c r="BB265" s="1233"/>
      <c r="BC265" s="1233"/>
      <c r="BD265" s="1233"/>
      <c r="BE265" s="1233"/>
      <c r="BF265" s="1233"/>
      <c r="BG265" s="1233"/>
      <c r="BH265" s="1233"/>
      <c r="BI265" s="1233"/>
      <c r="BJ265" s="1233"/>
      <c r="BK265" s="1233"/>
      <c r="BL265" s="1233"/>
      <c r="BM265" s="1233"/>
      <c r="BN265" s="1233"/>
      <c r="BO265" s="1233"/>
      <c r="BP265" s="1233"/>
      <c r="BQ265" s="1233"/>
      <c r="BR265" s="1233"/>
      <c r="BS265" s="1233"/>
      <c r="BT265" s="1233"/>
      <c r="BU265" s="1233"/>
      <c r="BV265" s="1233"/>
      <c r="BW265" s="1233"/>
      <c r="BX265" s="1233"/>
      <c r="BY265" s="1233"/>
      <c r="BZ265" s="1233"/>
      <c r="CA265" s="1233"/>
      <c r="CB265" s="1233"/>
      <c r="CC265" s="1233"/>
      <c r="CD265" s="1233"/>
      <c r="CE265" s="1233"/>
      <c r="CF265" s="1233"/>
      <c r="CG265" s="1233"/>
      <c r="CH265" s="1233"/>
    </row>
    <row r="266" spans="2:86" ht="15.75" outlineLevel="1" thickBot="1">
      <c r="CH266" s="63"/>
    </row>
    <row r="267" spans="2:86" ht="21.75" outlineLevel="1" thickBot="1">
      <c r="B267" s="1234" t="s">
        <v>115</v>
      </c>
      <c r="C267" s="1235"/>
      <c r="D267" s="1235"/>
      <c r="E267" s="1235"/>
      <c r="F267" s="1235"/>
      <c r="G267" s="1235"/>
      <c r="H267" s="1235"/>
      <c r="I267" s="1235"/>
      <c r="J267" s="1235"/>
      <c r="K267" s="1235"/>
      <c r="L267" s="1235"/>
      <c r="M267" s="1235"/>
      <c r="N267" s="1235"/>
      <c r="O267" s="1235"/>
      <c r="P267" s="1235"/>
      <c r="Q267" s="1235"/>
      <c r="R267" s="1235"/>
      <c r="S267" s="1235"/>
      <c r="T267" s="1235"/>
      <c r="U267" s="1235"/>
      <c r="V267" s="1235"/>
      <c r="W267" s="1235"/>
      <c r="X267" s="1235"/>
      <c r="Y267" s="1235"/>
      <c r="Z267" s="1235"/>
      <c r="AA267" s="1235"/>
      <c r="AB267" s="1235"/>
      <c r="AC267" s="1235"/>
      <c r="AD267" s="1235"/>
      <c r="AE267" s="1235"/>
      <c r="AF267" s="1235"/>
      <c r="AG267" s="1235"/>
      <c r="AH267" s="1235"/>
      <c r="AI267" s="1235"/>
      <c r="AJ267" s="1235"/>
      <c r="AK267" s="1235"/>
      <c r="AL267" s="1235"/>
      <c r="AM267" s="1235"/>
      <c r="AN267" s="1235"/>
      <c r="AO267" s="1235"/>
      <c r="AP267" s="1235"/>
      <c r="AQ267" s="1235"/>
      <c r="AR267" s="1235"/>
      <c r="AS267" s="1235"/>
      <c r="AT267" s="1235"/>
      <c r="AU267" s="1235"/>
      <c r="AV267" s="1235"/>
      <c r="AW267" s="1235"/>
      <c r="AX267" s="1235"/>
      <c r="AY267" s="1235"/>
      <c r="AZ267" s="1235"/>
      <c r="BA267" s="1235"/>
      <c r="BB267" s="1235"/>
      <c r="BC267" s="1235"/>
      <c r="BD267" s="1235"/>
      <c r="BE267" s="1235"/>
      <c r="BF267" s="1235"/>
      <c r="BG267" s="1235"/>
      <c r="BH267" s="1235"/>
      <c r="BI267" s="1235"/>
      <c r="BJ267" s="1235"/>
      <c r="BK267" s="1235"/>
      <c r="BL267" s="1235"/>
      <c r="BM267" s="1235"/>
      <c r="BN267" s="1235"/>
      <c r="BO267" s="1235"/>
      <c r="BP267" s="63"/>
      <c r="BQ267" s="1236" t="s">
        <v>121</v>
      </c>
      <c r="BR267" s="1237"/>
      <c r="BS267" s="1237"/>
      <c r="BT267" s="1237"/>
      <c r="BU267" s="1237"/>
      <c r="BV267" s="1237"/>
      <c r="BW267" s="1237"/>
      <c r="BX267" s="1237"/>
      <c r="BY267" s="1237"/>
      <c r="BZ267" s="1237"/>
      <c r="CA267" s="1237"/>
      <c r="CB267" s="1237"/>
      <c r="CC267" s="1237"/>
      <c r="CD267" s="1237"/>
      <c r="CE267" s="1237"/>
      <c r="CF267" s="1237"/>
      <c r="CG267" s="1237"/>
      <c r="CH267" s="1238"/>
    </row>
    <row r="268" spans="2:86" ht="15" customHeight="1" outlineLevel="1">
      <c r="B268" s="1183" t="s">
        <v>6353</v>
      </c>
      <c r="C268" s="1185" t="s">
        <v>6372</v>
      </c>
      <c r="D268" s="1185" t="s">
        <v>7</v>
      </c>
      <c r="E268" s="1185" t="s">
        <v>127</v>
      </c>
      <c r="F268" s="1187" t="s">
        <v>6348</v>
      </c>
      <c r="G268" s="1185" t="s">
        <v>6333</v>
      </c>
      <c r="H268" s="1185" t="s">
        <v>128</v>
      </c>
      <c r="I268" s="1185" t="s">
        <v>156</v>
      </c>
      <c r="J268" s="655"/>
      <c r="K268" s="655"/>
      <c r="L268" s="655"/>
      <c r="M268" s="655"/>
      <c r="N268" s="655"/>
      <c r="O268" s="655"/>
      <c r="P268" s="655"/>
      <c r="Q268" s="655"/>
      <c r="R268" s="655"/>
      <c r="S268" s="655"/>
      <c r="T268" s="655"/>
      <c r="U268" s="655"/>
      <c r="V268" s="655"/>
      <c r="W268" s="655"/>
      <c r="X268" s="655"/>
      <c r="Y268" s="655"/>
      <c r="Z268" s="655"/>
      <c r="AA268" s="655"/>
      <c r="AB268" s="655"/>
      <c r="AC268" s="655"/>
      <c r="AD268" s="655"/>
      <c r="AE268" s="655"/>
      <c r="AF268" s="655"/>
      <c r="AG268" s="655"/>
      <c r="AH268" s="655"/>
      <c r="AI268" s="655"/>
      <c r="AJ268" s="655"/>
      <c r="AK268" s="655"/>
      <c r="AL268" s="655"/>
      <c r="AM268" s="655"/>
      <c r="AN268" s="655"/>
      <c r="AO268" s="655"/>
      <c r="AP268" s="1185" t="s">
        <v>6409</v>
      </c>
      <c r="AQ268" s="1185" t="s">
        <v>6411</v>
      </c>
      <c r="AR268" s="1185" t="s">
        <v>288</v>
      </c>
      <c r="AS268" s="655"/>
      <c r="AT268" s="1185" t="s">
        <v>6635</v>
      </c>
      <c r="AU268" s="655"/>
      <c r="AV268" s="655"/>
      <c r="AW268" s="655"/>
      <c r="AX268" s="655"/>
      <c r="AY268" s="655"/>
      <c r="AZ268" s="1185" t="s">
        <v>6413</v>
      </c>
      <c r="BA268" s="655"/>
      <c r="BB268" s="655"/>
      <c r="BC268" s="655"/>
      <c r="BD268" s="655"/>
      <c r="BE268" s="655"/>
      <c r="BF268" s="655"/>
      <c r="BG268" s="655"/>
      <c r="BH268" s="655"/>
      <c r="BI268" s="655"/>
      <c r="BJ268" s="655"/>
      <c r="BK268" s="655"/>
      <c r="BL268" s="655"/>
      <c r="BM268" s="655"/>
      <c r="BN268" s="655"/>
      <c r="BO268" s="657"/>
      <c r="BP268" s="63"/>
      <c r="BQ268" s="732"/>
      <c r="BR268" s="732"/>
      <c r="BS268" s="732"/>
      <c r="BT268" s="732"/>
      <c r="BU268" s="1185" t="s">
        <v>288</v>
      </c>
      <c r="BV268" s="1185" t="s">
        <v>6416</v>
      </c>
      <c r="BW268" s="732"/>
      <c r="BX268" s="732"/>
      <c r="BY268" s="1193" t="s">
        <v>122</v>
      </c>
      <c r="BZ268" s="1193"/>
      <c r="CA268" s="1193"/>
      <c r="CB268" s="1194" t="s">
        <v>123</v>
      </c>
      <c r="CC268" s="1195"/>
      <c r="CD268" s="63"/>
      <c r="CE268" s="1198" t="s">
        <v>124</v>
      </c>
      <c r="CF268" s="1199"/>
      <c r="CG268" s="63"/>
      <c r="CH268" s="1185" t="s">
        <v>125</v>
      </c>
    </row>
    <row r="269" spans="2:86" ht="18" outlineLevel="1">
      <c r="B269" s="1184"/>
      <c r="C269" s="1186"/>
      <c r="D269" s="1186"/>
      <c r="E269" s="1186"/>
      <c r="F269" s="1188"/>
      <c r="G269" s="1186"/>
      <c r="H269" s="1186"/>
      <c r="I269" s="1186"/>
      <c r="J269" s="656"/>
      <c r="K269" s="656"/>
      <c r="L269" s="656"/>
      <c r="M269" s="656"/>
      <c r="N269" s="656"/>
      <c r="O269" s="656"/>
      <c r="P269" s="656"/>
      <c r="Q269" s="656"/>
      <c r="R269" s="656"/>
      <c r="S269" s="656"/>
      <c r="T269" s="656"/>
      <c r="U269" s="656"/>
      <c r="V269" s="656"/>
      <c r="W269" s="656"/>
      <c r="X269" s="656"/>
      <c r="Y269" s="656"/>
      <c r="Z269" s="656"/>
      <c r="AA269" s="656"/>
      <c r="AB269" s="656"/>
      <c r="AC269" s="656"/>
      <c r="AD269" s="656"/>
      <c r="AE269" s="656"/>
      <c r="AF269" s="656"/>
      <c r="AG269" s="656"/>
      <c r="AH269" s="656"/>
      <c r="AI269" s="656"/>
      <c r="AJ269" s="656"/>
      <c r="AK269" s="656"/>
      <c r="AL269" s="656"/>
      <c r="AM269" s="656"/>
      <c r="AN269" s="656"/>
      <c r="AO269" s="656"/>
      <c r="AP269" s="1186"/>
      <c r="AQ269" s="1186"/>
      <c r="AR269" s="1186"/>
      <c r="AS269" s="656" t="s">
        <v>6636</v>
      </c>
      <c r="AT269" s="1186"/>
      <c r="AU269" s="656"/>
      <c r="AV269" s="656"/>
      <c r="AW269" s="656"/>
      <c r="AX269" s="656"/>
      <c r="AY269" s="656"/>
      <c r="AZ269" s="1186"/>
      <c r="BA269" s="656"/>
      <c r="BB269" s="656"/>
      <c r="BC269" s="656"/>
      <c r="BD269" s="656"/>
      <c r="BE269" s="656"/>
      <c r="BF269" s="656"/>
      <c r="BG269" s="656"/>
      <c r="BH269" s="656"/>
      <c r="BI269" s="656"/>
      <c r="BJ269" s="656"/>
      <c r="BK269" s="656"/>
      <c r="BL269" s="656"/>
      <c r="BM269" s="656"/>
      <c r="BN269" s="656"/>
      <c r="BO269" s="79"/>
      <c r="BP269" s="63"/>
      <c r="BQ269" s="1325"/>
      <c r="BR269" s="712"/>
      <c r="BS269" s="712"/>
      <c r="BT269" s="712"/>
      <c r="BU269" s="1186"/>
      <c r="BV269" s="1186"/>
      <c r="BW269" s="712"/>
      <c r="BX269" s="712"/>
      <c r="BY269" s="718" t="s">
        <v>106</v>
      </c>
      <c r="BZ269" s="58" t="s">
        <v>107</v>
      </c>
      <c r="CA269" s="720" t="s">
        <v>108</v>
      </c>
      <c r="CB269" s="1196"/>
      <c r="CC269" s="1197"/>
      <c r="CD269" s="63"/>
      <c r="CE269" s="1200"/>
      <c r="CF269" s="1201"/>
      <c r="CG269" s="63"/>
      <c r="CH269" s="1186"/>
    </row>
    <row r="270" spans="2:86" ht="18.75" outlineLevel="1" thickBot="1">
      <c r="B270" s="65"/>
      <c r="C270" s="66"/>
      <c r="D270" s="661" t="s">
        <v>6306</v>
      </c>
      <c r="E270" s="661" t="s">
        <v>6306</v>
      </c>
      <c r="F270" s="661"/>
      <c r="G270" s="661" t="s">
        <v>6306</v>
      </c>
      <c r="H270" s="661" t="s">
        <v>6306</v>
      </c>
      <c r="I270" s="661" t="s">
        <v>6306</v>
      </c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 t="s">
        <v>119</v>
      </c>
      <c r="AQ270" s="64" t="s">
        <v>6410</v>
      </c>
      <c r="AR270" s="64" t="s">
        <v>285</v>
      </c>
      <c r="AS270" s="64"/>
      <c r="AT270" s="64" t="s">
        <v>6415</v>
      </c>
      <c r="AU270" s="64"/>
      <c r="AV270" s="64"/>
      <c r="AW270" s="64"/>
      <c r="AX270" s="64"/>
      <c r="AY270" s="64"/>
      <c r="AZ270" s="739" t="s">
        <v>6306</v>
      </c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6"/>
      <c r="BP270" s="63"/>
      <c r="BQ270" s="66"/>
      <c r="BR270" s="713"/>
      <c r="BS270" s="713"/>
      <c r="BT270" s="713"/>
      <c r="BU270" s="713" t="s">
        <v>285</v>
      </c>
      <c r="BV270" s="713" t="s">
        <v>6415</v>
      </c>
      <c r="BW270" s="713"/>
      <c r="BX270" s="713"/>
      <c r="BY270" s="713" t="s">
        <v>109</v>
      </c>
      <c r="BZ270" s="66" t="s">
        <v>109</v>
      </c>
      <c r="CA270" s="64" t="s">
        <v>109</v>
      </c>
      <c r="CB270" s="66" t="s">
        <v>109</v>
      </c>
      <c r="CC270" s="721" t="s">
        <v>110</v>
      </c>
      <c r="CD270" s="63"/>
      <c r="CE270" s="724" t="s">
        <v>111</v>
      </c>
      <c r="CF270" s="725" t="s">
        <v>112</v>
      </c>
      <c r="CG270" s="63"/>
      <c r="CH270" s="66" t="s">
        <v>114</v>
      </c>
    </row>
    <row r="271" spans="2:86" outlineLevel="1">
      <c r="B271" s="787" t="s">
        <v>6541</v>
      </c>
      <c r="C271" s="80"/>
      <c r="D271" s="716"/>
      <c r="E271" s="662"/>
      <c r="F271" s="69" t="str">
        <f>IF(E271=0,"",MONTH(E271))</f>
        <v/>
      </c>
      <c r="G271" s="80"/>
      <c r="H271" s="80"/>
      <c r="I271" s="648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  <c r="AP271" s="790"/>
      <c r="AQ271" s="790"/>
      <c r="AR271" s="790"/>
      <c r="AS271" s="69"/>
      <c r="AT271" s="790"/>
      <c r="AU271" s="69"/>
      <c r="AV271" s="69"/>
      <c r="AW271" s="69"/>
      <c r="AX271" s="69"/>
      <c r="AY271" s="69"/>
      <c r="AZ271" s="790"/>
      <c r="BA271" s="69"/>
      <c r="BB271" s="69"/>
      <c r="BC271" s="69"/>
      <c r="BD271" s="69"/>
      <c r="BE271" s="69"/>
      <c r="BF271" s="69"/>
      <c r="BG271" s="69"/>
      <c r="BH271" s="69"/>
      <c r="BI271" s="69"/>
      <c r="BJ271" s="69"/>
      <c r="BK271" s="69"/>
      <c r="BL271" s="69"/>
      <c r="BM271" s="69"/>
      <c r="BN271" s="69"/>
      <c r="BO271" s="69"/>
      <c r="BP271" s="63"/>
      <c r="BQ271" s="69"/>
      <c r="BR271" s="719"/>
      <c r="BS271" s="719"/>
      <c r="BT271" s="719"/>
      <c r="BU271" s="719">
        <f>AR271*IF(AZ271=0,1,AZ271)</f>
        <v>0</v>
      </c>
      <c r="BV271" s="804">
        <f>IF(AQ271=0, IF(AP271=0, ,VLOOKUP(AP271,FÉ!$B$64:$L$74,4,FALSE)),AQ271)/100 * BU271</f>
        <v>0</v>
      </c>
      <c r="BW271" s="719"/>
      <c r="BX271" s="719"/>
      <c r="BY271" s="791">
        <f>IF($AP271=0, ,VLOOKUP($AP271,FÉ!$B$41:$L$57,8,FALSE)*$BV271*PRP!$J$8)</f>
        <v>0</v>
      </c>
      <c r="BZ271" s="791">
        <f>IF($AP271=0, ,VLOOKUP($AP271,FÉ!$B$41:$L$57,9,FALSE)*$BV271*PRP!$J$9)</f>
        <v>0</v>
      </c>
      <c r="CA271" s="791">
        <f>IF($AP271=0, ,VLOOKUP($AP271,FÉ!$B$41:$L$57,10,FALSE)*$BV271*PRP!$J$10)</f>
        <v>0</v>
      </c>
      <c r="CB271" s="69">
        <f>SUM(BY271:CA271)</f>
        <v>0</v>
      </c>
      <c r="CC271" s="722">
        <f>CB271/(10^6)</f>
        <v>0</v>
      </c>
      <c r="CD271" s="63"/>
      <c r="CE271" s="726"/>
      <c r="CF271" s="727"/>
      <c r="CG271" s="63"/>
      <c r="CH271" s="730">
        <f>IF($AP271=0, ,VLOOKUP($AP271,FÉ!$B$41:$L$59,7,FALSE))*BV271</f>
        <v>0</v>
      </c>
    </row>
    <row r="272" spans="2:86" outlineLevel="1">
      <c r="B272" s="69" t="str">
        <f t="shared" ref="B272:B280" si="64">B271</f>
        <v>3.5A1</v>
      </c>
      <c r="C272" s="80"/>
      <c r="D272" s="80"/>
      <c r="E272" s="663">
        <v>45661</v>
      </c>
      <c r="F272" s="69">
        <f t="shared" ref="F272:F280" si="65">IF(E272=0,"",MONTH(E272))</f>
        <v>1</v>
      </c>
      <c r="G272" s="80" t="s">
        <v>137</v>
      </c>
      <c r="H272" s="80"/>
      <c r="I272" s="648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790" t="s">
        <v>6637</v>
      </c>
      <c r="AQ272" s="790"/>
      <c r="AR272" s="790"/>
      <c r="AS272" s="69"/>
      <c r="AT272" s="790">
        <v>125</v>
      </c>
      <c r="AU272" s="69"/>
      <c r="AV272" s="69"/>
      <c r="AW272" s="69"/>
      <c r="AX272" s="69"/>
      <c r="AY272" s="69"/>
      <c r="AZ272" s="790">
        <v>2</v>
      </c>
      <c r="BA272" s="69"/>
      <c r="BB272" s="69"/>
      <c r="BC272" s="69"/>
      <c r="BD272" s="69"/>
      <c r="BE272" s="69"/>
      <c r="BF272" s="69"/>
      <c r="BG272" s="69"/>
      <c r="BH272" s="69"/>
      <c r="BI272" s="69"/>
      <c r="BJ272" s="69"/>
      <c r="BK272" s="69"/>
      <c r="BL272" s="69"/>
      <c r="BM272" s="69"/>
      <c r="BN272" s="69"/>
      <c r="BO272" s="69"/>
      <c r="BP272" s="63"/>
      <c r="BQ272" s="69"/>
      <c r="BR272" s="719"/>
      <c r="BS272" s="719"/>
      <c r="BT272" s="719"/>
      <c r="BU272" s="719">
        <f>AR272*IF(AZ272=0,1,AZ272)</f>
        <v>0</v>
      </c>
      <c r="BV272" s="804">
        <f>IF(AT272=0,AQ272*AR272/100,AT272)*AZ272</f>
        <v>250</v>
      </c>
      <c r="BW272" s="719"/>
      <c r="BX272" s="719"/>
      <c r="BY272" s="791">
        <f>IF($AP272=0, ,VLOOKUP($AP272,FÉ!$B$41:$L$57,8,FALSE)*$BV272*PRP!$J$8)</f>
        <v>576825</v>
      </c>
      <c r="BZ272" s="791">
        <f>IF($AP272=0, ,VLOOKUP($AP272,FÉ!$B$41:$L$57,9,FALSE)*$BV272*PRP!$J$9)</f>
        <v>506.6</v>
      </c>
      <c r="CA272" s="791">
        <f>IF($AP272=0, ,VLOOKUP($AP272,FÉ!$B$41:$L$57,10,FALSE)*$BV272*PRP!$J$10)</f>
        <v>13650</v>
      </c>
      <c r="CB272" s="69">
        <f>SUM(BY272:CA272)</f>
        <v>590981.6</v>
      </c>
      <c r="CC272" s="722">
        <f>CB272/(10^6)</f>
        <v>0.5909816</v>
      </c>
      <c r="CD272" s="63"/>
      <c r="CE272" s="726"/>
      <c r="CF272" s="727"/>
      <c r="CG272" s="63"/>
      <c r="CH272" s="730">
        <f>IF($AP272=0, ,VLOOKUP($AP272,FÉ!$B$41:$L$59,7,FALSE))*BV272</f>
        <v>2422.5</v>
      </c>
    </row>
    <row r="273" spans="2:86" outlineLevel="1">
      <c r="B273" s="69" t="str">
        <f t="shared" si="64"/>
        <v>3.5A1</v>
      </c>
      <c r="C273" s="80"/>
      <c r="D273" s="80"/>
      <c r="E273" s="663">
        <v>45661</v>
      </c>
      <c r="F273" s="69">
        <f t="shared" si="65"/>
        <v>1</v>
      </c>
      <c r="G273" s="80" t="s">
        <v>139</v>
      </c>
      <c r="H273" s="80"/>
      <c r="I273" s="648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790" t="s">
        <v>6638</v>
      </c>
      <c r="AQ273" s="790">
        <v>10</v>
      </c>
      <c r="AR273" s="790">
        <v>1000</v>
      </c>
      <c r="AS273" s="69"/>
      <c r="AT273" s="790"/>
      <c r="AU273" s="69"/>
      <c r="AV273" s="69"/>
      <c r="AW273" s="69"/>
      <c r="AX273" s="69"/>
      <c r="AY273" s="69"/>
      <c r="AZ273" s="790">
        <v>5</v>
      </c>
      <c r="BA273" s="69"/>
      <c r="BB273" s="69"/>
      <c r="BC273" s="69"/>
      <c r="BD273" s="69"/>
      <c r="BE273" s="69"/>
      <c r="BF273" s="69"/>
      <c r="BG273" s="69"/>
      <c r="BH273" s="69"/>
      <c r="BI273" s="69"/>
      <c r="BJ273" s="69"/>
      <c r="BK273" s="69"/>
      <c r="BL273" s="69"/>
      <c r="BM273" s="69"/>
      <c r="BN273" s="69"/>
      <c r="BO273" s="69"/>
      <c r="BP273" s="63"/>
      <c r="BQ273" s="69"/>
      <c r="BR273" s="719"/>
      <c r="BS273" s="719"/>
      <c r="BT273" s="719"/>
      <c r="BU273" s="719">
        <f>AR273*IF(AZ273=0,1,AZ273)</f>
        <v>5000</v>
      </c>
      <c r="BV273" s="804">
        <f>IF(AT273=0,AQ273*AR273/100,AT273)*AZ273</f>
        <v>500</v>
      </c>
      <c r="BW273" s="719"/>
      <c r="BX273" s="719"/>
      <c r="BY273" s="791">
        <f>IF($AP273=0, ,VLOOKUP($AP273,FÉ!$B$41:$L$57,8,FALSE)*$BV273*PRP!$J$8)</f>
        <v>1340250</v>
      </c>
      <c r="BZ273" s="791">
        <f>IF($AP273=0, ,VLOOKUP($AP273,FÉ!$B$41:$L$57,9,FALSE)*$BV273*PRP!$J$9)</f>
        <v>759.9</v>
      </c>
      <c r="CA273" s="791">
        <f>IF($AP273=0, ,VLOOKUP($AP273,FÉ!$B$41:$L$57,10,FALSE)*$BV273*PRP!$J$10)</f>
        <v>30030</v>
      </c>
      <c r="CB273" s="69">
        <f t="shared" ref="CB273:CB280" si="66">SUM(BY273:CA273)</f>
        <v>1371039.9</v>
      </c>
      <c r="CC273" s="722">
        <f t="shared" ref="CC273:CC280" si="67">CB273/(10^6)</f>
        <v>1.3710399</v>
      </c>
      <c r="CD273" s="63"/>
      <c r="CE273" s="726"/>
      <c r="CF273" s="727"/>
      <c r="CG273" s="63"/>
      <c r="CH273" s="730">
        <f>IF($AP273=0, ,VLOOKUP($AP273,FÉ!$B$41:$L$59,7,FALSE))*BV273</f>
        <v>5320</v>
      </c>
    </row>
    <row r="274" spans="2:86" outlineLevel="1">
      <c r="B274" s="69" t="str">
        <f t="shared" si="64"/>
        <v>3.5A1</v>
      </c>
      <c r="C274" s="80"/>
      <c r="D274" s="80"/>
      <c r="E274" s="663"/>
      <c r="F274" s="69" t="str">
        <f t="shared" si="65"/>
        <v/>
      </c>
      <c r="G274" s="80"/>
      <c r="H274" s="80"/>
      <c r="I274" s="648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  <c r="AP274" s="790"/>
      <c r="AQ274" s="790"/>
      <c r="AR274" s="790"/>
      <c r="AS274" s="69"/>
      <c r="AT274" s="790"/>
      <c r="AU274" s="69"/>
      <c r="AV274" s="69"/>
      <c r="AW274" s="69"/>
      <c r="AX274" s="69"/>
      <c r="AY274" s="69"/>
      <c r="AZ274" s="790"/>
      <c r="BA274" s="69"/>
      <c r="BB274" s="69"/>
      <c r="BC274" s="69"/>
      <c r="BD274" s="69"/>
      <c r="BE274" s="69"/>
      <c r="BF274" s="69"/>
      <c r="BG274" s="69"/>
      <c r="BH274" s="69"/>
      <c r="BI274" s="69"/>
      <c r="BJ274" s="69"/>
      <c r="BK274" s="69"/>
      <c r="BL274" s="69"/>
      <c r="BM274" s="69"/>
      <c r="BN274" s="69"/>
      <c r="BO274" s="69"/>
      <c r="BP274" s="63"/>
      <c r="BQ274" s="69"/>
      <c r="BR274" s="719"/>
      <c r="BS274" s="719"/>
      <c r="BT274" s="719"/>
      <c r="BU274" s="719">
        <f>AR274*IF(AZ274=0,1,AZ274)</f>
        <v>0</v>
      </c>
      <c r="BV274" s="804">
        <f>IF(AT274=0,AQ274*AR274/100,AT274)*AZ274</f>
        <v>0</v>
      </c>
      <c r="BW274" s="719"/>
      <c r="BX274" s="719"/>
      <c r="BY274" s="791">
        <f>IF($AP274=0, ,VLOOKUP($AP274,FÉ!$B$41:$L$57,8,FALSE)*$BV274*PRP!$J$8)</f>
        <v>0</v>
      </c>
      <c r="BZ274" s="791">
        <f>IF($AP274=0, ,VLOOKUP($AP274,FÉ!$B$41:$L$57,9,FALSE)*$BV274*PRP!$J$9)</f>
        <v>0</v>
      </c>
      <c r="CA274" s="791">
        <f>IF($AP274=0, ,VLOOKUP($AP274,FÉ!$B$41:$L$57,10,FALSE)*$BV274*PRP!$J$10)</f>
        <v>0</v>
      </c>
      <c r="CB274" s="69">
        <f t="shared" si="66"/>
        <v>0</v>
      </c>
      <c r="CC274" s="722">
        <f t="shared" si="67"/>
        <v>0</v>
      </c>
      <c r="CD274" s="63"/>
      <c r="CE274" s="726"/>
      <c r="CF274" s="727"/>
      <c r="CG274" s="63"/>
      <c r="CH274" s="730">
        <f>IF($AP274=0, ,VLOOKUP($AP274,FÉ!$B$41:$L$59,7,FALSE))*BV274</f>
        <v>0</v>
      </c>
    </row>
    <row r="275" spans="2:86" outlineLevel="1">
      <c r="B275" s="69" t="str">
        <f t="shared" si="64"/>
        <v>3.5A1</v>
      </c>
      <c r="C275" s="80"/>
      <c r="D275" s="80"/>
      <c r="E275" s="663"/>
      <c r="F275" s="69" t="str">
        <f t="shared" si="65"/>
        <v/>
      </c>
      <c r="G275" s="80"/>
      <c r="H275" s="80"/>
      <c r="I275" s="648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  <c r="AP275" s="790"/>
      <c r="AQ275" s="790"/>
      <c r="AR275" s="790"/>
      <c r="AS275" s="69"/>
      <c r="AT275" s="790"/>
      <c r="AU275" s="69"/>
      <c r="AV275" s="69"/>
      <c r="AW275" s="69"/>
      <c r="AX275" s="69"/>
      <c r="AY275" s="69"/>
      <c r="AZ275" s="790"/>
      <c r="BA275" s="69"/>
      <c r="BB275" s="69"/>
      <c r="BC275" s="69"/>
      <c r="BD275" s="69"/>
      <c r="BE275" s="69"/>
      <c r="BF275" s="69"/>
      <c r="BG275" s="69"/>
      <c r="BH275" s="69"/>
      <c r="BI275" s="69"/>
      <c r="BJ275" s="69"/>
      <c r="BK275" s="69"/>
      <c r="BL275" s="69"/>
      <c r="BM275" s="69"/>
      <c r="BN275" s="69"/>
      <c r="BO275" s="69"/>
      <c r="BP275" s="63"/>
      <c r="BQ275" s="69"/>
      <c r="BR275" s="719"/>
      <c r="BS275" s="719"/>
      <c r="BT275" s="719"/>
      <c r="BU275" s="719">
        <f>AR275*IF(AZ275=0,1,AZ275)</f>
        <v>0</v>
      </c>
      <c r="BV275" s="804">
        <f>IF(AT275=0,AQ275*AR275/100,AT275)*AZ275</f>
        <v>0</v>
      </c>
      <c r="BW275" s="719"/>
      <c r="BX275" s="719"/>
      <c r="BY275" s="791">
        <f>IF($AP275=0, ,VLOOKUP($AP275,FÉ!$B$41:$L$57,8,FALSE)*$BV275*PRP!$J$8)</f>
        <v>0</v>
      </c>
      <c r="BZ275" s="791">
        <f>IF($AP275=0, ,VLOOKUP($AP275,FÉ!$B$41:$L$57,9,FALSE)*$BV275*PRP!$J$9)</f>
        <v>0</v>
      </c>
      <c r="CA275" s="791">
        <f>IF($AP275=0, ,VLOOKUP($AP275,FÉ!$B$41:$L$57,10,FALSE)*$BV275*PRP!$J$10)</f>
        <v>0</v>
      </c>
      <c r="CB275" s="69">
        <f t="shared" si="66"/>
        <v>0</v>
      </c>
      <c r="CC275" s="722">
        <f t="shared" si="67"/>
        <v>0</v>
      </c>
      <c r="CD275" s="63"/>
      <c r="CE275" s="726"/>
      <c r="CF275" s="727"/>
      <c r="CG275" s="63"/>
      <c r="CH275" s="730">
        <f>IF($AP275=0, ,VLOOKUP($AP275,FÉ!$B$41:$L$59,7,FALSE))*BV275</f>
        <v>0</v>
      </c>
    </row>
    <row r="276" spans="2:86" outlineLevel="1">
      <c r="B276" s="69" t="str">
        <f t="shared" si="64"/>
        <v>3.5A1</v>
      </c>
      <c r="C276" s="80"/>
      <c r="D276" s="80"/>
      <c r="E276" s="663"/>
      <c r="F276" s="69" t="str">
        <f t="shared" si="65"/>
        <v/>
      </c>
      <c r="G276" s="80"/>
      <c r="H276" s="80"/>
      <c r="I276" s="648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  <c r="AP276" s="790"/>
      <c r="AQ276" s="790"/>
      <c r="AR276" s="790"/>
      <c r="AS276" s="69"/>
      <c r="AT276" s="790"/>
      <c r="AU276" s="69"/>
      <c r="AV276" s="69"/>
      <c r="AW276" s="69"/>
      <c r="AX276" s="69"/>
      <c r="AY276" s="69"/>
      <c r="AZ276" s="790"/>
      <c r="BA276" s="69"/>
      <c r="BB276" s="69"/>
      <c r="BC276" s="69"/>
      <c r="BD276" s="69"/>
      <c r="BE276" s="69"/>
      <c r="BF276" s="69"/>
      <c r="BG276" s="69"/>
      <c r="BH276" s="69"/>
      <c r="BI276" s="69"/>
      <c r="BJ276" s="69"/>
      <c r="BK276" s="69"/>
      <c r="BL276" s="69"/>
      <c r="BM276" s="69"/>
      <c r="BN276" s="69"/>
      <c r="BO276" s="69"/>
      <c r="BP276" s="63"/>
      <c r="BQ276" s="69"/>
      <c r="BR276" s="719"/>
      <c r="BS276" s="719"/>
      <c r="BT276" s="719"/>
      <c r="BU276" s="719">
        <f>AR276*IF(AZ276=0,1,AZ276)</f>
        <v>0</v>
      </c>
      <c r="BV276" s="804">
        <f>IF(AT276=0,AQ276*AR276/100,AT276)*AZ276</f>
        <v>0</v>
      </c>
      <c r="BW276" s="719"/>
      <c r="BX276" s="719"/>
      <c r="BY276" s="791">
        <f>IF($AP276=0, ,VLOOKUP($AP276,FÉ!$B$41:$L$57,8,FALSE)*$BV276*PRP!$J$8)</f>
        <v>0</v>
      </c>
      <c r="BZ276" s="791">
        <f>IF($AP276=0, ,VLOOKUP($AP276,FÉ!$B$41:$L$57,9,FALSE)*$BV276*PRP!$J$9)</f>
        <v>0</v>
      </c>
      <c r="CA276" s="791">
        <f>IF($AP276=0, ,VLOOKUP($AP276,FÉ!$B$41:$L$57,10,FALSE)*$BV276*PRP!$J$10)</f>
        <v>0</v>
      </c>
      <c r="CB276" s="69">
        <f t="shared" si="66"/>
        <v>0</v>
      </c>
      <c r="CC276" s="722">
        <f t="shared" si="67"/>
        <v>0</v>
      </c>
      <c r="CD276" s="63"/>
      <c r="CE276" s="726"/>
      <c r="CF276" s="727"/>
      <c r="CG276" s="63"/>
      <c r="CH276" s="730">
        <f>IF($AP276=0, ,VLOOKUP($AP276,FÉ!$B$41:$L$59,7,FALSE))*BV276</f>
        <v>0</v>
      </c>
    </row>
    <row r="277" spans="2:86" outlineLevel="1">
      <c r="B277" s="69" t="str">
        <f t="shared" si="64"/>
        <v>3.5A1</v>
      </c>
      <c r="C277" s="80"/>
      <c r="D277" s="80"/>
      <c r="E277" s="663"/>
      <c r="F277" s="69" t="str">
        <f t="shared" si="65"/>
        <v/>
      </c>
      <c r="G277" s="80"/>
      <c r="H277" s="80"/>
      <c r="I277" s="648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  <c r="AP277" s="790"/>
      <c r="AQ277" s="790"/>
      <c r="AR277" s="790"/>
      <c r="AS277" s="69"/>
      <c r="AT277" s="790"/>
      <c r="AU277" s="69"/>
      <c r="AV277" s="69"/>
      <c r="AW277" s="69"/>
      <c r="AX277" s="69"/>
      <c r="AY277" s="69"/>
      <c r="AZ277" s="790"/>
      <c r="BA277" s="69"/>
      <c r="BB277" s="69"/>
      <c r="BC277" s="69"/>
      <c r="BD277" s="69"/>
      <c r="BE277" s="69"/>
      <c r="BF277" s="69"/>
      <c r="BG277" s="69"/>
      <c r="BH277" s="69"/>
      <c r="BI277" s="69"/>
      <c r="BJ277" s="69"/>
      <c r="BK277" s="69"/>
      <c r="BL277" s="69"/>
      <c r="BM277" s="69"/>
      <c r="BN277" s="69"/>
      <c r="BO277" s="69"/>
      <c r="BP277" s="63"/>
      <c r="BQ277" s="69"/>
      <c r="BR277" s="719"/>
      <c r="BS277" s="719"/>
      <c r="BT277" s="719"/>
      <c r="BU277" s="719">
        <f>AR277*IF(AZ277=0,1,AZ277)</f>
        <v>0</v>
      </c>
      <c r="BV277" s="804">
        <f>IF(AT277=0,AQ277*AR277/100,AT277)*AZ277</f>
        <v>0</v>
      </c>
      <c r="BW277" s="719"/>
      <c r="BX277" s="719"/>
      <c r="BY277" s="791">
        <f>IF($AP277=0, ,VLOOKUP($AP277,FÉ!$B$41:$L$57,8,FALSE)*$BV277*PRP!$J$8)</f>
        <v>0</v>
      </c>
      <c r="BZ277" s="791">
        <f>IF($AP277=0, ,VLOOKUP($AP277,FÉ!$B$41:$L$57,9,FALSE)*$BV277*PRP!$J$9)</f>
        <v>0</v>
      </c>
      <c r="CA277" s="791">
        <f>IF($AP277=0, ,VLOOKUP($AP277,FÉ!$B$41:$L$57,10,FALSE)*$BV277*PRP!$J$10)</f>
        <v>0</v>
      </c>
      <c r="CB277" s="69">
        <f t="shared" si="66"/>
        <v>0</v>
      </c>
      <c r="CC277" s="722">
        <f t="shared" si="67"/>
        <v>0</v>
      </c>
      <c r="CD277" s="63"/>
      <c r="CE277" s="726"/>
      <c r="CF277" s="727"/>
      <c r="CG277" s="63"/>
      <c r="CH277" s="730">
        <f>IF($AP277=0, ,VLOOKUP($AP277,FÉ!$B$41:$L$59,7,FALSE))*BV277</f>
        <v>0</v>
      </c>
    </row>
    <row r="278" spans="2:86" outlineLevel="1">
      <c r="B278" s="69" t="str">
        <f t="shared" si="64"/>
        <v>3.5A1</v>
      </c>
      <c r="C278" s="80"/>
      <c r="D278" s="80"/>
      <c r="E278" s="663"/>
      <c r="F278" s="69" t="str">
        <f t="shared" si="65"/>
        <v/>
      </c>
      <c r="G278" s="80"/>
      <c r="H278" s="80"/>
      <c r="I278" s="648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790"/>
      <c r="AQ278" s="790"/>
      <c r="AR278" s="790"/>
      <c r="AS278" s="69"/>
      <c r="AT278" s="790"/>
      <c r="AU278" s="69"/>
      <c r="AV278" s="69"/>
      <c r="AW278" s="69"/>
      <c r="AX278" s="69"/>
      <c r="AY278" s="69"/>
      <c r="AZ278" s="790"/>
      <c r="BA278" s="69"/>
      <c r="BB278" s="69"/>
      <c r="BC278" s="69"/>
      <c r="BD278" s="69"/>
      <c r="BE278" s="69"/>
      <c r="BF278" s="69"/>
      <c r="BG278" s="69"/>
      <c r="BH278" s="69"/>
      <c r="BI278" s="69"/>
      <c r="BJ278" s="69"/>
      <c r="BK278" s="69"/>
      <c r="BL278" s="69"/>
      <c r="BM278" s="69"/>
      <c r="BN278" s="69"/>
      <c r="BO278" s="69"/>
      <c r="BP278" s="63"/>
      <c r="BQ278" s="69"/>
      <c r="BR278" s="719"/>
      <c r="BS278" s="719"/>
      <c r="BT278" s="719"/>
      <c r="BU278" s="719">
        <f>AR278*IF(AZ278=0,1,AZ278)</f>
        <v>0</v>
      </c>
      <c r="BV278" s="804">
        <f>IF(AT278=0,AQ278*AR278/100,AT278)*AZ278</f>
        <v>0</v>
      </c>
      <c r="BW278" s="719"/>
      <c r="BX278" s="719"/>
      <c r="BY278" s="791">
        <f>IF($AP278=0, ,VLOOKUP($AP278,FÉ!$B$41:$L$57,8,FALSE)*$BV278*PRP!$J$8)</f>
        <v>0</v>
      </c>
      <c r="BZ278" s="791">
        <f>IF($AP278=0, ,VLOOKUP($AP278,FÉ!$B$41:$L$57,9,FALSE)*$BV278*PRP!$J$9)</f>
        <v>0</v>
      </c>
      <c r="CA278" s="791">
        <f>IF($AP278=0, ,VLOOKUP($AP278,FÉ!$B$41:$L$57,10,FALSE)*$BV278*PRP!$J$10)</f>
        <v>0</v>
      </c>
      <c r="CB278" s="69">
        <f t="shared" si="66"/>
        <v>0</v>
      </c>
      <c r="CC278" s="722">
        <f t="shared" si="67"/>
        <v>0</v>
      </c>
      <c r="CD278" s="63"/>
      <c r="CE278" s="726"/>
      <c r="CF278" s="727"/>
      <c r="CG278" s="63"/>
      <c r="CH278" s="730">
        <f>IF($AP278=0, ,VLOOKUP($AP278,FÉ!$B$41:$L$59,7,FALSE))*BV278</f>
        <v>0</v>
      </c>
    </row>
    <row r="279" spans="2:86" outlineLevel="1">
      <c r="B279" s="69" t="str">
        <f t="shared" si="64"/>
        <v>3.5A1</v>
      </c>
      <c r="C279" s="80"/>
      <c r="D279" s="80"/>
      <c r="E279" s="663"/>
      <c r="F279" s="69" t="str">
        <f t="shared" si="65"/>
        <v/>
      </c>
      <c r="G279" s="80"/>
      <c r="H279" s="80"/>
      <c r="I279" s="648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  <c r="AP279" s="790"/>
      <c r="AQ279" s="790"/>
      <c r="AR279" s="790"/>
      <c r="AS279" s="69"/>
      <c r="AT279" s="790"/>
      <c r="AU279" s="69"/>
      <c r="AV279" s="69"/>
      <c r="AW279" s="69"/>
      <c r="AX279" s="69"/>
      <c r="AY279" s="69"/>
      <c r="AZ279" s="790"/>
      <c r="BA279" s="69"/>
      <c r="BB279" s="69"/>
      <c r="BC279" s="69"/>
      <c r="BD279" s="69"/>
      <c r="BE279" s="69"/>
      <c r="BF279" s="69"/>
      <c r="BG279" s="69"/>
      <c r="BH279" s="69"/>
      <c r="BI279" s="69"/>
      <c r="BJ279" s="69"/>
      <c r="BK279" s="69"/>
      <c r="BL279" s="69"/>
      <c r="BM279" s="69"/>
      <c r="BN279" s="69"/>
      <c r="BO279" s="69"/>
      <c r="BP279" s="63"/>
      <c r="BQ279" s="69"/>
      <c r="BR279" s="719"/>
      <c r="BS279" s="719"/>
      <c r="BT279" s="719"/>
      <c r="BU279" s="719">
        <f>AR279*IF(AZ279=0,1,AZ279)</f>
        <v>0</v>
      </c>
      <c r="BV279" s="804">
        <f>IF(AT279=0,AQ279*AR279/100,AT279)*AZ279</f>
        <v>0</v>
      </c>
      <c r="BW279" s="719"/>
      <c r="BX279" s="719"/>
      <c r="BY279" s="791">
        <f>IF($AP279=0, ,VLOOKUP($AP279,FÉ!$B$41:$L$57,8,FALSE)*$BV279*PRP!$J$8)</f>
        <v>0</v>
      </c>
      <c r="BZ279" s="791">
        <f>IF($AP279=0, ,VLOOKUP($AP279,FÉ!$B$41:$L$57,9,FALSE)*$BV279*PRP!$J$9)</f>
        <v>0</v>
      </c>
      <c r="CA279" s="791">
        <f>IF($AP279=0, ,VLOOKUP($AP279,FÉ!$B$41:$L$57,10,FALSE)*$BV279*PRP!$J$10)</f>
        <v>0</v>
      </c>
      <c r="CB279" s="69">
        <f t="shared" si="66"/>
        <v>0</v>
      </c>
      <c r="CC279" s="722">
        <f t="shared" si="67"/>
        <v>0</v>
      </c>
      <c r="CD279" s="63"/>
      <c r="CE279" s="726"/>
      <c r="CF279" s="727"/>
      <c r="CG279" s="63"/>
      <c r="CH279" s="730">
        <f>IF($AP279=0, ,VLOOKUP($AP279,FÉ!$B$41:$L$59,7,FALSE))*BV279</f>
        <v>0</v>
      </c>
    </row>
    <row r="280" spans="2:86" ht="15.75" outlineLevel="1" thickBot="1">
      <c r="B280" s="69" t="str">
        <f t="shared" si="64"/>
        <v>3.5A1</v>
      </c>
      <c r="C280" s="80"/>
      <c r="D280" s="717"/>
      <c r="E280" s="663"/>
      <c r="F280" s="69" t="str">
        <f t="shared" si="65"/>
        <v/>
      </c>
      <c r="G280" s="80"/>
      <c r="H280" s="80"/>
      <c r="I280" s="648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790"/>
      <c r="AQ280" s="790"/>
      <c r="AR280" s="790"/>
      <c r="AS280" s="69"/>
      <c r="AT280" s="790"/>
      <c r="AU280" s="69"/>
      <c r="AV280" s="69"/>
      <c r="AW280" s="69"/>
      <c r="AX280" s="69"/>
      <c r="AY280" s="69"/>
      <c r="AZ280" s="790"/>
      <c r="BA280" s="69"/>
      <c r="BB280" s="69"/>
      <c r="BC280" s="69"/>
      <c r="BD280" s="69"/>
      <c r="BE280" s="69"/>
      <c r="BF280" s="69"/>
      <c r="BG280" s="69"/>
      <c r="BH280" s="69"/>
      <c r="BI280" s="69"/>
      <c r="BJ280" s="69"/>
      <c r="BK280" s="69"/>
      <c r="BL280" s="69"/>
      <c r="BM280" s="69"/>
      <c r="BN280" s="69"/>
      <c r="BO280" s="69"/>
      <c r="BP280" s="63"/>
      <c r="BQ280" s="69"/>
      <c r="BR280" s="719"/>
      <c r="BS280" s="719"/>
      <c r="BT280" s="719"/>
      <c r="BU280" s="719">
        <f>AR280*IF(AZ280=0,1,AZ280)</f>
        <v>0</v>
      </c>
      <c r="BV280" s="804">
        <f>IF(AT280=0,AQ280*AR280/100,AT280)*AZ280</f>
        <v>0</v>
      </c>
      <c r="BW280" s="719"/>
      <c r="BX280" s="719"/>
      <c r="BY280" s="791">
        <f>IF($AP280=0, ,VLOOKUP($AP280,FÉ!$B$41:$L$57,8,FALSE)*$BV280*PRP!$J$8)</f>
        <v>0</v>
      </c>
      <c r="BZ280" s="791">
        <f>IF($AP280=0, ,VLOOKUP($AP280,FÉ!$B$41:$L$57,9,FALSE)*$BV280*PRP!$J$9)</f>
        <v>0</v>
      </c>
      <c r="CA280" s="791">
        <f>IF($AP280=0, ,VLOOKUP($AP280,FÉ!$B$41:$L$57,10,FALSE)*$BV280*PRP!$J$10)</f>
        <v>0</v>
      </c>
      <c r="CB280" s="69">
        <f t="shared" si="66"/>
        <v>0</v>
      </c>
      <c r="CC280" s="722">
        <f t="shared" si="67"/>
        <v>0</v>
      </c>
      <c r="CD280" s="63"/>
      <c r="CE280" s="728"/>
      <c r="CF280" s="729"/>
      <c r="CG280" s="63"/>
      <c r="CH280" s="730">
        <f>IF($AP280=0, ,VLOOKUP($AP280,FÉ!$B$41:$L$59,7,FALSE))*BV280</f>
        <v>0</v>
      </c>
    </row>
    <row r="281" spans="2:86" ht="15.75" outlineLevel="1" thickBot="1">
      <c r="B281" s="793"/>
      <c r="C281" s="794"/>
      <c r="D281" s="794"/>
      <c r="E281" s="795"/>
      <c r="F281" s="796" t="str">
        <f>$B271</f>
        <v>3.5A1</v>
      </c>
      <c r="G281" s="796" t="str">
        <f>$B271</f>
        <v>3.5A1</v>
      </c>
      <c r="H281" s="796" t="str">
        <f>$B271</f>
        <v>3.5A1</v>
      </c>
      <c r="I281" s="795"/>
      <c r="J281" s="797"/>
      <c r="K281" s="797"/>
      <c r="L281" s="797"/>
      <c r="M281" s="797"/>
      <c r="N281" s="797"/>
      <c r="O281" s="797"/>
      <c r="P281" s="797"/>
      <c r="Q281" s="797"/>
      <c r="R281" s="797"/>
      <c r="S281" s="797"/>
      <c r="T281" s="797"/>
      <c r="U281" s="797"/>
      <c r="V281" s="797"/>
      <c r="W281" s="797"/>
      <c r="X281" s="797"/>
      <c r="Y281" s="797"/>
      <c r="Z281" s="797"/>
      <c r="AA281" s="797"/>
      <c r="AB281" s="797"/>
      <c r="AC281" s="797"/>
      <c r="AD281" s="797"/>
      <c r="AE281" s="797"/>
      <c r="AF281" s="797"/>
      <c r="AG281" s="797"/>
      <c r="AH281" s="797"/>
      <c r="AI281" s="797"/>
      <c r="AJ281" s="797"/>
      <c r="AK281" s="797"/>
      <c r="AL281" s="797"/>
      <c r="AM281" s="797"/>
      <c r="AN281" s="797"/>
      <c r="AO281" s="797"/>
      <c r="AP281" s="797"/>
      <c r="AQ281" s="797"/>
      <c r="AR281" s="797"/>
      <c r="AS281" s="797"/>
      <c r="AT281" s="797"/>
      <c r="AU281" s="797"/>
      <c r="AV281" s="797"/>
      <c r="AW281" s="797"/>
      <c r="AX281" s="797"/>
      <c r="AY281" s="797"/>
      <c r="AZ281" s="797"/>
      <c r="BA281" s="797"/>
      <c r="BB281" s="797"/>
      <c r="BC281" s="797"/>
      <c r="BD281" s="797"/>
      <c r="BE281" s="797"/>
      <c r="BF281" s="797"/>
      <c r="BG281" s="797"/>
      <c r="BH281" s="797"/>
      <c r="BI281" s="797"/>
      <c r="BJ281" s="797"/>
      <c r="BK281" s="797"/>
      <c r="BL281" s="797"/>
      <c r="BM281" s="797"/>
      <c r="BN281" s="797"/>
      <c r="BO281" s="797"/>
      <c r="BP281" s="63"/>
      <c r="BQ281" s="798"/>
      <c r="BR281" s="798"/>
      <c r="BS281" s="798"/>
      <c r="BT281" s="798"/>
      <c r="BU281" s="798"/>
      <c r="BV281" s="798"/>
      <c r="BW281" s="798"/>
      <c r="BX281" s="798"/>
      <c r="BY281" s="798">
        <f>SUM(BY271:BY280)</f>
        <v>1917075</v>
      </c>
      <c r="BZ281" s="798">
        <f>SUM(BZ271:BZ280)</f>
        <v>1266.5</v>
      </c>
      <c r="CA281" s="798">
        <f>SUM(CA271:CA280)</f>
        <v>43680</v>
      </c>
      <c r="CB281" s="798">
        <f>SUM(CB271:CB280)</f>
        <v>1962021.5</v>
      </c>
      <c r="CC281" s="799">
        <f>SUM(CC271:CC280)</f>
        <v>1.9620215000000001</v>
      </c>
      <c r="CD281" s="63"/>
      <c r="CE281" s="800">
        <f>SUM(CE271:CE280)</f>
        <v>0</v>
      </c>
      <c r="CF281" s="799">
        <f>SUM(CF271:CF280)</f>
        <v>0</v>
      </c>
      <c r="CG281" s="63"/>
      <c r="CH281" s="801">
        <f>SUM(CH271:CH280)</f>
        <v>7742.5</v>
      </c>
    </row>
    <row r="283" spans="2:86" ht="31.5">
      <c r="B283" s="1232" t="s">
        <v>6639</v>
      </c>
      <c r="C283" s="1233"/>
      <c r="D283" s="1233"/>
      <c r="E283" s="1233"/>
      <c r="F283" s="1233"/>
      <c r="G283" s="1233"/>
      <c r="H283" s="1233"/>
      <c r="I283" s="1233"/>
      <c r="J283" s="1233"/>
      <c r="K283" s="1233"/>
      <c r="L283" s="1233"/>
      <c r="M283" s="1233"/>
      <c r="N283" s="1233"/>
      <c r="O283" s="1233"/>
      <c r="P283" s="1233"/>
      <c r="Q283" s="1233"/>
      <c r="R283" s="1233"/>
      <c r="S283" s="1233"/>
      <c r="T283" s="1233"/>
      <c r="U283" s="1233"/>
      <c r="V283" s="1233"/>
      <c r="W283" s="1233"/>
      <c r="X283" s="1233"/>
      <c r="Y283" s="1233"/>
      <c r="Z283" s="1233"/>
      <c r="AA283" s="1233"/>
      <c r="AB283" s="1233"/>
      <c r="AC283" s="1233"/>
      <c r="AD283" s="1233"/>
      <c r="AE283" s="1233"/>
      <c r="AF283" s="1233"/>
      <c r="AG283" s="1233"/>
      <c r="AH283" s="1233"/>
      <c r="AI283" s="1233"/>
      <c r="AJ283" s="1233"/>
      <c r="AK283" s="1233"/>
      <c r="AL283" s="1233"/>
      <c r="AM283" s="1233"/>
      <c r="AN283" s="1233"/>
      <c r="AO283" s="1233"/>
      <c r="AP283" s="1233"/>
      <c r="AQ283" s="1233"/>
      <c r="AR283" s="1233"/>
      <c r="AS283" s="1233"/>
      <c r="AT283" s="1233"/>
      <c r="AU283" s="1233"/>
      <c r="AV283" s="1233"/>
      <c r="AW283" s="1233"/>
      <c r="AX283" s="1233"/>
      <c r="AY283" s="1233"/>
      <c r="AZ283" s="1233"/>
      <c r="BA283" s="1233"/>
      <c r="BB283" s="1233"/>
      <c r="BC283" s="1233"/>
      <c r="BD283" s="1233"/>
      <c r="BE283" s="1233"/>
      <c r="BF283" s="1233"/>
      <c r="BG283" s="1233"/>
      <c r="BH283" s="1233"/>
      <c r="BI283" s="1233"/>
      <c r="BJ283" s="1233"/>
      <c r="BK283" s="1233"/>
      <c r="BL283" s="1233"/>
      <c r="BM283" s="1233"/>
      <c r="BN283" s="1233"/>
      <c r="BO283" s="1233"/>
      <c r="BP283" s="1233"/>
      <c r="BQ283" s="1233"/>
      <c r="BR283" s="1233"/>
      <c r="BS283" s="1233"/>
      <c r="BT283" s="1233"/>
      <c r="BU283" s="1233"/>
      <c r="BV283" s="1233"/>
      <c r="BW283" s="1233"/>
      <c r="BX283" s="1233"/>
      <c r="BY283" s="1233"/>
      <c r="BZ283" s="1233"/>
      <c r="CA283" s="1233"/>
      <c r="CB283" s="1233"/>
      <c r="CC283" s="1233"/>
      <c r="CD283" s="1233"/>
      <c r="CE283" s="1233"/>
      <c r="CF283" s="1233"/>
      <c r="CG283" s="1233"/>
      <c r="CH283" s="1233"/>
    </row>
    <row r="284" spans="2:86" ht="15.75" outlineLevel="1" thickBot="1">
      <c r="CH284" s="63"/>
    </row>
    <row r="285" spans="2:86" ht="21.75" outlineLevel="1" thickBot="1">
      <c r="B285" s="1234" t="s">
        <v>115</v>
      </c>
      <c r="C285" s="1235"/>
      <c r="D285" s="1235"/>
      <c r="E285" s="1235"/>
      <c r="F285" s="1235"/>
      <c r="G285" s="1235"/>
      <c r="H285" s="1235"/>
      <c r="I285" s="1235"/>
      <c r="J285" s="1235"/>
      <c r="K285" s="1235"/>
      <c r="L285" s="1235"/>
      <c r="M285" s="1235"/>
      <c r="N285" s="1235"/>
      <c r="O285" s="1235"/>
      <c r="P285" s="1235"/>
      <c r="Q285" s="1235"/>
      <c r="R285" s="1235"/>
      <c r="S285" s="1235"/>
      <c r="T285" s="1235"/>
      <c r="U285" s="1235"/>
      <c r="V285" s="1235"/>
      <c r="W285" s="1235"/>
      <c r="X285" s="1235"/>
      <c r="Y285" s="1235"/>
      <c r="Z285" s="1235"/>
      <c r="AA285" s="1235"/>
      <c r="AB285" s="1235"/>
      <c r="AC285" s="1235"/>
      <c r="AD285" s="1235"/>
      <c r="AE285" s="1235"/>
      <c r="AF285" s="1235"/>
      <c r="AG285" s="1235"/>
      <c r="AH285" s="1235"/>
      <c r="AI285" s="1235"/>
      <c r="AJ285" s="1235"/>
      <c r="AK285" s="1235"/>
      <c r="AL285" s="1235"/>
      <c r="AM285" s="1235"/>
      <c r="AN285" s="1235"/>
      <c r="AO285" s="1235"/>
      <c r="AP285" s="1235"/>
      <c r="AQ285" s="1235"/>
      <c r="AR285" s="1235"/>
      <c r="AS285" s="1235"/>
      <c r="AT285" s="1235"/>
      <c r="AU285" s="1235"/>
      <c r="AV285" s="1235"/>
      <c r="AW285" s="1235"/>
      <c r="AX285" s="1235"/>
      <c r="AY285" s="1235"/>
      <c r="AZ285" s="1235"/>
      <c r="BA285" s="1235"/>
      <c r="BB285" s="1235"/>
      <c r="BC285" s="1235"/>
      <c r="BD285" s="1235"/>
      <c r="BE285" s="1235"/>
      <c r="BF285" s="1235"/>
      <c r="BG285" s="1235"/>
      <c r="BH285" s="1235"/>
      <c r="BI285" s="1235"/>
      <c r="BJ285" s="1235"/>
      <c r="BK285" s="1235"/>
      <c r="BL285" s="1235"/>
      <c r="BM285" s="1235"/>
      <c r="BN285" s="1235"/>
      <c r="BO285" s="1235"/>
      <c r="BP285" s="63"/>
      <c r="BQ285" s="1236" t="s">
        <v>121</v>
      </c>
      <c r="BR285" s="1237"/>
      <c r="BS285" s="1237"/>
      <c r="BT285" s="1237"/>
      <c r="BU285" s="1237"/>
      <c r="BV285" s="1237"/>
      <c r="BW285" s="1237"/>
      <c r="BX285" s="1237"/>
      <c r="BY285" s="1237"/>
      <c r="BZ285" s="1237"/>
      <c r="CA285" s="1237"/>
      <c r="CB285" s="1237"/>
      <c r="CC285" s="1237"/>
      <c r="CD285" s="1237"/>
      <c r="CE285" s="1237"/>
      <c r="CF285" s="1237"/>
      <c r="CG285" s="1237"/>
      <c r="CH285" s="1238"/>
    </row>
    <row r="286" spans="2:86" ht="15" customHeight="1" outlineLevel="1">
      <c r="B286" s="1183" t="s">
        <v>6353</v>
      </c>
      <c r="C286" s="1185" t="s">
        <v>6372</v>
      </c>
      <c r="D286" s="1185" t="s">
        <v>7</v>
      </c>
      <c r="E286" s="1185" t="s">
        <v>127</v>
      </c>
      <c r="F286" s="1187" t="s">
        <v>6348</v>
      </c>
      <c r="G286" s="1185" t="s">
        <v>6333</v>
      </c>
      <c r="H286" s="1185" t="s">
        <v>128</v>
      </c>
      <c r="I286" s="1185" t="s">
        <v>156</v>
      </c>
      <c r="J286" s="655"/>
      <c r="K286" s="655"/>
      <c r="L286" s="655"/>
      <c r="M286" s="655"/>
      <c r="N286" s="655"/>
      <c r="O286" s="655"/>
      <c r="P286" s="655"/>
      <c r="Q286" s="655"/>
      <c r="R286" s="655"/>
      <c r="S286" s="655"/>
      <c r="T286" s="655"/>
      <c r="U286" s="655"/>
      <c r="V286" s="655"/>
      <c r="W286" s="655"/>
      <c r="X286" s="655"/>
      <c r="Y286" s="655"/>
      <c r="Z286" s="655"/>
      <c r="AA286" s="655"/>
      <c r="AB286" s="655"/>
      <c r="AC286" s="655"/>
      <c r="AD286" s="655"/>
      <c r="AE286" s="655"/>
      <c r="AF286" s="655"/>
      <c r="AG286" s="655"/>
      <c r="AH286" s="655"/>
      <c r="AI286" s="655"/>
      <c r="AJ286" s="655"/>
      <c r="AK286" s="655"/>
      <c r="AL286" s="655"/>
      <c r="AM286" s="655"/>
      <c r="AN286" s="655"/>
      <c r="AO286" s="655"/>
      <c r="AP286" s="1185" t="s">
        <v>6409</v>
      </c>
      <c r="AQ286" s="655"/>
      <c r="AR286" s="1185" t="s">
        <v>288</v>
      </c>
      <c r="AS286" s="655"/>
      <c r="AT286" s="655"/>
      <c r="AU286" s="655"/>
      <c r="AV286" s="655"/>
      <c r="AW286" s="655"/>
      <c r="AX286" s="1185" t="s">
        <v>6640</v>
      </c>
      <c r="AY286" s="655"/>
      <c r="AZ286" s="1185" t="s">
        <v>6413</v>
      </c>
      <c r="BA286" s="655"/>
      <c r="BB286" s="655"/>
      <c r="BC286" s="655"/>
      <c r="BD286" s="655"/>
      <c r="BE286" s="655"/>
      <c r="BF286" s="655"/>
      <c r="BG286" s="655"/>
      <c r="BH286" s="655"/>
      <c r="BI286" s="655"/>
      <c r="BJ286" s="655"/>
      <c r="BK286" s="655"/>
      <c r="BL286" s="655"/>
      <c r="BM286" s="655"/>
      <c r="BN286" s="655"/>
      <c r="BO286" s="657"/>
      <c r="BP286" s="63"/>
      <c r="BQ286" s="732"/>
      <c r="BR286" s="732"/>
      <c r="BS286" s="732"/>
      <c r="BT286" s="732"/>
      <c r="BU286" s="1185" t="s">
        <v>288</v>
      </c>
      <c r="BV286" s="1185" t="s">
        <v>6416</v>
      </c>
      <c r="BW286" s="732"/>
      <c r="BX286" s="732"/>
      <c r="BY286" s="1193" t="s">
        <v>122</v>
      </c>
      <c r="BZ286" s="1193"/>
      <c r="CA286" s="1193"/>
      <c r="CB286" s="1194" t="s">
        <v>123</v>
      </c>
      <c r="CC286" s="1195"/>
      <c r="CD286" s="63"/>
      <c r="CE286" s="1198" t="s">
        <v>124</v>
      </c>
      <c r="CF286" s="1199"/>
      <c r="CG286" s="63"/>
      <c r="CH286" s="1185" t="s">
        <v>125</v>
      </c>
    </row>
    <row r="287" spans="2:86" ht="18" outlineLevel="1">
      <c r="B287" s="1184"/>
      <c r="C287" s="1186"/>
      <c r="D287" s="1186"/>
      <c r="E287" s="1186"/>
      <c r="F287" s="1188"/>
      <c r="G287" s="1186"/>
      <c r="H287" s="1186"/>
      <c r="I287" s="1186"/>
      <c r="J287" s="656"/>
      <c r="K287" s="656"/>
      <c r="L287" s="656"/>
      <c r="M287" s="656"/>
      <c r="N287" s="656"/>
      <c r="O287" s="656"/>
      <c r="P287" s="656"/>
      <c r="Q287" s="656"/>
      <c r="R287" s="656"/>
      <c r="S287" s="656"/>
      <c r="T287" s="656"/>
      <c r="U287" s="656"/>
      <c r="V287" s="656"/>
      <c r="W287" s="656"/>
      <c r="X287" s="656"/>
      <c r="Y287" s="656"/>
      <c r="Z287" s="656"/>
      <c r="AA287" s="656"/>
      <c r="AB287" s="656"/>
      <c r="AC287" s="656"/>
      <c r="AD287" s="656"/>
      <c r="AE287" s="656"/>
      <c r="AF287" s="656"/>
      <c r="AG287" s="656"/>
      <c r="AH287" s="656"/>
      <c r="AI287" s="656"/>
      <c r="AJ287" s="656"/>
      <c r="AK287" s="656"/>
      <c r="AL287" s="656"/>
      <c r="AM287" s="656"/>
      <c r="AN287" s="656"/>
      <c r="AO287" s="656"/>
      <c r="AP287" s="1186"/>
      <c r="AQ287" s="656"/>
      <c r="AR287" s="1186"/>
      <c r="AS287" s="656"/>
      <c r="AT287" s="656"/>
      <c r="AU287" s="656"/>
      <c r="AV287" s="656"/>
      <c r="AW287" s="656"/>
      <c r="AX287" s="1186"/>
      <c r="AY287" s="656"/>
      <c r="AZ287" s="1186"/>
      <c r="BA287" s="656"/>
      <c r="BB287" s="656"/>
      <c r="BC287" s="656"/>
      <c r="BD287" s="656"/>
      <c r="BE287" s="656"/>
      <c r="BF287" s="656"/>
      <c r="BG287" s="656"/>
      <c r="BH287" s="656"/>
      <c r="BI287" s="656"/>
      <c r="BJ287" s="656"/>
      <c r="BK287" s="656"/>
      <c r="BL287" s="656"/>
      <c r="BM287" s="656"/>
      <c r="BN287" s="656"/>
      <c r="BO287" s="79"/>
      <c r="BP287" s="63"/>
      <c r="BQ287" s="1325"/>
      <c r="BR287" s="712"/>
      <c r="BS287" s="712"/>
      <c r="BT287" s="712"/>
      <c r="BU287" s="1186"/>
      <c r="BV287" s="1186"/>
      <c r="BW287" s="712"/>
      <c r="BX287" s="712"/>
      <c r="BY287" s="718" t="s">
        <v>106</v>
      </c>
      <c r="BZ287" s="58" t="s">
        <v>107</v>
      </c>
      <c r="CA287" s="720" t="s">
        <v>108</v>
      </c>
      <c r="CB287" s="1196"/>
      <c r="CC287" s="1197"/>
      <c r="CD287" s="63"/>
      <c r="CE287" s="1200"/>
      <c r="CF287" s="1201"/>
      <c r="CG287" s="63"/>
      <c r="CH287" s="1186"/>
    </row>
    <row r="288" spans="2:86" ht="18.75" outlineLevel="1" thickBot="1">
      <c r="B288" s="65"/>
      <c r="C288" s="66"/>
      <c r="D288" s="661" t="s">
        <v>6306</v>
      </c>
      <c r="E288" s="661" t="s">
        <v>6306</v>
      </c>
      <c r="F288" s="661"/>
      <c r="G288" s="661" t="s">
        <v>6306</v>
      </c>
      <c r="H288" s="661" t="s">
        <v>6306</v>
      </c>
      <c r="I288" s="661" t="s">
        <v>6306</v>
      </c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 t="s">
        <v>119</v>
      </c>
      <c r="AQ288" s="64"/>
      <c r="AR288" s="64" t="s">
        <v>285</v>
      </c>
      <c r="AS288" s="64"/>
      <c r="AT288" s="64"/>
      <c r="AU288" s="64"/>
      <c r="AV288" s="64"/>
      <c r="AW288" s="64"/>
      <c r="AX288" s="64"/>
      <c r="AY288" s="64"/>
      <c r="AZ288" s="739" t="s">
        <v>6306</v>
      </c>
      <c r="BA288" s="64"/>
      <c r="BB288" s="64"/>
      <c r="BC288" s="64"/>
      <c r="BD288" s="64"/>
      <c r="BE288" s="64"/>
      <c r="BF288" s="64"/>
      <c r="BG288" s="64"/>
      <c r="BH288" s="64"/>
      <c r="BI288" s="64"/>
      <c r="BJ288" s="64"/>
      <c r="BK288" s="64"/>
      <c r="BL288" s="64"/>
      <c r="BM288" s="64"/>
      <c r="BN288" s="64"/>
      <c r="BO288" s="66"/>
      <c r="BP288" s="63"/>
      <c r="BQ288" s="66"/>
      <c r="BR288" s="713"/>
      <c r="BS288" s="713"/>
      <c r="BT288" s="713"/>
      <c r="BU288" s="713" t="s">
        <v>285</v>
      </c>
      <c r="BV288" s="713" t="s">
        <v>6415</v>
      </c>
      <c r="BW288" s="713"/>
      <c r="BX288" s="713"/>
      <c r="BY288" s="713" t="s">
        <v>109</v>
      </c>
      <c r="BZ288" s="66" t="s">
        <v>109</v>
      </c>
      <c r="CA288" s="64" t="s">
        <v>109</v>
      </c>
      <c r="CB288" s="66" t="s">
        <v>109</v>
      </c>
      <c r="CC288" s="721" t="s">
        <v>110</v>
      </c>
      <c r="CD288" s="63"/>
      <c r="CE288" s="724" t="s">
        <v>111</v>
      </c>
      <c r="CF288" s="725" t="s">
        <v>112</v>
      </c>
      <c r="CG288" s="63"/>
      <c r="CH288" s="66" t="s">
        <v>114</v>
      </c>
    </row>
    <row r="289" spans="2:86" outlineLevel="1">
      <c r="B289" s="787" t="s">
        <v>6544</v>
      </c>
      <c r="C289" s="80"/>
      <c r="D289" s="716"/>
      <c r="E289" s="662"/>
      <c r="F289" s="69" t="str">
        <f>IF(E289=0,"",MONTH(E289))</f>
        <v/>
      </c>
      <c r="G289" s="80"/>
      <c r="H289" s="80"/>
      <c r="I289" s="648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  <c r="AP289" s="790"/>
      <c r="AQ289" s="69"/>
      <c r="AR289" s="790"/>
      <c r="AS289" s="69"/>
      <c r="AT289" s="69"/>
      <c r="AU289" s="69"/>
      <c r="AV289" s="69"/>
      <c r="AW289" s="69"/>
      <c r="AX289" s="790"/>
      <c r="AY289" s="69"/>
      <c r="AZ289" s="790"/>
      <c r="BA289" s="69"/>
      <c r="BB289" s="69"/>
      <c r="BC289" s="69"/>
      <c r="BD289" s="69"/>
      <c r="BE289" s="69"/>
      <c r="BF289" s="69"/>
      <c r="BG289" s="69"/>
      <c r="BH289" s="69"/>
      <c r="BI289" s="69"/>
      <c r="BJ289" s="69"/>
      <c r="BK289" s="69"/>
      <c r="BL289" s="69"/>
      <c r="BM289" s="69"/>
      <c r="BN289" s="69"/>
      <c r="BO289" s="69"/>
      <c r="BP289" s="63"/>
      <c r="BQ289" s="69"/>
      <c r="BR289" s="719"/>
      <c r="BS289" s="719"/>
      <c r="BT289" s="719"/>
      <c r="BU289" s="719">
        <f>AR289*IF(AZ289=0,1,AZ289)*IF(AX289='Listes déroulantes, autres'!$C$9,2,1)</f>
        <v>0</v>
      </c>
      <c r="BV289" s="804" cm="1">
        <f t="array" ref="BV289">IF(CB289=0,0,_xlfn.IFS($AP289='Listes déroulantes, autres'!$J$9,Calculs!$CB289/FÉ!$L$58,$AP289='Listes déroulantes, autres'!$J$10,Calculs!$CB289/FÉ!$L$53,$AP289='Listes déroulantes, autres'!$J$11,Calculs!$CB289/FÉ!$L$52))</f>
        <v>0</v>
      </c>
      <c r="BW289" s="719"/>
      <c r="BX289" s="719"/>
      <c r="BY289" s="791" cm="1">
        <f t="array" ref="BY289">_xlfn.IFS($AP289="",0,$AP289='Listes déroulantes, autres'!$J$11,$BU289*FÉ!I$83,$AP289='Listes déroulantes, autres'!$J$10,$BU289*FÉ!I$79,$AP289='Listes déroulantes, autres'!$J$9,($BU289*_xlfn.IFS($AR289&lt;FÉ!$E$87,FÉ!I$87,$AR289&lt;FÉ!$E$88,FÉ!I$88,TRUE,FÉ!I$89))) *PRP!$J$8</f>
        <v>0</v>
      </c>
      <c r="BZ289" s="791" cm="1">
        <f t="array" ref="BZ289">_xlfn.IFS($AP289="",0,$AP289='Listes déroulantes, autres'!$J$11,$BU289*FÉ!J$83,$AP289='Listes déroulantes, autres'!$J$10,$BU289*FÉ!J$79,$AP289='Listes déroulantes, autres'!$J$9,($BU289*_xlfn.IFS($AR289&lt;FÉ!$E$87,FÉ!J$87,$AR289&lt;FÉ!$E$88,FÉ!J$88,TRUE,FÉ!J$89))) *PRP!$J$9</f>
        <v>0</v>
      </c>
      <c r="CA289" s="791" cm="1">
        <f t="array" ref="CA289">_xlfn.IFS($AP289="",0,$AP289='Listes déroulantes, autres'!$J$11,$BU289*FÉ!K$83,$AP289='Listes déroulantes, autres'!$J$10,$BU289*FÉ!K$79,$AP289='Listes déroulantes, autres'!$J$9,($BU289*_xlfn.IFS($AR289&lt;FÉ!$E$87,FÉ!K$87,$AR289&lt;FÉ!$E$88,FÉ!K$88,TRUE,FÉ!K$89))) *PRP!$J$10</f>
        <v>0</v>
      </c>
      <c r="CB289" s="69">
        <f>SUM(BY289:CA289)</f>
        <v>0</v>
      </c>
      <c r="CC289" s="722">
        <f>CB289/(10^6)</f>
        <v>0</v>
      </c>
      <c r="CD289" s="63"/>
      <c r="CE289" s="726"/>
      <c r="CF289" s="727"/>
      <c r="CG289" s="63"/>
      <c r="CH289" s="730" cm="1">
        <f t="array" ref="CH289">IF($AP289=0,,_xlfn.IFS($AP289='Listes déroulantes, autres'!$J$9,FÉ!$H$58,$AP289='Listes déroulantes, autres'!$J$10,FÉ!$H$53,$AP289='Listes déroulantes, autres'!$J$11,FÉ!$H$52)*BV289)</f>
        <v>0</v>
      </c>
    </row>
    <row r="290" spans="2:86" outlineLevel="1">
      <c r="B290" s="69" t="str">
        <f t="shared" ref="B290:B298" si="68">B289</f>
        <v>3.5B1</v>
      </c>
      <c r="C290" s="80"/>
      <c r="D290" s="80"/>
      <c r="E290" s="663">
        <v>45661</v>
      </c>
      <c r="F290" s="69">
        <f t="shared" ref="F290:F298" si="69">IF(E290=0,"",MONTH(E290))</f>
        <v>1</v>
      </c>
      <c r="G290" s="80" t="s">
        <v>137</v>
      </c>
      <c r="H290" s="80"/>
      <c r="I290" s="648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  <c r="AP290" s="790" t="s">
        <v>286</v>
      </c>
      <c r="AQ290" s="69"/>
      <c r="AR290" s="790">
        <v>10000</v>
      </c>
      <c r="AS290" s="69"/>
      <c r="AT290" s="69"/>
      <c r="AU290" s="69"/>
      <c r="AV290" s="69"/>
      <c r="AW290" s="69"/>
      <c r="AX290" s="790" t="s">
        <v>1446</v>
      </c>
      <c r="AY290" s="69"/>
      <c r="AZ290" s="790">
        <v>2</v>
      </c>
      <c r="BA290" s="69"/>
      <c r="BB290" s="69"/>
      <c r="BC290" s="69"/>
      <c r="BD290" s="69"/>
      <c r="BE290" s="69"/>
      <c r="BF290" s="69"/>
      <c r="BG290" s="69"/>
      <c r="BH290" s="69"/>
      <c r="BI290" s="69"/>
      <c r="BJ290" s="69"/>
      <c r="BK290" s="69"/>
      <c r="BL290" s="69"/>
      <c r="BM290" s="69"/>
      <c r="BN290" s="69"/>
      <c r="BO290" s="69"/>
      <c r="BP290" s="63"/>
      <c r="BQ290" s="69"/>
      <c r="BR290" s="719"/>
      <c r="BS290" s="719"/>
      <c r="BT290" s="719"/>
      <c r="BU290" s="719">
        <f>AR290*IF(AZ290=0,1,AZ290)*IF(AX290='Listes déroulantes, autres'!$C$9,2,1)</f>
        <v>40000</v>
      </c>
      <c r="BV290" s="804" cm="1">
        <f t="array" ref="BV290">IF(CB290=0,0,_xlfn.IFS($AP290='Listes déroulantes, autres'!$J$9,Calculs!$CB290/FÉ!$L$58,$AP290='Listes déroulantes, autres'!$J$10,Calculs!$CB290/FÉ!$L$53,$AP290='Listes déroulantes, autres'!$J$11,Calculs!$CB290/FÉ!$L$52))</f>
        <v>1856.0573714110508</v>
      </c>
      <c r="BW290" s="719"/>
      <c r="BX290" s="719"/>
      <c r="BY290" s="791" cm="1">
        <f t="array" ref="BY290">_xlfn.IFS($AP290="",0,$AP290='Listes déroulantes, autres'!$J$11,$BU290*FÉ!I$83,$AP290='Listes déroulantes, autres'!$J$10,$BU290*FÉ!I$79,$AP290='Listes déroulantes, autres'!$J$9,($BU290*_xlfn.IFS($AR290&lt;FÉ!$E$87,FÉ!I$87,$AR290&lt;FÉ!$E$88,FÉ!I$88,TRUE,FÉ!I$89))) *PRP!$J$8</f>
        <v>4747275.9086932316</v>
      </c>
      <c r="BZ290" s="791" cm="1">
        <f t="array" ref="BZ290">_xlfn.IFS($AP290="",0,$AP290='Listes déroulantes, autres'!$J$11,$BU290*FÉ!J$83,$AP290='Listes déroulantes, autres'!$J$10,$BU290*FÉ!J$79,$AP290='Listes déroulantes, autres'!$J$9,($BU290*_xlfn.IFS($AR290&lt;FÉ!$E$87,FÉ!J$87,$AR290&lt;FÉ!$E$88,FÉ!J$88,TRUE,FÉ!J$89))) *PRP!$J$9</f>
        <v>592.53956891752159</v>
      </c>
      <c r="CA290" s="791" cm="1">
        <f t="array" ref="CA290">_xlfn.IFS($AP290="",0,$AP290='Listes déroulantes, autres'!$J$11,$BU290*FÉ!K$83,$AP290='Listes déroulantes, autres'!$J$10,$BU290*FÉ!K$79,$AP290='Listes déroulantes, autres'!$J$9,($BU290*_xlfn.IFS($AR290&lt;FÉ!$E$87,FÉ!K$87,$AR290&lt;FÉ!$E$88,FÉ!K$88,TRUE,FÉ!K$89))) *PRP!$J$10</f>
        <v>40712.24051539012</v>
      </c>
      <c r="CB290" s="69">
        <f>SUM(BY290:CA290)</f>
        <v>4788580.6887775399</v>
      </c>
      <c r="CC290" s="722">
        <f>CB290/(10^6)</f>
        <v>4.7885806887775395</v>
      </c>
      <c r="CD290" s="63"/>
      <c r="CE290" s="726"/>
      <c r="CF290" s="727"/>
      <c r="CG290" s="63"/>
      <c r="CH290" s="730" cm="1">
        <f t="array" ref="CH290">IF($AP290=0,,_xlfn.IFS($AP290='Listes déroulantes, autres'!$J$9,FÉ!$H$58,$AP290='Listes déroulantes, autres'!$J$10,FÉ!$H$53,$AP290='Listes déroulantes, autres'!$J$11,FÉ!$H$52)*BV290)</f>
        <v>19432.920678673701</v>
      </c>
    </row>
    <row r="291" spans="2:86" outlineLevel="1">
      <c r="B291" s="69" t="str">
        <f t="shared" si="68"/>
        <v>3.5B1</v>
      </c>
      <c r="C291" s="80"/>
      <c r="D291" s="80"/>
      <c r="E291" s="663">
        <v>45661</v>
      </c>
      <c r="F291" s="69">
        <f t="shared" si="69"/>
        <v>1</v>
      </c>
      <c r="G291" s="80" t="s">
        <v>139</v>
      </c>
      <c r="H291" s="80"/>
      <c r="I291" s="648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790" t="s">
        <v>286</v>
      </c>
      <c r="AQ291" s="69"/>
      <c r="AR291" s="790">
        <v>1000</v>
      </c>
      <c r="AS291" s="69"/>
      <c r="AT291" s="69"/>
      <c r="AU291" s="69"/>
      <c r="AV291" s="69"/>
      <c r="AW291" s="69"/>
      <c r="AX291" s="790" t="s">
        <v>1445</v>
      </c>
      <c r="AY291" s="69"/>
      <c r="AZ291" s="790">
        <v>1</v>
      </c>
      <c r="BA291" s="69"/>
      <c r="BB291" s="69"/>
      <c r="BC291" s="69"/>
      <c r="BD291" s="69"/>
      <c r="BE291" s="69"/>
      <c r="BF291" s="69"/>
      <c r="BG291" s="69"/>
      <c r="BH291" s="69"/>
      <c r="BI291" s="69"/>
      <c r="BJ291" s="69"/>
      <c r="BK291" s="69"/>
      <c r="BL291" s="69"/>
      <c r="BM291" s="69"/>
      <c r="BN291" s="69"/>
      <c r="BO291" s="69"/>
      <c r="BP291" s="63"/>
      <c r="BQ291" s="69"/>
      <c r="BR291" s="719"/>
      <c r="BS291" s="719"/>
      <c r="BT291" s="719"/>
      <c r="BU291" s="719">
        <f>AR291*IF(AZ291=0,1,AZ291)*IF(AX291='Listes déroulantes, autres'!$C$9,2,1)</f>
        <v>1000</v>
      </c>
      <c r="BV291" s="804" cm="1">
        <f t="array" ref="BV291">IF(CB291=0,0,_xlfn.IFS($AP291='Listes déroulantes, autres'!$J$9,Calculs!$CB291/FÉ!$L$58,$AP291='Listes déroulantes, autres'!$J$10,Calculs!$CB291/FÉ!$L$53,$AP291='Listes déroulantes, autres'!$J$11,Calculs!$CB291/FÉ!$L$52))</f>
        <v>39.364360064865437</v>
      </c>
      <c r="BW291" s="719"/>
      <c r="BX291" s="719"/>
      <c r="BY291" s="791" cm="1">
        <f t="array" ref="BY291">_xlfn.IFS($AP291="",0,$AP291='Listes déroulantes, autres'!$J$11,$BU291*FÉ!I$83,$AP291='Listes déroulantes, autres'!$J$10,$BU291*FÉ!I$79,$AP291='Listes déroulantes, autres'!$J$9,($BU291*_xlfn.IFS($AR291&lt;FÉ!$E$87,FÉ!I$87,$AR291&lt;FÉ!$E$88,FÉ!I$88,TRUE,FÉ!I$89))) *PRP!$J$8</f>
        <v>100662.1331424481</v>
      </c>
      <c r="BZ291" s="791" cm="1">
        <f t="array" ref="BZ291">_xlfn.IFS($AP291="",0,$AP291='Listes déroulantes, autres'!$J$11,$BU291*FÉ!J$83,$AP291='Listes déroulantes, autres'!$J$10,$BU291*FÉ!J$79,$AP291='Listes déroulantes, autres'!$J$9,($BU291*_xlfn.IFS($AR291&lt;FÉ!$E$87,FÉ!J$87,$AR291&lt;FÉ!$E$88,FÉ!J$88,TRUE,FÉ!J$89))) *PRP!$J$9</f>
        <v>14.81348922293804</v>
      </c>
      <c r="CA291" s="791" cm="1">
        <f t="array" ref="CA291">_xlfn.IFS($AP291="",0,$AP291='Listes déroulantes, autres'!$J$11,$BU291*FÉ!K$83,$AP291='Listes déroulantes, autres'!$J$10,$BU291*FÉ!K$79,$AP291='Listes déroulantes, autres'!$J$9,($BU291*_xlfn.IFS($AR291&lt;FÉ!$E$87,FÉ!K$87,$AR291&lt;FÉ!$E$88,FÉ!K$88,TRUE,FÉ!K$89))) *PRP!$J$10</f>
        <v>882.09854450011915</v>
      </c>
      <c r="CB291" s="69">
        <f t="shared" ref="CB291:CB298" si="70">SUM(BY291:CA291)</f>
        <v>101559.04517617116</v>
      </c>
      <c r="CC291" s="722">
        <f t="shared" ref="CC291:CC298" si="71">CB291/(10^6)</f>
        <v>0.10155904517617116</v>
      </c>
      <c r="CD291" s="63"/>
      <c r="CE291" s="726"/>
      <c r="CF291" s="727"/>
      <c r="CG291" s="63"/>
      <c r="CH291" s="730" cm="1">
        <f t="array" ref="CH291">IF($AP291=0,,_xlfn.IFS($AP291='Listes déroulantes, autres'!$J$9,FÉ!$H$58,$AP291='Listes déroulantes, autres'!$J$10,FÉ!$H$53,$AP291='Listes déroulantes, autres'!$J$11,FÉ!$H$52)*BV291)</f>
        <v>412.14484987914113</v>
      </c>
    </row>
    <row r="292" spans="2:86" outlineLevel="1">
      <c r="B292" s="69" t="str">
        <f t="shared" si="68"/>
        <v>3.5B1</v>
      </c>
      <c r="C292" s="80"/>
      <c r="D292" s="80"/>
      <c r="E292" s="663"/>
      <c r="F292" s="69" t="str">
        <f t="shared" si="69"/>
        <v/>
      </c>
      <c r="G292" s="80"/>
      <c r="H292" s="80"/>
      <c r="I292" s="648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790" t="s">
        <v>247</v>
      </c>
      <c r="AQ292" s="69"/>
      <c r="AR292" s="790">
        <v>1000</v>
      </c>
      <c r="AS292" s="69"/>
      <c r="AT292" s="69"/>
      <c r="AU292" s="69"/>
      <c r="AV292" s="69"/>
      <c r="AW292" s="69"/>
      <c r="AX292" s="790" t="s">
        <v>1445</v>
      </c>
      <c r="AY292" s="69"/>
      <c r="AZ292" s="790">
        <v>1</v>
      </c>
      <c r="BA292" s="69"/>
      <c r="BB292" s="69"/>
      <c r="BC292" s="69"/>
      <c r="BD292" s="69"/>
      <c r="BE292" s="69"/>
      <c r="BF292" s="69"/>
      <c r="BG292" s="69"/>
      <c r="BH292" s="69"/>
      <c r="BI292" s="69"/>
      <c r="BJ292" s="69"/>
      <c r="BK292" s="69"/>
      <c r="BL292" s="69"/>
      <c r="BM292" s="69"/>
      <c r="BN292" s="69"/>
      <c r="BO292" s="69"/>
      <c r="BP292" s="63"/>
      <c r="BQ292" s="69"/>
      <c r="BR292" s="719"/>
      <c r="BS292" s="719"/>
      <c r="BT292" s="719"/>
      <c r="BU292" s="719">
        <f>AR292*IF(AZ292=0,1,AZ292)*IF(AX292='Listes déroulantes, autres'!$C$9,2,1)</f>
        <v>1000</v>
      </c>
      <c r="BV292" s="804" cm="1">
        <f t="array" ref="BV292">IF(CB292=0,0,_xlfn.IFS($AP292='Listes déroulantes, autres'!$J$9,Calculs!$CB292/FÉ!$L$58,$AP292='Listes déroulantes, autres'!$J$10,Calculs!$CB292/FÉ!$L$53,$AP292='Listes déroulantes, autres'!$J$11,Calculs!$CB292/FÉ!$L$52))</f>
        <v>30.405265256435246</v>
      </c>
      <c r="BW292" s="719"/>
      <c r="BX292" s="719"/>
      <c r="BY292" s="791" cm="1">
        <f t="array" ref="BY292">_xlfn.IFS($AP292="",0,$AP292='Listes déroulantes, autres'!$J$11,$BU292*FÉ!I$83,$AP292='Listes déroulantes, autres'!$J$10,$BU292*FÉ!I$79,$AP292='Listes déroulantes, autres'!$J$9,($BU292*_xlfn.IFS($AR292&lt;FÉ!$E$87,FÉ!I$87,$AR292&lt;FÉ!$E$88,FÉ!I$88,TRUE,FÉ!I$89))) *PRP!$J$8</f>
        <v>89477.451682176077</v>
      </c>
      <c r="BZ292" s="791" cm="1">
        <f t="array" ref="BZ292">_xlfn.IFS($AP292="",0,$AP292='Listes déroulantes, autres'!$J$11,$BU292*FÉ!J$83,$AP292='Listes déroulantes, autres'!$J$10,$BU292*FÉ!J$79,$AP292='Listes déroulantes, autres'!$J$9,($BU292*_xlfn.IFS($AR292&lt;FÉ!$E$87,FÉ!J$87,$AR292&lt;FÉ!$E$88,FÉ!J$88,TRUE,FÉ!J$89))) *PRP!$J$9</f>
        <v>157.39332299371668</v>
      </c>
      <c r="CA292" s="791" cm="1">
        <f t="array" ref="CA292">_xlfn.IFS($AP292="",0,$AP292='Listes déroulantes, autres'!$J$11,$BU292*FÉ!K$83,$AP292='Listes déroulantes, autres'!$J$10,$BU292*FÉ!K$79,$AP292='Listes déroulantes, autres'!$J$9,($BU292*_xlfn.IFS($AR292&lt;FÉ!$E$87,FÉ!K$87,$AR292&lt;FÉ!$E$88,FÉ!K$88,TRUE,FÉ!K$89))) *PRP!$J$10</f>
        <v>542.82987353853491</v>
      </c>
      <c r="CB292" s="69">
        <f t="shared" si="70"/>
        <v>90177.67487870832</v>
      </c>
      <c r="CC292" s="722">
        <f t="shared" si="71"/>
        <v>9.0177674878708314E-2</v>
      </c>
      <c r="CD292" s="63"/>
      <c r="CE292" s="726"/>
      <c r="CF292" s="727"/>
      <c r="CG292" s="63"/>
      <c r="CH292" s="730" cm="1">
        <f t="array" ref="CH292">IF($AP292=0,,_xlfn.IFS($AP292='Listes déroulantes, autres'!$J$9,FÉ!$H$58,$AP292='Listes déroulantes, autres'!$J$10,FÉ!$H$53,$AP292='Listes déroulantes, autres'!$J$11,FÉ!$H$52)*BV292)</f>
        <v>323.51202232847106</v>
      </c>
    </row>
    <row r="293" spans="2:86" outlineLevel="1">
      <c r="B293" s="69" t="str">
        <f t="shared" si="68"/>
        <v>3.5B1</v>
      </c>
      <c r="C293" s="80"/>
      <c r="D293" s="80"/>
      <c r="E293" s="663"/>
      <c r="F293" s="69" t="str">
        <f t="shared" si="69"/>
        <v/>
      </c>
      <c r="G293" s="80"/>
      <c r="H293" s="80"/>
      <c r="I293" s="648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  <c r="AP293" s="790" t="s">
        <v>6642</v>
      </c>
      <c r="AQ293" s="69"/>
      <c r="AR293" s="790">
        <v>1000</v>
      </c>
      <c r="AS293" s="69"/>
      <c r="AT293" s="69"/>
      <c r="AU293" s="69"/>
      <c r="AV293" s="69"/>
      <c r="AW293" s="69"/>
      <c r="AX293" s="790" t="s">
        <v>1445</v>
      </c>
      <c r="AY293" s="69"/>
      <c r="AZ293" s="790">
        <v>1</v>
      </c>
      <c r="BA293" s="69"/>
      <c r="BB293" s="69"/>
      <c r="BC293" s="69"/>
      <c r="BD293" s="69"/>
      <c r="BE293" s="69"/>
      <c r="BF293" s="69"/>
      <c r="BG293" s="69"/>
      <c r="BH293" s="69"/>
      <c r="BI293" s="69"/>
      <c r="BJ293" s="69"/>
      <c r="BK293" s="69"/>
      <c r="BL293" s="69"/>
      <c r="BM293" s="69"/>
      <c r="BN293" s="69"/>
      <c r="BO293" s="69"/>
      <c r="BP293" s="63"/>
      <c r="BQ293" s="69"/>
      <c r="BR293" s="719"/>
      <c r="BS293" s="719"/>
      <c r="BT293" s="719"/>
      <c r="BU293" s="719">
        <f>AR293*IF(AZ293=0,1,AZ293)*IF(AX293='Listes déroulantes, autres'!$C$9,2,1)</f>
        <v>1000</v>
      </c>
      <c r="BV293" s="804" cm="1">
        <f t="array" ref="BV293">IF(CB293=0,0,_xlfn.IFS($AP293='Listes déroulantes, autres'!$J$9,Calculs!$CB293/FÉ!$L$58,$AP293='Listes déroulantes, autres'!$J$10,Calculs!$CB293/FÉ!$L$53,$AP293='Listes déroulantes, autres'!$J$11,Calculs!$CB293/FÉ!$L$52))</f>
        <v>13.255167497930371</v>
      </c>
      <c r="BW293" s="719"/>
      <c r="BX293" s="719"/>
      <c r="BY293" s="791" cm="1">
        <f t="array" ref="BY293">_xlfn.IFS($AP293="",0,$AP293='Listes déroulantes, autres'!$J$11,$BU293*FÉ!I$83,$AP293='Listes déroulantes, autres'!$J$10,$BU293*FÉ!I$79,$AP293='Listes déroulantes, autres'!$J$9,($BU293*_xlfn.IFS($AR293&lt;FÉ!$E$87,FÉ!I$87,$AR293&lt;FÉ!$E$88,FÉ!I$88,TRUE,FÉ!I$89))) *PRP!$J$8</f>
        <v>36039.529149765367</v>
      </c>
      <c r="BZ293" s="791" cm="1">
        <f t="array" ref="BZ293">_xlfn.IFS($AP293="",0,$AP293='Listes déroulantes, autres'!$J$11,$BU293*FÉ!J$83,$AP293='Listes déroulantes, autres'!$J$10,$BU293*FÉ!J$79,$AP293='Listes déroulantes, autres'!$J$9,($BU293*_xlfn.IFS($AR293&lt;FÉ!$E$87,FÉ!J$87,$AR293&lt;FÉ!$E$88,FÉ!J$88,TRUE,FÉ!J$89))) *PRP!$J$9</f>
        <v>12.961803070070786</v>
      </c>
      <c r="CA293" s="791" cm="1">
        <f t="array" ref="CA293">_xlfn.IFS($AP293="",0,$AP293='Listes déroulantes, autres'!$J$11,$BU293*FÉ!K$83,$AP293='Listes déroulantes, autres'!$J$10,$BU293*FÉ!K$79,$AP293='Listes déroulantes, autres'!$J$9,($BU293*_xlfn.IFS($AR293&lt;FÉ!$E$87,FÉ!K$87,$AR293&lt;FÉ!$E$88,FÉ!K$88,TRUE,FÉ!K$89))) *PRP!$J$10</f>
        <v>67.853734192316864</v>
      </c>
      <c r="CB293" s="69">
        <f t="shared" si="70"/>
        <v>36120.344687027755</v>
      </c>
      <c r="CC293" s="722">
        <f t="shared" si="71"/>
        <v>3.6120344687027753E-2</v>
      </c>
      <c r="CD293" s="63"/>
      <c r="CE293" s="726"/>
      <c r="CF293" s="727"/>
      <c r="CG293" s="63"/>
      <c r="CH293" s="730" cm="1">
        <f t="array" ref="CH293">IF($AP293=0,,_xlfn.IFS($AP293='Listes déroulantes, autres'!$J$9,FÉ!$H$58,$AP293='Listes déroulantes, autres'!$J$10,FÉ!$H$53,$AP293='Listes déroulantes, autres'!$J$11,FÉ!$H$52)*BV293)</f>
        <v>141.03498217797915</v>
      </c>
    </row>
    <row r="294" spans="2:86" outlineLevel="1">
      <c r="B294" s="69" t="str">
        <f t="shared" si="68"/>
        <v>3.5B1</v>
      </c>
      <c r="C294" s="80"/>
      <c r="D294" s="80"/>
      <c r="E294" s="663"/>
      <c r="F294" s="69" t="str">
        <f t="shared" si="69"/>
        <v/>
      </c>
      <c r="G294" s="80"/>
      <c r="H294" s="80"/>
      <c r="I294" s="648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  <c r="AP294" s="790" t="s">
        <v>286</v>
      </c>
      <c r="AQ294" s="69"/>
      <c r="AR294" s="790">
        <v>1000</v>
      </c>
      <c r="AS294" s="69"/>
      <c r="AT294" s="69"/>
      <c r="AU294" s="69"/>
      <c r="AV294" s="69"/>
      <c r="AW294" s="69"/>
      <c r="AX294" s="790" t="s">
        <v>1445</v>
      </c>
      <c r="AY294" s="69"/>
      <c r="AZ294" s="790">
        <v>2</v>
      </c>
      <c r="BA294" s="69"/>
      <c r="BB294" s="69"/>
      <c r="BC294" s="69"/>
      <c r="BD294" s="69"/>
      <c r="BE294" s="69"/>
      <c r="BF294" s="69"/>
      <c r="BG294" s="69"/>
      <c r="BH294" s="69"/>
      <c r="BI294" s="69"/>
      <c r="BJ294" s="69"/>
      <c r="BK294" s="69"/>
      <c r="BL294" s="69"/>
      <c r="BM294" s="69"/>
      <c r="BN294" s="69"/>
      <c r="BO294" s="69"/>
      <c r="BP294" s="63"/>
      <c r="BQ294" s="69"/>
      <c r="BR294" s="719"/>
      <c r="BS294" s="719"/>
      <c r="BT294" s="719"/>
      <c r="BU294" s="719">
        <f>AR294*IF(AZ294=0,1,AZ294)*IF(AX294='Listes déroulantes, autres'!$C$9,2,1)</f>
        <v>2000</v>
      </c>
      <c r="BV294" s="804" cm="1">
        <f t="array" ref="BV294">IF(CB294=0,0,_xlfn.IFS($AP294='Listes déroulantes, autres'!$J$9,Calculs!$CB294/FÉ!$L$58,$AP294='Listes déroulantes, autres'!$J$10,Calculs!$CB294/FÉ!$L$53,$AP294='Listes déroulantes, autres'!$J$11,Calculs!$CB294/FÉ!$L$52))</f>
        <v>78.728720129730874</v>
      </c>
      <c r="BW294" s="719"/>
      <c r="BX294" s="719"/>
      <c r="BY294" s="791" cm="1">
        <f t="array" ref="BY294">_xlfn.IFS($AP294="",0,$AP294='Listes déroulantes, autres'!$J$11,$BU294*FÉ!I$83,$AP294='Listes déroulantes, autres'!$J$10,$BU294*FÉ!I$79,$AP294='Listes déroulantes, autres'!$J$9,($BU294*_xlfn.IFS($AR294&lt;FÉ!$E$87,FÉ!I$87,$AR294&lt;FÉ!$E$88,FÉ!I$88,TRUE,FÉ!I$89))) *PRP!$J$8</f>
        <v>201324.26628489621</v>
      </c>
      <c r="BZ294" s="791" cm="1">
        <f t="array" ref="BZ294">_xlfn.IFS($AP294="",0,$AP294='Listes déroulantes, autres'!$J$11,$BU294*FÉ!J$83,$AP294='Listes déroulantes, autres'!$J$10,$BU294*FÉ!J$79,$AP294='Listes déroulantes, autres'!$J$9,($BU294*_xlfn.IFS($AR294&lt;FÉ!$E$87,FÉ!J$87,$AR294&lt;FÉ!$E$88,FÉ!J$88,TRUE,FÉ!J$89))) *PRP!$J$9</f>
        <v>29.62697844587608</v>
      </c>
      <c r="CA294" s="791" cm="1">
        <f t="array" ref="CA294">_xlfn.IFS($AP294="",0,$AP294='Listes déroulantes, autres'!$J$11,$BU294*FÉ!K$83,$AP294='Listes déroulantes, autres'!$J$10,$BU294*FÉ!K$79,$AP294='Listes déroulantes, autres'!$J$9,($BU294*_xlfn.IFS($AR294&lt;FÉ!$E$87,FÉ!K$87,$AR294&lt;FÉ!$E$88,FÉ!K$88,TRUE,FÉ!K$89))) *PRP!$J$10</f>
        <v>1764.1970890002383</v>
      </c>
      <c r="CB294" s="69">
        <f t="shared" si="70"/>
        <v>203118.09035234232</v>
      </c>
      <c r="CC294" s="722">
        <f t="shared" si="71"/>
        <v>0.20311809035234232</v>
      </c>
      <c r="CD294" s="63"/>
      <c r="CE294" s="726"/>
      <c r="CF294" s="727"/>
      <c r="CG294" s="63"/>
      <c r="CH294" s="730" cm="1">
        <f t="array" ref="CH294">IF($AP294=0,,_xlfn.IFS($AP294='Listes déroulantes, autres'!$J$9,FÉ!$H$58,$AP294='Listes déroulantes, autres'!$J$10,FÉ!$H$53,$AP294='Listes déroulantes, autres'!$J$11,FÉ!$H$52)*BV294)</f>
        <v>824.28969975828227</v>
      </c>
    </row>
    <row r="295" spans="2:86" outlineLevel="1">
      <c r="B295" s="69" t="str">
        <f t="shared" si="68"/>
        <v>3.5B1</v>
      </c>
      <c r="C295" s="80"/>
      <c r="D295" s="80"/>
      <c r="E295" s="663"/>
      <c r="F295" s="69" t="str">
        <f t="shared" si="69"/>
        <v/>
      </c>
      <c r="G295" s="80"/>
      <c r="H295" s="80"/>
      <c r="I295" s="648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  <c r="AP295" s="790" t="s">
        <v>247</v>
      </c>
      <c r="AQ295" s="69"/>
      <c r="AR295" s="790">
        <v>1000</v>
      </c>
      <c r="AS295" s="69"/>
      <c r="AT295" s="69"/>
      <c r="AU295" s="69"/>
      <c r="AV295" s="69"/>
      <c r="AW295" s="69"/>
      <c r="AX295" s="790" t="s">
        <v>1445</v>
      </c>
      <c r="AY295" s="69"/>
      <c r="AZ295" s="790">
        <v>2</v>
      </c>
      <c r="BA295" s="69"/>
      <c r="BB295" s="69"/>
      <c r="BC295" s="69"/>
      <c r="BD295" s="69"/>
      <c r="BE295" s="69"/>
      <c r="BF295" s="69"/>
      <c r="BG295" s="69"/>
      <c r="BH295" s="69"/>
      <c r="BI295" s="69"/>
      <c r="BJ295" s="69"/>
      <c r="BK295" s="69"/>
      <c r="BL295" s="69"/>
      <c r="BM295" s="69"/>
      <c r="BN295" s="69"/>
      <c r="BO295" s="69"/>
      <c r="BP295" s="63"/>
      <c r="BQ295" s="69"/>
      <c r="BR295" s="719"/>
      <c r="BS295" s="719"/>
      <c r="BT295" s="719"/>
      <c r="BU295" s="719">
        <f>AR295*IF(AZ295=0,1,AZ295)*IF(AX295='Listes déroulantes, autres'!$C$9,2,1)</f>
        <v>2000</v>
      </c>
      <c r="BV295" s="804" cm="1">
        <f t="array" ref="BV295">IF(CB295=0,0,_xlfn.IFS($AP295='Listes déroulantes, autres'!$J$9,Calculs!$CB295/FÉ!$L$58,$AP295='Listes déroulantes, autres'!$J$10,Calculs!$CB295/FÉ!$L$53,$AP295='Listes déroulantes, autres'!$J$11,Calculs!$CB295/FÉ!$L$52))</f>
        <v>60.810530512870493</v>
      </c>
      <c r="BW295" s="719"/>
      <c r="BX295" s="719"/>
      <c r="BY295" s="791" cm="1">
        <f t="array" ref="BY295">_xlfn.IFS($AP295="",0,$AP295='Listes déroulantes, autres'!$J$11,$BU295*FÉ!I$83,$AP295='Listes déroulantes, autres'!$J$10,$BU295*FÉ!I$79,$AP295='Listes déroulantes, autres'!$J$9,($BU295*_xlfn.IFS($AR295&lt;FÉ!$E$87,FÉ!I$87,$AR295&lt;FÉ!$E$88,FÉ!I$88,TRUE,FÉ!I$89))) *PRP!$J$8</f>
        <v>178954.90336435215</v>
      </c>
      <c r="BZ295" s="791" cm="1">
        <f t="array" ref="BZ295">_xlfn.IFS($AP295="",0,$AP295='Listes déroulantes, autres'!$J$11,$BU295*FÉ!J$83,$AP295='Listes déroulantes, autres'!$J$10,$BU295*FÉ!J$79,$AP295='Listes déroulantes, autres'!$J$9,($BU295*_xlfn.IFS($AR295&lt;FÉ!$E$87,FÉ!J$87,$AR295&lt;FÉ!$E$88,FÉ!J$88,TRUE,FÉ!J$89))) *PRP!$J$9</f>
        <v>314.78664598743336</v>
      </c>
      <c r="CA295" s="791" cm="1">
        <f t="array" ref="CA295">_xlfn.IFS($AP295="",0,$AP295='Listes déroulantes, autres'!$J$11,$BU295*FÉ!K$83,$AP295='Listes déroulantes, autres'!$J$10,$BU295*FÉ!K$79,$AP295='Listes déroulantes, autres'!$J$9,($BU295*_xlfn.IFS($AR295&lt;FÉ!$E$87,FÉ!K$87,$AR295&lt;FÉ!$E$88,FÉ!K$88,TRUE,FÉ!K$89))) *PRP!$J$10</f>
        <v>1085.6597470770698</v>
      </c>
      <c r="CB295" s="69">
        <f t="shared" si="70"/>
        <v>180355.34975741664</v>
      </c>
      <c r="CC295" s="722">
        <f t="shared" si="71"/>
        <v>0.18035534975741663</v>
      </c>
      <c r="CD295" s="63"/>
      <c r="CE295" s="726"/>
      <c r="CF295" s="727"/>
      <c r="CG295" s="63"/>
      <c r="CH295" s="730" cm="1">
        <f t="array" ref="CH295">IF($AP295=0,,_xlfn.IFS($AP295='Listes déroulantes, autres'!$J$9,FÉ!$H$58,$AP295='Listes déroulantes, autres'!$J$10,FÉ!$H$53,$AP295='Listes déroulantes, autres'!$J$11,FÉ!$H$52)*BV295)</f>
        <v>647.02404465694212</v>
      </c>
    </row>
    <row r="296" spans="2:86" outlineLevel="1">
      <c r="B296" s="69" t="str">
        <f t="shared" si="68"/>
        <v>3.5B1</v>
      </c>
      <c r="C296" s="80"/>
      <c r="D296" s="80"/>
      <c r="E296" s="663"/>
      <c r="F296" s="69" t="str">
        <f t="shared" si="69"/>
        <v/>
      </c>
      <c r="G296" s="80"/>
      <c r="H296" s="80"/>
      <c r="I296" s="648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  <c r="AP296" s="790" t="s">
        <v>6642</v>
      </c>
      <c r="AQ296" s="69"/>
      <c r="AR296" s="790">
        <v>1000</v>
      </c>
      <c r="AS296" s="69"/>
      <c r="AT296" s="69"/>
      <c r="AU296" s="69"/>
      <c r="AV296" s="69"/>
      <c r="AW296" s="69"/>
      <c r="AX296" s="790" t="s">
        <v>1445</v>
      </c>
      <c r="AY296" s="69"/>
      <c r="AZ296" s="790">
        <v>2</v>
      </c>
      <c r="BA296" s="69"/>
      <c r="BB296" s="69"/>
      <c r="BC296" s="69"/>
      <c r="BD296" s="69"/>
      <c r="BE296" s="69"/>
      <c r="BF296" s="69"/>
      <c r="BG296" s="69"/>
      <c r="BH296" s="69"/>
      <c r="BI296" s="69"/>
      <c r="BJ296" s="69"/>
      <c r="BK296" s="69"/>
      <c r="BL296" s="69"/>
      <c r="BM296" s="69"/>
      <c r="BN296" s="69"/>
      <c r="BO296" s="69"/>
      <c r="BP296" s="63"/>
      <c r="BQ296" s="69"/>
      <c r="BR296" s="719"/>
      <c r="BS296" s="719"/>
      <c r="BT296" s="719"/>
      <c r="BU296" s="719">
        <f>AR296*IF(AZ296=0,1,AZ296)*IF(AX296='Listes déroulantes, autres'!$C$9,2,1)</f>
        <v>2000</v>
      </c>
      <c r="BV296" s="804" cm="1">
        <f t="array" ref="BV296">IF(CB296=0,0,_xlfn.IFS($AP296='Listes déroulantes, autres'!$J$9,Calculs!$CB296/FÉ!$L$58,$AP296='Listes déroulantes, autres'!$J$10,Calculs!$CB296/FÉ!$L$53,$AP296='Listes déroulantes, autres'!$J$11,Calculs!$CB296/FÉ!$L$52))</f>
        <v>26.510334995860742</v>
      </c>
      <c r="BW296" s="719"/>
      <c r="BX296" s="719"/>
      <c r="BY296" s="791" cm="1">
        <f t="array" ref="BY296">_xlfn.IFS($AP296="",0,$AP296='Listes déroulantes, autres'!$J$11,$BU296*FÉ!I$83,$AP296='Listes déroulantes, autres'!$J$10,$BU296*FÉ!I$79,$AP296='Listes déroulantes, autres'!$J$9,($BU296*_xlfn.IFS($AR296&lt;FÉ!$E$87,FÉ!I$87,$AR296&lt;FÉ!$E$88,FÉ!I$88,TRUE,FÉ!I$89))) *PRP!$J$8</f>
        <v>72079.058299530734</v>
      </c>
      <c r="BZ296" s="791" cm="1">
        <f t="array" ref="BZ296">_xlfn.IFS($AP296="",0,$AP296='Listes déroulantes, autres'!$J$11,$BU296*FÉ!J$83,$AP296='Listes déroulantes, autres'!$J$10,$BU296*FÉ!J$79,$AP296='Listes déroulantes, autres'!$J$9,($BU296*_xlfn.IFS($AR296&lt;FÉ!$E$87,FÉ!J$87,$AR296&lt;FÉ!$E$88,FÉ!J$88,TRUE,FÉ!J$89))) *PRP!$J$9</f>
        <v>25.923606140141572</v>
      </c>
      <c r="CA296" s="791" cm="1">
        <f t="array" ref="CA296">_xlfn.IFS($AP296="",0,$AP296='Listes déroulantes, autres'!$J$11,$BU296*FÉ!K$83,$AP296='Listes déroulantes, autres'!$J$10,$BU296*FÉ!K$79,$AP296='Listes déroulantes, autres'!$J$9,($BU296*_xlfn.IFS($AR296&lt;FÉ!$E$87,FÉ!K$87,$AR296&lt;FÉ!$E$88,FÉ!K$88,TRUE,FÉ!K$89))) *PRP!$J$10</f>
        <v>135.70746838463373</v>
      </c>
      <c r="CB296" s="69">
        <f t="shared" si="70"/>
        <v>72240.68937405551</v>
      </c>
      <c r="CC296" s="722">
        <f t="shared" si="71"/>
        <v>7.2240689374055506E-2</v>
      </c>
      <c r="CD296" s="63"/>
      <c r="CE296" s="726"/>
      <c r="CF296" s="727"/>
      <c r="CG296" s="63"/>
      <c r="CH296" s="730" cm="1">
        <f t="array" ref="CH296">IF($AP296=0,,_xlfn.IFS($AP296='Listes déroulantes, autres'!$J$9,FÉ!$H$58,$AP296='Listes déroulantes, autres'!$J$10,FÉ!$H$53,$AP296='Listes déroulantes, autres'!$J$11,FÉ!$H$52)*BV296)</f>
        <v>282.06996435595829</v>
      </c>
    </row>
    <row r="297" spans="2:86" outlineLevel="1">
      <c r="B297" s="69" t="str">
        <f t="shared" si="68"/>
        <v>3.5B1</v>
      </c>
      <c r="C297" s="80"/>
      <c r="D297" s="80"/>
      <c r="E297" s="663"/>
      <c r="F297" s="69" t="str">
        <f t="shared" si="69"/>
        <v/>
      </c>
      <c r="G297" s="80"/>
      <c r="H297" s="80"/>
      <c r="I297" s="648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  <c r="AP297" s="790"/>
      <c r="AQ297" s="69"/>
      <c r="AR297" s="790"/>
      <c r="AS297" s="69"/>
      <c r="AT297" s="69"/>
      <c r="AU297" s="69"/>
      <c r="AV297" s="69"/>
      <c r="AW297" s="69"/>
      <c r="AX297" s="790"/>
      <c r="AY297" s="69"/>
      <c r="AZ297" s="790"/>
      <c r="BA297" s="69"/>
      <c r="BB297" s="69"/>
      <c r="BC297" s="69"/>
      <c r="BD297" s="69"/>
      <c r="BE297" s="69"/>
      <c r="BF297" s="69"/>
      <c r="BG297" s="69"/>
      <c r="BH297" s="69"/>
      <c r="BI297" s="69"/>
      <c r="BJ297" s="69"/>
      <c r="BK297" s="69"/>
      <c r="BL297" s="69"/>
      <c r="BM297" s="69"/>
      <c r="BN297" s="69"/>
      <c r="BO297" s="69"/>
      <c r="BP297" s="63"/>
      <c r="BQ297" s="69"/>
      <c r="BR297" s="719"/>
      <c r="BS297" s="719"/>
      <c r="BT297" s="719"/>
      <c r="BU297" s="719">
        <f>AR297*IF(AZ297=0,1,AZ297)*IF(AX297='Listes déroulantes, autres'!$C$9,2,1)</f>
        <v>0</v>
      </c>
      <c r="BV297" s="804" cm="1">
        <f t="array" ref="BV297">IF(CB297=0,0,_xlfn.IFS($AP297='Listes déroulantes, autres'!$J$9,Calculs!$CB297/FÉ!$L$58,$AP297='Listes déroulantes, autres'!$J$10,Calculs!$CB297/FÉ!$L$53,$AP297='Listes déroulantes, autres'!$J$11,Calculs!$CB297/FÉ!$L$52))</f>
        <v>0</v>
      </c>
      <c r="BW297" s="719"/>
      <c r="BX297" s="719"/>
      <c r="BY297" s="791" cm="1">
        <f t="array" ref="BY297">_xlfn.IFS($AP297="",0,$AP297='Listes déroulantes, autres'!$J$11,$BU297*FÉ!I$83,$AP297='Listes déroulantes, autres'!$J$10,$BU297*FÉ!I$79,$AP297='Listes déroulantes, autres'!$J$9,($BU297*_xlfn.IFS($AR297&lt;FÉ!$E$87,FÉ!I$87,$AR297&lt;FÉ!$E$88,FÉ!I$88,TRUE,FÉ!I$89))) *PRP!$J$8</f>
        <v>0</v>
      </c>
      <c r="BZ297" s="791" cm="1">
        <f t="array" ref="BZ297">_xlfn.IFS($AP297="",0,$AP297='Listes déroulantes, autres'!$J$11,$BU297*FÉ!J$83,$AP297='Listes déroulantes, autres'!$J$10,$BU297*FÉ!J$79,$AP297='Listes déroulantes, autres'!$J$9,($BU297*_xlfn.IFS($AR297&lt;FÉ!$E$87,FÉ!J$87,$AR297&lt;FÉ!$E$88,FÉ!J$88,TRUE,FÉ!J$89))) *PRP!$J$9</f>
        <v>0</v>
      </c>
      <c r="CA297" s="791" cm="1">
        <f t="array" ref="CA297">_xlfn.IFS($AP297="",0,$AP297='Listes déroulantes, autres'!$J$11,$BU297*FÉ!K$83,$AP297='Listes déroulantes, autres'!$J$10,$BU297*FÉ!K$79,$AP297='Listes déroulantes, autres'!$J$9,($BU297*_xlfn.IFS($AR297&lt;FÉ!$E$87,FÉ!K$87,$AR297&lt;FÉ!$E$88,FÉ!K$88,TRUE,FÉ!K$89))) *PRP!$J$10</f>
        <v>0</v>
      </c>
      <c r="CB297" s="69">
        <f t="shared" si="70"/>
        <v>0</v>
      </c>
      <c r="CC297" s="722">
        <f t="shared" si="71"/>
        <v>0</v>
      </c>
      <c r="CD297" s="63"/>
      <c r="CE297" s="726"/>
      <c r="CF297" s="727"/>
      <c r="CG297" s="63"/>
      <c r="CH297" s="730" cm="1">
        <f t="array" ref="CH297">IF($AP297=0,,_xlfn.IFS($AP297='Listes déroulantes, autres'!$J$9,FÉ!$H$58,$AP297='Listes déroulantes, autres'!$J$10,FÉ!$H$53,$AP297='Listes déroulantes, autres'!$J$11,FÉ!$H$52)*BV297)</f>
        <v>0</v>
      </c>
    </row>
    <row r="298" spans="2:86" ht="15.75" outlineLevel="1" thickBot="1">
      <c r="B298" s="69" t="str">
        <f t="shared" si="68"/>
        <v>3.5B1</v>
      </c>
      <c r="C298" s="80"/>
      <c r="D298" s="717"/>
      <c r="E298" s="663"/>
      <c r="F298" s="69" t="str">
        <f t="shared" si="69"/>
        <v/>
      </c>
      <c r="G298" s="80"/>
      <c r="H298" s="80"/>
      <c r="I298" s="648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  <c r="AP298" s="790"/>
      <c r="AQ298" s="69"/>
      <c r="AR298" s="790"/>
      <c r="AS298" s="69"/>
      <c r="AT298" s="69"/>
      <c r="AU298" s="69"/>
      <c r="AV298" s="69"/>
      <c r="AW298" s="69"/>
      <c r="AX298" s="790"/>
      <c r="AY298" s="69"/>
      <c r="AZ298" s="790"/>
      <c r="BA298" s="69"/>
      <c r="BB298" s="69"/>
      <c r="BC298" s="69"/>
      <c r="BD298" s="69"/>
      <c r="BE298" s="69"/>
      <c r="BF298" s="69"/>
      <c r="BG298" s="69"/>
      <c r="BH298" s="69"/>
      <c r="BI298" s="69"/>
      <c r="BJ298" s="69"/>
      <c r="BK298" s="69"/>
      <c r="BL298" s="69"/>
      <c r="BM298" s="69"/>
      <c r="BN298" s="69"/>
      <c r="BO298" s="69"/>
      <c r="BP298" s="63"/>
      <c r="BQ298" s="69"/>
      <c r="BR298" s="719"/>
      <c r="BS298" s="719"/>
      <c r="BT298" s="719"/>
      <c r="BU298" s="719">
        <f>AR298*IF(AZ298=0,1,AZ298)*IF(AX298='Listes déroulantes, autres'!$C$9,2,1)</f>
        <v>0</v>
      </c>
      <c r="BV298" s="804" cm="1">
        <f t="array" ref="BV298">IF(CB298=0,0,_xlfn.IFS($AP298='Listes déroulantes, autres'!$J$9,Calculs!$CB298/FÉ!$L$58,$AP298='Listes déroulantes, autres'!$J$10,Calculs!$CB298/FÉ!$L$53,$AP298='Listes déroulantes, autres'!$J$11,Calculs!$CB298/FÉ!$L$52))</f>
        <v>0</v>
      </c>
      <c r="BW298" s="719"/>
      <c r="BX298" s="719"/>
      <c r="BY298" s="791" cm="1">
        <f t="array" ref="BY298">_xlfn.IFS($AP298="",0,$AP298='Listes déroulantes, autres'!$J$11,$BU298*FÉ!I$83,$AP298='Listes déroulantes, autres'!$J$10,$BU298*FÉ!I$79,$AP298='Listes déroulantes, autres'!$J$9,($BU298*_xlfn.IFS($AR298&lt;FÉ!$E$87,FÉ!I$87,$AR298&lt;FÉ!$E$88,FÉ!I$88,TRUE,FÉ!I$89))) *PRP!$J$8</f>
        <v>0</v>
      </c>
      <c r="BZ298" s="791" cm="1">
        <f t="array" ref="BZ298">_xlfn.IFS($AP298="",0,$AP298='Listes déroulantes, autres'!$J$11,$BU298*FÉ!J$83,$AP298='Listes déroulantes, autres'!$J$10,$BU298*FÉ!J$79,$AP298='Listes déroulantes, autres'!$J$9,($BU298*_xlfn.IFS($AR298&lt;FÉ!$E$87,FÉ!J$87,$AR298&lt;FÉ!$E$88,FÉ!J$88,TRUE,FÉ!J$89))) *PRP!$J$9</f>
        <v>0</v>
      </c>
      <c r="CA298" s="791" cm="1">
        <f t="array" ref="CA298">_xlfn.IFS($AP298="",0,$AP298='Listes déroulantes, autres'!$J$11,$BU298*FÉ!K$83,$AP298='Listes déroulantes, autres'!$J$10,$BU298*FÉ!K$79,$AP298='Listes déroulantes, autres'!$J$9,($BU298*_xlfn.IFS($AR298&lt;FÉ!$E$87,FÉ!K$87,$AR298&lt;FÉ!$E$88,FÉ!K$88,TRUE,FÉ!K$89))) *PRP!$J$10</f>
        <v>0</v>
      </c>
      <c r="CB298" s="69">
        <f t="shared" si="70"/>
        <v>0</v>
      </c>
      <c r="CC298" s="722">
        <f t="shared" si="71"/>
        <v>0</v>
      </c>
      <c r="CD298" s="63"/>
      <c r="CE298" s="728"/>
      <c r="CF298" s="729"/>
      <c r="CG298" s="63"/>
      <c r="CH298" s="730" cm="1">
        <f t="array" ref="CH298">IF($AP298=0,,_xlfn.IFS($AP298='Listes déroulantes, autres'!$J$9,FÉ!$H$58,$AP298='Listes déroulantes, autres'!$J$10,FÉ!$H$53,$AP298='Listes déroulantes, autres'!$J$11,FÉ!$H$52)*BV298)</f>
        <v>0</v>
      </c>
    </row>
    <row r="299" spans="2:86" ht="15.75" outlineLevel="1" thickBot="1">
      <c r="B299" s="793"/>
      <c r="C299" s="794"/>
      <c r="D299" s="794"/>
      <c r="E299" s="795"/>
      <c r="F299" s="796" t="str">
        <f>$B289</f>
        <v>3.5B1</v>
      </c>
      <c r="G299" s="796" t="str">
        <f>$B289</f>
        <v>3.5B1</v>
      </c>
      <c r="H299" s="796" t="str">
        <f>$B289</f>
        <v>3.5B1</v>
      </c>
      <c r="I299" s="795"/>
      <c r="J299" s="797"/>
      <c r="K299" s="797"/>
      <c r="L299" s="797"/>
      <c r="M299" s="797"/>
      <c r="N299" s="797"/>
      <c r="O299" s="797"/>
      <c r="P299" s="797"/>
      <c r="Q299" s="797"/>
      <c r="R299" s="797"/>
      <c r="S299" s="797"/>
      <c r="T299" s="797"/>
      <c r="U299" s="797"/>
      <c r="V299" s="797"/>
      <c r="W299" s="797"/>
      <c r="X299" s="797"/>
      <c r="Y299" s="797"/>
      <c r="Z299" s="797"/>
      <c r="AA299" s="797"/>
      <c r="AB299" s="797"/>
      <c r="AC299" s="797"/>
      <c r="AD299" s="797"/>
      <c r="AE299" s="797"/>
      <c r="AF299" s="797"/>
      <c r="AG299" s="797"/>
      <c r="AH299" s="797"/>
      <c r="AI299" s="797"/>
      <c r="AJ299" s="797"/>
      <c r="AK299" s="797"/>
      <c r="AL299" s="797"/>
      <c r="AM299" s="797"/>
      <c r="AN299" s="797"/>
      <c r="AO299" s="797"/>
      <c r="AP299" s="797"/>
      <c r="AQ299" s="797"/>
      <c r="AR299" s="797"/>
      <c r="AS299" s="797"/>
      <c r="AT299" s="797"/>
      <c r="AU299" s="797"/>
      <c r="AV299" s="797"/>
      <c r="AW299" s="797"/>
      <c r="AX299" s="797"/>
      <c r="AY299" s="797"/>
      <c r="AZ299" s="797"/>
      <c r="BA299" s="797"/>
      <c r="BB299" s="797"/>
      <c r="BC299" s="797"/>
      <c r="BD299" s="797"/>
      <c r="BE299" s="797"/>
      <c r="BF299" s="797"/>
      <c r="BG299" s="797"/>
      <c r="BH299" s="797"/>
      <c r="BI299" s="797"/>
      <c r="BJ299" s="797"/>
      <c r="BK299" s="797"/>
      <c r="BL299" s="797"/>
      <c r="BM299" s="797"/>
      <c r="BN299" s="797"/>
      <c r="BO299" s="797"/>
      <c r="BP299" s="63"/>
      <c r="BQ299" s="798"/>
      <c r="BR299" s="798"/>
      <c r="BS299" s="798"/>
      <c r="BT299" s="798"/>
      <c r="BU299" s="798"/>
      <c r="BV299" s="798"/>
      <c r="BW299" s="798"/>
      <c r="BX299" s="798"/>
      <c r="BY299" s="798">
        <f>SUM(BY289:BY298)</f>
        <v>5425813.2506163996</v>
      </c>
      <c r="BZ299" s="798">
        <f>SUM(BZ289:BZ298)</f>
        <v>1148.0454147776982</v>
      </c>
      <c r="CA299" s="798">
        <f>SUM(CA289:CA298)</f>
        <v>45190.586972083038</v>
      </c>
      <c r="CB299" s="798">
        <f>SUM(CB289:CB298)</f>
        <v>5472151.8830032609</v>
      </c>
      <c r="CC299" s="799">
        <f>SUM(CC289:CC298)</f>
        <v>5.4721518830032609</v>
      </c>
      <c r="CD299" s="63"/>
      <c r="CE299" s="800">
        <f>SUM(CE289:CE298)</f>
        <v>0</v>
      </c>
      <c r="CF299" s="799">
        <f>SUM(CF289:CF298)</f>
        <v>0</v>
      </c>
      <c r="CG299" s="63"/>
      <c r="CH299" s="801">
        <f>SUM(CH289:CH298)</f>
        <v>22062.996241830471</v>
      </c>
    </row>
    <row r="301" spans="2:86" ht="31.5">
      <c r="B301" s="1232" t="s">
        <v>6643</v>
      </c>
      <c r="C301" s="1233"/>
      <c r="D301" s="1233"/>
      <c r="E301" s="1233"/>
      <c r="F301" s="1233"/>
      <c r="G301" s="1233"/>
      <c r="H301" s="1233"/>
      <c r="I301" s="1233"/>
      <c r="J301" s="1233"/>
      <c r="K301" s="1233"/>
      <c r="L301" s="1233"/>
      <c r="M301" s="1233"/>
      <c r="N301" s="1233"/>
      <c r="O301" s="1233"/>
      <c r="P301" s="1233"/>
      <c r="Q301" s="1233"/>
      <c r="R301" s="1233"/>
      <c r="S301" s="1233"/>
      <c r="T301" s="1233"/>
      <c r="U301" s="1233"/>
      <c r="V301" s="1233"/>
      <c r="W301" s="1233"/>
      <c r="X301" s="1233"/>
      <c r="Y301" s="1233"/>
      <c r="Z301" s="1233"/>
      <c r="AA301" s="1233"/>
      <c r="AB301" s="1233"/>
      <c r="AC301" s="1233"/>
      <c r="AD301" s="1233"/>
      <c r="AE301" s="1233"/>
      <c r="AF301" s="1233"/>
      <c r="AG301" s="1233"/>
      <c r="AH301" s="1233"/>
      <c r="AI301" s="1233"/>
      <c r="AJ301" s="1233"/>
      <c r="AK301" s="1233"/>
      <c r="AL301" s="1233"/>
      <c r="AM301" s="1233"/>
      <c r="AN301" s="1233"/>
      <c r="AO301" s="1233"/>
      <c r="AP301" s="1233"/>
      <c r="AQ301" s="1233"/>
      <c r="AR301" s="1233"/>
      <c r="AS301" s="1233"/>
      <c r="AT301" s="1233"/>
      <c r="AU301" s="1233"/>
      <c r="AV301" s="1233"/>
      <c r="AW301" s="1233"/>
      <c r="AX301" s="1233"/>
      <c r="AY301" s="1233"/>
      <c r="AZ301" s="1233"/>
      <c r="BA301" s="1233"/>
      <c r="BB301" s="1233"/>
      <c r="BC301" s="1233"/>
      <c r="BD301" s="1233"/>
      <c r="BE301" s="1233"/>
      <c r="BF301" s="1233"/>
      <c r="BG301" s="1233"/>
      <c r="BH301" s="1233"/>
      <c r="BI301" s="1233"/>
      <c r="BJ301" s="1233"/>
      <c r="BK301" s="1233"/>
      <c r="BL301" s="1233"/>
      <c r="BM301" s="1233"/>
      <c r="BN301" s="1233"/>
      <c r="BO301" s="1233"/>
      <c r="BP301" s="1233"/>
      <c r="BQ301" s="1233"/>
      <c r="BR301" s="1233"/>
      <c r="BS301" s="1233"/>
      <c r="BT301" s="1233"/>
      <c r="BU301" s="1233"/>
      <c r="BV301" s="1233"/>
      <c r="BW301" s="1233"/>
      <c r="BX301" s="1233"/>
      <c r="BY301" s="1233"/>
      <c r="BZ301" s="1233"/>
      <c r="CA301" s="1233"/>
      <c r="CB301" s="1233"/>
      <c r="CC301" s="1233"/>
      <c r="CD301" s="1233"/>
      <c r="CE301" s="1233"/>
      <c r="CF301" s="1233"/>
      <c r="CG301" s="1233"/>
      <c r="CH301" s="1233"/>
    </row>
    <row r="302" spans="2:86" ht="15.75" outlineLevel="1" thickBot="1">
      <c r="CH302" s="63"/>
    </row>
    <row r="303" spans="2:86" ht="21.75" outlineLevel="1" thickBot="1">
      <c r="B303" s="1234" t="s">
        <v>115</v>
      </c>
      <c r="C303" s="1235"/>
      <c r="D303" s="1235"/>
      <c r="E303" s="1235"/>
      <c r="F303" s="1235"/>
      <c r="G303" s="1235"/>
      <c r="H303" s="1235"/>
      <c r="I303" s="1235"/>
      <c r="J303" s="1235"/>
      <c r="K303" s="1235"/>
      <c r="L303" s="1235"/>
      <c r="M303" s="1235"/>
      <c r="N303" s="1235"/>
      <c r="O303" s="1235"/>
      <c r="P303" s="1235"/>
      <c r="Q303" s="1235"/>
      <c r="R303" s="1235"/>
      <c r="S303" s="1235"/>
      <c r="T303" s="1235"/>
      <c r="U303" s="1235"/>
      <c r="V303" s="1235"/>
      <c r="W303" s="1235"/>
      <c r="X303" s="1235"/>
      <c r="Y303" s="1235"/>
      <c r="Z303" s="1235"/>
      <c r="AA303" s="1235"/>
      <c r="AB303" s="1235"/>
      <c r="AC303" s="1235"/>
      <c r="AD303" s="1235"/>
      <c r="AE303" s="1235"/>
      <c r="AF303" s="1235"/>
      <c r="AG303" s="1235"/>
      <c r="AH303" s="1235"/>
      <c r="AI303" s="1235"/>
      <c r="AJ303" s="1235"/>
      <c r="AK303" s="1235"/>
      <c r="AL303" s="1235"/>
      <c r="AM303" s="1235"/>
      <c r="AN303" s="1235"/>
      <c r="AO303" s="1235"/>
      <c r="AP303" s="1235"/>
      <c r="AQ303" s="1235"/>
      <c r="AR303" s="1235"/>
      <c r="AS303" s="1235"/>
      <c r="AT303" s="1235"/>
      <c r="AU303" s="1235"/>
      <c r="AV303" s="1235"/>
      <c r="AW303" s="1235"/>
      <c r="AX303" s="1235"/>
      <c r="AY303" s="1235"/>
      <c r="AZ303" s="1235"/>
      <c r="BA303" s="1235"/>
      <c r="BB303" s="1235"/>
      <c r="BC303" s="1235"/>
      <c r="BD303" s="1235"/>
      <c r="BE303" s="1235"/>
      <c r="BF303" s="1235"/>
      <c r="BG303" s="1235"/>
      <c r="BH303" s="1235"/>
      <c r="BI303" s="1235"/>
      <c r="BJ303" s="1235"/>
      <c r="BK303" s="1235"/>
      <c r="BL303" s="1235"/>
      <c r="BM303" s="1235"/>
      <c r="BN303" s="1235"/>
      <c r="BO303" s="1235"/>
      <c r="BP303" s="63"/>
      <c r="BQ303" s="1236" t="s">
        <v>121</v>
      </c>
      <c r="BR303" s="1237"/>
      <c r="BS303" s="1237"/>
      <c r="BT303" s="1237"/>
      <c r="BU303" s="1237"/>
      <c r="BV303" s="1237"/>
      <c r="BW303" s="1237"/>
      <c r="BX303" s="1237"/>
      <c r="BY303" s="1237"/>
      <c r="BZ303" s="1237"/>
      <c r="CA303" s="1237"/>
      <c r="CB303" s="1237"/>
      <c r="CC303" s="1237"/>
      <c r="CD303" s="1237"/>
      <c r="CE303" s="1237"/>
      <c r="CF303" s="1237"/>
      <c r="CG303" s="1237"/>
      <c r="CH303" s="1238"/>
    </row>
    <row r="304" spans="2:86" ht="15" customHeight="1" outlineLevel="1">
      <c r="B304" s="1183" t="s">
        <v>6353</v>
      </c>
      <c r="C304" s="1185" t="s">
        <v>6372</v>
      </c>
      <c r="D304" s="1185" t="s">
        <v>7</v>
      </c>
      <c r="E304" s="1185" t="s">
        <v>127</v>
      </c>
      <c r="F304" s="1187" t="s">
        <v>6348</v>
      </c>
      <c r="G304" s="1185" t="s">
        <v>6333</v>
      </c>
      <c r="H304" s="1185" t="s">
        <v>128</v>
      </c>
      <c r="I304" s="1185" t="s">
        <v>156</v>
      </c>
      <c r="J304" s="655"/>
      <c r="K304" s="655"/>
      <c r="L304" s="655"/>
      <c r="M304" s="655"/>
      <c r="N304" s="655"/>
      <c r="O304" s="655"/>
      <c r="P304" s="655"/>
      <c r="Q304" s="655"/>
      <c r="R304" s="655"/>
      <c r="S304" s="655"/>
      <c r="T304" s="655"/>
      <c r="U304" s="655"/>
      <c r="V304" s="655"/>
      <c r="W304" s="655"/>
      <c r="X304" s="655"/>
      <c r="Y304" s="655"/>
      <c r="Z304" s="655"/>
      <c r="AA304" s="655"/>
      <c r="AB304" s="655"/>
      <c r="AC304" s="655"/>
      <c r="AD304" s="655"/>
      <c r="AE304" s="655"/>
      <c r="AF304" s="655"/>
      <c r="AG304" s="655"/>
      <c r="AH304" s="655"/>
      <c r="AI304" s="655"/>
      <c r="AJ304" s="655"/>
      <c r="AK304" s="655"/>
      <c r="AL304" s="655"/>
      <c r="AM304" s="655"/>
      <c r="AN304" s="655"/>
      <c r="AO304" s="655"/>
      <c r="AP304" s="655"/>
      <c r="AQ304" s="655"/>
      <c r="AR304" s="1185" t="s">
        <v>288</v>
      </c>
      <c r="AS304" s="655"/>
      <c r="AT304" s="655"/>
      <c r="AU304" s="1185" t="s">
        <v>6645</v>
      </c>
      <c r="AV304" s="1185" t="s">
        <v>6646</v>
      </c>
      <c r="AW304" s="1185" t="s">
        <v>6644</v>
      </c>
      <c r="AX304" s="1185" t="s">
        <v>6640</v>
      </c>
      <c r="AY304" s="655"/>
      <c r="AZ304" s="1185" t="s">
        <v>6413</v>
      </c>
      <c r="BA304" s="655"/>
      <c r="BB304" s="655"/>
      <c r="BC304" s="655"/>
      <c r="BD304" s="655"/>
      <c r="BE304" s="655"/>
      <c r="BF304" s="655"/>
      <c r="BG304" s="655"/>
      <c r="BH304" s="655"/>
      <c r="BI304" s="655"/>
      <c r="BJ304" s="655"/>
      <c r="BK304" s="655"/>
      <c r="BL304" s="655"/>
      <c r="BM304" s="655"/>
      <c r="BN304" s="655"/>
      <c r="BO304" s="657"/>
      <c r="BP304" s="63"/>
      <c r="BQ304" s="732"/>
      <c r="BR304" s="732"/>
      <c r="BS304" s="732"/>
      <c r="BT304" s="732"/>
      <c r="BU304" s="1185" t="s">
        <v>288</v>
      </c>
      <c r="BV304" s="1185" t="s">
        <v>6416</v>
      </c>
      <c r="BW304" s="732"/>
      <c r="BX304" s="732"/>
      <c r="BY304" s="1193" t="s">
        <v>122</v>
      </c>
      <c r="BZ304" s="1193"/>
      <c r="CA304" s="1193"/>
      <c r="CB304" s="1194" t="s">
        <v>123</v>
      </c>
      <c r="CC304" s="1195"/>
      <c r="CD304" s="63"/>
      <c r="CE304" s="1198" t="s">
        <v>124</v>
      </c>
      <c r="CF304" s="1199"/>
      <c r="CG304" s="63"/>
      <c r="CH304" s="1185" t="s">
        <v>125</v>
      </c>
    </row>
    <row r="305" spans="2:86" ht="18" outlineLevel="1">
      <c r="B305" s="1184"/>
      <c r="C305" s="1186"/>
      <c r="D305" s="1186"/>
      <c r="E305" s="1186"/>
      <c r="F305" s="1188"/>
      <c r="G305" s="1186"/>
      <c r="H305" s="1186"/>
      <c r="I305" s="1186"/>
      <c r="J305" s="656"/>
      <c r="K305" s="656"/>
      <c r="L305" s="656"/>
      <c r="M305" s="656"/>
      <c r="N305" s="656"/>
      <c r="O305" s="656"/>
      <c r="P305" s="656"/>
      <c r="Q305" s="656"/>
      <c r="R305" s="656"/>
      <c r="S305" s="656"/>
      <c r="T305" s="656"/>
      <c r="U305" s="656"/>
      <c r="V305" s="656"/>
      <c r="W305" s="656"/>
      <c r="X305" s="656"/>
      <c r="Y305" s="656"/>
      <c r="Z305" s="656"/>
      <c r="AA305" s="656"/>
      <c r="AB305" s="656"/>
      <c r="AC305" s="656"/>
      <c r="AD305" s="656"/>
      <c r="AE305" s="656"/>
      <c r="AF305" s="656"/>
      <c r="AG305" s="656"/>
      <c r="AH305" s="656"/>
      <c r="AI305" s="656"/>
      <c r="AJ305" s="656"/>
      <c r="AK305" s="656"/>
      <c r="AL305" s="656"/>
      <c r="AM305" s="656"/>
      <c r="AN305" s="656"/>
      <c r="AO305" s="656"/>
      <c r="AP305" s="656"/>
      <c r="AQ305" s="656"/>
      <c r="AR305" s="1186"/>
      <c r="AS305" s="656"/>
      <c r="AT305" s="656"/>
      <c r="AU305" s="1186"/>
      <c r="AV305" s="1186"/>
      <c r="AW305" s="1186"/>
      <c r="AX305" s="1186"/>
      <c r="AY305" s="656"/>
      <c r="AZ305" s="1186"/>
      <c r="BA305" s="656"/>
      <c r="BB305" s="656"/>
      <c r="BC305" s="656"/>
      <c r="BD305" s="656"/>
      <c r="BE305" s="656"/>
      <c r="BF305" s="656"/>
      <c r="BG305" s="656"/>
      <c r="BH305" s="656"/>
      <c r="BI305" s="656"/>
      <c r="BJ305" s="656"/>
      <c r="BK305" s="656"/>
      <c r="BL305" s="656"/>
      <c r="BM305" s="656"/>
      <c r="BN305" s="656"/>
      <c r="BO305" s="79"/>
      <c r="BP305" s="63"/>
      <c r="BQ305" s="1325"/>
      <c r="BR305" s="712"/>
      <c r="BS305" s="712"/>
      <c r="BT305" s="712"/>
      <c r="BU305" s="1186"/>
      <c r="BV305" s="1186"/>
      <c r="BW305" s="712"/>
      <c r="BX305" s="712"/>
      <c r="BY305" s="718" t="s">
        <v>106</v>
      </c>
      <c r="BZ305" s="58" t="s">
        <v>107</v>
      </c>
      <c r="CA305" s="720" t="s">
        <v>108</v>
      </c>
      <c r="CB305" s="1196"/>
      <c r="CC305" s="1197"/>
      <c r="CD305" s="63"/>
      <c r="CE305" s="1200"/>
      <c r="CF305" s="1201"/>
      <c r="CG305" s="63"/>
      <c r="CH305" s="1186"/>
    </row>
    <row r="306" spans="2:86" ht="18.75" outlineLevel="1" thickBot="1">
      <c r="B306" s="65"/>
      <c r="C306" s="66"/>
      <c r="D306" s="661" t="s">
        <v>6306</v>
      </c>
      <c r="E306" s="661" t="s">
        <v>6306</v>
      </c>
      <c r="F306" s="661"/>
      <c r="G306" s="661" t="s">
        <v>6306</v>
      </c>
      <c r="H306" s="661" t="s">
        <v>6306</v>
      </c>
      <c r="I306" s="661" t="s">
        <v>6306</v>
      </c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 t="s">
        <v>285</v>
      </c>
      <c r="AS306" s="64" t="s">
        <v>6636</v>
      </c>
      <c r="AT306" s="64"/>
      <c r="AU306" s="64" t="s">
        <v>120</v>
      </c>
      <c r="AV306" s="64" t="s">
        <v>120</v>
      </c>
      <c r="AW306" s="64" t="s">
        <v>119</v>
      </c>
      <c r="AX306" s="64"/>
      <c r="AY306" s="64"/>
      <c r="AZ306" s="739" t="s">
        <v>6306</v>
      </c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6"/>
      <c r="BP306" s="63"/>
      <c r="BQ306" s="66"/>
      <c r="BR306" s="713"/>
      <c r="BS306" s="713"/>
      <c r="BT306" s="713"/>
      <c r="BU306" s="713" t="s">
        <v>285</v>
      </c>
      <c r="BV306" s="713" t="s">
        <v>6415</v>
      </c>
      <c r="BW306" s="713"/>
      <c r="BX306" s="713"/>
      <c r="BY306" s="713" t="s">
        <v>109</v>
      </c>
      <c r="BZ306" s="66" t="s">
        <v>109</v>
      </c>
      <c r="CA306" s="64" t="s">
        <v>109</v>
      </c>
      <c r="CB306" s="66" t="s">
        <v>109</v>
      </c>
      <c r="CC306" s="721" t="s">
        <v>110</v>
      </c>
      <c r="CD306" s="63"/>
      <c r="CE306" s="724" t="s">
        <v>111</v>
      </c>
      <c r="CF306" s="725" t="s">
        <v>112</v>
      </c>
      <c r="CG306" s="63"/>
      <c r="CH306" s="66" t="s">
        <v>114</v>
      </c>
    </row>
    <row r="307" spans="2:86" outlineLevel="1">
      <c r="B307" s="787" t="s">
        <v>6546</v>
      </c>
      <c r="C307" s="80"/>
      <c r="D307" s="716"/>
      <c r="E307" s="662"/>
      <c r="F307" s="69" t="str">
        <f>IF(E307=0,"",MONTH(E307))</f>
        <v/>
      </c>
      <c r="G307" s="80"/>
      <c r="H307" s="80"/>
      <c r="I307" s="648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  <c r="AP307" s="69"/>
      <c r="AQ307" s="69"/>
      <c r="AR307" s="790"/>
      <c r="AS307" s="69"/>
      <c r="AT307" s="69"/>
      <c r="AU307" s="790"/>
      <c r="AV307" s="790"/>
      <c r="AW307" s="790"/>
      <c r="AX307" s="790"/>
      <c r="AY307" s="69"/>
      <c r="AZ307" s="790"/>
      <c r="BA307" s="69"/>
      <c r="BB307" s="69"/>
      <c r="BC307" s="69"/>
      <c r="BD307" s="69"/>
      <c r="BE307" s="69"/>
      <c r="BF307" s="69"/>
      <c r="BG307" s="69"/>
      <c r="BH307" s="69"/>
      <c r="BI307" s="69"/>
      <c r="BJ307" s="69"/>
      <c r="BK307" s="69"/>
      <c r="BL307" s="69"/>
      <c r="BM307" s="69"/>
      <c r="BN307" s="69"/>
      <c r="BO307" s="69"/>
      <c r="BP307" s="63"/>
      <c r="BQ307" s="69"/>
      <c r="BR307" s="719"/>
      <c r="BS307" s="719"/>
      <c r="BT307" s="719"/>
      <c r="BU307" s="719">
        <f>IF($AW307=0,Calculs!$AR307,IF($AW307=FÉ!C106,Calculs!$AR307,VLOOKUP($AW307,FÉ!$C$93:$L$108,2,FALSE)))*IF(Calculs!$AX307='Listes déroulantes, autres'!$C$9,2,1)*Calculs!$AZ307</f>
        <v>0</v>
      </c>
      <c r="BV307" s="719">
        <f>CB307/FÉ!$L$49</f>
        <v>0</v>
      </c>
      <c r="BW307" s="719"/>
      <c r="BX307" s="719"/>
      <c r="BY307" s="791">
        <f>IF($AW307=0,0,  IF($AW307=FÉ!$C$107,      FÉ!I$107*$BU307*$AU307 + FÉ!N$107*$BU307*$AV307,      VLOOKUP($AW307,FÉ!$C$93:$Q$104,7,FALSE)*$AU307 + VLOOKUP($AW307,FÉ!$C$93:$Q$104,12,FALSE)*$AV307          * $AZ307 * IF(Calculs!$AX307='Listes déroulantes, autres'!$C$9,2,1)))*PRP!$J$8</f>
        <v>0</v>
      </c>
      <c r="BZ307" s="791">
        <f>IF($AW307=0,0,   IF($AW307=FÉ!$C$107,      FÉ!J$107*$BU307*$AU307 + FÉ!O$107*$BU307*$AV307,      VLOOKUP($AW307,FÉ!$C$93:$Q$104,8,FALSE)*$AU307 + VLOOKUP($AW307,FÉ!$C$93:$Q$104,13,FALSE)*$AV307          * $AZ307 * IF(Calculs!$AX307='Listes déroulantes, autres'!$C$9,2,1)))*PRP!$J$9</f>
        <v>0</v>
      </c>
      <c r="CA307" s="791">
        <f>IF($AW307=0,0, IF($AW307=FÉ!$C$107,      FÉ!K$107*$BU307*$AU307 + FÉ!P$107*$BU307*$AV307,      VLOOKUP($AW307,FÉ!$C$93:$Q$104,9,FALSE)*$AU307 + VLOOKUP($AW307,FÉ!$C$93:$Q$104,14,FALSE)*$AV307          * $AZ307 * IF(Calculs!$AX307='Listes déroulantes, autres'!$C$9,2,1)))*PRP!$J$10</f>
        <v>0</v>
      </c>
      <c r="CB307" s="69">
        <f>SUM(BY307:CA307)</f>
        <v>0</v>
      </c>
      <c r="CC307" s="722">
        <f>CB307/(10^6)</f>
        <v>0</v>
      </c>
      <c r="CD307" s="63"/>
      <c r="CE307" s="726"/>
      <c r="CF307" s="727"/>
      <c r="CG307" s="63"/>
      <c r="CH307" s="730">
        <f>BV307*FÉ!$H$107</f>
        <v>0</v>
      </c>
    </row>
    <row r="308" spans="2:86" outlineLevel="1">
      <c r="B308" s="69" t="str">
        <f t="shared" ref="B308:B316" si="72">B307</f>
        <v>3.5C1</v>
      </c>
      <c r="C308" s="80"/>
      <c r="D308" s="80"/>
      <c r="E308" s="663">
        <v>45661</v>
      </c>
      <c r="F308" s="69">
        <f t="shared" ref="F308:F316" si="73">IF(E308=0,"",MONTH(E308))</f>
        <v>1</v>
      </c>
      <c r="G308" s="80" t="s">
        <v>137</v>
      </c>
      <c r="H308" s="80"/>
      <c r="I308" s="648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  <c r="AP308" s="69"/>
      <c r="AQ308" s="69"/>
      <c r="AR308" s="790">
        <v>53.7</v>
      </c>
      <c r="AS308" s="69"/>
      <c r="AT308" s="69"/>
      <c r="AU308" s="790">
        <v>1</v>
      </c>
      <c r="AV308" s="790">
        <v>0</v>
      </c>
      <c r="AW308" s="790" t="s">
        <v>315</v>
      </c>
      <c r="AX308" s="790" t="s">
        <v>1446</v>
      </c>
      <c r="AY308" s="69"/>
      <c r="AZ308" s="790">
        <v>2</v>
      </c>
      <c r="BA308" s="69"/>
      <c r="BB308" s="69"/>
      <c r="BC308" s="69"/>
      <c r="BD308" s="69"/>
      <c r="BE308" s="69"/>
      <c r="BF308" s="69"/>
      <c r="BG308" s="69"/>
      <c r="BH308" s="69"/>
      <c r="BI308" s="69"/>
      <c r="BJ308" s="69"/>
      <c r="BK308" s="69"/>
      <c r="BL308" s="69"/>
      <c r="BM308" s="69"/>
      <c r="BN308" s="69"/>
      <c r="BO308" s="69"/>
      <c r="BP308" s="63"/>
      <c r="BQ308" s="69"/>
      <c r="BR308" s="719"/>
      <c r="BS308" s="719"/>
      <c r="BT308" s="719"/>
      <c r="BU308" s="719">
        <f>IF($AW308=0,Calculs!$AR308,IF($AW308=FÉ!C107,Calculs!$AR308,VLOOKUP($AW308,FÉ!$C$93:$L$108,2,FALSE)))*IF(Calculs!$AX308='Listes déroulantes, autres'!$C$9,2,1)*Calculs!$AZ308</f>
        <v>214.8</v>
      </c>
      <c r="BV308" s="719">
        <f>CB308/FÉ!$L$49</f>
        <v>15.751398654084735</v>
      </c>
      <c r="BW308" s="719"/>
      <c r="BX308" s="719"/>
      <c r="BY308" s="791">
        <f>IF($AW308=0,0,  IF($AW308=FÉ!$C$107,      FÉ!I$107*$BU308*$AU308 + FÉ!N$107*$BU308*$AV308,      VLOOKUP($AW308,FÉ!$C$93:$Q$104,7,FALSE)*$AU308 + VLOOKUP($AW308,FÉ!$C$93:$Q$104,12,FALSE)*$AV308          * $AZ308 * IF(Calculs!$AX308='Listes déroulantes, autres'!$C$9,2,1)))*PRP!$J$8</f>
        <v>49711.414152291421</v>
      </c>
      <c r="BZ308" s="791">
        <f>IF($AW308=0,0,   IF($AW308=FÉ!$C$107,      FÉ!J$107*$BU308*$AU308 + FÉ!O$107*$BU308*$AV308,      VLOOKUP($AW308,FÉ!$C$93:$Q$104,8,FALSE)*$AU308 + VLOOKUP($AW308,FÉ!$C$93:$Q$104,13,FALSE)*$AV308          * $AZ308 * IF(Calculs!$AX308='Listes déroulantes, autres'!$C$9,2,1)))*PRP!$J$9</f>
        <v>134.05826377707666</v>
      </c>
      <c r="CA308" s="791">
        <f>IF($AW308=0,0, IF($AW308=FÉ!$C$107,      FÉ!K$107*$BU308*$AU308 + FÉ!P$107*$BU308*$AV308,      VLOOKUP($AW308,FÉ!$C$93:$Q$104,9,FALSE)*$AU308 + VLOOKUP($AW308,FÉ!$C$93:$Q$104,14,FALSE)*$AV308          * $AZ308 * IF(Calculs!$AX308='Listes déroulantes, autres'!$C$9,2,1)))*PRP!$J$10</f>
        <v>350.89075753731476</v>
      </c>
      <c r="CB308" s="69">
        <f>SUM(BY308:CA308)</f>
        <v>50196.363173605816</v>
      </c>
      <c r="CC308" s="722">
        <f>CB308/(10^6)</f>
        <v>5.0196363173605818E-2</v>
      </c>
      <c r="CD308" s="63"/>
      <c r="CE308" s="726"/>
      <c r="CF308" s="727"/>
      <c r="CG308" s="63"/>
      <c r="CH308" s="730">
        <f>BV308*FÉ!$H$107</f>
        <v>169.64256350449259</v>
      </c>
    </row>
    <row r="309" spans="2:86" outlineLevel="1">
      <c r="B309" s="69" t="str">
        <f t="shared" si="72"/>
        <v>3.5C1</v>
      </c>
      <c r="C309" s="80"/>
      <c r="D309" s="80"/>
      <c r="E309" s="663">
        <v>45661</v>
      </c>
      <c r="F309" s="69">
        <f t="shared" si="73"/>
        <v>1</v>
      </c>
      <c r="G309" s="80" t="s">
        <v>139</v>
      </c>
      <c r="H309" s="80"/>
      <c r="I309" s="648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  <c r="AP309" s="69"/>
      <c r="AQ309" s="69"/>
      <c r="AR309" s="790"/>
      <c r="AS309" s="69"/>
      <c r="AT309" s="69"/>
      <c r="AU309" s="790">
        <v>1</v>
      </c>
      <c r="AV309" s="790">
        <v>0</v>
      </c>
      <c r="AW309" s="790" t="s">
        <v>306</v>
      </c>
      <c r="AX309" s="790" t="s">
        <v>1446</v>
      </c>
      <c r="AY309" s="69"/>
      <c r="AZ309" s="790">
        <v>2</v>
      </c>
      <c r="BA309" s="69"/>
      <c r="BB309" s="69"/>
      <c r="BC309" s="69"/>
      <c r="BD309" s="69"/>
      <c r="BE309" s="69"/>
      <c r="BF309" s="69"/>
      <c r="BG309" s="69"/>
      <c r="BH309" s="69"/>
      <c r="BI309" s="69"/>
      <c r="BJ309" s="69"/>
      <c r="BK309" s="69"/>
      <c r="BL309" s="69"/>
      <c r="BM309" s="69"/>
      <c r="BN309" s="69"/>
      <c r="BO309" s="69"/>
      <c r="BP309" s="63"/>
      <c r="BQ309" s="69"/>
      <c r="BR309" s="719"/>
      <c r="BS309" s="719"/>
      <c r="BT309" s="719"/>
      <c r="BU309" s="719">
        <f>IF($AW309=0,Calculs!$AR309,IF($AW309=FÉ!C108,Calculs!$AR309,VLOOKUP($AW309,FÉ!$C$93:$L$108,2,FALSE)))*IF(Calculs!$AX309='Listes déroulantes, autres'!$C$9,2,1)*Calculs!$AZ309</f>
        <v>214.8</v>
      </c>
      <c r="BV309" s="719">
        <f>CB309/FÉ!$L$49</f>
        <v>3.9378496635211833</v>
      </c>
      <c r="BW309" s="719"/>
      <c r="BX309" s="719"/>
      <c r="BY309" s="791">
        <f>IF($AW309=0,0,  IF($AW309=FÉ!$C$107,      FÉ!I$107*$BU309*$AU309 + FÉ!N$107*$BU309*$AV309,      VLOOKUP($AW309,FÉ!$C$93:$Q$104,7,FALSE)*$AU309 + VLOOKUP($AW309,FÉ!$C$93:$Q$104,12,FALSE)*$AV309          * $AZ309 * IF(Calculs!$AX309='Listes déroulantes, autres'!$C$9,2,1)))*PRP!$J$8</f>
        <v>12427.853538072854</v>
      </c>
      <c r="BZ309" s="791">
        <f>IF($AW309=0,0,   IF($AW309=FÉ!$C$107,      FÉ!J$107*$BU309*$AU309 + FÉ!O$107*$BU309*$AV309,      VLOOKUP($AW309,FÉ!$C$93:$Q$104,8,FALSE)*$AU309 + VLOOKUP($AW309,FÉ!$C$93:$Q$104,13,FALSE)*$AV309          * $AZ309 * IF(Calculs!$AX309='Listes déroulantes, autres'!$C$9,2,1)))*PRP!$J$9</f>
        <v>33.514565944269172</v>
      </c>
      <c r="CA309" s="791">
        <f>IF($AW309=0,0, IF($AW309=FÉ!$C$107,      FÉ!K$107*$BU309*$AU309 + FÉ!P$107*$BU309*$AV309,      VLOOKUP($AW309,FÉ!$C$93:$Q$104,9,FALSE)*$AU309 + VLOOKUP($AW309,FÉ!$C$93:$Q$104,14,FALSE)*$AV309          * $AZ309 * IF(Calculs!$AX309='Listes déroulantes, autres'!$C$9,2,1)))*PRP!$J$10</f>
        <v>87.722689384328703</v>
      </c>
      <c r="CB309" s="69">
        <f t="shared" ref="CB309:CB316" si="74">SUM(BY309:CA309)</f>
        <v>12549.090793401452</v>
      </c>
      <c r="CC309" s="722">
        <f t="shared" ref="CC309:CC316" si="75">CB309/(10^6)</f>
        <v>1.2549090793401453E-2</v>
      </c>
      <c r="CD309" s="63"/>
      <c r="CE309" s="726"/>
      <c r="CF309" s="727"/>
      <c r="CG309" s="63"/>
      <c r="CH309" s="730">
        <f>BV309*FÉ!$H$107</f>
        <v>42.410640876123139</v>
      </c>
    </row>
    <row r="310" spans="2:86" outlineLevel="1">
      <c r="B310" s="69" t="str">
        <f t="shared" si="72"/>
        <v>3.5C1</v>
      </c>
      <c r="C310" s="80"/>
      <c r="D310" s="80"/>
      <c r="E310" s="663"/>
      <c r="F310" s="69" t="str">
        <f t="shared" si="73"/>
        <v/>
      </c>
      <c r="G310" s="80"/>
      <c r="H310" s="80"/>
      <c r="I310" s="648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  <c r="AP310" s="69"/>
      <c r="AQ310" s="69"/>
      <c r="AR310" s="790"/>
      <c r="AS310" s="69"/>
      <c r="AT310" s="69"/>
      <c r="AU310" s="790">
        <v>1</v>
      </c>
      <c r="AV310" s="790">
        <v>1</v>
      </c>
      <c r="AW310" s="790" t="s">
        <v>300</v>
      </c>
      <c r="AX310" s="790" t="s">
        <v>1445</v>
      </c>
      <c r="AY310" s="69"/>
      <c r="AZ310" s="790">
        <v>1</v>
      </c>
      <c r="BA310" s="69"/>
      <c r="BB310" s="69"/>
      <c r="BC310" s="69"/>
      <c r="BD310" s="69"/>
      <c r="BE310" s="69"/>
      <c r="BF310" s="69"/>
      <c r="BG310" s="69"/>
      <c r="BH310" s="69"/>
      <c r="BI310" s="69"/>
      <c r="BJ310" s="69"/>
      <c r="BK310" s="69"/>
      <c r="BL310" s="69"/>
      <c r="BM310" s="69"/>
      <c r="BN310" s="69"/>
      <c r="BO310" s="69"/>
      <c r="BP310" s="63"/>
      <c r="BQ310" s="69"/>
      <c r="BR310" s="719"/>
      <c r="BS310" s="719"/>
      <c r="BT310" s="719"/>
      <c r="BU310" s="719">
        <f>IF($AW310=0,Calculs!$AR310,IF($AW310=FÉ!C109,Calculs!$AR310,VLOOKUP($AW310,FÉ!$C$93:$L$108,2,FALSE)))*IF(Calculs!$AX310='Listes déroulantes, autres'!$C$9,2,1)*Calculs!$AZ310</f>
        <v>1.1000000000000001</v>
      </c>
      <c r="BV310" s="719">
        <f>CB310/FÉ!$L$49</f>
        <v>0.3831520389552735</v>
      </c>
      <c r="BW310" s="719"/>
      <c r="BX310" s="719"/>
      <c r="BY310" s="791">
        <f>IF($AW310=0,0,  IF($AW310=FÉ!$C$107,      FÉ!I$107*$BU310*$AU310 + FÉ!N$107*$BU310*$AV310,      VLOOKUP($AW310,FÉ!$C$93:$Q$104,7,FALSE)*$AU310 + VLOOKUP($AW310,FÉ!$C$93:$Q$104,12,FALSE)*$AV310          * $AZ310 * IF(Calculs!$AX310='Listes déroulantes, autres'!$C$9,2,1)))*PRP!$J$8</f>
        <v>1209.2278349428429</v>
      </c>
      <c r="BZ310" s="791">
        <f>IF($AW310=0,0,   IF($AW310=FÉ!$C$107,      FÉ!J$107*$BU310*$AU310 + FÉ!O$107*$BU310*$AV310,      VLOOKUP($AW310,FÉ!$C$93:$Q$104,8,FALSE)*$AU310 + VLOOKUP($AW310,FÉ!$C$93:$Q$104,13,FALSE)*$AV310          * $AZ310 * IF(Calculs!$AX310='Listes déroulantes, autres'!$C$9,2,1)))*PRP!$J$9</f>
        <v>3.2609610253036578</v>
      </c>
      <c r="CA310" s="791">
        <f>IF($AW310=0,0, IF($AW310=FÉ!$C$107,      FÉ!K$107*$BU310*$AU310 + FÉ!P$107*$BU310*$AV310,      VLOOKUP($AW310,FÉ!$C$93:$Q$104,9,FALSE)*$AU310 + VLOOKUP($AW310,FÉ!$C$93:$Q$104,14,FALSE)*$AV310          * $AZ310 * IF(Calculs!$AX310='Listes déroulantes, autres'!$C$9,2,1)))*PRP!$J$10</f>
        <v>8.5354013413988348</v>
      </c>
      <c r="CB310" s="69">
        <f t="shared" si="74"/>
        <v>1221.0241973095456</v>
      </c>
      <c r="CC310" s="722">
        <f t="shared" si="75"/>
        <v>1.2210241973095455E-3</v>
      </c>
      <c r="CD310" s="63"/>
      <c r="CE310" s="726"/>
      <c r="CF310" s="727"/>
      <c r="CG310" s="63"/>
      <c r="CH310" s="730">
        <f>BV310*FÉ!$H$107</f>
        <v>4.1265474595482958</v>
      </c>
    </row>
    <row r="311" spans="2:86" outlineLevel="1">
      <c r="B311" s="69" t="str">
        <f t="shared" si="72"/>
        <v>3.5C1</v>
      </c>
      <c r="C311" s="80"/>
      <c r="D311" s="80"/>
      <c r="E311" s="663"/>
      <c r="F311" s="69" t="str">
        <f t="shared" si="73"/>
        <v/>
      </c>
      <c r="G311" s="80"/>
      <c r="H311" s="80"/>
      <c r="I311" s="648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69"/>
      <c r="AR311" s="790"/>
      <c r="AS311" s="69"/>
      <c r="AT311" s="69"/>
      <c r="AU311" s="790">
        <v>3</v>
      </c>
      <c r="AV311" s="790">
        <v>1</v>
      </c>
      <c r="AW311" s="790" t="s">
        <v>304</v>
      </c>
      <c r="AX311" s="790" t="s">
        <v>1445</v>
      </c>
      <c r="AY311" s="69"/>
      <c r="AZ311" s="790">
        <v>1</v>
      </c>
      <c r="BA311" s="69"/>
      <c r="BB311" s="69"/>
      <c r="BC311" s="69"/>
      <c r="BD311" s="69"/>
      <c r="BE311" s="69"/>
      <c r="BF311" s="69"/>
      <c r="BG311" s="69"/>
      <c r="BH311" s="69"/>
      <c r="BI311" s="69"/>
      <c r="BJ311" s="69"/>
      <c r="BK311" s="69"/>
      <c r="BL311" s="69"/>
      <c r="BM311" s="69"/>
      <c r="BN311" s="69"/>
      <c r="BO311" s="69"/>
      <c r="BP311" s="63"/>
      <c r="BQ311" s="69"/>
      <c r="BR311" s="719"/>
      <c r="BS311" s="719"/>
      <c r="BT311" s="719"/>
      <c r="BU311" s="719">
        <f>IF($AW311=0,Calculs!$AR311,IF($AW311=FÉ!C110,Calculs!$AR311,VLOOKUP($AW311,FÉ!$C$93:$L$108,2,FALSE)))*IF(Calculs!$AX311='Listes déroulantes, autres'!$C$9,2,1)*Calculs!$AZ311</f>
        <v>5</v>
      </c>
      <c r="BV311" s="719">
        <f>CB311/FÉ!$L$49</f>
        <v>2.4749055147828662</v>
      </c>
      <c r="BW311" s="719"/>
      <c r="BX311" s="719"/>
      <c r="BY311" s="791">
        <f>IF($AW311=0,0,  IF($AW311=FÉ!$C$107,      FÉ!I$107*$BU311*$AU311 + FÉ!N$107*$BU311*$AV311,      VLOOKUP($AW311,FÉ!$C$93:$Q$104,7,FALSE)*$AU311 + VLOOKUP($AW311,FÉ!$C$93:$Q$104,12,FALSE)*$AV311          * $AZ311 * IF(Calculs!$AX311='Listes déroulantes, autres'!$C$9,2,1)))*PRP!$J$8</f>
        <v>7810.8018046547259</v>
      </c>
      <c r="BZ311" s="791">
        <f>IF($AW311=0,0,   IF($AW311=FÉ!$C$107,      FÉ!J$107*$BU311*$AU311 + FÉ!O$107*$BU311*$AV311,      VLOOKUP($AW311,FÉ!$C$93:$Q$104,8,FALSE)*$AU311 + VLOOKUP($AW311,FÉ!$C$93:$Q$104,13,FALSE)*$AV311          * $AZ311 * IF(Calculs!$AX311='Listes déroulantes, autres'!$C$9,2,1)))*PRP!$J$9</f>
        <v>21.063623847655204</v>
      </c>
      <c r="CA311" s="791">
        <f>IF($AW311=0,0, IF($AW311=FÉ!$C$107,      FÉ!K$107*$BU311*$AU311 + FÉ!P$107*$BU311*$AV311,      VLOOKUP($AW311,FÉ!$C$93:$Q$104,9,FALSE)*$AU311 + VLOOKUP($AW311,FÉ!$C$93:$Q$104,14,FALSE)*$AV311          * $AZ311 * IF(Calculs!$AX311='Listes déroulantes, autres'!$C$9,2,1)))*PRP!$J$10</f>
        <v>55.132975171714968</v>
      </c>
      <c r="CB311" s="69">
        <f t="shared" si="74"/>
        <v>7886.9984036740962</v>
      </c>
      <c r="CC311" s="722">
        <f t="shared" si="75"/>
        <v>7.8869984036740969E-3</v>
      </c>
      <c r="CD311" s="63"/>
      <c r="CE311" s="726"/>
      <c r="CF311" s="727"/>
      <c r="CG311" s="63"/>
      <c r="CH311" s="730">
        <f>BV311*FÉ!$H$107</f>
        <v>26.654732394211468</v>
      </c>
    </row>
    <row r="312" spans="2:86" outlineLevel="1">
      <c r="B312" s="69" t="str">
        <f t="shared" si="72"/>
        <v>3.5C1</v>
      </c>
      <c r="C312" s="80"/>
      <c r="D312" s="80"/>
      <c r="E312" s="663"/>
      <c r="F312" s="69" t="str">
        <f t="shared" si="73"/>
        <v/>
      </c>
      <c r="G312" s="80"/>
      <c r="H312" s="80"/>
      <c r="I312" s="648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  <c r="AP312" s="69"/>
      <c r="AQ312" s="69"/>
      <c r="AR312" s="790"/>
      <c r="AS312" s="69"/>
      <c r="AT312" s="69"/>
      <c r="AU312" s="790">
        <v>4</v>
      </c>
      <c r="AV312" s="790">
        <v>1</v>
      </c>
      <c r="AW312" s="790" t="s">
        <v>303</v>
      </c>
      <c r="AX312" s="790" t="s">
        <v>1445</v>
      </c>
      <c r="AY312" s="69"/>
      <c r="AZ312" s="790">
        <v>2</v>
      </c>
      <c r="BA312" s="69"/>
      <c r="BB312" s="69"/>
      <c r="BC312" s="69"/>
      <c r="BD312" s="69"/>
      <c r="BE312" s="69"/>
      <c r="BF312" s="69"/>
      <c r="BG312" s="69"/>
      <c r="BH312" s="69"/>
      <c r="BI312" s="69"/>
      <c r="BJ312" s="69"/>
      <c r="BK312" s="69"/>
      <c r="BL312" s="69"/>
      <c r="BM312" s="69"/>
      <c r="BN312" s="69"/>
      <c r="BO312" s="69"/>
      <c r="BP312" s="63"/>
      <c r="BQ312" s="69"/>
      <c r="BR312" s="719"/>
      <c r="BS312" s="719"/>
      <c r="BT312" s="719"/>
      <c r="BU312" s="719">
        <f>IF($AW312=0,Calculs!$AR312,IF($AW312=FÉ!C111,Calculs!$AR312,VLOOKUP($AW312,FÉ!$C$93:$L$108,2,FALSE)))*IF(Calculs!$AX312='Listes déroulantes, autres'!$C$9,2,1)*Calculs!$AZ312</f>
        <v>3</v>
      </c>
      <c r="BV312" s="719">
        <f>CB312/FÉ!$L$49</f>
        <v>1.2649517075556873</v>
      </c>
      <c r="BW312" s="719"/>
      <c r="BX312" s="719"/>
      <c r="BY312" s="791">
        <f>IF($AW312=0,0,  IF($AW312=FÉ!$C$107,      FÉ!I$107*$BU312*$AU312 + FÉ!N$107*$BU312*$AV312,      VLOOKUP($AW312,FÉ!$C$93:$Q$104,7,FALSE)*$AU312 + VLOOKUP($AW312,FÉ!$C$93:$Q$104,12,FALSE)*$AV312          * $AZ312 * IF(Calculs!$AX312='Listes déroulantes, autres'!$C$9,2,1)))*PRP!$J$8</f>
        <v>3992.1875890457491</v>
      </c>
      <c r="BZ312" s="791">
        <f>IF($AW312=0,0,   IF($AW312=FÉ!$C$107,      FÉ!J$107*$BU312*$AU312 + FÉ!O$107*$BU312*$AV312,      VLOOKUP($AW312,FÉ!$C$93:$Q$104,8,FALSE)*$AU312 + VLOOKUP($AW312,FÉ!$C$93:$Q$104,13,FALSE)*$AV312          * $AZ312 * IF(Calculs!$AX312='Listes déroulantes, autres'!$C$9,2,1)))*PRP!$J$9</f>
        <v>10.765852188801547</v>
      </c>
      <c r="CA312" s="791">
        <f>IF($AW312=0,0, IF($AW312=FÉ!$C$107,      FÉ!K$107*$BU312*$AU312 + FÉ!P$107*$BU312*$AV312,      VLOOKUP($AW312,FÉ!$C$93:$Q$104,9,FALSE)*$AU312 + VLOOKUP($AW312,FÉ!$C$93:$Q$104,14,FALSE)*$AV312          * $AZ312 * IF(Calculs!$AX312='Listes déroulantes, autres'!$C$9,2,1)))*PRP!$J$10</f>
        <v>28.179076198876533</v>
      </c>
      <c r="CB312" s="69">
        <f t="shared" si="74"/>
        <v>4031.132517433427</v>
      </c>
      <c r="CC312" s="722">
        <f t="shared" si="75"/>
        <v>4.0311325174334266E-3</v>
      </c>
      <c r="CD312" s="63"/>
      <c r="CE312" s="726"/>
      <c r="CF312" s="727"/>
      <c r="CG312" s="63"/>
      <c r="CH312" s="730">
        <f>BV312*FÉ!$H$107</f>
        <v>13.623529890374751</v>
      </c>
    </row>
    <row r="313" spans="2:86" outlineLevel="1">
      <c r="B313" s="69" t="str">
        <f t="shared" si="72"/>
        <v>3.5C1</v>
      </c>
      <c r="C313" s="80"/>
      <c r="D313" s="80"/>
      <c r="E313" s="663"/>
      <c r="F313" s="69" t="str">
        <f t="shared" si="73"/>
        <v/>
      </c>
      <c r="G313" s="80"/>
      <c r="H313" s="80"/>
      <c r="I313" s="648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  <c r="AP313" s="69"/>
      <c r="AQ313" s="69"/>
      <c r="AR313" s="790"/>
      <c r="AS313" s="69"/>
      <c r="AT313" s="69"/>
      <c r="AU313" s="790">
        <v>4</v>
      </c>
      <c r="AV313" s="790">
        <v>2</v>
      </c>
      <c r="AW313" s="790" t="s">
        <v>310</v>
      </c>
      <c r="AX313" s="790" t="s">
        <v>1445</v>
      </c>
      <c r="AY313" s="69"/>
      <c r="AZ313" s="790">
        <v>2</v>
      </c>
      <c r="BA313" s="69"/>
      <c r="BB313" s="69"/>
      <c r="BC313" s="69"/>
      <c r="BD313" s="69"/>
      <c r="BE313" s="69"/>
      <c r="BF313" s="69"/>
      <c r="BG313" s="69"/>
      <c r="BH313" s="69"/>
      <c r="BI313" s="69"/>
      <c r="BJ313" s="69"/>
      <c r="BK313" s="69"/>
      <c r="BL313" s="69"/>
      <c r="BM313" s="69"/>
      <c r="BN313" s="69"/>
      <c r="BO313" s="69"/>
      <c r="BP313" s="63"/>
      <c r="BQ313" s="69"/>
      <c r="BR313" s="719"/>
      <c r="BS313" s="719"/>
      <c r="BT313" s="719"/>
      <c r="BU313" s="719">
        <f>IF($AW313=0,Calculs!$AR313,IF($AW313=FÉ!C112,Calculs!$AR313,VLOOKUP($AW313,FÉ!$C$93:$L$108,2,FALSE)))*IF(Calculs!$AX313='Listes déroulantes, autres'!$C$9,2,1)*Calculs!$AZ313</f>
        <v>52.4</v>
      </c>
      <c r="BV313" s="719">
        <f>CB313/FÉ!$L$49</f>
        <v>36.503939711375139</v>
      </c>
      <c r="BW313" s="719"/>
      <c r="BX313" s="719"/>
      <c r="BY313" s="791">
        <f>IF($AW313=0,0,  IF($AW313=FÉ!$C$107,      FÉ!I$107*$BU313*$AU313 + FÉ!N$107*$BU313*$AV313,      VLOOKUP($AW313,FÉ!$C$93:$Q$104,7,FALSE)*$AU313 + VLOOKUP($AW313,FÉ!$C$93:$Q$104,12,FALSE)*$AV313          * $AZ313 * IF(Calculs!$AX313='Listes déroulantes, autres'!$C$9,2,1)))*PRP!$J$8</f>
        <v>115206.43372909992</v>
      </c>
      <c r="BZ313" s="791">
        <f>IF($AW313=0,0,   IF($AW313=FÉ!$C$107,      FÉ!J$107*$BU313*$AU313 + FÉ!O$107*$BU313*$AV313,      VLOOKUP($AW313,FÉ!$C$93:$Q$104,8,FALSE)*$AU313 + VLOOKUP($AW313,FÉ!$C$93:$Q$104,13,FALSE)*$AV313          * $AZ313 * IF(Calculs!$AX313='Listes déroulantes, autres'!$C$9,2,1)))*PRP!$J$9</f>
        <v>310.68065041074851</v>
      </c>
      <c r="CA313" s="791">
        <f>IF($AW313=0,0, IF($AW313=FÉ!$C$107,      FÉ!K$107*$BU313*$AU313 + FÉ!P$107*$BU313*$AV313,      VLOOKUP($AW313,FÉ!$C$93:$Q$104,9,FALSE)*$AU313 + VLOOKUP($AW313,FÉ!$C$93:$Q$104,14,FALSE)*$AV313          * $AZ313 * IF(Calculs!$AX313='Listes déroulantes, autres'!$C$9,2,1)))*PRP!$J$10</f>
        <v>813.19096416236175</v>
      </c>
      <c r="CB313" s="69">
        <f t="shared" si="74"/>
        <v>116330.30534367304</v>
      </c>
      <c r="CC313" s="722">
        <f t="shared" si="75"/>
        <v>0.11633030534367304</v>
      </c>
      <c r="CD313" s="63"/>
      <c r="CE313" s="726"/>
      <c r="CF313" s="727"/>
      <c r="CG313" s="63"/>
      <c r="CH313" s="730">
        <f>BV313*FÉ!$H$107</f>
        <v>393.14743069151024</v>
      </c>
    </row>
    <row r="314" spans="2:86" outlineLevel="1">
      <c r="B314" s="69" t="str">
        <f t="shared" si="72"/>
        <v>3.5C1</v>
      </c>
      <c r="C314" s="80"/>
      <c r="D314" s="80"/>
      <c r="E314" s="663"/>
      <c r="F314" s="69" t="str">
        <f t="shared" si="73"/>
        <v/>
      </c>
      <c r="G314" s="80"/>
      <c r="H314" s="80"/>
      <c r="I314" s="648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  <c r="AP314" s="69"/>
      <c r="AQ314" s="69"/>
      <c r="AR314" s="790"/>
      <c r="AS314" s="69"/>
      <c r="AT314" s="69"/>
      <c r="AU314" s="790"/>
      <c r="AV314" s="790"/>
      <c r="AW314" s="790"/>
      <c r="AX314" s="790"/>
      <c r="AY314" s="69"/>
      <c r="AZ314" s="790"/>
      <c r="BA314" s="69"/>
      <c r="BB314" s="69"/>
      <c r="BC314" s="69"/>
      <c r="BD314" s="69"/>
      <c r="BE314" s="69"/>
      <c r="BF314" s="69"/>
      <c r="BG314" s="69"/>
      <c r="BH314" s="69"/>
      <c r="BI314" s="69"/>
      <c r="BJ314" s="69"/>
      <c r="BK314" s="69"/>
      <c r="BL314" s="69"/>
      <c r="BM314" s="69"/>
      <c r="BN314" s="69"/>
      <c r="BO314" s="69"/>
      <c r="BP314" s="63"/>
      <c r="BQ314" s="69"/>
      <c r="BR314" s="719"/>
      <c r="BS314" s="719"/>
      <c r="BT314" s="719"/>
      <c r="BU314" s="719">
        <f>IF($AW314=0,Calculs!$AR314,IF($AW314=FÉ!C113,Calculs!$AR314,VLOOKUP($AW314,FÉ!$C$93:$L$108,2,FALSE)))*IF(Calculs!$AX314='Listes déroulantes, autres'!$C$9,2,1)*Calculs!$AZ314</f>
        <v>0</v>
      </c>
      <c r="BV314" s="719">
        <f>CB314/FÉ!$L$49</f>
        <v>0</v>
      </c>
      <c r="BW314" s="719"/>
      <c r="BX314" s="719"/>
      <c r="BY314" s="791">
        <f>IF($AW314=0,0,  IF($AW314=FÉ!$C$107,      FÉ!I$107*$BU314*$AU314 + FÉ!N$107*$BU314*$AV314,      VLOOKUP($AW314,FÉ!$C$93:$Q$104,7,FALSE)*$AU314 + VLOOKUP($AW314,FÉ!$C$93:$Q$104,12,FALSE)*$AV314          * $AZ314 * IF(Calculs!$AX314='Listes déroulantes, autres'!$C$9,2,1)))*PRP!$J$8</f>
        <v>0</v>
      </c>
      <c r="BZ314" s="791">
        <f>IF($AW314=0,0,   IF($AW314=FÉ!$C$107,      FÉ!J$107*$BU314*$AU314 + FÉ!O$107*$BU314*$AV314,      VLOOKUP($AW314,FÉ!$C$93:$Q$104,8,FALSE)*$AU314 + VLOOKUP($AW314,FÉ!$C$93:$Q$104,13,FALSE)*$AV314          * $AZ314 * IF(Calculs!$AX314='Listes déroulantes, autres'!$C$9,2,1)))*PRP!$J$9</f>
        <v>0</v>
      </c>
      <c r="CA314" s="791">
        <f>IF($AW314=0,0, IF($AW314=FÉ!$C$107,      FÉ!K$107*$BU314*$AU314 + FÉ!P$107*$BU314*$AV314,      VLOOKUP($AW314,FÉ!$C$93:$Q$104,9,FALSE)*$AU314 + VLOOKUP($AW314,FÉ!$C$93:$Q$104,14,FALSE)*$AV314          * $AZ314 * IF(Calculs!$AX314='Listes déroulantes, autres'!$C$9,2,1)))*PRP!$J$10</f>
        <v>0</v>
      </c>
      <c r="CB314" s="69">
        <f t="shared" si="74"/>
        <v>0</v>
      </c>
      <c r="CC314" s="722">
        <f t="shared" si="75"/>
        <v>0</v>
      </c>
      <c r="CD314" s="63"/>
      <c r="CE314" s="726"/>
      <c r="CF314" s="727"/>
      <c r="CG314" s="63"/>
      <c r="CH314" s="730">
        <f>BV314*FÉ!$H$107</f>
        <v>0</v>
      </c>
    </row>
    <row r="315" spans="2:86" outlineLevel="1">
      <c r="B315" s="69" t="str">
        <f t="shared" si="72"/>
        <v>3.5C1</v>
      </c>
      <c r="C315" s="80"/>
      <c r="D315" s="80"/>
      <c r="E315" s="663"/>
      <c r="F315" s="69" t="str">
        <f t="shared" si="73"/>
        <v/>
      </c>
      <c r="G315" s="80"/>
      <c r="H315" s="80"/>
      <c r="I315" s="648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  <c r="AP315" s="69"/>
      <c r="AQ315" s="69"/>
      <c r="AR315" s="790"/>
      <c r="AS315" s="69"/>
      <c r="AT315" s="69"/>
      <c r="AU315" s="790"/>
      <c r="AV315" s="790"/>
      <c r="AW315" s="790"/>
      <c r="AX315" s="790"/>
      <c r="AY315" s="69"/>
      <c r="AZ315" s="790"/>
      <c r="BA315" s="69"/>
      <c r="BB315" s="69"/>
      <c r="BC315" s="69"/>
      <c r="BD315" s="69"/>
      <c r="BE315" s="69"/>
      <c r="BF315" s="69"/>
      <c r="BG315" s="69"/>
      <c r="BH315" s="69"/>
      <c r="BI315" s="69"/>
      <c r="BJ315" s="69"/>
      <c r="BK315" s="69"/>
      <c r="BL315" s="69"/>
      <c r="BM315" s="69"/>
      <c r="BN315" s="69"/>
      <c r="BO315" s="69"/>
      <c r="BP315" s="63"/>
      <c r="BQ315" s="69"/>
      <c r="BR315" s="719"/>
      <c r="BS315" s="719"/>
      <c r="BT315" s="719"/>
      <c r="BU315" s="719">
        <f>IF($AW315=0,Calculs!$AR315,IF($AW315=FÉ!C114,Calculs!$AR315,VLOOKUP($AW315,FÉ!$C$93:$L$108,2,FALSE)))*IF(Calculs!$AX315='Listes déroulantes, autres'!$C$9,2,1)*Calculs!$AZ315</f>
        <v>0</v>
      </c>
      <c r="BV315" s="719">
        <f>CB315/FÉ!$L$49</f>
        <v>0</v>
      </c>
      <c r="BW315" s="719"/>
      <c r="BX315" s="719"/>
      <c r="BY315" s="791">
        <f>IF($AW315=0,0,  IF($AW315=FÉ!$C$107,      FÉ!I$107*$BU315*$AU315 + FÉ!N$107*$BU315*$AV315,      VLOOKUP($AW315,FÉ!$C$93:$Q$104,7,FALSE)*$AU315 + VLOOKUP($AW315,FÉ!$C$93:$Q$104,12,FALSE)*$AV315          * $AZ315 * IF(Calculs!$AX315='Listes déroulantes, autres'!$C$9,2,1)))*PRP!$J$8</f>
        <v>0</v>
      </c>
      <c r="BZ315" s="791">
        <f>IF($AW315=0,0,   IF($AW315=FÉ!$C$107,      FÉ!J$107*$BU315*$AU315 + FÉ!O$107*$BU315*$AV315,      VLOOKUP($AW315,FÉ!$C$93:$Q$104,8,FALSE)*$AU315 + VLOOKUP($AW315,FÉ!$C$93:$Q$104,13,FALSE)*$AV315          * $AZ315 * IF(Calculs!$AX315='Listes déroulantes, autres'!$C$9,2,1)))*PRP!$J$9</f>
        <v>0</v>
      </c>
      <c r="CA315" s="791">
        <f>IF($AW315=0,0, IF($AW315=FÉ!$C$107,      FÉ!K$107*$BU315*$AU315 + FÉ!P$107*$BU315*$AV315,      VLOOKUP($AW315,FÉ!$C$93:$Q$104,9,FALSE)*$AU315 + VLOOKUP($AW315,FÉ!$C$93:$Q$104,14,FALSE)*$AV315          * $AZ315 * IF(Calculs!$AX315='Listes déroulantes, autres'!$C$9,2,1)))*PRP!$J$10</f>
        <v>0</v>
      </c>
      <c r="CB315" s="69">
        <f t="shared" si="74"/>
        <v>0</v>
      </c>
      <c r="CC315" s="722">
        <f t="shared" si="75"/>
        <v>0</v>
      </c>
      <c r="CD315" s="63"/>
      <c r="CE315" s="726"/>
      <c r="CF315" s="727"/>
      <c r="CG315" s="63"/>
      <c r="CH315" s="730">
        <f>BV315*FÉ!$H$107</f>
        <v>0</v>
      </c>
    </row>
    <row r="316" spans="2:86" ht="15.75" outlineLevel="1" thickBot="1">
      <c r="B316" s="69" t="str">
        <f t="shared" si="72"/>
        <v>3.5C1</v>
      </c>
      <c r="C316" s="80"/>
      <c r="D316" s="717"/>
      <c r="E316" s="663"/>
      <c r="F316" s="69" t="str">
        <f t="shared" si="73"/>
        <v/>
      </c>
      <c r="G316" s="80"/>
      <c r="H316" s="80"/>
      <c r="I316" s="648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  <c r="AP316" s="69"/>
      <c r="AQ316" s="69"/>
      <c r="AR316" s="790"/>
      <c r="AS316" s="69"/>
      <c r="AT316" s="69"/>
      <c r="AU316" s="790"/>
      <c r="AV316" s="790"/>
      <c r="AW316" s="790"/>
      <c r="AX316" s="790"/>
      <c r="AY316" s="69"/>
      <c r="AZ316" s="790"/>
      <c r="BA316" s="69"/>
      <c r="BB316" s="69"/>
      <c r="BC316" s="69"/>
      <c r="BD316" s="69"/>
      <c r="BE316" s="69"/>
      <c r="BF316" s="69"/>
      <c r="BG316" s="69"/>
      <c r="BH316" s="69"/>
      <c r="BI316" s="69"/>
      <c r="BJ316" s="69"/>
      <c r="BK316" s="69"/>
      <c r="BL316" s="69"/>
      <c r="BM316" s="69"/>
      <c r="BN316" s="69"/>
      <c r="BO316" s="69"/>
      <c r="BP316" s="63"/>
      <c r="BQ316" s="69"/>
      <c r="BR316" s="719"/>
      <c r="BS316" s="719"/>
      <c r="BT316" s="719"/>
      <c r="BU316" s="719">
        <f>IF($AW316=0,Calculs!$AR316,IF($AW316=FÉ!C115,Calculs!$AR316,VLOOKUP($AW316,FÉ!$C$93:$L$108,2,FALSE)))*IF(Calculs!$AX316='Listes déroulantes, autres'!$C$9,2,1)*Calculs!$AZ316</f>
        <v>0</v>
      </c>
      <c r="BV316" s="719">
        <f>CB316/FÉ!$L$49</f>
        <v>0</v>
      </c>
      <c r="BW316" s="719"/>
      <c r="BX316" s="719"/>
      <c r="BY316" s="791">
        <f>IF($AW316=0,0,  IF($AW316=FÉ!$C$107,      FÉ!I$107*$BU316*$AU316 + FÉ!N$107*$BU316*$AV316,      VLOOKUP($AW316,FÉ!$C$93:$Q$104,7,FALSE)*$AU316 + VLOOKUP($AW316,FÉ!$C$93:$Q$104,12,FALSE)*$AV316          * $AZ316 * IF(Calculs!$AX316='Listes déroulantes, autres'!$C$9,2,1)))*PRP!$J$8</f>
        <v>0</v>
      </c>
      <c r="BZ316" s="791">
        <f>IF($AW316=0,0,   IF($AW316=FÉ!$C$107,      FÉ!J$107*$BU316*$AU316 + FÉ!O$107*$BU316*$AV316,      VLOOKUP($AW316,FÉ!$C$93:$Q$104,8,FALSE)*$AU316 + VLOOKUP($AW316,FÉ!$C$93:$Q$104,13,FALSE)*$AV316          * $AZ316 * IF(Calculs!$AX316='Listes déroulantes, autres'!$C$9,2,1)))*PRP!$J$9</f>
        <v>0</v>
      </c>
      <c r="CA316" s="791">
        <f>IF($AW316=0,0, IF($AW316=FÉ!$C$107,      FÉ!K$107*$BU316*$AU316 + FÉ!P$107*$BU316*$AV316,      VLOOKUP($AW316,FÉ!$C$93:$Q$104,9,FALSE)*$AU316 + VLOOKUP($AW316,FÉ!$C$93:$Q$104,14,FALSE)*$AV316          * $AZ316 * IF(Calculs!$AX316='Listes déroulantes, autres'!$C$9,2,1)))*PRP!$J$10</f>
        <v>0</v>
      </c>
      <c r="CB316" s="69">
        <f t="shared" si="74"/>
        <v>0</v>
      </c>
      <c r="CC316" s="722">
        <f t="shared" si="75"/>
        <v>0</v>
      </c>
      <c r="CD316" s="63"/>
      <c r="CE316" s="728"/>
      <c r="CF316" s="729"/>
      <c r="CG316" s="63"/>
      <c r="CH316" s="730">
        <f>BV316*FÉ!$H$107</f>
        <v>0</v>
      </c>
    </row>
    <row r="317" spans="2:86" ht="15.75" outlineLevel="1" thickBot="1">
      <c r="B317" s="793"/>
      <c r="C317" s="794"/>
      <c r="D317" s="794"/>
      <c r="E317" s="795"/>
      <c r="F317" s="796" t="str">
        <f>$B307</f>
        <v>3.5C1</v>
      </c>
      <c r="G317" s="796" t="str">
        <f>$B307</f>
        <v>3.5C1</v>
      </c>
      <c r="H317" s="796" t="str">
        <f>$B307</f>
        <v>3.5C1</v>
      </c>
      <c r="I317" s="795"/>
      <c r="J317" s="797"/>
      <c r="K317" s="797"/>
      <c r="L317" s="797"/>
      <c r="M317" s="797"/>
      <c r="N317" s="797"/>
      <c r="O317" s="797"/>
      <c r="P317" s="797"/>
      <c r="Q317" s="797"/>
      <c r="R317" s="797"/>
      <c r="S317" s="797"/>
      <c r="T317" s="797"/>
      <c r="U317" s="797"/>
      <c r="V317" s="797"/>
      <c r="W317" s="797"/>
      <c r="X317" s="797"/>
      <c r="Y317" s="797"/>
      <c r="Z317" s="797"/>
      <c r="AA317" s="797"/>
      <c r="AB317" s="797"/>
      <c r="AC317" s="797"/>
      <c r="AD317" s="797"/>
      <c r="AE317" s="797"/>
      <c r="AF317" s="797"/>
      <c r="AG317" s="797"/>
      <c r="AH317" s="797"/>
      <c r="AI317" s="797"/>
      <c r="AJ317" s="797"/>
      <c r="AK317" s="797"/>
      <c r="AL317" s="797"/>
      <c r="AM317" s="797"/>
      <c r="AN317" s="797"/>
      <c r="AO317" s="797"/>
      <c r="AP317" s="797"/>
      <c r="AQ317" s="797"/>
      <c r="AR317" s="797"/>
      <c r="AS317" s="797"/>
      <c r="AT317" s="797"/>
      <c r="AU317" s="797"/>
      <c r="AV317" s="797"/>
      <c r="AW317" s="797"/>
      <c r="AX317" s="797"/>
      <c r="AY317" s="797"/>
      <c r="AZ317" s="797"/>
      <c r="BA317" s="797"/>
      <c r="BB317" s="797"/>
      <c r="BC317" s="797"/>
      <c r="BD317" s="797"/>
      <c r="BE317" s="797"/>
      <c r="BF317" s="797"/>
      <c r="BG317" s="797"/>
      <c r="BH317" s="797"/>
      <c r="BI317" s="797"/>
      <c r="BJ317" s="797"/>
      <c r="BK317" s="797"/>
      <c r="BL317" s="797"/>
      <c r="BM317" s="797"/>
      <c r="BN317" s="797"/>
      <c r="BO317" s="797"/>
      <c r="BP317" s="63"/>
      <c r="BQ317" s="798"/>
      <c r="BR317" s="798"/>
      <c r="BS317" s="798"/>
      <c r="BT317" s="798"/>
      <c r="BU317" s="798"/>
      <c r="BV317" s="798"/>
      <c r="BW317" s="798"/>
      <c r="BX317" s="798"/>
      <c r="BY317" s="798">
        <f>SUM(BY307:BY316)</f>
        <v>190357.9186481075</v>
      </c>
      <c r="BZ317" s="798">
        <f>SUM(BZ307:BZ316)</f>
        <v>513.34391719385474</v>
      </c>
      <c r="CA317" s="798">
        <f>SUM(CA307:CA316)</f>
        <v>1343.6518637959955</v>
      </c>
      <c r="CB317" s="798">
        <f>SUM(CB307:CB316)</f>
        <v>192214.91442909738</v>
      </c>
      <c r="CC317" s="799">
        <f>SUM(CC307:CC316)</f>
        <v>0.19221491442909738</v>
      </c>
      <c r="CD317" s="63"/>
      <c r="CE317" s="800">
        <f>SUM(CE307:CE316)</f>
        <v>0</v>
      </c>
      <c r="CF317" s="799">
        <f>SUM(CF307:CF316)</f>
        <v>0</v>
      </c>
      <c r="CG317" s="63"/>
      <c r="CH317" s="801">
        <f>SUM(CH307:CH316)</f>
        <v>649.6054448162605</v>
      </c>
    </row>
    <row r="319" spans="2:86" ht="31.5">
      <c r="B319" s="1176" t="s">
        <v>6616</v>
      </c>
      <c r="C319" s="1177"/>
      <c r="D319" s="1177"/>
      <c r="E319" s="1177"/>
      <c r="F319" s="1177"/>
      <c r="G319" s="1177"/>
      <c r="H319" s="1177"/>
      <c r="I319" s="1177"/>
      <c r="J319" s="1177"/>
      <c r="K319" s="1177"/>
      <c r="L319" s="1177"/>
      <c r="M319" s="1177"/>
      <c r="N319" s="1177"/>
      <c r="O319" s="1177"/>
      <c r="P319" s="1177"/>
      <c r="Q319" s="1177"/>
      <c r="R319" s="1177"/>
      <c r="S319" s="1177"/>
      <c r="T319" s="1177"/>
      <c r="U319" s="1177"/>
      <c r="V319" s="1177"/>
      <c r="W319" s="1177"/>
      <c r="X319" s="1177"/>
      <c r="Y319" s="1177"/>
      <c r="Z319" s="1177"/>
      <c r="AA319" s="1177"/>
      <c r="AB319" s="1177"/>
      <c r="AC319" s="1177"/>
      <c r="AD319" s="1177"/>
      <c r="AE319" s="1177"/>
      <c r="AF319" s="1177"/>
      <c r="AG319" s="1177"/>
      <c r="AH319" s="1177"/>
      <c r="AI319" s="1177"/>
      <c r="AJ319" s="1177"/>
      <c r="AK319" s="1177"/>
      <c r="AL319" s="1177"/>
      <c r="AM319" s="1177"/>
      <c r="AN319" s="1177"/>
      <c r="AO319" s="1177"/>
      <c r="AP319" s="1177"/>
      <c r="AQ319" s="1177"/>
      <c r="AR319" s="1177"/>
      <c r="AS319" s="1177"/>
      <c r="AT319" s="1177"/>
      <c r="AU319" s="1177"/>
      <c r="AV319" s="1177"/>
      <c r="AW319" s="1177"/>
      <c r="AX319" s="1177"/>
      <c r="AY319" s="1177"/>
      <c r="AZ319" s="1177"/>
      <c r="BA319" s="1177"/>
      <c r="BB319" s="1177"/>
      <c r="BC319" s="1177"/>
      <c r="BD319" s="1177"/>
      <c r="BE319" s="1177"/>
      <c r="BF319" s="1177"/>
      <c r="BG319" s="1177"/>
      <c r="BH319" s="1177"/>
      <c r="BI319" s="1177"/>
      <c r="BJ319" s="1177"/>
      <c r="BK319" s="1177"/>
      <c r="BL319" s="1177"/>
      <c r="BM319" s="1177"/>
      <c r="BN319" s="1177"/>
      <c r="BO319" s="1177"/>
      <c r="BP319" s="1177"/>
      <c r="BQ319" s="1177"/>
      <c r="BR319" s="1177"/>
      <c r="BS319" s="1177"/>
      <c r="BT319" s="1177"/>
      <c r="BU319" s="1177"/>
      <c r="BV319" s="1177"/>
      <c r="BW319" s="1177"/>
      <c r="BX319" s="1177"/>
      <c r="BY319" s="1177"/>
      <c r="BZ319" s="1177"/>
      <c r="CA319" s="1177"/>
      <c r="CB319" s="1177"/>
      <c r="CC319" s="1177"/>
      <c r="CD319" s="1177"/>
      <c r="CE319" s="1177"/>
      <c r="CF319" s="1177"/>
      <c r="CG319" s="1177"/>
      <c r="CH319" s="1177"/>
    </row>
    <row r="320" spans="2:86" ht="15.75" outlineLevel="1" thickBot="1">
      <c r="CH320" s="63"/>
    </row>
    <row r="321" spans="2:86" ht="21.75" outlineLevel="1" thickBot="1">
      <c r="B321" s="1178" t="s">
        <v>115</v>
      </c>
      <c r="C321" s="1179"/>
      <c r="D321" s="1179"/>
      <c r="E321" s="1179"/>
      <c r="F321" s="1179"/>
      <c r="G321" s="1179"/>
      <c r="H321" s="1179"/>
      <c r="I321" s="1179"/>
      <c r="J321" s="1179"/>
      <c r="K321" s="1179"/>
      <c r="L321" s="1179"/>
      <c r="M321" s="1179"/>
      <c r="N321" s="1179"/>
      <c r="O321" s="1179"/>
      <c r="P321" s="1179"/>
      <c r="Q321" s="1179"/>
      <c r="R321" s="1179"/>
      <c r="S321" s="1179"/>
      <c r="T321" s="1179"/>
      <c r="U321" s="1179"/>
      <c r="V321" s="1179"/>
      <c r="W321" s="1179"/>
      <c r="X321" s="1179"/>
      <c r="Y321" s="1179"/>
      <c r="Z321" s="1179"/>
      <c r="AA321" s="1179"/>
      <c r="AB321" s="1179"/>
      <c r="AC321" s="1179"/>
      <c r="AD321" s="1179"/>
      <c r="AE321" s="1179"/>
      <c r="AF321" s="1179"/>
      <c r="AG321" s="1179"/>
      <c r="AH321" s="1179"/>
      <c r="AI321" s="1179"/>
      <c r="AJ321" s="1179"/>
      <c r="AK321" s="1179"/>
      <c r="AL321" s="1179"/>
      <c r="AM321" s="1179"/>
      <c r="AN321" s="1179"/>
      <c r="AO321" s="1179"/>
      <c r="AP321" s="1179"/>
      <c r="AQ321" s="1179"/>
      <c r="AR321" s="1179"/>
      <c r="AS321" s="1179"/>
      <c r="AT321" s="1179"/>
      <c r="AU321" s="1179"/>
      <c r="AV321" s="1179"/>
      <c r="AW321" s="1179"/>
      <c r="AX321" s="1179"/>
      <c r="AY321" s="1179"/>
      <c r="AZ321" s="1179"/>
      <c r="BA321" s="1179"/>
      <c r="BB321" s="1179"/>
      <c r="BC321" s="1179"/>
      <c r="BD321" s="1179"/>
      <c r="BE321" s="1179"/>
      <c r="BF321" s="1179"/>
      <c r="BG321" s="1179"/>
      <c r="BH321" s="1179"/>
      <c r="BI321" s="1179"/>
      <c r="BJ321" s="1179"/>
      <c r="BK321" s="1179"/>
      <c r="BL321" s="1179"/>
      <c r="BM321" s="1179"/>
      <c r="BN321" s="1179"/>
      <c r="BO321" s="1179"/>
      <c r="BP321" s="63"/>
      <c r="BQ321" s="1180" t="s">
        <v>121</v>
      </c>
      <c r="BR321" s="1181"/>
      <c r="BS321" s="1181"/>
      <c r="BT321" s="1181"/>
      <c r="BU321" s="1181"/>
      <c r="BV321" s="1181"/>
      <c r="BW321" s="1181"/>
      <c r="BX321" s="1181"/>
      <c r="BY321" s="1181"/>
      <c r="BZ321" s="1181"/>
      <c r="CA321" s="1181"/>
      <c r="CB321" s="1181"/>
      <c r="CC321" s="1181"/>
      <c r="CD321" s="1181"/>
      <c r="CE321" s="1181"/>
      <c r="CF321" s="1181"/>
      <c r="CG321" s="1181"/>
      <c r="CH321" s="1182"/>
    </row>
    <row r="322" spans="2:86" ht="15" customHeight="1" outlineLevel="1">
      <c r="B322" s="1183" t="s">
        <v>6353</v>
      </c>
      <c r="C322" s="1185" t="s">
        <v>6372</v>
      </c>
      <c r="D322" s="1185" t="s">
        <v>7</v>
      </c>
      <c r="E322" s="1185" t="s">
        <v>127</v>
      </c>
      <c r="F322" s="1187" t="s">
        <v>6348</v>
      </c>
      <c r="G322" s="1185" t="s">
        <v>6333</v>
      </c>
      <c r="H322" s="1185" t="s">
        <v>128</v>
      </c>
      <c r="I322" s="1185" t="s">
        <v>156</v>
      </c>
      <c r="J322" s="655"/>
      <c r="K322" s="655"/>
      <c r="L322" s="655"/>
      <c r="M322" s="655"/>
      <c r="N322" s="655"/>
      <c r="O322" s="655"/>
      <c r="P322" s="655"/>
      <c r="Q322" s="655"/>
      <c r="R322" s="655"/>
      <c r="S322" s="655"/>
      <c r="T322" s="655"/>
      <c r="U322" s="655"/>
      <c r="V322" s="655"/>
      <c r="W322" s="655"/>
      <c r="X322" s="655"/>
      <c r="Y322" s="655"/>
      <c r="Z322" s="655"/>
      <c r="AA322" s="655"/>
      <c r="AB322" s="655"/>
      <c r="AC322" s="655"/>
      <c r="AD322" s="655"/>
      <c r="AE322" s="655"/>
      <c r="AF322" s="655"/>
      <c r="AG322" s="655"/>
      <c r="AH322" s="655"/>
      <c r="AI322" s="655"/>
      <c r="AJ322" s="655"/>
      <c r="AK322" s="655"/>
      <c r="AL322" s="655"/>
      <c r="AM322" s="655"/>
      <c r="AN322" s="655"/>
      <c r="AO322" s="655"/>
      <c r="AP322" s="655"/>
      <c r="AQ322" s="655"/>
      <c r="AR322" s="655"/>
      <c r="AS322" s="655"/>
      <c r="AT322" s="655"/>
      <c r="AU322" s="655"/>
      <c r="AV322" s="655"/>
      <c r="AW322" s="655"/>
      <c r="AX322" s="655"/>
      <c r="AY322" s="655"/>
      <c r="AZ322" s="655"/>
      <c r="BA322" s="1185" t="s">
        <v>6617</v>
      </c>
      <c r="BB322" s="1185" t="s">
        <v>721</v>
      </c>
      <c r="BC322" s="655"/>
      <c r="BD322" s="655"/>
      <c r="BE322" s="655"/>
      <c r="BF322" s="655"/>
      <c r="BG322" s="655"/>
      <c r="BH322" s="655"/>
      <c r="BI322" s="655"/>
      <c r="BJ322" s="655"/>
      <c r="BK322" s="655"/>
      <c r="BL322" s="655"/>
      <c r="BM322" s="655"/>
      <c r="BN322" s="655"/>
      <c r="BO322" s="657"/>
      <c r="BP322" s="63"/>
      <c r="BQ322" s="732"/>
      <c r="BR322" s="732"/>
      <c r="BS322" s="732"/>
      <c r="BT322" s="732"/>
      <c r="BU322" s="732"/>
      <c r="BV322" s="732"/>
      <c r="BW322" s="732"/>
      <c r="BX322" s="732"/>
      <c r="BY322" s="1193" t="s">
        <v>122</v>
      </c>
      <c r="BZ322" s="1193"/>
      <c r="CA322" s="1193"/>
      <c r="CB322" s="1194" t="s">
        <v>123</v>
      </c>
      <c r="CC322" s="1195"/>
      <c r="CD322" s="63"/>
      <c r="CE322" s="1198" t="s">
        <v>124</v>
      </c>
      <c r="CF322" s="1199"/>
      <c r="CG322" s="63"/>
      <c r="CH322" s="1185" t="s">
        <v>125</v>
      </c>
    </row>
    <row r="323" spans="2:86" ht="18" outlineLevel="1">
      <c r="B323" s="1184"/>
      <c r="C323" s="1186"/>
      <c r="D323" s="1186"/>
      <c r="E323" s="1186"/>
      <c r="F323" s="1188"/>
      <c r="G323" s="1186"/>
      <c r="H323" s="1186"/>
      <c r="I323" s="1186"/>
      <c r="J323" s="656"/>
      <c r="K323" s="656"/>
      <c r="L323" s="656"/>
      <c r="M323" s="656"/>
      <c r="N323" s="656"/>
      <c r="O323" s="656"/>
      <c r="P323" s="656"/>
      <c r="Q323" s="656"/>
      <c r="R323" s="656"/>
      <c r="S323" s="656"/>
      <c r="T323" s="656"/>
      <c r="U323" s="656"/>
      <c r="V323" s="656"/>
      <c r="W323" s="656"/>
      <c r="X323" s="656"/>
      <c r="Y323" s="656"/>
      <c r="Z323" s="656"/>
      <c r="AA323" s="656"/>
      <c r="AB323" s="656"/>
      <c r="AC323" s="656"/>
      <c r="AD323" s="656"/>
      <c r="AE323" s="656"/>
      <c r="AF323" s="656"/>
      <c r="AG323" s="656"/>
      <c r="AH323" s="656"/>
      <c r="AI323" s="656"/>
      <c r="AJ323" s="656"/>
      <c r="AK323" s="656"/>
      <c r="AL323" s="656"/>
      <c r="AM323" s="656"/>
      <c r="AN323" s="656"/>
      <c r="AO323" s="656"/>
      <c r="AP323" s="656"/>
      <c r="AQ323" s="656"/>
      <c r="AR323" s="656"/>
      <c r="AS323" s="656"/>
      <c r="AT323" s="656"/>
      <c r="AU323" s="656"/>
      <c r="AV323" s="656"/>
      <c r="AW323" s="656"/>
      <c r="AX323" s="656"/>
      <c r="AY323" s="656"/>
      <c r="AZ323" s="656"/>
      <c r="BA323" s="1186"/>
      <c r="BB323" s="1186"/>
      <c r="BC323" s="656"/>
      <c r="BD323" s="656"/>
      <c r="BE323" s="656"/>
      <c r="BF323" s="656"/>
      <c r="BG323" s="656"/>
      <c r="BH323" s="656"/>
      <c r="BI323" s="656"/>
      <c r="BJ323" s="656"/>
      <c r="BK323" s="656"/>
      <c r="BL323" s="656"/>
      <c r="BM323" s="656"/>
      <c r="BN323" s="656"/>
      <c r="BO323" s="79"/>
      <c r="BP323" s="63"/>
      <c r="BQ323" s="1325"/>
      <c r="BR323" s="712"/>
      <c r="BS323" s="712"/>
      <c r="BT323" s="712"/>
      <c r="BU323" s="712"/>
      <c r="BV323" s="712"/>
      <c r="BW323" s="712"/>
      <c r="BX323" s="712"/>
      <c r="BY323" s="718" t="s">
        <v>106</v>
      </c>
      <c r="BZ323" s="58" t="s">
        <v>107</v>
      </c>
      <c r="CA323" s="720" t="s">
        <v>108</v>
      </c>
      <c r="CB323" s="1196"/>
      <c r="CC323" s="1197"/>
      <c r="CD323" s="63"/>
      <c r="CE323" s="1200"/>
      <c r="CF323" s="1201"/>
      <c r="CG323" s="63"/>
      <c r="CH323" s="1186"/>
    </row>
    <row r="324" spans="2:86" ht="18.75" outlineLevel="1" thickBot="1">
      <c r="B324" s="65"/>
      <c r="C324" s="66"/>
      <c r="D324" s="661" t="s">
        <v>6306</v>
      </c>
      <c r="E324" s="661" t="s">
        <v>6306</v>
      </c>
      <c r="F324" s="661"/>
      <c r="G324" s="661" t="s">
        <v>6306</v>
      </c>
      <c r="H324" s="661" t="s">
        <v>6306</v>
      </c>
      <c r="I324" s="661" t="s">
        <v>6306</v>
      </c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 t="s">
        <v>119</v>
      </c>
      <c r="BB324" s="64" t="s">
        <v>6618</v>
      </c>
      <c r="BC324" s="64"/>
      <c r="BD324" s="64"/>
      <c r="BE324" s="64"/>
      <c r="BF324" s="64"/>
      <c r="BG324" s="64"/>
      <c r="BH324" s="64"/>
      <c r="BI324" s="64"/>
      <c r="BJ324" s="64"/>
      <c r="BK324" s="64"/>
      <c r="BL324" s="64"/>
      <c r="BM324" s="64"/>
      <c r="BN324" s="64"/>
      <c r="BO324" s="66"/>
      <c r="BP324" s="63"/>
      <c r="BQ324" s="66"/>
      <c r="BR324" s="713"/>
      <c r="BS324" s="713"/>
      <c r="BT324" s="713"/>
      <c r="BU324" s="713"/>
      <c r="BV324" s="713"/>
      <c r="BW324" s="713"/>
      <c r="BX324" s="713"/>
      <c r="BY324" s="713" t="s">
        <v>109</v>
      </c>
      <c r="BZ324" s="66" t="s">
        <v>109</v>
      </c>
      <c r="CA324" s="64" t="s">
        <v>109</v>
      </c>
      <c r="CB324" s="66" t="s">
        <v>109</v>
      </c>
      <c r="CC324" s="721" t="s">
        <v>110</v>
      </c>
      <c r="CD324" s="63"/>
      <c r="CE324" s="724" t="s">
        <v>111</v>
      </c>
      <c r="CF324" s="725" t="s">
        <v>112</v>
      </c>
      <c r="CG324" s="63"/>
      <c r="CH324" s="66" t="s">
        <v>114</v>
      </c>
    </row>
    <row r="325" spans="2:86" outlineLevel="1">
      <c r="B325" s="787" t="s">
        <v>6492</v>
      </c>
      <c r="C325" s="80"/>
      <c r="D325" s="716"/>
      <c r="E325" s="662"/>
      <c r="F325" s="69" t="str">
        <f>IF(E325=0,"",MONTH(E325))</f>
        <v/>
      </c>
      <c r="G325" s="80"/>
      <c r="H325" s="80"/>
      <c r="I325" s="648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  <c r="AQ325" s="69"/>
      <c r="AR325" s="69"/>
      <c r="AS325" s="69"/>
      <c r="AT325" s="69"/>
      <c r="AU325" s="69"/>
      <c r="AV325" s="69"/>
      <c r="AW325" s="69"/>
      <c r="AX325" s="69"/>
      <c r="AY325" s="69"/>
      <c r="AZ325" s="69"/>
      <c r="BA325" s="790" t="s">
        <v>705</v>
      </c>
      <c r="BB325" s="790">
        <v>7</v>
      </c>
      <c r="BC325" s="69"/>
      <c r="BD325" s="69"/>
      <c r="BE325" s="69"/>
      <c r="BF325" s="69"/>
      <c r="BG325" s="69"/>
      <c r="BH325" s="69"/>
      <c r="BI325" s="69"/>
      <c r="BJ325" s="69"/>
      <c r="BK325" s="69"/>
      <c r="BL325" s="69"/>
      <c r="BM325" s="69"/>
      <c r="BN325" s="69"/>
      <c r="BO325" s="69"/>
      <c r="BP325" s="63"/>
      <c r="BQ325" s="69"/>
      <c r="BR325" s="719"/>
      <c r="BS325" s="719"/>
      <c r="BT325" s="719"/>
      <c r="BU325" s="719"/>
      <c r="BV325" s="719"/>
      <c r="BW325" s="719"/>
      <c r="BX325" s="719"/>
      <c r="BY325" s="791">
        <f>IFERROR(VLOOKUP(BA325,FÉ!$B$513:$L$527,11,FALSE)*BB325,)</f>
        <v>619.5</v>
      </c>
      <c r="BZ325" s="69">
        <v>0</v>
      </c>
      <c r="CA325" s="700">
        <v>0</v>
      </c>
      <c r="CB325" s="69">
        <f>SUM(BY325:CA325)</f>
        <v>619.5</v>
      </c>
      <c r="CC325" s="722">
        <f>CB325/(10^6)</f>
        <v>6.1950000000000004E-4</v>
      </c>
      <c r="CD325" s="63"/>
      <c r="CE325" s="726"/>
      <c r="CF325" s="727"/>
      <c r="CG325" s="63"/>
      <c r="CH325" s="730"/>
    </row>
    <row r="326" spans="2:86" outlineLevel="1">
      <c r="B326" s="69" t="str">
        <f t="shared" ref="B326:B334" si="76">B325</f>
        <v>4.1A2</v>
      </c>
      <c r="C326" s="80"/>
      <c r="D326" s="80"/>
      <c r="E326" s="663">
        <v>46006</v>
      </c>
      <c r="F326" s="69">
        <f t="shared" ref="F326:F334" si="77">IF(E326=0,"",MONTH(E326))</f>
        <v>12</v>
      </c>
      <c r="G326" s="80" t="s">
        <v>136</v>
      </c>
      <c r="H326" s="80"/>
      <c r="I326" s="648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  <c r="AQ326" s="69"/>
      <c r="AR326" s="69"/>
      <c r="AS326" s="69"/>
      <c r="AT326" s="69"/>
      <c r="AU326" s="69"/>
      <c r="AV326" s="69"/>
      <c r="AW326" s="69"/>
      <c r="AX326" s="69"/>
      <c r="AY326" s="69"/>
      <c r="AZ326" s="69"/>
      <c r="BA326" s="790" t="s">
        <v>700</v>
      </c>
      <c r="BB326" s="790">
        <v>19</v>
      </c>
      <c r="BC326" s="69"/>
      <c r="BD326" s="69"/>
      <c r="BE326" s="69"/>
      <c r="BF326" s="69"/>
      <c r="BG326" s="69"/>
      <c r="BH326" s="69"/>
      <c r="BI326" s="69"/>
      <c r="BJ326" s="69"/>
      <c r="BK326" s="69"/>
      <c r="BL326" s="69"/>
      <c r="BM326" s="69"/>
      <c r="BN326" s="69"/>
      <c r="BO326" s="69"/>
      <c r="BP326" s="63"/>
      <c r="BQ326" s="69"/>
      <c r="BR326" s="719"/>
      <c r="BS326" s="719"/>
      <c r="BT326" s="719"/>
      <c r="BU326" s="719"/>
      <c r="BV326" s="719"/>
      <c r="BW326" s="719"/>
      <c r="BX326" s="719"/>
      <c r="BY326" s="791">
        <f>IFERROR(VLOOKUP(BA326,FÉ!$B$513:$L$527,11,FALSE)*BB326,)</f>
        <v>3097</v>
      </c>
      <c r="BZ326" s="69">
        <v>0</v>
      </c>
      <c r="CA326" s="700">
        <v>0</v>
      </c>
      <c r="CB326" s="69">
        <f>SUM(BY326:CA326)</f>
        <v>3097</v>
      </c>
      <c r="CC326" s="722">
        <f>CB326/(10^6)</f>
        <v>3.0969999999999999E-3</v>
      </c>
      <c r="CD326" s="63"/>
      <c r="CE326" s="726"/>
      <c r="CF326" s="727"/>
      <c r="CG326" s="63"/>
      <c r="CH326" s="730"/>
    </row>
    <row r="327" spans="2:86" outlineLevel="1">
      <c r="B327" s="69" t="str">
        <f t="shared" si="76"/>
        <v>4.1A2</v>
      </c>
      <c r="C327" s="80"/>
      <c r="D327" s="80"/>
      <c r="E327" s="663">
        <v>46006</v>
      </c>
      <c r="F327" s="69">
        <f t="shared" si="77"/>
        <v>12</v>
      </c>
      <c r="G327" s="80" t="s">
        <v>136</v>
      </c>
      <c r="H327" s="80"/>
      <c r="I327" s="648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  <c r="AP327" s="69"/>
      <c r="AQ327" s="69"/>
      <c r="AR327" s="69"/>
      <c r="AS327" s="69"/>
      <c r="AT327" s="69"/>
      <c r="AU327" s="69"/>
      <c r="AV327" s="69"/>
      <c r="AW327" s="69"/>
      <c r="AX327" s="69"/>
      <c r="AY327" s="69"/>
      <c r="AZ327" s="69"/>
      <c r="BA327" s="790" t="s">
        <v>694</v>
      </c>
      <c r="BB327" s="790">
        <v>15</v>
      </c>
      <c r="BC327" s="69"/>
      <c r="BD327" s="69"/>
      <c r="BE327" s="69"/>
      <c r="BF327" s="69"/>
      <c r="BG327" s="69"/>
      <c r="BH327" s="69"/>
      <c r="BI327" s="69"/>
      <c r="BJ327" s="69"/>
      <c r="BK327" s="69"/>
      <c r="BL327" s="69"/>
      <c r="BM327" s="69"/>
      <c r="BN327" s="69"/>
      <c r="BO327" s="69"/>
      <c r="BP327" s="63"/>
      <c r="BQ327" s="69"/>
      <c r="BR327" s="719"/>
      <c r="BS327" s="719"/>
      <c r="BT327" s="719"/>
      <c r="BU327" s="719"/>
      <c r="BV327" s="719"/>
      <c r="BW327" s="719"/>
      <c r="BX327" s="719"/>
      <c r="BY327" s="791">
        <f>IFERROR(VLOOKUP(BA327,FÉ!$B$513:$L$527,11,FALSE)*BB327,)</f>
        <v>1474.5</v>
      </c>
      <c r="BZ327" s="69">
        <v>0</v>
      </c>
      <c r="CA327" s="700">
        <v>0</v>
      </c>
      <c r="CB327" s="69">
        <f t="shared" ref="CB327:CB334" si="78">SUM(BY327:CA327)</f>
        <v>1474.5</v>
      </c>
      <c r="CC327" s="722">
        <f t="shared" ref="CC327:CC334" si="79">CB327/(10^6)</f>
        <v>1.4744999999999999E-3</v>
      </c>
      <c r="CD327" s="63"/>
      <c r="CE327" s="726"/>
      <c r="CF327" s="727"/>
      <c r="CG327" s="63"/>
      <c r="CH327" s="730"/>
    </row>
    <row r="328" spans="2:86" outlineLevel="1">
      <c r="B328" s="69" t="str">
        <f t="shared" si="76"/>
        <v>4.1A2</v>
      </c>
      <c r="C328" s="80"/>
      <c r="D328" s="80"/>
      <c r="E328" s="663"/>
      <c r="F328" s="69" t="str">
        <f t="shared" si="77"/>
        <v/>
      </c>
      <c r="G328" s="80"/>
      <c r="H328" s="80"/>
      <c r="I328" s="648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  <c r="AP328" s="69"/>
      <c r="AQ328" s="69"/>
      <c r="AR328" s="69"/>
      <c r="AS328" s="69"/>
      <c r="AT328" s="69"/>
      <c r="AU328" s="69"/>
      <c r="AV328" s="69"/>
      <c r="AW328" s="69"/>
      <c r="AX328" s="69"/>
      <c r="AY328" s="69"/>
      <c r="AZ328" s="69"/>
      <c r="BA328" s="790" t="s">
        <v>696</v>
      </c>
      <c r="BB328" s="790">
        <v>111</v>
      </c>
      <c r="BC328" s="69"/>
      <c r="BD328" s="69"/>
      <c r="BE328" s="69"/>
      <c r="BF328" s="69"/>
      <c r="BG328" s="69"/>
      <c r="BH328" s="69"/>
      <c r="BI328" s="69"/>
      <c r="BJ328" s="69"/>
      <c r="BK328" s="69"/>
      <c r="BL328" s="69"/>
      <c r="BM328" s="69"/>
      <c r="BN328" s="69"/>
      <c r="BO328" s="69"/>
      <c r="BP328" s="63"/>
      <c r="BQ328" s="69"/>
      <c r="BR328" s="719"/>
      <c r="BS328" s="719"/>
      <c r="BT328" s="719"/>
      <c r="BU328" s="719"/>
      <c r="BV328" s="719"/>
      <c r="BW328" s="719"/>
      <c r="BX328" s="719"/>
      <c r="BY328" s="791">
        <f>IFERROR(VLOOKUP(BA328,FÉ!$B$513:$L$527,11,FALSE)*BB328,)</f>
        <v>17760</v>
      </c>
      <c r="BZ328" s="69">
        <v>0</v>
      </c>
      <c r="CA328" s="700">
        <v>0</v>
      </c>
      <c r="CB328" s="69">
        <f t="shared" si="78"/>
        <v>17760</v>
      </c>
      <c r="CC328" s="722">
        <f t="shared" si="79"/>
        <v>1.7760000000000001E-2</v>
      </c>
      <c r="CD328" s="63"/>
      <c r="CE328" s="726"/>
      <c r="CF328" s="727"/>
      <c r="CG328" s="63"/>
      <c r="CH328" s="730"/>
    </row>
    <row r="329" spans="2:86" outlineLevel="1">
      <c r="B329" s="69" t="str">
        <f t="shared" si="76"/>
        <v>4.1A2</v>
      </c>
      <c r="C329" s="80"/>
      <c r="D329" s="80"/>
      <c r="E329" s="663"/>
      <c r="F329" s="69" t="str">
        <f t="shared" si="77"/>
        <v/>
      </c>
      <c r="G329" s="80"/>
      <c r="H329" s="80"/>
      <c r="I329" s="648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  <c r="AP329" s="69"/>
      <c r="AQ329" s="69"/>
      <c r="AR329" s="69"/>
      <c r="AS329" s="69"/>
      <c r="AT329" s="69"/>
      <c r="AU329" s="69"/>
      <c r="AV329" s="69"/>
      <c r="AW329" s="69"/>
      <c r="AX329" s="69"/>
      <c r="AY329" s="69"/>
      <c r="AZ329" s="69"/>
      <c r="BA329" s="790" t="s">
        <v>697</v>
      </c>
      <c r="BB329" s="790">
        <v>116</v>
      </c>
      <c r="BC329" s="69"/>
      <c r="BD329" s="69"/>
      <c r="BE329" s="69"/>
      <c r="BF329" s="69"/>
      <c r="BG329" s="69"/>
      <c r="BH329" s="69"/>
      <c r="BI329" s="69"/>
      <c r="BJ329" s="69"/>
      <c r="BK329" s="69"/>
      <c r="BL329" s="69"/>
      <c r="BM329" s="69"/>
      <c r="BN329" s="69"/>
      <c r="BO329" s="69"/>
      <c r="BP329" s="63"/>
      <c r="BQ329" s="69"/>
      <c r="BR329" s="719"/>
      <c r="BS329" s="719"/>
      <c r="BT329" s="719"/>
      <c r="BU329" s="719"/>
      <c r="BV329" s="719"/>
      <c r="BW329" s="719"/>
      <c r="BX329" s="719"/>
      <c r="BY329" s="791">
        <f>IFERROR(VLOOKUP(BA329,FÉ!$B$513:$L$527,11,FALSE)*BB329,)</f>
        <v>2853.6000000000004</v>
      </c>
      <c r="BZ329" s="69">
        <v>0</v>
      </c>
      <c r="CA329" s="700">
        <v>0</v>
      </c>
      <c r="CB329" s="69">
        <f t="shared" si="78"/>
        <v>2853.6000000000004</v>
      </c>
      <c r="CC329" s="722">
        <f t="shared" si="79"/>
        <v>2.8536000000000004E-3</v>
      </c>
      <c r="CD329" s="63"/>
      <c r="CE329" s="726"/>
      <c r="CF329" s="727"/>
      <c r="CG329" s="63"/>
      <c r="CH329" s="730"/>
    </row>
    <row r="330" spans="2:86" outlineLevel="1">
      <c r="B330" s="69" t="str">
        <f t="shared" si="76"/>
        <v>4.1A2</v>
      </c>
      <c r="C330" s="80"/>
      <c r="D330" s="80"/>
      <c r="E330" s="663"/>
      <c r="F330" s="69" t="str">
        <f t="shared" si="77"/>
        <v/>
      </c>
      <c r="G330" s="80"/>
      <c r="H330" s="80"/>
      <c r="I330" s="648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  <c r="AP330" s="69"/>
      <c r="AQ330" s="69"/>
      <c r="AR330" s="69"/>
      <c r="AS330" s="69"/>
      <c r="AT330" s="69"/>
      <c r="AU330" s="69"/>
      <c r="AV330" s="69"/>
      <c r="AW330" s="69"/>
      <c r="AX330" s="69"/>
      <c r="AY330" s="69"/>
      <c r="AZ330" s="69"/>
      <c r="BA330" s="790" t="s">
        <v>698</v>
      </c>
      <c r="BB330" s="790">
        <v>48</v>
      </c>
      <c r="BC330" s="69"/>
      <c r="BD330" s="69"/>
      <c r="BE330" s="69"/>
      <c r="BF330" s="69"/>
      <c r="BG330" s="69"/>
      <c r="BH330" s="69"/>
      <c r="BI330" s="69"/>
      <c r="BJ330" s="69"/>
      <c r="BK330" s="69"/>
      <c r="BL330" s="69"/>
      <c r="BM330" s="69"/>
      <c r="BN330" s="69"/>
      <c r="BO330" s="69"/>
      <c r="BP330" s="63"/>
      <c r="BQ330" s="69"/>
      <c r="BR330" s="719"/>
      <c r="BS330" s="719"/>
      <c r="BT330" s="719"/>
      <c r="BU330" s="719"/>
      <c r="BV330" s="719"/>
      <c r="BW330" s="719"/>
      <c r="BX330" s="719"/>
      <c r="BY330" s="791">
        <f>IFERROR(VLOOKUP(BA330,FÉ!$B$513:$L$527,11,FALSE)*BB330,)</f>
        <v>9360</v>
      </c>
      <c r="BZ330" s="69">
        <v>0</v>
      </c>
      <c r="CA330" s="700">
        <v>0</v>
      </c>
      <c r="CB330" s="69">
        <f t="shared" si="78"/>
        <v>9360</v>
      </c>
      <c r="CC330" s="722">
        <f t="shared" si="79"/>
        <v>9.3600000000000003E-3</v>
      </c>
      <c r="CD330" s="63"/>
      <c r="CE330" s="726"/>
      <c r="CF330" s="727"/>
      <c r="CG330" s="63"/>
      <c r="CH330" s="730"/>
    </row>
    <row r="331" spans="2:86" outlineLevel="1">
      <c r="B331" s="69" t="str">
        <f t="shared" si="76"/>
        <v>4.1A2</v>
      </c>
      <c r="C331" s="80"/>
      <c r="D331" s="80"/>
      <c r="E331" s="663"/>
      <c r="F331" s="69" t="str">
        <f t="shared" si="77"/>
        <v/>
      </c>
      <c r="G331" s="80"/>
      <c r="H331" s="80"/>
      <c r="I331" s="648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  <c r="AP331" s="69"/>
      <c r="AQ331" s="69"/>
      <c r="AR331" s="69"/>
      <c r="AS331" s="69"/>
      <c r="AT331" s="69"/>
      <c r="AU331" s="69"/>
      <c r="AV331" s="69"/>
      <c r="AW331" s="69"/>
      <c r="AX331" s="69"/>
      <c r="AY331" s="69"/>
      <c r="AZ331" s="69"/>
      <c r="BA331" s="790" t="s">
        <v>699</v>
      </c>
      <c r="BB331" s="790">
        <v>16</v>
      </c>
      <c r="BC331" s="69"/>
      <c r="BD331" s="69"/>
      <c r="BE331" s="69"/>
      <c r="BF331" s="69"/>
      <c r="BG331" s="69"/>
      <c r="BH331" s="69"/>
      <c r="BI331" s="69"/>
      <c r="BJ331" s="69"/>
      <c r="BK331" s="69"/>
      <c r="BL331" s="69"/>
      <c r="BM331" s="69"/>
      <c r="BN331" s="69"/>
      <c r="BO331" s="69"/>
      <c r="BP331" s="63"/>
      <c r="BQ331" s="69"/>
      <c r="BR331" s="719"/>
      <c r="BS331" s="719"/>
      <c r="BT331" s="719"/>
      <c r="BU331" s="719"/>
      <c r="BV331" s="719"/>
      <c r="BW331" s="719"/>
      <c r="BX331" s="719"/>
      <c r="BY331" s="791">
        <f>IFERROR(VLOOKUP(BA331,FÉ!$B$513:$L$527,11,FALSE)*BB331,)</f>
        <v>1048</v>
      </c>
      <c r="BZ331" s="69">
        <v>0</v>
      </c>
      <c r="CA331" s="700">
        <v>0</v>
      </c>
      <c r="CB331" s="69">
        <f t="shared" si="78"/>
        <v>1048</v>
      </c>
      <c r="CC331" s="722">
        <f t="shared" si="79"/>
        <v>1.0480000000000001E-3</v>
      </c>
      <c r="CD331" s="63"/>
      <c r="CE331" s="726"/>
      <c r="CF331" s="727"/>
      <c r="CG331" s="63"/>
      <c r="CH331" s="730"/>
    </row>
    <row r="332" spans="2:86" outlineLevel="1">
      <c r="B332" s="69" t="str">
        <f t="shared" si="76"/>
        <v>4.1A2</v>
      </c>
      <c r="C332" s="80"/>
      <c r="D332" s="80"/>
      <c r="E332" s="663"/>
      <c r="F332" s="69" t="str">
        <f t="shared" si="77"/>
        <v/>
      </c>
      <c r="G332" s="80"/>
      <c r="H332" s="80"/>
      <c r="I332" s="648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  <c r="AP332" s="69"/>
      <c r="AQ332" s="69"/>
      <c r="AR332" s="69"/>
      <c r="AS332" s="69"/>
      <c r="AT332" s="69"/>
      <c r="AU332" s="69"/>
      <c r="AV332" s="69"/>
      <c r="AW332" s="69"/>
      <c r="AX332" s="69"/>
      <c r="AY332" s="69"/>
      <c r="AZ332" s="69"/>
      <c r="BA332" s="790" t="s">
        <v>706</v>
      </c>
      <c r="BB332" s="790">
        <v>82</v>
      </c>
      <c r="BC332" s="69"/>
      <c r="BD332" s="69"/>
      <c r="BE332" s="69"/>
      <c r="BF332" s="69"/>
      <c r="BG332" s="69"/>
      <c r="BH332" s="69"/>
      <c r="BI332" s="69"/>
      <c r="BJ332" s="69"/>
      <c r="BK332" s="69"/>
      <c r="BL332" s="69"/>
      <c r="BM332" s="69"/>
      <c r="BN332" s="69"/>
      <c r="BO332" s="69"/>
      <c r="BP332" s="63"/>
      <c r="BQ332" s="69"/>
      <c r="BR332" s="719"/>
      <c r="BS332" s="719"/>
      <c r="BT332" s="719"/>
      <c r="BU332" s="719"/>
      <c r="BV332" s="719"/>
      <c r="BW332" s="719"/>
      <c r="BX332" s="719"/>
      <c r="BY332" s="791">
        <f>IFERROR(VLOOKUP(BA332,FÉ!$B$513:$L$527,11,FALSE)*BB332,)</f>
        <v>1049.6000000000001</v>
      </c>
      <c r="BZ332" s="69">
        <v>0</v>
      </c>
      <c r="CA332" s="700">
        <v>0</v>
      </c>
      <c r="CB332" s="69">
        <f t="shared" si="78"/>
        <v>1049.6000000000001</v>
      </c>
      <c r="CC332" s="722">
        <f t="shared" si="79"/>
        <v>1.0496000000000001E-3</v>
      </c>
      <c r="CD332" s="63"/>
      <c r="CE332" s="726"/>
      <c r="CF332" s="727"/>
      <c r="CG332" s="63"/>
      <c r="CH332" s="730"/>
    </row>
    <row r="333" spans="2:86" outlineLevel="1">
      <c r="B333" s="69" t="str">
        <f t="shared" si="76"/>
        <v>4.1A2</v>
      </c>
      <c r="C333" s="80"/>
      <c r="D333" s="80"/>
      <c r="E333" s="663"/>
      <c r="F333" s="69" t="str">
        <f t="shared" si="77"/>
        <v/>
      </c>
      <c r="G333" s="80"/>
      <c r="H333" s="80"/>
      <c r="I333" s="648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  <c r="AP333" s="69"/>
      <c r="AQ333" s="69"/>
      <c r="AR333" s="69"/>
      <c r="AS333" s="69"/>
      <c r="AT333" s="69"/>
      <c r="AU333" s="69"/>
      <c r="AV333" s="69"/>
      <c r="AW333" s="69"/>
      <c r="AX333" s="69"/>
      <c r="AY333" s="69"/>
      <c r="AZ333" s="69"/>
      <c r="BA333" s="790" t="s">
        <v>704</v>
      </c>
      <c r="BB333" s="790">
        <v>5</v>
      </c>
      <c r="BC333" s="69"/>
      <c r="BD333" s="69"/>
      <c r="BE333" s="69"/>
      <c r="BF333" s="69"/>
      <c r="BG333" s="69"/>
      <c r="BH333" s="69"/>
      <c r="BI333" s="69"/>
      <c r="BJ333" s="69"/>
      <c r="BK333" s="69"/>
      <c r="BL333" s="69"/>
      <c r="BM333" s="69"/>
      <c r="BN333" s="69"/>
      <c r="BO333" s="69"/>
      <c r="BP333" s="63"/>
      <c r="BQ333" s="69"/>
      <c r="BR333" s="719"/>
      <c r="BS333" s="719"/>
      <c r="BT333" s="719"/>
      <c r="BU333" s="719"/>
      <c r="BV333" s="719"/>
      <c r="BW333" s="719"/>
      <c r="BX333" s="719"/>
      <c r="BY333" s="791">
        <f>IFERROR(VLOOKUP(BA333,FÉ!$B$513:$L$527,11,FALSE)*BB333,)</f>
        <v>565</v>
      </c>
      <c r="BZ333" s="69">
        <v>0</v>
      </c>
      <c r="CA333" s="700">
        <v>0</v>
      </c>
      <c r="CB333" s="69">
        <f t="shared" si="78"/>
        <v>565</v>
      </c>
      <c r="CC333" s="722">
        <f t="shared" si="79"/>
        <v>5.6499999999999996E-4</v>
      </c>
      <c r="CD333" s="63"/>
      <c r="CE333" s="726"/>
      <c r="CF333" s="727"/>
      <c r="CG333" s="63"/>
      <c r="CH333" s="730"/>
    </row>
    <row r="334" spans="2:86" ht="15.75" outlineLevel="1" thickBot="1">
      <c r="B334" s="69" t="str">
        <f t="shared" si="76"/>
        <v>4.1A2</v>
      </c>
      <c r="C334" s="80"/>
      <c r="D334" s="717"/>
      <c r="E334" s="663"/>
      <c r="F334" s="69" t="str">
        <f t="shared" si="77"/>
        <v/>
      </c>
      <c r="G334" s="80"/>
      <c r="H334" s="80"/>
      <c r="I334" s="648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  <c r="AP334" s="69"/>
      <c r="AQ334" s="69"/>
      <c r="AR334" s="69"/>
      <c r="AS334" s="69"/>
      <c r="AT334" s="69"/>
      <c r="AU334" s="69"/>
      <c r="AV334" s="69"/>
      <c r="AW334" s="69"/>
      <c r="AX334" s="69"/>
      <c r="AY334" s="69"/>
      <c r="AZ334" s="69"/>
      <c r="BA334" s="790"/>
      <c r="BB334" s="790"/>
      <c r="BC334" s="69"/>
      <c r="BD334" s="69"/>
      <c r="BE334" s="69"/>
      <c r="BF334" s="69"/>
      <c r="BG334" s="69"/>
      <c r="BH334" s="69"/>
      <c r="BI334" s="69"/>
      <c r="BJ334" s="69"/>
      <c r="BK334" s="69"/>
      <c r="BL334" s="69"/>
      <c r="BM334" s="69"/>
      <c r="BN334" s="69"/>
      <c r="BO334" s="69"/>
      <c r="BP334" s="63"/>
      <c r="BQ334" s="69"/>
      <c r="BR334" s="719"/>
      <c r="BS334" s="719"/>
      <c r="BT334" s="719"/>
      <c r="BU334" s="719"/>
      <c r="BV334" s="719"/>
      <c r="BW334" s="719"/>
      <c r="BX334" s="719"/>
      <c r="BY334" s="791">
        <f>IFERROR(VLOOKUP(BA334,FÉ!$B$513:$L$527,11,FALSE)*BB334,)</f>
        <v>0</v>
      </c>
      <c r="BZ334" s="69">
        <v>0</v>
      </c>
      <c r="CA334" s="700">
        <v>0</v>
      </c>
      <c r="CB334" s="647">
        <f t="shared" si="78"/>
        <v>0</v>
      </c>
      <c r="CC334" s="723">
        <f t="shared" si="79"/>
        <v>0</v>
      </c>
      <c r="CD334" s="63"/>
      <c r="CE334" s="728"/>
      <c r="CF334" s="729"/>
      <c r="CG334" s="63"/>
      <c r="CH334" s="730"/>
    </row>
    <row r="335" spans="2:86" ht="15.75" outlineLevel="1" thickBot="1">
      <c r="B335" s="783"/>
      <c r="C335" s="784"/>
      <c r="D335" s="784"/>
      <c r="E335" s="785"/>
      <c r="F335" s="788" t="str">
        <f>$B325</f>
        <v>4.1A2</v>
      </c>
      <c r="G335" s="788" t="str">
        <f>$B325</f>
        <v>4.1A2</v>
      </c>
      <c r="H335" s="788" t="str">
        <f>$B325</f>
        <v>4.1A2</v>
      </c>
      <c r="I335" s="785"/>
      <c r="J335" s="786"/>
      <c r="K335" s="786"/>
      <c r="L335" s="786"/>
      <c r="M335" s="786"/>
      <c r="N335" s="786"/>
      <c r="O335" s="786"/>
      <c r="P335" s="786"/>
      <c r="Q335" s="786"/>
      <c r="R335" s="786"/>
      <c r="S335" s="786"/>
      <c r="T335" s="786"/>
      <c r="U335" s="786"/>
      <c r="V335" s="786"/>
      <c r="W335" s="786"/>
      <c r="X335" s="786"/>
      <c r="Y335" s="786"/>
      <c r="Z335" s="786"/>
      <c r="AA335" s="786"/>
      <c r="AB335" s="786"/>
      <c r="AC335" s="786"/>
      <c r="AD335" s="786"/>
      <c r="AE335" s="786"/>
      <c r="AF335" s="786"/>
      <c r="AG335" s="786"/>
      <c r="AH335" s="786"/>
      <c r="AI335" s="786"/>
      <c r="AJ335" s="786"/>
      <c r="AK335" s="786"/>
      <c r="AL335" s="786"/>
      <c r="AM335" s="786"/>
      <c r="AN335" s="786"/>
      <c r="AO335" s="786"/>
      <c r="AP335" s="786"/>
      <c r="AQ335" s="786"/>
      <c r="AR335" s="786"/>
      <c r="AS335" s="786"/>
      <c r="AT335" s="786"/>
      <c r="AU335" s="786"/>
      <c r="AV335" s="786"/>
      <c r="AW335" s="786"/>
      <c r="AX335" s="786"/>
      <c r="AY335" s="786"/>
      <c r="AZ335" s="786"/>
      <c r="BA335" s="786"/>
      <c r="BB335" s="786"/>
      <c r="BC335" s="786"/>
      <c r="BD335" s="786"/>
      <c r="BE335" s="786"/>
      <c r="BF335" s="786"/>
      <c r="BG335" s="786"/>
      <c r="BH335" s="786"/>
      <c r="BI335" s="786"/>
      <c r="BJ335" s="786"/>
      <c r="BK335" s="786"/>
      <c r="BL335" s="786"/>
      <c r="BM335" s="786"/>
      <c r="BN335" s="786"/>
      <c r="BO335" s="786"/>
      <c r="BP335" s="63"/>
      <c r="BQ335" s="782"/>
      <c r="BR335" s="782"/>
      <c r="BS335" s="782"/>
      <c r="BT335" s="782"/>
      <c r="BU335" s="782"/>
      <c r="BV335" s="782"/>
      <c r="BW335" s="782"/>
      <c r="BX335" s="782"/>
      <c r="BY335" s="782">
        <f>SUM(BY325:BY334)</f>
        <v>37827.199999999997</v>
      </c>
      <c r="BZ335" s="782">
        <f>SUM(BZ325:BZ334)</f>
        <v>0</v>
      </c>
      <c r="CA335" s="782">
        <f>SUM(CA325:CA334)</f>
        <v>0</v>
      </c>
      <c r="CB335" s="782">
        <f>SUM(CB325:CB334)</f>
        <v>37827.199999999997</v>
      </c>
      <c r="CC335" s="781">
        <f>SUM(CC325:CC334)</f>
        <v>3.7827200000000005E-2</v>
      </c>
      <c r="CD335" s="63"/>
      <c r="CE335" s="780">
        <f>SUM(CE325:CE334)</f>
        <v>0</v>
      </c>
      <c r="CF335" s="781">
        <f>SUM(CF325:CF334)</f>
        <v>0</v>
      </c>
      <c r="CG335" s="63"/>
      <c r="CH335" s="779">
        <f>SUM(CH325:CH334)</f>
        <v>0</v>
      </c>
    </row>
    <row r="337" spans="2:86" ht="31.5">
      <c r="B337" s="1176" t="s">
        <v>6619</v>
      </c>
      <c r="C337" s="1177"/>
      <c r="D337" s="1177"/>
      <c r="E337" s="1177"/>
      <c r="F337" s="1177"/>
      <c r="G337" s="1177"/>
      <c r="H337" s="1177"/>
      <c r="I337" s="1177"/>
      <c r="J337" s="1177"/>
      <c r="K337" s="1177"/>
      <c r="L337" s="1177"/>
      <c r="M337" s="1177"/>
      <c r="N337" s="1177"/>
      <c r="O337" s="1177"/>
      <c r="P337" s="1177"/>
      <c r="Q337" s="1177"/>
      <c r="R337" s="1177"/>
      <c r="S337" s="1177"/>
      <c r="T337" s="1177"/>
      <c r="U337" s="1177"/>
      <c r="V337" s="1177"/>
      <c r="W337" s="1177"/>
      <c r="X337" s="1177"/>
      <c r="Y337" s="1177"/>
      <c r="Z337" s="1177"/>
      <c r="AA337" s="1177"/>
      <c r="AB337" s="1177"/>
      <c r="AC337" s="1177"/>
      <c r="AD337" s="1177"/>
      <c r="AE337" s="1177"/>
      <c r="AF337" s="1177"/>
      <c r="AG337" s="1177"/>
      <c r="AH337" s="1177"/>
      <c r="AI337" s="1177"/>
      <c r="AJ337" s="1177"/>
      <c r="AK337" s="1177"/>
      <c r="AL337" s="1177"/>
      <c r="AM337" s="1177"/>
      <c r="AN337" s="1177"/>
      <c r="AO337" s="1177"/>
      <c r="AP337" s="1177"/>
      <c r="AQ337" s="1177"/>
      <c r="AR337" s="1177"/>
      <c r="AS337" s="1177"/>
      <c r="AT337" s="1177"/>
      <c r="AU337" s="1177"/>
      <c r="AV337" s="1177"/>
      <c r="AW337" s="1177"/>
      <c r="AX337" s="1177"/>
      <c r="AY337" s="1177"/>
      <c r="AZ337" s="1177"/>
      <c r="BA337" s="1177"/>
      <c r="BB337" s="1177"/>
      <c r="BC337" s="1177"/>
      <c r="BD337" s="1177"/>
      <c r="BE337" s="1177"/>
      <c r="BF337" s="1177"/>
      <c r="BG337" s="1177"/>
      <c r="BH337" s="1177"/>
      <c r="BI337" s="1177"/>
      <c r="BJ337" s="1177"/>
      <c r="BK337" s="1177"/>
      <c r="BL337" s="1177"/>
      <c r="BM337" s="1177"/>
      <c r="BN337" s="1177"/>
      <c r="BO337" s="1177"/>
      <c r="BP337" s="1177"/>
      <c r="BQ337" s="1177"/>
      <c r="BR337" s="1177"/>
      <c r="BS337" s="1177"/>
      <c r="BT337" s="1177"/>
      <c r="BU337" s="1177"/>
      <c r="BV337" s="1177"/>
      <c r="BW337" s="1177"/>
      <c r="BX337" s="1177"/>
      <c r="BY337" s="1177"/>
      <c r="BZ337" s="1177"/>
      <c r="CA337" s="1177"/>
      <c r="CB337" s="1177"/>
      <c r="CC337" s="1177"/>
      <c r="CD337" s="1177"/>
      <c r="CE337" s="1177"/>
      <c r="CF337" s="1177"/>
      <c r="CG337" s="1177"/>
      <c r="CH337" s="1177"/>
    </row>
    <row r="338" spans="2:86" ht="15.75" outlineLevel="1" thickBot="1">
      <c r="CH338" s="63"/>
    </row>
    <row r="339" spans="2:86" ht="21.75" outlineLevel="1" thickBot="1">
      <c r="B339" s="1178" t="s">
        <v>115</v>
      </c>
      <c r="C339" s="1179"/>
      <c r="D339" s="1179"/>
      <c r="E339" s="1179"/>
      <c r="F339" s="1179"/>
      <c r="G339" s="1179"/>
      <c r="H339" s="1179"/>
      <c r="I339" s="1179"/>
      <c r="J339" s="1179"/>
      <c r="K339" s="1179"/>
      <c r="L339" s="1179"/>
      <c r="M339" s="1179"/>
      <c r="N339" s="1179"/>
      <c r="O339" s="1179"/>
      <c r="P339" s="1179"/>
      <c r="Q339" s="1179"/>
      <c r="R339" s="1179"/>
      <c r="S339" s="1179"/>
      <c r="T339" s="1179"/>
      <c r="U339" s="1179"/>
      <c r="V339" s="1179"/>
      <c r="W339" s="1179"/>
      <c r="X339" s="1179"/>
      <c r="Y339" s="1179"/>
      <c r="Z339" s="1179"/>
      <c r="AA339" s="1179"/>
      <c r="AB339" s="1179"/>
      <c r="AC339" s="1179"/>
      <c r="AD339" s="1179"/>
      <c r="AE339" s="1179"/>
      <c r="AF339" s="1179"/>
      <c r="AG339" s="1179"/>
      <c r="AH339" s="1179"/>
      <c r="AI339" s="1179"/>
      <c r="AJ339" s="1179"/>
      <c r="AK339" s="1179"/>
      <c r="AL339" s="1179"/>
      <c r="AM339" s="1179"/>
      <c r="AN339" s="1179"/>
      <c r="AO339" s="1179"/>
      <c r="AP339" s="1179"/>
      <c r="AQ339" s="1179"/>
      <c r="AR339" s="1179"/>
      <c r="AS339" s="1179"/>
      <c r="AT339" s="1179"/>
      <c r="AU339" s="1179"/>
      <c r="AV339" s="1179"/>
      <c r="AW339" s="1179"/>
      <c r="AX339" s="1179"/>
      <c r="AY339" s="1179"/>
      <c r="AZ339" s="1179"/>
      <c r="BA339" s="1179"/>
      <c r="BB339" s="1179"/>
      <c r="BC339" s="1179"/>
      <c r="BD339" s="1179"/>
      <c r="BE339" s="1179"/>
      <c r="BF339" s="1179"/>
      <c r="BG339" s="1179"/>
      <c r="BH339" s="1179"/>
      <c r="BI339" s="1179"/>
      <c r="BJ339" s="1179"/>
      <c r="BK339" s="1179"/>
      <c r="BL339" s="1179"/>
      <c r="BM339" s="1179"/>
      <c r="BN339" s="1179"/>
      <c r="BO339" s="1179"/>
      <c r="BP339" s="63"/>
      <c r="BQ339" s="1180" t="s">
        <v>121</v>
      </c>
      <c r="BR339" s="1181"/>
      <c r="BS339" s="1181"/>
      <c r="BT339" s="1181"/>
      <c r="BU339" s="1181"/>
      <c r="BV339" s="1181"/>
      <c r="BW339" s="1181"/>
      <c r="BX339" s="1181"/>
      <c r="BY339" s="1181"/>
      <c r="BZ339" s="1181"/>
      <c r="CA339" s="1181"/>
      <c r="CB339" s="1181"/>
      <c r="CC339" s="1181"/>
      <c r="CD339" s="1181"/>
      <c r="CE339" s="1181"/>
      <c r="CF339" s="1181"/>
      <c r="CG339" s="1181"/>
      <c r="CH339" s="1182"/>
    </row>
    <row r="340" spans="2:86" ht="15" customHeight="1" outlineLevel="1">
      <c r="B340" s="1183" t="s">
        <v>6353</v>
      </c>
      <c r="C340" s="1185" t="s">
        <v>6372</v>
      </c>
      <c r="D340" s="1185" t="s">
        <v>7</v>
      </c>
      <c r="E340" s="1185" t="s">
        <v>127</v>
      </c>
      <c r="F340" s="1187" t="s">
        <v>6348</v>
      </c>
      <c r="G340" s="1185" t="s">
        <v>6333</v>
      </c>
      <c r="H340" s="1185" t="s">
        <v>128</v>
      </c>
      <c r="I340" s="1185" t="s">
        <v>156</v>
      </c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5"/>
      <c r="AB340" s="655"/>
      <c r="AC340" s="655"/>
      <c r="AD340" s="655"/>
      <c r="AE340" s="655"/>
      <c r="AF340" s="655"/>
      <c r="AG340" s="655"/>
      <c r="AH340" s="655"/>
      <c r="AI340" s="655"/>
      <c r="AJ340" s="655"/>
      <c r="AK340" s="655"/>
      <c r="AL340" s="655"/>
      <c r="AM340" s="655"/>
      <c r="AN340" s="655"/>
      <c r="AO340" s="655"/>
      <c r="AP340" s="655"/>
      <c r="AQ340" s="655"/>
      <c r="AR340" s="655"/>
      <c r="AS340" s="655"/>
      <c r="AT340" s="655"/>
      <c r="AU340" s="655"/>
      <c r="AV340" s="655"/>
      <c r="AW340" s="655"/>
      <c r="AX340" s="655"/>
      <c r="AY340" s="655"/>
      <c r="AZ340" s="655"/>
      <c r="BA340" s="655"/>
      <c r="BB340" s="655"/>
      <c r="BC340" s="1185" t="s">
        <v>6623</v>
      </c>
      <c r="BD340" s="1185" t="s">
        <v>6621</v>
      </c>
      <c r="BE340" s="655"/>
      <c r="BF340" s="655"/>
      <c r="BG340" s="655"/>
      <c r="BH340" s="655"/>
      <c r="BI340" s="655"/>
      <c r="BJ340" s="655"/>
      <c r="BK340" s="655"/>
      <c r="BL340" s="655"/>
      <c r="BM340" s="655"/>
      <c r="BN340" s="655"/>
      <c r="BO340" s="657"/>
      <c r="BP340" s="63"/>
      <c r="BQ340" s="732"/>
      <c r="BR340" s="732"/>
      <c r="BS340" s="732"/>
      <c r="BT340" s="732"/>
      <c r="BU340" s="732"/>
      <c r="BV340" s="732"/>
      <c r="BW340" s="732"/>
      <c r="BX340" s="732"/>
      <c r="BY340" s="1193" t="s">
        <v>122</v>
      </c>
      <c r="BZ340" s="1193"/>
      <c r="CA340" s="1193"/>
      <c r="CB340" s="1194" t="s">
        <v>123</v>
      </c>
      <c r="CC340" s="1195"/>
      <c r="CD340" s="63"/>
      <c r="CE340" s="1198" t="s">
        <v>124</v>
      </c>
      <c r="CF340" s="1199"/>
      <c r="CG340" s="63"/>
      <c r="CH340" s="1185" t="s">
        <v>125</v>
      </c>
    </row>
    <row r="341" spans="2:86" ht="18" outlineLevel="1">
      <c r="B341" s="1184"/>
      <c r="C341" s="1186"/>
      <c r="D341" s="1186"/>
      <c r="E341" s="1186"/>
      <c r="F341" s="1188"/>
      <c r="G341" s="1186"/>
      <c r="H341" s="1186"/>
      <c r="I341" s="118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56"/>
      <c r="AB341" s="656"/>
      <c r="AC341" s="656"/>
      <c r="AD341" s="656"/>
      <c r="AE341" s="656"/>
      <c r="AF341" s="656"/>
      <c r="AG341" s="656"/>
      <c r="AH341" s="656"/>
      <c r="AI341" s="656"/>
      <c r="AJ341" s="656"/>
      <c r="AK341" s="656"/>
      <c r="AL341" s="656"/>
      <c r="AM341" s="656"/>
      <c r="AN341" s="656"/>
      <c r="AO341" s="656"/>
      <c r="AP341" s="656"/>
      <c r="AQ341" s="656"/>
      <c r="AR341" s="656"/>
      <c r="AS341" s="656"/>
      <c r="AT341" s="656"/>
      <c r="AU341" s="656"/>
      <c r="AV341" s="656"/>
      <c r="AW341" s="656"/>
      <c r="AX341" s="656"/>
      <c r="AY341" s="656"/>
      <c r="AZ341" s="656"/>
      <c r="BA341" s="656"/>
      <c r="BB341" s="656"/>
      <c r="BC341" s="1186"/>
      <c r="BD341" s="1186"/>
      <c r="BE341" s="656"/>
      <c r="BF341" s="656"/>
      <c r="BG341" s="656"/>
      <c r="BH341" s="656"/>
      <c r="BI341" s="656"/>
      <c r="BJ341" s="656"/>
      <c r="BK341" s="656"/>
      <c r="BL341" s="656"/>
      <c r="BM341" s="656"/>
      <c r="BN341" s="656"/>
      <c r="BO341" s="79"/>
      <c r="BP341" s="63"/>
      <c r="BQ341" s="1325"/>
      <c r="BR341" s="712"/>
      <c r="BS341" s="712"/>
      <c r="BT341" s="712"/>
      <c r="BU341" s="712"/>
      <c r="BV341" s="712"/>
      <c r="BW341" s="712"/>
      <c r="BX341" s="712"/>
      <c r="BY341" s="718" t="s">
        <v>106</v>
      </c>
      <c r="BZ341" s="58" t="s">
        <v>107</v>
      </c>
      <c r="CA341" s="720" t="s">
        <v>108</v>
      </c>
      <c r="CB341" s="1196"/>
      <c r="CC341" s="1197"/>
      <c r="CD341" s="63"/>
      <c r="CE341" s="1200"/>
      <c r="CF341" s="1201"/>
      <c r="CG341" s="63"/>
      <c r="CH341" s="1186"/>
    </row>
    <row r="342" spans="2:86" ht="18.75" outlineLevel="1" thickBot="1">
      <c r="B342" s="65"/>
      <c r="C342" s="66"/>
      <c r="D342" s="661" t="s">
        <v>6306</v>
      </c>
      <c r="E342" s="661" t="s">
        <v>6306</v>
      </c>
      <c r="F342" s="661"/>
      <c r="G342" s="661" t="s">
        <v>6306</v>
      </c>
      <c r="H342" s="661" t="s">
        <v>6306</v>
      </c>
      <c r="I342" s="661" t="s">
        <v>6306</v>
      </c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 t="s">
        <v>119</v>
      </c>
      <c r="BD342" s="64" t="s">
        <v>6622</v>
      </c>
      <c r="BE342" s="64"/>
      <c r="BF342" s="64"/>
      <c r="BG342" s="64"/>
      <c r="BH342" s="64"/>
      <c r="BI342" s="64"/>
      <c r="BJ342" s="64"/>
      <c r="BK342" s="64"/>
      <c r="BL342" s="64"/>
      <c r="BM342" s="64"/>
      <c r="BN342" s="64"/>
      <c r="BO342" s="66"/>
      <c r="BP342" s="63"/>
      <c r="BQ342" s="66"/>
      <c r="BR342" s="713"/>
      <c r="BS342" s="713"/>
      <c r="BT342" s="713"/>
      <c r="BU342" s="713"/>
      <c r="BV342" s="713"/>
      <c r="BW342" s="713"/>
      <c r="BX342" s="713"/>
      <c r="BY342" s="713" t="s">
        <v>109</v>
      </c>
      <c r="BZ342" s="66" t="s">
        <v>109</v>
      </c>
      <c r="CA342" s="64" t="s">
        <v>109</v>
      </c>
      <c r="CB342" s="66" t="s">
        <v>109</v>
      </c>
      <c r="CC342" s="721" t="s">
        <v>110</v>
      </c>
      <c r="CD342" s="63"/>
      <c r="CE342" s="724" t="s">
        <v>111</v>
      </c>
      <c r="CF342" s="725" t="s">
        <v>112</v>
      </c>
      <c r="CG342" s="63"/>
      <c r="CH342" s="66" t="s">
        <v>114</v>
      </c>
    </row>
    <row r="343" spans="2:86" outlineLevel="1">
      <c r="B343" s="787" t="s">
        <v>6494</v>
      </c>
      <c r="C343" s="80"/>
      <c r="D343" s="716"/>
      <c r="E343" s="662"/>
      <c r="F343" s="69" t="str">
        <f>IF(E343=0,"",MONTH(E343))</f>
        <v/>
      </c>
      <c r="G343" s="80"/>
      <c r="H343" s="80"/>
      <c r="I343" s="648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  <c r="AP343" s="69"/>
      <c r="AQ343" s="69"/>
      <c r="AR343" s="69"/>
      <c r="AS343" s="69"/>
      <c r="AT343" s="69"/>
      <c r="AU343" s="69"/>
      <c r="AV343" s="69"/>
      <c r="AW343" s="69"/>
      <c r="AX343" s="69"/>
      <c r="AY343" s="69"/>
      <c r="AZ343" s="69"/>
      <c r="BA343" s="69"/>
      <c r="BB343" s="69"/>
      <c r="BC343" s="790" t="s">
        <v>710</v>
      </c>
      <c r="BD343" s="790">
        <v>15000</v>
      </c>
      <c r="BE343" s="69"/>
      <c r="BF343" s="69"/>
      <c r="BG343" s="69"/>
      <c r="BH343" s="69"/>
      <c r="BI343" s="69"/>
      <c r="BJ343" s="69"/>
      <c r="BK343" s="69"/>
      <c r="BL343" s="69"/>
      <c r="BM343" s="69"/>
      <c r="BN343" s="69"/>
      <c r="BO343" s="69"/>
      <c r="BP343" s="63"/>
      <c r="BQ343" s="69"/>
      <c r="BR343" s="719"/>
      <c r="BS343" s="719"/>
      <c r="BT343" s="719"/>
      <c r="BU343" s="719"/>
      <c r="BV343" s="719"/>
      <c r="BW343" s="719"/>
      <c r="BX343" s="719"/>
      <c r="BY343" s="791">
        <f>IFERROR(VLOOKUP(BC343,FÉ!$B$532:$L$534,11,FALSE)*BD343,)</f>
        <v>139050</v>
      </c>
      <c r="BZ343" s="69">
        <v>0</v>
      </c>
      <c r="CA343" s="700">
        <v>0</v>
      </c>
      <c r="CB343" s="69">
        <f>SUM(BY343:CA343)</f>
        <v>139050</v>
      </c>
      <c r="CC343" s="722">
        <f>CB343/(10^6)</f>
        <v>0.13905000000000001</v>
      </c>
      <c r="CD343" s="63"/>
      <c r="CE343" s="726"/>
      <c r="CF343" s="727"/>
      <c r="CG343" s="63"/>
      <c r="CH343" s="730"/>
    </row>
    <row r="344" spans="2:86" outlineLevel="1">
      <c r="B344" s="69" t="str">
        <f t="shared" ref="B344:B352" si="80">B343</f>
        <v>4.1B1</v>
      </c>
      <c r="C344" s="80"/>
      <c r="D344" s="80"/>
      <c r="E344" s="663"/>
      <c r="F344" s="69" t="str">
        <f t="shared" ref="F344:F352" si="81">IF(E344=0,"",MONTH(E344))</f>
        <v/>
      </c>
      <c r="G344" s="80" t="s">
        <v>136</v>
      </c>
      <c r="H344" s="80"/>
      <c r="I344" s="648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  <c r="AP344" s="69"/>
      <c r="AQ344" s="69"/>
      <c r="AR344" s="69"/>
      <c r="AS344" s="69"/>
      <c r="AT344" s="69"/>
      <c r="AU344" s="69"/>
      <c r="AV344" s="69"/>
      <c r="AW344" s="69"/>
      <c r="AX344" s="69"/>
      <c r="AY344" s="69"/>
      <c r="AZ344" s="69"/>
      <c r="BA344" s="69"/>
      <c r="BB344" s="69"/>
      <c r="BC344" s="790"/>
      <c r="BD344" s="790"/>
      <c r="BE344" s="69"/>
      <c r="BF344" s="69"/>
      <c r="BG344" s="69"/>
      <c r="BH344" s="69"/>
      <c r="BI344" s="69"/>
      <c r="BJ344" s="69"/>
      <c r="BK344" s="69"/>
      <c r="BL344" s="69"/>
      <c r="BM344" s="69"/>
      <c r="BN344" s="69"/>
      <c r="BO344" s="69"/>
      <c r="BP344" s="63"/>
      <c r="BQ344" s="69"/>
      <c r="BR344" s="719"/>
      <c r="BS344" s="719"/>
      <c r="BT344" s="719"/>
      <c r="BU344" s="719"/>
      <c r="BV344" s="719"/>
      <c r="BW344" s="719"/>
      <c r="BX344" s="719"/>
      <c r="BY344" s="791">
        <f>IFERROR(VLOOKUP(BC344,FÉ!$B$532:$L$534,11,FALSE)*BD344,)</f>
        <v>0</v>
      </c>
      <c r="BZ344" s="69">
        <v>0</v>
      </c>
      <c r="CA344" s="700">
        <v>0</v>
      </c>
      <c r="CB344" s="69">
        <f>SUM(BY344:CA344)</f>
        <v>0</v>
      </c>
      <c r="CC344" s="722">
        <f>CB344/(10^6)</f>
        <v>0</v>
      </c>
      <c r="CD344" s="63"/>
      <c r="CE344" s="726"/>
      <c r="CF344" s="727"/>
      <c r="CG344" s="63"/>
      <c r="CH344" s="730"/>
    </row>
    <row r="345" spans="2:86" outlineLevel="1">
      <c r="B345" s="69" t="str">
        <f t="shared" si="80"/>
        <v>4.1B1</v>
      </c>
      <c r="C345" s="80"/>
      <c r="D345" s="80"/>
      <c r="E345" s="663"/>
      <c r="F345" s="69" t="str">
        <f t="shared" si="81"/>
        <v/>
      </c>
      <c r="G345" s="80" t="s">
        <v>137</v>
      </c>
      <c r="H345" s="80"/>
      <c r="I345" s="648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  <c r="AP345" s="69"/>
      <c r="AQ345" s="69"/>
      <c r="AR345" s="69"/>
      <c r="AS345" s="69"/>
      <c r="AT345" s="69"/>
      <c r="AU345" s="69"/>
      <c r="AV345" s="69"/>
      <c r="AW345" s="69"/>
      <c r="AX345" s="69"/>
      <c r="AY345" s="69"/>
      <c r="AZ345" s="69"/>
      <c r="BA345" s="69"/>
      <c r="BB345" s="69"/>
      <c r="BC345" s="790"/>
      <c r="BD345" s="790"/>
      <c r="BE345" s="69"/>
      <c r="BF345" s="69"/>
      <c r="BG345" s="69"/>
      <c r="BH345" s="69"/>
      <c r="BI345" s="69"/>
      <c r="BJ345" s="69"/>
      <c r="BK345" s="69"/>
      <c r="BL345" s="69"/>
      <c r="BM345" s="69"/>
      <c r="BN345" s="69"/>
      <c r="BO345" s="69"/>
      <c r="BP345" s="63"/>
      <c r="BQ345" s="69"/>
      <c r="BR345" s="719"/>
      <c r="BS345" s="719"/>
      <c r="BT345" s="719"/>
      <c r="BU345" s="719"/>
      <c r="BV345" s="719"/>
      <c r="BW345" s="719"/>
      <c r="BX345" s="719"/>
      <c r="BY345" s="791">
        <f>IFERROR(VLOOKUP(BC345,FÉ!$B$532:$L$534,11,FALSE)*BD345,)</f>
        <v>0</v>
      </c>
      <c r="BZ345" s="69">
        <v>0</v>
      </c>
      <c r="CA345" s="700">
        <v>0</v>
      </c>
      <c r="CB345" s="69">
        <f t="shared" ref="CB345:CB352" si="82">SUM(BY345:CA345)</f>
        <v>0</v>
      </c>
      <c r="CC345" s="722">
        <f t="shared" ref="CC345:CC352" si="83">CB345/(10^6)</f>
        <v>0</v>
      </c>
      <c r="CD345" s="63"/>
      <c r="CE345" s="726"/>
      <c r="CF345" s="727"/>
      <c r="CG345" s="63"/>
      <c r="CH345" s="730"/>
    </row>
    <row r="346" spans="2:86" outlineLevel="1">
      <c r="B346" s="69" t="str">
        <f t="shared" si="80"/>
        <v>4.1B1</v>
      </c>
      <c r="C346" s="80"/>
      <c r="D346" s="80"/>
      <c r="E346" s="663"/>
      <c r="F346" s="69" t="str">
        <f t="shared" si="81"/>
        <v/>
      </c>
      <c r="G346" s="80"/>
      <c r="H346" s="80"/>
      <c r="I346" s="648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  <c r="AP346" s="69"/>
      <c r="AQ346" s="69"/>
      <c r="AR346" s="69"/>
      <c r="AS346" s="69"/>
      <c r="AT346" s="69"/>
      <c r="AU346" s="69"/>
      <c r="AV346" s="69"/>
      <c r="AW346" s="69"/>
      <c r="AX346" s="69"/>
      <c r="AY346" s="69"/>
      <c r="AZ346" s="69"/>
      <c r="BA346" s="69"/>
      <c r="BB346" s="69"/>
      <c r="BC346" s="790"/>
      <c r="BD346" s="790"/>
      <c r="BE346" s="69"/>
      <c r="BF346" s="69"/>
      <c r="BG346" s="69"/>
      <c r="BH346" s="69"/>
      <c r="BI346" s="69"/>
      <c r="BJ346" s="69"/>
      <c r="BK346" s="69"/>
      <c r="BL346" s="69"/>
      <c r="BM346" s="69"/>
      <c r="BN346" s="69"/>
      <c r="BO346" s="69"/>
      <c r="BP346" s="63"/>
      <c r="BQ346" s="69"/>
      <c r="BR346" s="719"/>
      <c r="BS346" s="719"/>
      <c r="BT346" s="719"/>
      <c r="BU346" s="719"/>
      <c r="BV346" s="719"/>
      <c r="BW346" s="719"/>
      <c r="BX346" s="719"/>
      <c r="BY346" s="791">
        <f>IFERROR(VLOOKUP(BC346,FÉ!$B$532:$L$534,11,FALSE)*BD346,)</f>
        <v>0</v>
      </c>
      <c r="BZ346" s="69">
        <v>0</v>
      </c>
      <c r="CA346" s="700">
        <v>0</v>
      </c>
      <c r="CB346" s="69">
        <f t="shared" si="82"/>
        <v>0</v>
      </c>
      <c r="CC346" s="722">
        <f t="shared" si="83"/>
        <v>0</v>
      </c>
      <c r="CD346" s="63"/>
      <c r="CE346" s="726"/>
      <c r="CF346" s="727"/>
      <c r="CG346" s="63"/>
      <c r="CH346" s="730"/>
    </row>
    <row r="347" spans="2:86" outlineLevel="1">
      <c r="B347" s="69" t="str">
        <f t="shared" si="80"/>
        <v>4.1B1</v>
      </c>
      <c r="C347" s="80"/>
      <c r="D347" s="80"/>
      <c r="E347" s="663"/>
      <c r="F347" s="69" t="str">
        <f t="shared" si="81"/>
        <v/>
      </c>
      <c r="G347" s="80"/>
      <c r="H347" s="80"/>
      <c r="I347" s="648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  <c r="AP347" s="69"/>
      <c r="AQ347" s="69"/>
      <c r="AR347" s="69"/>
      <c r="AS347" s="69"/>
      <c r="AT347" s="69"/>
      <c r="AU347" s="69"/>
      <c r="AV347" s="69"/>
      <c r="AW347" s="69"/>
      <c r="AX347" s="69"/>
      <c r="AY347" s="69"/>
      <c r="AZ347" s="69"/>
      <c r="BA347" s="69"/>
      <c r="BB347" s="69"/>
      <c r="BC347" s="790"/>
      <c r="BD347" s="790"/>
      <c r="BE347" s="69"/>
      <c r="BF347" s="69"/>
      <c r="BG347" s="69"/>
      <c r="BH347" s="69"/>
      <c r="BI347" s="69"/>
      <c r="BJ347" s="69"/>
      <c r="BK347" s="69"/>
      <c r="BL347" s="69"/>
      <c r="BM347" s="69"/>
      <c r="BN347" s="69"/>
      <c r="BO347" s="69"/>
      <c r="BP347" s="63"/>
      <c r="BQ347" s="69"/>
      <c r="BR347" s="719"/>
      <c r="BS347" s="719"/>
      <c r="BT347" s="719"/>
      <c r="BU347" s="719"/>
      <c r="BV347" s="719"/>
      <c r="BW347" s="719"/>
      <c r="BX347" s="719"/>
      <c r="BY347" s="791">
        <f>IFERROR(VLOOKUP(BC347,FÉ!$B$532:$L$534,11,FALSE)*BD347,)</f>
        <v>0</v>
      </c>
      <c r="BZ347" s="69">
        <v>0</v>
      </c>
      <c r="CA347" s="700">
        <v>0</v>
      </c>
      <c r="CB347" s="69">
        <f t="shared" si="82"/>
        <v>0</v>
      </c>
      <c r="CC347" s="722">
        <f t="shared" si="83"/>
        <v>0</v>
      </c>
      <c r="CD347" s="63"/>
      <c r="CE347" s="726"/>
      <c r="CF347" s="727"/>
      <c r="CG347" s="63"/>
      <c r="CH347" s="730"/>
    </row>
    <row r="348" spans="2:86" outlineLevel="1">
      <c r="B348" s="69" t="str">
        <f t="shared" si="80"/>
        <v>4.1B1</v>
      </c>
      <c r="C348" s="80"/>
      <c r="D348" s="80"/>
      <c r="E348" s="663"/>
      <c r="F348" s="69" t="str">
        <f t="shared" si="81"/>
        <v/>
      </c>
      <c r="G348" s="80"/>
      <c r="H348" s="80"/>
      <c r="I348" s="648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  <c r="AP348" s="69"/>
      <c r="AQ348" s="69"/>
      <c r="AR348" s="69"/>
      <c r="AS348" s="69"/>
      <c r="AT348" s="69"/>
      <c r="AU348" s="69"/>
      <c r="AV348" s="69"/>
      <c r="AW348" s="69"/>
      <c r="AX348" s="69"/>
      <c r="AY348" s="69"/>
      <c r="AZ348" s="69"/>
      <c r="BA348" s="69"/>
      <c r="BB348" s="69"/>
      <c r="BC348" s="790"/>
      <c r="BD348" s="790"/>
      <c r="BE348" s="69"/>
      <c r="BF348" s="69"/>
      <c r="BG348" s="69"/>
      <c r="BH348" s="69"/>
      <c r="BI348" s="69"/>
      <c r="BJ348" s="69"/>
      <c r="BK348" s="69"/>
      <c r="BL348" s="69"/>
      <c r="BM348" s="69"/>
      <c r="BN348" s="69"/>
      <c r="BO348" s="69"/>
      <c r="BP348" s="63"/>
      <c r="BQ348" s="69"/>
      <c r="BR348" s="719"/>
      <c r="BS348" s="719"/>
      <c r="BT348" s="719"/>
      <c r="BU348" s="719"/>
      <c r="BV348" s="719"/>
      <c r="BW348" s="719"/>
      <c r="BX348" s="719"/>
      <c r="BY348" s="791">
        <f>IFERROR(VLOOKUP(BC348,FÉ!$B$532:$L$534,11,FALSE)*BD348,)</f>
        <v>0</v>
      </c>
      <c r="BZ348" s="69">
        <v>0</v>
      </c>
      <c r="CA348" s="700">
        <v>0</v>
      </c>
      <c r="CB348" s="69">
        <f t="shared" si="82"/>
        <v>0</v>
      </c>
      <c r="CC348" s="722">
        <f t="shared" si="83"/>
        <v>0</v>
      </c>
      <c r="CD348" s="63"/>
      <c r="CE348" s="726"/>
      <c r="CF348" s="727"/>
      <c r="CG348" s="63"/>
      <c r="CH348" s="730"/>
    </row>
    <row r="349" spans="2:86" outlineLevel="1">
      <c r="B349" s="69" t="str">
        <f t="shared" si="80"/>
        <v>4.1B1</v>
      </c>
      <c r="C349" s="80"/>
      <c r="D349" s="80"/>
      <c r="E349" s="663"/>
      <c r="F349" s="69" t="str">
        <f t="shared" si="81"/>
        <v/>
      </c>
      <c r="G349" s="80"/>
      <c r="H349" s="80"/>
      <c r="I349" s="648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  <c r="AP349" s="69"/>
      <c r="AQ349" s="69"/>
      <c r="AR349" s="69"/>
      <c r="AS349" s="69"/>
      <c r="AT349" s="69"/>
      <c r="AU349" s="69"/>
      <c r="AV349" s="69"/>
      <c r="AW349" s="69"/>
      <c r="AX349" s="69"/>
      <c r="AY349" s="69"/>
      <c r="AZ349" s="69"/>
      <c r="BA349" s="69"/>
      <c r="BB349" s="69"/>
      <c r="BC349" s="790"/>
      <c r="BD349" s="790"/>
      <c r="BE349" s="69"/>
      <c r="BF349" s="69"/>
      <c r="BG349" s="69"/>
      <c r="BH349" s="69"/>
      <c r="BI349" s="69"/>
      <c r="BJ349" s="69"/>
      <c r="BK349" s="69"/>
      <c r="BL349" s="69"/>
      <c r="BM349" s="69"/>
      <c r="BN349" s="69"/>
      <c r="BO349" s="69"/>
      <c r="BP349" s="63"/>
      <c r="BQ349" s="69"/>
      <c r="BR349" s="719"/>
      <c r="BS349" s="719"/>
      <c r="BT349" s="719"/>
      <c r="BU349" s="719"/>
      <c r="BV349" s="719"/>
      <c r="BW349" s="719"/>
      <c r="BX349" s="719"/>
      <c r="BY349" s="791">
        <f>IFERROR(VLOOKUP(BC349,FÉ!$B$532:$L$534,11,FALSE)*BD349,)</f>
        <v>0</v>
      </c>
      <c r="BZ349" s="69">
        <v>0</v>
      </c>
      <c r="CA349" s="700">
        <v>0</v>
      </c>
      <c r="CB349" s="69">
        <f t="shared" si="82"/>
        <v>0</v>
      </c>
      <c r="CC349" s="722">
        <f t="shared" si="83"/>
        <v>0</v>
      </c>
      <c r="CD349" s="63"/>
      <c r="CE349" s="726"/>
      <c r="CF349" s="727"/>
      <c r="CG349" s="63"/>
      <c r="CH349" s="730"/>
    </row>
    <row r="350" spans="2:86" outlineLevel="1">
      <c r="B350" s="69" t="str">
        <f t="shared" si="80"/>
        <v>4.1B1</v>
      </c>
      <c r="C350" s="80"/>
      <c r="D350" s="80"/>
      <c r="E350" s="663"/>
      <c r="F350" s="69" t="str">
        <f t="shared" si="81"/>
        <v/>
      </c>
      <c r="G350" s="80"/>
      <c r="H350" s="80"/>
      <c r="I350" s="648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  <c r="AP350" s="69"/>
      <c r="AQ350" s="69"/>
      <c r="AR350" s="69"/>
      <c r="AS350" s="69"/>
      <c r="AT350" s="69"/>
      <c r="AU350" s="69"/>
      <c r="AV350" s="69"/>
      <c r="AW350" s="69"/>
      <c r="AX350" s="69"/>
      <c r="AY350" s="69"/>
      <c r="AZ350" s="69"/>
      <c r="BA350" s="69"/>
      <c r="BB350" s="69"/>
      <c r="BC350" s="790"/>
      <c r="BD350" s="790"/>
      <c r="BE350" s="69"/>
      <c r="BF350" s="69"/>
      <c r="BG350" s="69"/>
      <c r="BH350" s="69"/>
      <c r="BI350" s="69"/>
      <c r="BJ350" s="69"/>
      <c r="BK350" s="69"/>
      <c r="BL350" s="69"/>
      <c r="BM350" s="69"/>
      <c r="BN350" s="69"/>
      <c r="BO350" s="69"/>
      <c r="BP350" s="63"/>
      <c r="BQ350" s="69"/>
      <c r="BR350" s="719"/>
      <c r="BS350" s="719"/>
      <c r="BT350" s="719"/>
      <c r="BU350" s="719"/>
      <c r="BV350" s="719"/>
      <c r="BW350" s="719"/>
      <c r="BX350" s="719"/>
      <c r="BY350" s="791">
        <f>IFERROR(VLOOKUP(BC350,FÉ!$B$532:$L$534,11,FALSE)*BD350,)</f>
        <v>0</v>
      </c>
      <c r="BZ350" s="69">
        <v>0</v>
      </c>
      <c r="CA350" s="700">
        <v>0</v>
      </c>
      <c r="CB350" s="69">
        <f t="shared" si="82"/>
        <v>0</v>
      </c>
      <c r="CC350" s="722">
        <f t="shared" si="83"/>
        <v>0</v>
      </c>
      <c r="CD350" s="63"/>
      <c r="CE350" s="726"/>
      <c r="CF350" s="727"/>
      <c r="CG350" s="63"/>
      <c r="CH350" s="730"/>
    </row>
    <row r="351" spans="2:86" outlineLevel="1">
      <c r="B351" s="69" t="str">
        <f t="shared" si="80"/>
        <v>4.1B1</v>
      </c>
      <c r="C351" s="80"/>
      <c r="D351" s="80"/>
      <c r="E351" s="663"/>
      <c r="F351" s="69" t="str">
        <f t="shared" si="81"/>
        <v/>
      </c>
      <c r="G351" s="80"/>
      <c r="H351" s="80"/>
      <c r="I351" s="648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  <c r="AP351" s="69"/>
      <c r="AQ351" s="69"/>
      <c r="AR351" s="69"/>
      <c r="AS351" s="69"/>
      <c r="AT351" s="69"/>
      <c r="AU351" s="69"/>
      <c r="AV351" s="69"/>
      <c r="AW351" s="69"/>
      <c r="AX351" s="69"/>
      <c r="AY351" s="69"/>
      <c r="AZ351" s="69"/>
      <c r="BA351" s="69"/>
      <c r="BB351" s="69"/>
      <c r="BC351" s="790"/>
      <c r="BD351" s="790"/>
      <c r="BE351" s="69"/>
      <c r="BF351" s="69"/>
      <c r="BG351" s="69"/>
      <c r="BH351" s="69"/>
      <c r="BI351" s="69"/>
      <c r="BJ351" s="69"/>
      <c r="BK351" s="69"/>
      <c r="BL351" s="69"/>
      <c r="BM351" s="69"/>
      <c r="BN351" s="69"/>
      <c r="BO351" s="69"/>
      <c r="BP351" s="63"/>
      <c r="BQ351" s="69"/>
      <c r="BR351" s="719"/>
      <c r="BS351" s="719"/>
      <c r="BT351" s="719"/>
      <c r="BU351" s="719"/>
      <c r="BV351" s="719"/>
      <c r="BW351" s="719"/>
      <c r="BX351" s="719"/>
      <c r="BY351" s="791">
        <f>IFERROR(VLOOKUP(BC351,FÉ!$B$532:$L$534,11,FALSE)*BD351,)</f>
        <v>0</v>
      </c>
      <c r="BZ351" s="69">
        <v>0</v>
      </c>
      <c r="CA351" s="700">
        <v>0</v>
      </c>
      <c r="CB351" s="69">
        <f t="shared" si="82"/>
        <v>0</v>
      </c>
      <c r="CC351" s="722">
        <f t="shared" si="83"/>
        <v>0</v>
      </c>
      <c r="CD351" s="63"/>
      <c r="CE351" s="726"/>
      <c r="CF351" s="727"/>
      <c r="CG351" s="63"/>
      <c r="CH351" s="730"/>
    </row>
    <row r="352" spans="2:86" ht="15.75" outlineLevel="1" thickBot="1">
      <c r="B352" s="69" t="str">
        <f t="shared" si="80"/>
        <v>4.1B1</v>
      </c>
      <c r="C352" s="80"/>
      <c r="D352" s="717"/>
      <c r="E352" s="663"/>
      <c r="F352" s="69" t="str">
        <f t="shared" si="81"/>
        <v/>
      </c>
      <c r="G352" s="80"/>
      <c r="H352" s="80"/>
      <c r="I352" s="648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  <c r="AP352" s="69"/>
      <c r="AQ352" s="69"/>
      <c r="AR352" s="69"/>
      <c r="AS352" s="69"/>
      <c r="AT352" s="69"/>
      <c r="AU352" s="69"/>
      <c r="AV352" s="69"/>
      <c r="AW352" s="69"/>
      <c r="AX352" s="69"/>
      <c r="AY352" s="69"/>
      <c r="AZ352" s="69"/>
      <c r="BA352" s="69"/>
      <c r="BB352" s="69"/>
      <c r="BC352" s="790"/>
      <c r="BD352" s="790"/>
      <c r="BE352" s="69"/>
      <c r="BF352" s="69"/>
      <c r="BG352" s="69"/>
      <c r="BH352" s="69"/>
      <c r="BI352" s="69"/>
      <c r="BJ352" s="69"/>
      <c r="BK352" s="69"/>
      <c r="BL352" s="69"/>
      <c r="BM352" s="69"/>
      <c r="BN352" s="69"/>
      <c r="BO352" s="69"/>
      <c r="BP352" s="63"/>
      <c r="BQ352" s="69"/>
      <c r="BR352" s="719"/>
      <c r="BS352" s="719"/>
      <c r="BT352" s="719"/>
      <c r="BU352" s="719"/>
      <c r="BV352" s="719"/>
      <c r="BW352" s="719"/>
      <c r="BX352" s="719"/>
      <c r="BY352" s="791">
        <f>IFERROR(VLOOKUP(BC352,FÉ!$B$532:$L$534,11,FALSE)*BD352,)</f>
        <v>0</v>
      </c>
      <c r="BZ352" s="69">
        <v>0</v>
      </c>
      <c r="CA352" s="700">
        <v>0</v>
      </c>
      <c r="CB352" s="647">
        <f t="shared" si="82"/>
        <v>0</v>
      </c>
      <c r="CC352" s="723">
        <f t="shared" si="83"/>
        <v>0</v>
      </c>
      <c r="CD352" s="63"/>
      <c r="CE352" s="728"/>
      <c r="CF352" s="729"/>
      <c r="CG352" s="63"/>
      <c r="CH352" s="730"/>
    </row>
    <row r="353" spans="2:86" ht="15.75" outlineLevel="1" thickBot="1">
      <c r="B353" s="783"/>
      <c r="C353" s="784"/>
      <c r="D353" s="784"/>
      <c r="E353" s="785"/>
      <c r="F353" s="788" t="str">
        <f>$B343</f>
        <v>4.1B1</v>
      </c>
      <c r="G353" s="788" t="str">
        <f>$B343</f>
        <v>4.1B1</v>
      </c>
      <c r="H353" s="788" t="str">
        <f>$B343</f>
        <v>4.1B1</v>
      </c>
      <c r="I353" s="785"/>
      <c r="J353" s="786"/>
      <c r="K353" s="786"/>
      <c r="L353" s="786"/>
      <c r="M353" s="786"/>
      <c r="N353" s="786"/>
      <c r="O353" s="786"/>
      <c r="P353" s="786"/>
      <c r="Q353" s="786"/>
      <c r="R353" s="786"/>
      <c r="S353" s="786"/>
      <c r="T353" s="786"/>
      <c r="U353" s="786"/>
      <c r="V353" s="786"/>
      <c r="W353" s="786"/>
      <c r="X353" s="786"/>
      <c r="Y353" s="786"/>
      <c r="Z353" s="786"/>
      <c r="AA353" s="786"/>
      <c r="AB353" s="786"/>
      <c r="AC353" s="786"/>
      <c r="AD353" s="786"/>
      <c r="AE353" s="786"/>
      <c r="AF353" s="786"/>
      <c r="AG353" s="786"/>
      <c r="AH353" s="786"/>
      <c r="AI353" s="786"/>
      <c r="AJ353" s="786"/>
      <c r="AK353" s="786"/>
      <c r="AL353" s="786"/>
      <c r="AM353" s="786"/>
      <c r="AN353" s="786"/>
      <c r="AO353" s="786"/>
      <c r="AP353" s="786"/>
      <c r="AQ353" s="786"/>
      <c r="AR353" s="786"/>
      <c r="AS353" s="786"/>
      <c r="AT353" s="786"/>
      <c r="AU353" s="786"/>
      <c r="AV353" s="786"/>
      <c r="AW353" s="786"/>
      <c r="AX353" s="786"/>
      <c r="AY353" s="786"/>
      <c r="AZ353" s="786"/>
      <c r="BA353" s="786"/>
      <c r="BB353" s="786"/>
      <c r="BC353" s="786"/>
      <c r="BD353" s="786"/>
      <c r="BE353" s="786"/>
      <c r="BF353" s="786"/>
      <c r="BG353" s="786"/>
      <c r="BH353" s="786"/>
      <c r="BI353" s="786"/>
      <c r="BJ353" s="786"/>
      <c r="BK353" s="786"/>
      <c r="BL353" s="786"/>
      <c r="BM353" s="786"/>
      <c r="BN353" s="786"/>
      <c r="BO353" s="786"/>
      <c r="BP353" s="63"/>
      <c r="BQ353" s="782"/>
      <c r="BR353" s="782"/>
      <c r="BS353" s="782"/>
      <c r="BT353" s="782"/>
      <c r="BU353" s="782"/>
      <c r="BV353" s="782"/>
      <c r="BW353" s="782"/>
      <c r="BX353" s="782"/>
      <c r="BY353" s="782">
        <f>SUM(BY343:BY352)</f>
        <v>139050</v>
      </c>
      <c r="BZ353" s="782">
        <f>SUM(BZ343:BZ352)</f>
        <v>0</v>
      </c>
      <c r="CA353" s="782">
        <f>SUM(CA343:CA352)</f>
        <v>0</v>
      </c>
      <c r="CB353" s="782">
        <f>SUM(CB343:CB352)</f>
        <v>139050</v>
      </c>
      <c r="CC353" s="781">
        <f>SUM(CC343:CC352)</f>
        <v>0.13905000000000001</v>
      </c>
      <c r="CD353" s="63"/>
      <c r="CE353" s="780">
        <f>SUM(CE343:CE352)</f>
        <v>0</v>
      </c>
      <c r="CF353" s="781">
        <f>SUM(CF343:CF352)</f>
        <v>0</v>
      </c>
      <c r="CG353" s="63"/>
      <c r="CH353" s="779">
        <f>SUM(CH343:CH352)</f>
        <v>0</v>
      </c>
    </row>
    <row r="355" spans="2:86" ht="31.5">
      <c r="B355" s="1176" t="s">
        <v>6620</v>
      </c>
      <c r="C355" s="1177"/>
      <c r="D355" s="1177"/>
      <c r="E355" s="1177"/>
      <c r="F355" s="1177"/>
      <c r="G355" s="1177"/>
      <c r="H355" s="1177"/>
      <c r="I355" s="1177"/>
      <c r="J355" s="1177"/>
      <c r="K355" s="1177"/>
      <c r="L355" s="1177"/>
      <c r="M355" s="1177"/>
      <c r="N355" s="1177"/>
      <c r="O355" s="1177"/>
      <c r="P355" s="1177"/>
      <c r="Q355" s="1177"/>
      <c r="R355" s="1177"/>
      <c r="S355" s="1177"/>
      <c r="T355" s="1177"/>
      <c r="U355" s="1177"/>
      <c r="V355" s="1177"/>
      <c r="W355" s="1177"/>
      <c r="X355" s="1177"/>
      <c r="Y355" s="1177"/>
      <c r="Z355" s="1177"/>
      <c r="AA355" s="1177"/>
      <c r="AB355" s="1177"/>
      <c r="AC355" s="1177"/>
      <c r="AD355" s="1177"/>
      <c r="AE355" s="1177"/>
      <c r="AF355" s="1177"/>
      <c r="AG355" s="1177"/>
      <c r="AH355" s="1177"/>
      <c r="AI355" s="1177"/>
      <c r="AJ355" s="1177"/>
      <c r="AK355" s="1177"/>
      <c r="AL355" s="1177"/>
      <c r="AM355" s="1177"/>
      <c r="AN355" s="1177"/>
      <c r="AO355" s="1177"/>
      <c r="AP355" s="1177"/>
      <c r="AQ355" s="1177"/>
      <c r="AR355" s="1177"/>
      <c r="AS355" s="1177"/>
      <c r="AT355" s="1177"/>
      <c r="AU355" s="1177"/>
      <c r="AV355" s="1177"/>
      <c r="AW355" s="1177"/>
      <c r="AX355" s="1177"/>
      <c r="AY355" s="1177"/>
      <c r="AZ355" s="1177"/>
      <c r="BA355" s="1177"/>
      <c r="BB355" s="1177"/>
      <c r="BC355" s="1177"/>
      <c r="BD355" s="1177"/>
      <c r="BE355" s="1177"/>
      <c r="BF355" s="1177"/>
      <c r="BG355" s="1177"/>
      <c r="BH355" s="1177"/>
      <c r="BI355" s="1177"/>
      <c r="BJ355" s="1177"/>
      <c r="BK355" s="1177"/>
      <c r="BL355" s="1177"/>
      <c r="BM355" s="1177"/>
      <c r="BN355" s="1177"/>
      <c r="BO355" s="1177"/>
      <c r="BP355" s="1177"/>
      <c r="BQ355" s="1177"/>
      <c r="BR355" s="1177"/>
      <c r="BS355" s="1177"/>
      <c r="BT355" s="1177"/>
      <c r="BU355" s="1177"/>
      <c r="BV355" s="1177"/>
      <c r="BW355" s="1177"/>
      <c r="BX355" s="1177"/>
      <c r="BY355" s="1177"/>
      <c r="BZ355" s="1177"/>
      <c r="CA355" s="1177"/>
      <c r="CB355" s="1177"/>
      <c r="CC355" s="1177"/>
      <c r="CD355" s="1177"/>
      <c r="CE355" s="1177"/>
      <c r="CF355" s="1177"/>
      <c r="CG355" s="1177"/>
      <c r="CH355" s="1177"/>
    </row>
    <row r="356" spans="2:86" ht="15.75" outlineLevel="1" thickBot="1">
      <c r="CH356" s="63"/>
    </row>
    <row r="357" spans="2:86" ht="21.75" outlineLevel="1" thickBot="1">
      <c r="B357" s="1178" t="s">
        <v>115</v>
      </c>
      <c r="C357" s="1179"/>
      <c r="D357" s="1179"/>
      <c r="E357" s="1179"/>
      <c r="F357" s="1179"/>
      <c r="G357" s="1179"/>
      <c r="H357" s="1179"/>
      <c r="I357" s="1179"/>
      <c r="J357" s="1179"/>
      <c r="K357" s="1179"/>
      <c r="L357" s="1179"/>
      <c r="M357" s="1179"/>
      <c r="N357" s="1179"/>
      <c r="O357" s="1179"/>
      <c r="P357" s="1179"/>
      <c r="Q357" s="1179"/>
      <c r="R357" s="1179"/>
      <c r="S357" s="1179"/>
      <c r="T357" s="1179"/>
      <c r="U357" s="1179"/>
      <c r="V357" s="1179"/>
      <c r="W357" s="1179"/>
      <c r="X357" s="1179"/>
      <c r="Y357" s="1179"/>
      <c r="Z357" s="1179"/>
      <c r="AA357" s="1179"/>
      <c r="AB357" s="1179"/>
      <c r="AC357" s="1179"/>
      <c r="AD357" s="1179"/>
      <c r="AE357" s="1179"/>
      <c r="AF357" s="1179"/>
      <c r="AG357" s="1179"/>
      <c r="AH357" s="1179"/>
      <c r="AI357" s="1179"/>
      <c r="AJ357" s="1179"/>
      <c r="AK357" s="1179"/>
      <c r="AL357" s="1179"/>
      <c r="AM357" s="1179"/>
      <c r="AN357" s="1179"/>
      <c r="AO357" s="1179"/>
      <c r="AP357" s="1179"/>
      <c r="AQ357" s="1179"/>
      <c r="AR357" s="1179"/>
      <c r="AS357" s="1179"/>
      <c r="AT357" s="1179"/>
      <c r="AU357" s="1179"/>
      <c r="AV357" s="1179"/>
      <c r="AW357" s="1179"/>
      <c r="AX357" s="1179"/>
      <c r="AY357" s="1179"/>
      <c r="AZ357" s="1179"/>
      <c r="BA357" s="1179"/>
      <c r="BB357" s="1179"/>
      <c r="BC357" s="1179"/>
      <c r="BD357" s="1179"/>
      <c r="BE357" s="1179"/>
      <c r="BF357" s="1179"/>
      <c r="BG357" s="1179"/>
      <c r="BH357" s="1179"/>
      <c r="BI357" s="1179"/>
      <c r="BJ357" s="1179"/>
      <c r="BK357" s="1179"/>
      <c r="BL357" s="1179"/>
      <c r="BM357" s="1179"/>
      <c r="BN357" s="1179"/>
      <c r="BO357" s="1179"/>
      <c r="BP357" s="63"/>
      <c r="BQ357" s="1180" t="s">
        <v>121</v>
      </c>
      <c r="BR357" s="1181"/>
      <c r="BS357" s="1181"/>
      <c r="BT357" s="1181"/>
      <c r="BU357" s="1181"/>
      <c r="BV357" s="1181"/>
      <c r="BW357" s="1181"/>
      <c r="BX357" s="1181"/>
      <c r="BY357" s="1181"/>
      <c r="BZ357" s="1181"/>
      <c r="CA357" s="1181"/>
      <c r="CB357" s="1181"/>
      <c r="CC357" s="1181"/>
      <c r="CD357" s="1181"/>
      <c r="CE357" s="1181"/>
      <c r="CF357" s="1181"/>
      <c r="CG357" s="1181"/>
      <c r="CH357" s="1182"/>
    </row>
    <row r="358" spans="2:86" ht="15" customHeight="1" outlineLevel="1">
      <c r="B358" s="1183" t="s">
        <v>6353</v>
      </c>
      <c r="C358" s="1185" t="s">
        <v>6372</v>
      </c>
      <c r="D358" s="1185" t="s">
        <v>7</v>
      </c>
      <c r="E358" s="1185" t="s">
        <v>127</v>
      </c>
      <c r="F358" s="1187" t="s">
        <v>6348</v>
      </c>
      <c r="G358" s="1185" t="s">
        <v>6333</v>
      </c>
      <c r="H358" s="1185" t="s">
        <v>128</v>
      </c>
      <c r="I358" s="1185" t="s">
        <v>156</v>
      </c>
      <c r="J358" s="655"/>
      <c r="K358" s="655"/>
      <c r="L358" s="655"/>
      <c r="M358" s="655"/>
      <c r="N358" s="655"/>
      <c r="O358" s="655"/>
      <c r="P358" s="655"/>
      <c r="Q358" s="655"/>
      <c r="R358" s="655"/>
      <c r="S358" s="655"/>
      <c r="T358" s="655"/>
      <c r="U358" s="655"/>
      <c r="V358" s="655"/>
      <c r="W358" s="655"/>
      <c r="X358" s="655"/>
      <c r="Y358" s="655"/>
      <c r="Z358" s="655"/>
      <c r="AA358" s="655"/>
      <c r="AB358" s="655"/>
      <c r="AC358" s="655"/>
      <c r="AD358" s="655"/>
      <c r="AE358" s="655"/>
      <c r="AF358" s="655"/>
      <c r="AG358" s="655"/>
      <c r="AH358" s="655"/>
      <c r="AI358" s="655"/>
      <c r="AJ358" s="655"/>
      <c r="AK358" s="655"/>
      <c r="AL358" s="655"/>
      <c r="AM358" s="655"/>
      <c r="AN358" s="655"/>
      <c r="AO358" s="655"/>
      <c r="AP358" s="655"/>
      <c r="AQ358" s="655"/>
      <c r="AR358" s="655"/>
      <c r="AS358" s="655"/>
      <c r="AT358" s="655"/>
      <c r="AU358" s="655"/>
      <c r="AV358" s="655"/>
      <c r="AW358" s="655"/>
      <c r="AX358" s="655"/>
      <c r="AY358" s="655"/>
      <c r="AZ358" s="655"/>
      <c r="BA358" s="655"/>
      <c r="BB358" s="655"/>
      <c r="BC358" s="655"/>
      <c r="BD358" s="655"/>
      <c r="BE358" s="1185" t="s">
        <v>6624</v>
      </c>
      <c r="BF358" s="1185" t="s">
        <v>6625</v>
      </c>
      <c r="BG358" s="655"/>
      <c r="BH358" s="655"/>
      <c r="BI358" s="655"/>
      <c r="BJ358" s="655"/>
      <c r="BK358" s="655"/>
      <c r="BL358" s="655"/>
      <c r="BM358" s="655"/>
      <c r="BN358" s="655"/>
      <c r="BO358" s="657"/>
      <c r="BP358" s="63"/>
      <c r="BQ358" s="732"/>
      <c r="BR358" s="732"/>
      <c r="BS358" s="732"/>
      <c r="BT358" s="732"/>
      <c r="BU358" s="732"/>
      <c r="BV358" s="732"/>
      <c r="BW358" s="732"/>
      <c r="BX358" s="732"/>
      <c r="BY358" s="1193" t="s">
        <v>122</v>
      </c>
      <c r="BZ358" s="1193"/>
      <c r="CA358" s="1193"/>
      <c r="CB358" s="1194" t="s">
        <v>123</v>
      </c>
      <c r="CC358" s="1195"/>
      <c r="CD358" s="63"/>
      <c r="CE358" s="1198" t="s">
        <v>124</v>
      </c>
      <c r="CF358" s="1199"/>
      <c r="CG358" s="63"/>
      <c r="CH358" s="1185" t="s">
        <v>125</v>
      </c>
    </row>
    <row r="359" spans="2:86" ht="18" outlineLevel="1">
      <c r="B359" s="1184"/>
      <c r="C359" s="1186"/>
      <c r="D359" s="1186"/>
      <c r="E359" s="1186"/>
      <c r="F359" s="1188"/>
      <c r="G359" s="1186"/>
      <c r="H359" s="1186"/>
      <c r="I359" s="1186"/>
      <c r="J359" s="656"/>
      <c r="K359" s="656"/>
      <c r="L359" s="656"/>
      <c r="M359" s="656"/>
      <c r="N359" s="656"/>
      <c r="O359" s="656"/>
      <c r="P359" s="656"/>
      <c r="Q359" s="656"/>
      <c r="R359" s="656"/>
      <c r="S359" s="656"/>
      <c r="T359" s="656"/>
      <c r="U359" s="656"/>
      <c r="V359" s="656"/>
      <c r="W359" s="656"/>
      <c r="X359" s="656"/>
      <c r="Y359" s="656"/>
      <c r="Z359" s="656"/>
      <c r="AA359" s="656"/>
      <c r="AB359" s="656"/>
      <c r="AC359" s="656"/>
      <c r="AD359" s="656"/>
      <c r="AE359" s="656"/>
      <c r="AF359" s="656"/>
      <c r="AG359" s="656"/>
      <c r="AH359" s="656"/>
      <c r="AI359" s="656"/>
      <c r="AJ359" s="656"/>
      <c r="AK359" s="656"/>
      <c r="AL359" s="656"/>
      <c r="AM359" s="656"/>
      <c r="AN359" s="656"/>
      <c r="AO359" s="656"/>
      <c r="AP359" s="656"/>
      <c r="AQ359" s="656"/>
      <c r="AR359" s="656"/>
      <c r="AS359" s="656"/>
      <c r="AT359" s="656"/>
      <c r="AU359" s="656"/>
      <c r="AV359" s="656"/>
      <c r="AW359" s="656"/>
      <c r="AX359" s="656"/>
      <c r="AY359" s="656"/>
      <c r="AZ359" s="656"/>
      <c r="BA359" s="656"/>
      <c r="BB359" s="656"/>
      <c r="BC359" s="656"/>
      <c r="BD359" s="656"/>
      <c r="BE359" s="1186"/>
      <c r="BF359" s="1186"/>
      <c r="BG359" s="656"/>
      <c r="BH359" s="656"/>
      <c r="BI359" s="656"/>
      <c r="BJ359" s="656"/>
      <c r="BK359" s="656"/>
      <c r="BL359" s="656"/>
      <c r="BM359" s="656"/>
      <c r="BN359" s="656"/>
      <c r="BO359" s="79"/>
      <c r="BP359" s="63"/>
      <c r="BQ359" s="1325"/>
      <c r="BR359" s="712"/>
      <c r="BS359" s="712"/>
      <c r="BT359" s="712"/>
      <c r="BU359" s="712"/>
      <c r="BV359" s="712"/>
      <c r="BW359" s="712"/>
      <c r="BX359" s="712"/>
      <c r="BY359" s="718" t="s">
        <v>106</v>
      </c>
      <c r="BZ359" s="58" t="s">
        <v>107</v>
      </c>
      <c r="CA359" s="720" t="s">
        <v>108</v>
      </c>
      <c r="CB359" s="1196"/>
      <c r="CC359" s="1197"/>
      <c r="CD359" s="63"/>
      <c r="CE359" s="1200"/>
      <c r="CF359" s="1201"/>
      <c r="CG359" s="63"/>
      <c r="CH359" s="1186"/>
    </row>
    <row r="360" spans="2:86" ht="18.75" outlineLevel="1" thickBot="1">
      <c r="B360" s="65"/>
      <c r="C360" s="66"/>
      <c r="D360" s="661" t="s">
        <v>6306</v>
      </c>
      <c r="E360" s="661" t="s">
        <v>6306</v>
      </c>
      <c r="F360" s="661"/>
      <c r="G360" s="661" t="s">
        <v>6306</v>
      </c>
      <c r="H360" s="661" t="s">
        <v>6306</v>
      </c>
      <c r="I360" s="661" t="s">
        <v>6306</v>
      </c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  <c r="BB360" s="64"/>
      <c r="BC360" s="64"/>
      <c r="BD360" s="64"/>
      <c r="BE360" s="64" t="s">
        <v>119</v>
      </c>
      <c r="BF360" s="64" t="s">
        <v>6626</v>
      </c>
      <c r="BG360" s="64"/>
      <c r="BH360" s="64"/>
      <c r="BI360" s="64"/>
      <c r="BJ360" s="64"/>
      <c r="BK360" s="64"/>
      <c r="BL360" s="64"/>
      <c r="BM360" s="64"/>
      <c r="BN360" s="64"/>
      <c r="BO360" s="66"/>
      <c r="BP360" s="63"/>
      <c r="BQ360" s="66"/>
      <c r="BR360" s="713"/>
      <c r="BS360" s="713"/>
      <c r="BT360" s="713"/>
      <c r="BU360" s="713"/>
      <c r="BV360" s="713"/>
      <c r="BW360" s="713"/>
      <c r="BX360" s="713"/>
      <c r="BY360" s="713" t="s">
        <v>109</v>
      </c>
      <c r="BZ360" s="66" t="s">
        <v>109</v>
      </c>
      <c r="CA360" s="64" t="s">
        <v>109</v>
      </c>
      <c r="CB360" s="66" t="s">
        <v>109</v>
      </c>
      <c r="CC360" s="721" t="s">
        <v>110</v>
      </c>
      <c r="CD360" s="63"/>
      <c r="CE360" s="724" t="s">
        <v>111</v>
      </c>
      <c r="CF360" s="725" t="s">
        <v>112</v>
      </c>
      <c r="CG360" s="63"/>
      <c r="CH360" s="66" t="s">
        <v>114</v>
      </c>
    </row>
    <row r="361" spans="2:86" outlineLevel="1">
      <c r="B361" s="787" t="s">
        <v>6495</v>
      </c>
      <c r="C361" s="80"/>
      <c r="D361" s="716"/>
      <c r="E361" s="662"/>
      <c r="F361" s="69" t="str">
        <f>IF(E361=0,"",MONTH(E361))</f>
        <v/>
      </c>
      <c r="G361" s="80" t="s">
        <v>136</v>
      </c>
      <c r="H361" s="80"/>
      <c r="I361" s="648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  <c r="AP361" s="69"/>
      <c r="AQ361" s="69"/>
      <c r="AR361" s="69"/>
      <c r="AS361" s="69"/>
      <c r="AT361" s="69"/>
      <c r="AU361" s="69"/>
      <c r="AV361" s="69"/>
      <c r="AW361" s="69"/>
      <c r="AX361" s="69"/>
      <c r="AY361" s="69"/>
      <c r="AZ361" s="69"/>
      <c r="BA361" s="69"/>
      <c r="BB361" s="69"/>
      <c r="BC361" s="69"/>
      <c r="BD361" s="69"/>
      <c r="BE361" s="790" t="s">
        <v>717</v>
      </c>
      <c r="BF361" s="790">
        <v>22.3</v>
      </c>
      <c r="BG361" s="69"/>
      <c r="BH361" s="69"/>
      <c r="BI361" s="69"/>
      <c r="BJ361" s="69"/>
      <c r="BK361" s="69"/>
      <c r="BL361" s="69"/>
      <c r="BM361" s="69"/>
      <c r="BN361" s="69"/>
      <c r="BO361" s="69"/>
      <c r="BP361" s="63"/>
      <c r="BQ361" s="69"/>
      <c r="BR361" s="719"/>
      <c r="BS361" s="719"/>
      <c r="BT361" s="719"/>
      <c r="BU361" s="719"/>
      <c r="BV361" s="719"/>
      <c r="BW361" s="719"/>
      <c r="BX361" s="719"/>
      <c r="BY361" s="791">
        <f>IFERROR(VLOOKUP(BE361,FÉ!$B$539:$L$543,11,FALSE)*BF361*10^3,)</f>
        <v>47247902.000000007</v>
      </c>
      <c r="BZ361" s="69">
        <v>0</v>
      </c>
      <c r="CA361" s="700">
        <v>0</v>
      </c>
      <c r="CB361" s="69">
        <f>SUM(BY361:CA361)</f>
        <v>47247902.000000007</v>
      </c>
      <c r="CC361" s="722">
        <f>CB361/(10^6)</f>
        <v>47.247902000000011</v>
      </c>
      <c r="CD361" s="63"/>
      <c r="CE361" s="726"/>
      <c r="CF361" s="727"/>
      <c r="CG361" s="63"/>
      <c r="CH361" s="730"/>
    </row>
    <row r="362" spans="2:86" outlineLevel="1">
      <c r="B362" s="69" t="str">
        <f t="shared" ref="B362:B370" si="84">B361</f>
        <v>4.1C1</v>
      </c>
      <c r="C362" s="80"/>
      <c r="D362" s="80"/>
      <c r="E362" s="663"/>
      <c r="F362" s="69" t="str">
        <f t="shared" ref="F362:F370" si="85">IF(E362=0,"",MONTH(E362))</f>
        <v/>
      </c>
      <c r="G362" s="80" t="s">
        <v>137</v>
      </c>
      <c r="H362" s="80"/>
      <c r="I362" s="648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  <c r="AP362" s="69"/>
      <c r="AQ362" s="69"/>
      <c r="AR362" s="69"/>
      <c r="AS362" s="69"/>
      <c r="AT362" s="69"/>
      <c r="AU362" s="69"/>
      <c r="AV362" s="69"/>
      <c r="AW362" s="69"/>
      <c r="AX362" s="69"/>
      <c r="AY362" s="69"/>
      <c r="AZ362" s="69"/>
      <c r="BA362" s="69"/>
      <c r="BB362" s="69"/>
      <c r="BC362" s="69"/>
      <c r="BD362" s="69"/>
      <c r="BE362" s="790" t="s">
        <v>717</v>
      </c>
      <c r="BF362" s="790">
        <v>8.9700000000000006</v>
      </c>
      <c r="BG362" s="69"/>
      <c r="BH362" s="69"/>
      <c r="BI362" s="69"/>
      <c r="BJ362" s="69"/>
      <c r="BK362" s="69"/>
      <c r="BL362" s="69"/>
      <c r="BM362" s="69"/>
      <c r="BN362" s="69"/>
      <c r="BO362" s="69"/>
      <c r="BP362" s="63"/>
      <c r="BQ362" s="69"/>
      <c r="BR362" s="719"/>
      <c r="BS362" s="719"/>
      <c r="BT362" s="719"/>
      <c r="BU362" s="719"/>
      <c r="BV362" s="719"/>
      <c r="BW362" s="719"/>
      <c r="BX362" s="719"/>
      <c r="BY362" s="791">
        <f>IFERROR(VLOOKUP(BE362,FÉ!$B$539:$L$543,11,FALSE)*BF362*10^3,)</f>
        <v>19005097.800000004</v>
      </c>
      <c r="BZ362" s="69">
        <v>0</v>
      </c>
      <c r="CA362" s="700">
        <v>0</v>
      </c>
      <c r="CB362" s="69">
        <f>SUM(BY362:CA362)</f>
        <v>19005097.800000004</v>
      </c>
      <c r="CC362" s="722">
        <f>CB362/(10^6)</f>
        <v>19.005097800000005</v>
      </c>
      <c r="CD362" s="63"/>
      <c r="CE362" s="726"/>
      <c r="CF362" s="727"/>
      <c r="CG362" s="63"/>
      <c r="CH362" s="730"/>
    </row>
    <row r="363" spans="2:86" outlineLevel="1">
      <c r="B363" s="69" t="str">
        <f t="shared" si="84"/>
        <v>4.1C1</v>
      </c>
      <c r="C363" s="80"/>
      <c r="D363" s="80"/>
      <c r="E363" s="663"/>
      <c r="F363" s="69" t="str">
        <f t="shared" si="85"/>
        <v/>
      </c>
      <c r="G363" s="80" t="s">
        <v>139</v>
      </c>
      <c r="H363" s="80"/>
      <c r="I363" s="648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  <c r="AP363" s="69"/>
      <c r="AQ363" s="69"/>
      <c r="AR363" s="69"/>
      <c r="AS363" s="69"/>
      <c r="AT363" s="69"/>
      <c r="AU363" s="69"/>
      <c r="AV363" s="69"/>
      <c r="AW363" s="69"/>
      <c r="AX363" s="69"/>
      <c r="AY363" s="69"/>
      <c r="AZ363" s="69"/>
      <c r="BA363" s="69"/>
      <c r="BB363" s="69"/>
      <c r="BC363" s="69"/>
      <c r="BD363" s="69"/>
      <c r="BE363" s="790" t="s">
        <v>717</v>
      </c>
      <c r="BF363" s="790">
        <v>9.01</v>
      </c>
      <c r="BG363" s="69"/>
      <c r="BH363" s="69"/>
      <c r="BI363" s="69"/>
      <c r="BJ363" s="69"/>
      <c r="BK363" s="69"/>
      <c r="BL363" s="69"/>
      <c r="BM363" s="69"/>
      <c r="BN363" s="69"/>
      <c r="BO363" s="69"/>
      <c r="BP363" s="63"/>
      <c r="BQ363" s="69"/>
      <c r="BR363" s="719"/>
      <c r="BS363" s="719"/>
      <c r="BT363" s="719"/>
      <c r="BU363" s="719"/>
      <c r="BV363" s="719"/>
      <c r="BW363" s="719"/>
      <c r="BX363" s="719"/>
      <c r="BY363" s="791">
        <f>IFERROR(VLOOKUP(BE363,FÉ!$B$539:$L$543,11,FALSE)*BF363*10^3,)</f>
        <v>19089847.400000002</v>
      </c>
      <c r="BZ363" s="69">
        <v>0</v>
      </c>
      <c r="CA363" s="700">
        <v>0</v>
      </c>
      <c r="CB363" s="69">
        <f t="shared" ref="CB363:CB370" si="86">SUM(BY363:CA363)</f>
        <v>19089847.400000002</v>
      </c>
      <c r="CC363" s="722">
        <f t="shared" ref="CC363:CC370" si="87">CB363/(10^6)</f>
        <v>19.089847400000004</v>
      </c>
      <c r="CD363" s="63"/>
      <c r="CE363" s="726"/>
      <c r="CF363" s="727"/>
      <c r="CG363" s="63"/>
      <c r="CH363" s="730"/>
    </row>
    <row r="364" spans="2:86" outlineLevel="1">
      <c r="B364" s="69" t="str">
        <f t="shared" si="84"/>
        <v>4.1C1</v>
      </c>
      <c r="C364" s="80"/>
      <c r="D364" s="80"/>
      <c r="E364" s="663"/>
      <c r="F364" s="69" t="str">
        <f t="shared" si="85"/>
        <v/>
      </c>
      <c r="G364" s="80" t="s">
        <v>141</v>
      </c>
      <c r="H364" s="80"/>
      <c r="I364" s="648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  <c r="AP364" s="69"/>
      <c r="AQ364" s="69"/>
      <c r="AR364" s="69"/>
      <c r="AS364" s="69"/>
      <c r="AT364" s="69"/>
      <c r="AU364" s="69"/>
      <c r="AV364" s="69"/>
      <c r="AW364" s="69"/>
      <c r="AX364" s="69"/>
      <c r="AY364" s="69"/>
      <c r="AZ364" s="69"/>
      <c r="BA364" s="69"/>
      <c r="BB364" s="69"/>
      <c r="BC364" s="69"/>
      <c r="BD364" s="69"/>
      <c r="BE364" s="790" t="s">
        <v>717</v>
      </c>
      <c r="BF364" s="790">
        <v>5.95</v>
      </c>
      <c r="BG364" s="69"/>
      <c r="BH364" s="69"/>
      <c r="BI364" s="69"/>
      <c r="BJ364" s="69"/>
      <c r="BK364" s="69"/>
      <c r="BL364" s="69"/>
      <c r="BM364" s="69"/>
      <c r="BN364" s="69"/>
      <c r="BO364" s="69"/>
      <c r="BP364" s="63"/>
      <c r="BQ364" s="69"/>
      <c r="BR364" s="719"/>
      <c r="BS364" s="719"/>
      <c r="BT364" s="719"/>
      <c r="BU364" s="719"/>
      <c r="BV364" s="719"/>
      <c r="BW364" s="719"/>
      <c r="BX364" s="719"/>
      <c r="BY364" s="791">
        <f>IFERROR(VLOOKUP(BE364,FÉ!$B$539:$L$543,11,FALSE)*BF364*10^3,)</f>
        <v>12606503.000000002</v>
      </c>
      <c r="BZ364" s="69">
        <v>0</v>
      </c>
      <c r="CA364" s="700">
        <v>0</v>
      </c>
      <c r="CB364" s="69">
        <f t="shared" si="86"/>
        <v>12606503.000000002</v>
      </c>
      <c r="CC364" s="722">
        <f t="shared" si="87"/>
        <v>12.606503000000002</v>
      </c>
      <c r="CD364" s="63"/>
      <c r="CE364" s="726"/>
      <c r="CF364" s="727"/>
      <c r="CG364" s="63"/>
      <c r="CH364" s="730"/>
    </row>
    <row r="365" spans="2:86" outlineLevel="1">
      <c r="B365" s="69" t="str">
        <f t="shared" si="84"/>
        <v>4.1C1</v>
      </c>
      <c r="C365" s="80"/>
      <c r="D365" s="80"/>
      <c r="E365" s="663"/>
      <c r="F365" s="69" t="str">
        <f t="shared" si="85"/>
        <v/>
      </c>
      <c r="G365" s="80"/>
      <c r="H365" s="80"/>
      <c r="I365" s="648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  <c r="AP365" s="69"/>
      <c r="AQ365" s="69"/>
      <c r="AR365" s="69"/>
      <c r="AS365" s="69"/>
      <c r="AT365" s="69"/>
      <c r="AU365" s="69"/>
      <c r="AV365" s="69"/>
      <c r="AW365" s="69"/>
      <c r="AX365" s="69"/>
      <c r="AY365" s="69"/>
      <c r="AZ365" s="69"/>
      <c r="BA365" s="69"/>
      <c r="BB365" s="69"/>
      <c r="BC365" s="69"/>
      <c r="BD365" s="69"/>
      <c r="BE365" s="790"/>
      <c r="BF365" s="790"/>
      <c r="BG365" s="69"/>
      <c r="BH365" s="69"/>
      <c r="BI365" s="69"/>
      <c r="BJ365" s="69"/>
      <c r="BK365" s="69"/>
      <c r="BL365" s="69"/>
      <c r="BM365" s="69"/>
      <c r="BN365" s="69"/>
      <c r="BO365" s="69"/>
      <c r="BP365" s="63"/>
      <c r="BQ365" s="69"/>
      <c r="BR365" s="719"/>
      <c r="BS365" s="719"/>
      <c r="BT365" s="719"/>
      <c r="BU365" s="719"/>
      <c r="BV365" s="719"/>
      <c r="BW365" s="719"/>
      <c r="BX365" s="719"/>
      <c r="BY365" s="791">
        <f>IFERROR(VLOOKUP(BE365,FÉ!$B$539:$L$543,11,FALSE)*BF365*10^3,)</f>
        <v>0</v>
      </c>
      <c r="BZ365" s="69">
        <v>0</v>
      </c>
      <c r="CA365" s="700">
        <v>0</v>
      </c>
      <c r="CB365" s="69">
        <f t="shared" si="86"/>
        <v>0</v>
      </c>
      <c r="CC365" s="722">
        <f t="shared" si="87"/>
        <v>0</v>
      </c>
      <c r="CD365" s="63"/>
      <c r="CE365" s="726"/>
      <c r="CF365" s="727"/>
      <c r="CG365" s="63"/>
      <c r="CH365" s="730"/>
    </row>
    <row r="366" spans="2:86" outlineLevel="1">
      <c r="B366" s="69" t="str">
        <f t="shared" si="84"/>
        <v>4.1C1</v>
      </c>
      <c r="C366" s="80"/>
      <c r="D366" s="80"/>
      <c r="E366" s="663"/>
      <c r="F366" s="69" t="str">
        <f t="shared" si="85"/>
        <v/>
      </c>
      <c r="G366" s="80"/>
      <c r="H366" s="80"/>
      <c r="I366" s="648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  <c r="AP366" s="69"/>
      <c r="AQ366" s="69"/>
      <c r="AR366" s="69"/>
      <c r="AS366" s="69"/>
      <c r="AT366" s="69"/>
      <c r="AU366" s="69"/>
      <c r="AV366" s="69"/>
      <c r="AW366" s="69"/>
      <c r="AX366" s="69"/>
      <c r="AY366" s="69"/>
      <c r="AZ366" s="69"/>
      <c r="BA366" s="69"/>
      <c r="BB366" s="69"/>
      <c r="BC366" s="69"/>
      <c r="BD366" s="69"/>
      <c r="BE366" s="790"/>
      <c r="BF366" s="790"/>
      <c r="BG366" s="69"/>
      <c r="BH366" s="69"/>
      <c r="BI366" s="69"/>
      <c r="BJ366" s="69"/>
      <c r="BK366" s="69"/>
      <c r="BL366" s="69"/>
      <c r="BM366" s="69"/>
      <c r="BN366" s="69"/>
      <c r="BO366" s="69"/>
      <c r="BP366" s="63"/>
      <c r="BQ366" s="69"/>
      <c r="BR366" s="719"/>
      <c r="BS366" s="719"/>
      <c r="BT366" s="719"/>
      <c r="BU366" s="719"/>
      <c r="BV366" s="719"/>
      <c r="BW366" s="719"/>
      <c r="BX366" s="719"/>
      <c r="BY366" s="791">
        <f>IFERROR(VLOOKUP(BE366,FÉ!$B$539:$L$543,11,FALSE)*BF366*10^3,)</f>
        <v>0</v>
      </c>
      <c r="BZ366" s="69">
        <v>0</v>
      </c>
      <c r="CA366" s="700">
        <v>0</v>
      </c>
      <c r="CB366" s="69">
        <f t="shared" si="86"/>
        <v>0</v>
      </c>
      <c r="CC366" s="722">
        <f t="shared" si="87"/>
        <v>0</v>
      </c>
      <c r="CD366" s="63"/>
      <c r="CE366" s="726"/>
      <c r="CF366" s="727"/>
      <c r="CG366" s="63"/>
      <c r="CH366" s="730"/>
    </row>
    <row r="367" spans="2:86" outlineLevel="1">
      <c r="B367" s="69" t="str">
        <f t="shared" si="84"/>
        <v>4.1C1</v>
      </c>
      <c r="C367" s="80"/>
      <c r="D367" s="80"/>
      <c r="E367" s="663"/>
      <c r="F367" s="69" t="str">
        <f t="shared" si="85"/>
        <v/>
      </c>
      <c r="G367" s="80"/>
      <c r="H367" s="80"/>
      <c r="I367" s="648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  <c r="AP367" s="69"/>
      <c r="AQ367" s="69"/>
      <c r="AR367" s="69"/>
      <c r="AS367" s="69"/>
      <c r="AT367" s="69"/>
      <c r="AU367" s="69"/>
      <c r="AV367" s="69"/>
      <c r="AW367" s="69"/>
      <c r="AX367" s="69"/>
      <c r="AY367" s="69"/>
      <c r="AZ367" s="69"/>
      <c r="BA367" s="69"/>
      <c r="BB367" s="69"/>
      <c r="BC367" s="69"/>
      <c r="BD367" s="69"/>
      <c r="BE367" s="790"/>
      <c r="BF367" s="790"/>
      <c r="BG367" s="69"/>
      <c r="BH367" s="69"/>
      <c r="BI367" s="69"/>
      <c r="BJ367" s="69"/>
      <c r="BK367" s="69"/>
      <c r="BL367" s="69"/>
      <c r="BM367" s="69"/>
      <c r="BN367" s="69"/>
      <c r="BO367" s="69"/>
      <c r="BP367" s="63"/>
      <c r="BQ367" s="69"/>
      <c r="BR367" s="719"/>
      <c r="BS367" s="719"/>
      <c r="BT367" s="719"/>
      <c r="BU367" s="719"/>
      <c r="BV367" s="719"/>
      <c r="BW367" s="719"/>
      <c r="BX367" s="719"/>
      <c r="BY367" s="791">
        <f>IFERROR(VLOOKUP(BE367,FÉ!$B$539:$L$543,11,FALSE)*BF367*10^3,)</f>
        <v>0</v>
      </c>
      <c r="BZ367" s="69">
        <v>0</v>
      </c>
      <c r="CA367" s="700">
        <v>0</v>
      </c>
      <c r="CB367" s="69">
        <f t="shared" si="86"/>
        <v>0</v>
      </c>
      <c r="CC367" s="722">
        <f t="shared" si="87"/>
        <v>0</v>
      </c>
      <c r="CD367" s="63"/>
      <c r="CE367" s="726"/>
      <c r="CF367" s="727"/>
      <c r="CG367" s="63"/>
      <c r="CH367" s="730"/>
    </row>
    <row r="368" spans="2:86" outlineLevel="1">
      <c r="B368" s="69" t="str">
        <f t="shared" si="84"/>
        <v>4.1C1</v>
      </c>
      <c r="C368" s="80"/>
      <c r="D368" s="80"/>
      <c r="E368" s="663"/>
      <c r="F368" s="69" t="str">
        <f t="shared" si="85"/>
        <v/>
      </c>
      <c r="G368" s="80"/>
      <c r="H368" s="80"/>
      <c r="I368" s="648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  <c r="AP368" s="69"/>
      <c r="AQ368" s="69"/>
      <c r="AR368" s="69"/>
      <c r="AS368" s="69"/>
      <c r="AT368" s="69"/>
      <c r="AU368" s="69"/>
      <c r="AV368" s="69"/>
      <c r="AW368" s="69"/>
      <c r="AX368" s="69"/>
      <c r="AY368" s="69"/>
      <c r="AZ368" s="69"/>
      <c r="BA368" s="69"/>
      <c r="BB368" s="69"/>
      <c r="BC368" s="69"/>
      <c r="BD368" s="69"/>
      <c r="BE368" s="790"/>
      <c r="BF368" s="790"/>
      <c r="BG368" s="69"/>
      <c r="BH368" s="69"/>
      <c r="BI368" s="69"/>
      <c r="BJ368" s="69"/>
      <c r="BK368" s="69"/>
      <c r="BL368" s="69"/>
      <c r="BM368" s="69"/>
      <c r="BN368" s="69"/>
      <c r="BO368" s="69"/>
      <c r="BP368" s="63"/>
      <c r="BQ368" s="69"/>
      <c r="BR368" s="719"/>
      <c r="BS368" s="719"/>
      <c r="BT368" s="719"/>
      <c r="BU368" s="719"/>
      <c r="BV368" s="719"/>
      <c r="BW368" s="719"/>
      <c r="BX368" s="719"/>
      <c r="BY368" s="791">
        <f>IFERROR(VLOOKUP(BE368,FÉ!$B$539:$L$543,11,FALSE)*BF368*10^3,)</f>
        <v>0</v>
      </c>
      <c r="BZ368" s="69">
        <v>0</v>
      </c>
      <c r="CA368" s="700">
        <v>0</v>
      </c>
      <c r="CB368" s="69">
        <f t="shared" si="86"/>
        <v>0</v>
      </c>
      <c r="CC368" s="722">
        <f t="shared" si="87"/>
        <v>0</v>
      </c>
      <c r="CD368" s="63"/>
      <c r="CE368" s="726"/>
      <c r="CF368" s="727"/>
      <c r="CG368" s="63"/>
      <c r="CH368" s="730"/>
    </row>
    <row r="369" spans="2:86" outlineLevel="1">
      <c r="B369" s="69" t="str">
        <f t="shared" si="84"/>
        <v>4.1C1</v>
      </c>
      <c r="C369" s="80"/>
      <c r="D369" s="80"/>
      <c r="E369" s="663"/>
      <c r="F369" s="69" t="str">
        <f t="shared" si="85"/>
        <v/>
      </c>
      <c r="G369" s="80"/>
      <c r="H369" s="80"/>
      <c r="I369" s="648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  <c r="AP369" s="69"/>
      <c r="AQ369" s="69"/>
      <c r="AR369" s="69"/>
      <c r="AS369" s="69"/>
      <c r="AT369" s="69"/>
      <c r="AU369" s="69"/>
      <c r="AV369" s="69"/>
      <c r="AW369" s="69"/>
      <c r="AX369" s="69"/>
      <c r="AY369" s="69"/>
      <c r="AZ369" s="69"/>
      <c r="BA369" s="69"/>
      <c r="BB369" s="69"/>
      <c r="BC369" s="69"/>
      <c r="BD369" s="69"/>
      <c r="BE369" s="790"/>
      <c r="BF369" s="790"/>
      <c r="BG369" s="69"/>
      <c r="BH369" s="69"/>
      <c r="BI369" s="69"/>
      <c r="BJ369" s="69"/>
      <c r="BK369" s="69"/>
      <c r="BL369" s="69"/>
      <c r="BM369" s="69"/>
      <c r="BN369" s="69"/>
      <c r="BO369" s="69"/>
      <c r="BP369" s="63"/>
      <c r="BQ369" s="69"/>
      <c r="BR369" s="719"/>
      <c r="BS369" s="719"/>
      <c r="BT369" s="719"/>
      <c r="BU369" s="719"/>
      <c r="BV369" s="719"/>
      <c r="BW369" s="719"/>
      <c r="BX369" s="719"/>
      <c r="BY369" s="791">
        <f>IFERROR(VLOOKUP(BE369,FÉ!$B$539:$L$543,11,FALSE)*BF369*10^3,)</f>
        <v>0</v>
      </c>
      <c r="BZ369" s="69">
        <v>0</v>
      </c>
      <c r="CA369" s="700">
        <v>0</v>
      </c>
      <c r="CB369" s="69">
        <f t="shared" si="86"/>
        <v>0</v>
      </c>
      <c r="CC369" s="722">
        <f t="shared" si="87"/>
        <v>0</v>
      </c>
      <c r="CD369" s="63"/>
      <c r="CE369" s="726"/>
      <c r="CF369" s="727"/>
      <c r="CG369" s="63"/>
      <c r="CH369" s="730"/>
    </row>
    <row r="370" spans="2:86" ht="15.75" outlineLevel="1" thickBot="1">
      <c r="B370" s="69" t="str">
        <f t="shared" si="84"/>
        <v>4.1C1</v>
      </c>
      <c r="C370" s="80"/>
      <c r="D370" s="717"/>
      <c r="E370" s="663"/>
      <c r="F370" s="69" t="str">
        <f t="shared" si="85"/>
        <v/>
      </c>
      <c r="G370" s="80"/>
      <c r="H370" s="80"/>
      <c r="I370" s="648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  <c r="AP370" s="69"/>
      <c r="AQ370" s="69"/>
      <c r="AR370" s="69"/>
      <c r="AS370" s="69"/>
      <c r="AT370" s="69"/>
      <c r="AU370" s="69"/>
      <c r="AV370" s="69"/>
      <c r="AW370" s="69"/>
      <c r="AX370" s="69"/>
      <c r="AY370" s="69"/>
      <c r="AZ370" s="69"/>
      <c r="BA370" s="69"/>
      <c r="BB370" s="69"/>
      <c r="BC370" s="69"/>
      <c r="BD370" s="69"/>
      <c r="BE370" s="790"/>
      <c r="BF370" s="790"/>
      <c r="BG370" s="69"/>
      <c r="BH370" s="69"/>
      <c r="BI370" s="69"/>
      <c r="BJ370" s="69"/>
      <c r="BK370" s="69"/>
      <c r="BL370" s="69"/>
      <c r="BM370" s="69"/>
      <c r="BN370" s="69"/>
      <c r="BO370" s="69"/>
      <c r="BP370" s="63"/>
      <c r="BQ370" s="69"/>
      <c r="BR370" s="719"/>
      <c r="BS370" s="719"/>
      <c r="BT370" s="719"/>
      <c r="BU370" s="719"/>
      <c r="BV370" s="719"/>
      <c r="BW370" s="719"/>
      <c r="BX370" s="719"/>
      <c r="BY370" s="791">
        <f>IFERROR(VLOOKUP(BE370,FÉ!$B$539:$L$543,11,FALSE)*BF370*10^3,)</f>
        <v>0</v>
      </c>
      <c r="BZ370" s="69">
        <v>0</v>
      </c>
      <c r="CA370" s="700">
        <v>0</v>
      </c>
      <c r="CB370" s="647">
        <f t="shared" si="86"/>
        <v>0</v>
      </c>
      <c r="CC370" s="723">
        <f t="shared" si="87"/>
        <v>0</v>
      </c>
      <c r="CD370" s="63"/>
      <c r="CE370" s="728"/>
      <c r="CF370" s="729"/>
      <c r="CG370" s="63"/>
      <c r="CH370" s="730"/>
    </row>
    <row r="371" spans="2:86" ht="15.75" outlineLevel="1" thickBot="1">
      <c r="B371" s="783"/>
      <c r="C371" s="784"/>
      <c r="D371" s="784"/>
      <c r="E371" s="785"/>
      <c r="F371" s="788" t="str">
        <f>$B361</f>
        <v>4.1C1</v>
      </c>
      <c r="G371" s="788" t="str">
        <f>$B361</f>
        <v>4.1C1</v>
      </c>
      <c r="H371" s="788" t="str">
        <f>$B361</f>
        <v>4.1C1</v>
      </c>
      <c r="I371" s="785"/>
      <c r="J371" s="786"/>
      <c r="K371" s="786"/>
      <c r="L371" s="786"/>
      <c r="M371" s="786"/>
      <c r="N371" s="786"/>
      <c r="O371" s="786"/>
      <c r="P371" s="786"/>
      <c r="Q371" s="786"/>
      <c r="R371" s="786"/>
      <c r="S371" s="786"/>
      <c r="T371" s="786"/>
      <c r="U371" s="786"/>
      <c r="V371" s="786"/>
      <c r="W371" s="786"/>
      <c r="X371" s="786"/>
      <c r="Y371" s="786"/>
      <c r="Z371" s="786"/>
      <c r="AA371" s="786"/>
      <c r="AB371" s="786"/>
      <c r="AC371" s="786"/>
      <c r="AD371" s="786"/>
      <c r="AE371" s="786"/>
      <c r="AF371" s="786"/>
      <c r="AG371" s="786"/>
      <c r="AH371" s="786"/>
      <c r="AI371" s="786"/>
      <c r="AJ371" s="786"/>
      <c r="AK371" s="786"/>
      <c r="AL371" s="786"/>
      <c r="AM371" s="786"/>
      <c r="AN371" s="786"/>
      <c r="AO371" s="786"/>
      <c r="AP371" s="786"/>
      <c r="AQ371" s="786"/>
      <c r="AR371" s="786"/>
      <c r="AS371" s="786"/>
      <c r="AT371" s="786"/>
      <c r="AU371" s="786"/>
      <c r="AV371" s="786"/>
      <c r="AW371" s="786"/>
      <c r="AX371" s="786"/>
      <c r="AY371" s="786"/>
      <c r="AZ371" s="786"/>
      <c r="BA371" s="786"/>
      <c r="BB371" s="786"/>
      <c r="BC371" s="786"/>
      <c r="BD371" s="786"/>
      <c r="BE371" s="786"/>
      <c r="BF371" s="786"/>
      <c r="BG371" s="786"/>
      <c r="BH371" s="786"/>
      <c r="BI371" s="786"/>
      <c r="BJ371" s="786"/>
      <c r="BK371" s="786"/>
      <c r="BL371" s="786"/>
      <c r="BM371" s="786"/>
      <c r="BN371" s="786"/>
      <c r="BO371" s="786"/>
      <c r="BP371" s="63"/>
      <c r="BQ371" s="782"/>
      <c r="BR371" s="782"/>
      <c r="BS371" s="782"/>
      <c r="BT371" s="782"/>
      <c r="BU371" s="782"/>
      <c r="BV371" s="782"/>
      <c r="BW371" s="782"/>
      <c r="BX371" s="782"/>
      <c r="BY371" s="782">
        <f>SUM(BY361:BY370)</f>
        <v>97949350.200000018</v>
      </c>
      <c r="BZ371" s="782">
        <f>SUM(BZ361:BZ370)</f>
        <v>0</v>
      </c>
      <c r="CA371" s="782">
        <f>SUM(CA361:CA370)</f>
        <v>0</v>
      </c>
      <c r="CB371" s="782">
        <f>SUM(CB361:CB370)</f>
        <v>97949350.200000018</v>
      </c>
      <c r="CC371" s="781">
        <f>SUM(CC361:CC370)</f>
        <v>97.949350200000026</v>
      </c>
      <c r="CD371" s="63"/>
      <c r="CE371" s="780">
        <f>SUM(CE361:CE370)</f>
        <v>0</v>
      </c>
      <c r="CF371" s="781">
        <f>SUM(CF361:CF370)</f>
        <v>0</v>
      </c>
      <c r="CG371" s="63"/>
      <c r="CH371" s="779">
        <f>SUM(CH361:CH370)</f>
        <v>0</v>
      </c>
    </row>
    <row r="373" spans="2:86" ht="31.5">
      <c r="B373" s="1176" t="s">
        <v>6629</v>
      </c>
      <c r="C373" s="1177"/>
      <c r="D373" s="1177"/>
      <c r="E373" s="1177"/>
      <c r="F373" s="1177"/>
      <c r="G373" s="1177"/>
      <c r="H373" s="1177"/>
      <c r="I373" s="1177"/>
      <c r="J373" s="1177"/>
      <c r="K373" s="1177"/>
      <c r="L373" s="1177"/>
      <c r="M373" s="1177"/>
      <c r="N373" s="1177"/>
      <c r="O373" s="1177"/>
      <c r="P373" s="1177"/>
      <c r="Q373" s="1177"/>
      <c r="R373" s="1177"/>
      <c r="S373" s="1177"/>
      <c r="T373" s="1177"/>
      <c r="U373" s="1177"/>
      <c r="V373" s="1177"/>
      <c r="W373" s="1177"/>
      <c r="X373" s="1177"/>
      <c r="Y373" s="1177"/>
      <c r="Z373" s="1177"/>
      <c r="AA373" s="1177"/>
      <c r="AB373" s="1177"/>
      <c r="AC373" s="1177"/>
      <c r="AD373" s="1177"/>
      <c r="AE373" s="1177"/>
      <c r="AF373" s="1177"/>
      <c r="AG373" s="1177"/>
      <c r="AH373" s="1177"/>
      <c r="AI373" s="1177"/>
      <c r="AJ373" s="1177"/>
      <c r="AK373" s="1177"/>
      <c r="AL373" s="1177"/>
      <c r="AM373" s="1177"/>
      <c r="AN373" s="1177"/>
      <c r="AO373" s="1177"/>
      <c r="AP373" s="1177"/>
      <c r="AQ373" s="1177"/>
      <c r="AR373" s="1177"/>
      <c r="AS373" s="1177"/>
      <c r="AT373" s="1177"/>
      <c r="AU373" s="1177"/>
      <c r="AV373" s="1177"/>
      <c r="AW373" s="1177"/>
      <c r="AX373" s="1177"/>
      <c r="AY373" s="1177"/>
      <c r="AZ373" s="1177"/>
      <c r="BA373" s="1177"/>
      <c r="BB373" s="1177"/>
      <c r="BC373" s="1177"/>
      <c r="BD373" s="1177"/>
      <c r="BE373" s="1177"/>
      <c r="BF373" s="1177"/>
      <c r="BG373" s="1177"/>
      <c r="BH373" s="1177"/>
      <c r="BI373" s="1177"/>
      <c r="BJ373" s="1177"/>
      <c r="BK373" s="1177"/>
      <c r="BL373" s="1177"/>
      <c r="BM373" s="1177"/>
      <c r="BN373" s="1177"/>
      <c r="BO373" s="1177"/>
      <c r="BP373" s="1177"/>
      <c r="BQ373" s="1177"/>
      <c r="BR373" s="1177"/>
      <c r="BS373" s="1177"/>
      <c r="BT373" s="1177"/>
      <c r="BU373" s="1177"/>
      <c r="BV373" s="1177"/>
      <c r="BW373" s="1177"/>
      <c r="BX373" s="1177"/>
      <c r="BY373" s="1177"/>
      <c r="BZ373" s="1177"/>
      <c r="CA373" s="1177"/>
      <c r="CB373" s="1177"/>
      <c r="CC373" s="1177"/>
      <c r="CD373" s="1177"/>
      <c r="CE373" s="1177"/>
      <c r="CF373" s="1177"/>
      <c r="CG373" s="1177"/>
      <c r="CH373" s="1177"/>
    </row>
    <row r="374" spans="2:86" ht="15.75" outlineLevel="1" thickBot="1">
      <c r="CH374" s="63"/>
    </row>
    <row r="375" spans="2:86" ht="21.75" outlineLevel="1" thickBot="1">
      <c r="B375" s="1178" t="s">
        <v>115</v>
      </c>
      <c r="C375" s="1179"/>
      <c r="D375" s="1179"/>
      <c r="E375" s="1179"/>
      <c r="F375" s="1179"/>
      <c r="G375" s="1179"/>
      <c r="H375" s="1179"/>
      <c r="I375" s="1179"/>
      <c r="J375" s="1179"/>
      <c r="K375" s="1179"/>
      <c r="L375" s="1179"/>
      <c r="M375" s="1179"/>
      <c r="N375" s="1179"/>
      <c r="O375" s="1179"/>
      <c r="P375" s="1179"/>
      <c r="Q375" s="1179"/>
      <c r="R375" s="1179"/>
      <c r="S375" s="1179"/>
      <c r="T375" s="1179"/>
      <c r="U375" s="1179"/>
      <c r="V375" s="1179"/>
      <c r="W375" s="1179"/>
      <c r="X375" s="1179"/>
      <c r="Y375" s="1179"/>
      <c r="Z375" s="1179"/>
      <c r="AA375" s="1179"/>
      <c r="AB375" s="1179"/>
      <c r="AC375" s="1179"/>
      <c r="AD375" s="1179"/>
      <c r="AE375" s="1179"/>
      <c r="AF375" s="1179"/>
      <c r="AG375" s="1179"/>
      <c r="AH375" s="1179"/>
      <c r="AI375" s="1179"/>
      <c r="AJ375" s="1179"/>
      <c r="AK375" s="1179"/>
      <c r="AL375" s="1179"/>
      <c r="AM375" s="1179"/>
      <c r="AN375" s="1179"/>
      <c r="AO375" s="1179"/>
      <c r="AP375" s="1179"/>
      <c r="AQ375" s="1179"/>
      <c r="AR375" s="1179"/>
      <c r="AS375" s="1179"/>
      <c r="AT375" s="1179"/>
      <c r="AU375" s="1179"/>
      <c r="AV375" s="1179"/>
      <c r="AW375" s="1179"/>
      <c r="AX375" s="1179"/>
      <c r="AY375" s="1179"/>
      <c r="AZ375" s="1179"/>
      <c r="BA375" s="1179"/>
      <c r="BB375" s="1179"/>
      <c r="BC375" s="1179"/>
      <c r="BD375" s="1179"/>
      <c r="BE375" s="1179"/>
      <c r="BF375" s="1179"/>
      <c r="BG375" s="1179"/>
      <c r="BH375" s="1179"/>
      <c r="BI375" s="1179"/>
      <c r="BJ375" s="1179"/>
      <c r="BK375" s="1179"/>
      <c r="BL375" s="1179"/>
      <c r="BM375" s="1179"/>
      <c r="BN375" s="1179"/>
      <c r="BO375" s="1179"/>
      <c r="BP375" s="63"/>
      <c r="BQ375" s="1180" t="s">
        <v>121</v>
      </c>
      <c r="BR375" s="1181"/>
      <c r="BS375" s="1181"/>
      <c r="BT375" s="1181"/>
      <c r="BU375" s="1181"/>
      <c r="BV375" s="1181"/>
      <c r="BW375" s="1181"/>
      <c r="BX375" s="1181"/>
      <c r="BY375" s="1181"/>
      <c r="BZ375" s="1181"/>
      <c r="CA375" s="1181"/>
      <c r="CB375" s="1181"/>
      <c r="CC375" s="1181"/>
      <c r="CD375" s="1181"/>
      <c r="CE375" s="1181"/>
      <c r="CF375" s="1181"/>
      <c r="CG375" s="1181"/>
      <c r="CH375" s="1182"/>
    </row>
    <row r="376" spans="2:86" ht="15" customHeight="1" outlineLevel="1">
      <c r="B376" s="1183" t="s">
        <v>6353</v>
      </c>
      <c r="C376" s="1185" t="s">
        <v>6372</v>
      </c>
      <c r="D376" s="1185" t="s">
        <v>7</v>
      </c>
      <c r="E376" s="1185" t="s">
        <v>127</v>
      </c>
      <c r="F376" s="1187" t="s">
        <v>6348</v>
      </c>
      <c r="G376" s="1185" t="s">
        <v>6333</v>
      </c>
      <c r="H376" s="1185" t="s">
        <v>128</v>
      </c>
      <c r="I376" s="1185" t="s">
        <v>156</v>
      </c>
      <c r="J376" s="655"/>
      <c r="K376" s="655"/>
      <c r="L376" s="655"/>
      <c r="M376" s="655"/>
      <c r="N376" s="655"/>
      <c r="O376" s="655"/>
      <c r="P376" s="655"/>
      <c r="Q376" s="655"/>
      <c r="R376" s="655"/>
      <c r="S376" s="655"/>
      <c r="T376" s="655"/>
      <c r="U376" s="655"/>
      <c r="V376" s="655"/>
      <c r="W376" s="655"/>
      <c r="X376" s="655"/>
      <c r="Y376" s="655"/>
      <c r="Z376" s="655"/>
      <c r="AA376" s="655"/>
      <c r="AB376" s="655"/>
      <c r="AC376" s="655"/>
      <c r="AD376" s="655"/>
      <c r="AE376" s="655"/>
      <c r="AF376" s="655"/>
      <c r="AG376" s="655"/>
      <c r="AH376" s="655"/>
      <c r="AI376" s="655"/>
      <c r="AJ376" s="655"/>
      <c r="AK376" s="655"/>
      <c r="AL376" s="655"/>
      <c r="AM376" s="655"/>
      <c r="AN376" s="655"/>
      <c r="AO376" s="655"/>
      <c r="AP376" s="655"/>
      <c r="AQ376" s="655"/>
      <c r="AR376" s="655"/>
      <c r="AS376" s="655"/>
      <c r="AT376" s="655"/>
      <c r="AU376" s="655"/>
      <c r="AV376" s="655"/>
      <c r="AW376" s="655"/>
      <c r="AX376" s="655"/>
      <c r="AY376" s="655"/>
      <c r="AZ376" s="655"/>
      <c r="BA376" s="655"/>
      <c r="BB376" s="655"/>
      <c r="BC376" s="655"/>
      <c r="BD376" s="655"/>
      <c r="BE376" s="655"/>
      <c r="BF376" s="655"/>
      <c r="BG376" s="1185" t="s">
        <v>6630</v>
      </c>
      <c r="BH376" s="1185" t="s">
        <v>6631</v>
      </c>
      <c r="BI376" s="1185" t="s">
        <v>721</v>
      </c>
      <c r="BJ376" s="655"/>
      <c r="BK376" s="655"/>
      <c r="BL376" s="655"/>
      <c r="BM376" s="655"/>
      <c r="BN376" s="655"/>
      <c r="BO376" s="657"/>
      <c r="BP376" s="63"/>
      <c r="BQ376" s="732"/>
      <c r="BR376" s="732"/>
      <c r="BS376" s="732"/>
      <c r="BT376" s="732"/>
      <c r="BU376" s="732"/>
      <c r="BV376" s="732"/>
      <c r="BW376" s="732"/>
      <c r="BX376" s="732"/>
      <c r="BY376" s="1193" t="s">
        <v>122</v>
      </c>
      <c r="BZ376" s="1193"/>
      <c r="CA376" s="1193"/>
      <c r="CB376" s="1194" t="s">
        <v>123</v>
      </c>
      <c r="CC376" s="1195"/>
      <c r="CD376" s="63"/>
      <c r="CE376" s="1198" t="s">
        <v>124</v>
      </c>
      <c r="CF376" s="1199"/>
      <c r="CG376" s="63"/>
      <c r="CH376" s="1185" t="s">
        <v>125</v>
      </c>
    </row>
    <row r="377" spans="2:86" ht="18" outlineLevel="1">
      <c r="B377" s="1184"/>
      <c r="C377" s="1186"/>
      <c r="D377" s="1186"/>
      <c r="E377" s="1186"/>
      <c r="F377" s="1188"/>
      <c r="G377" s="1186"/>
      <c r="H377" s="1186"/>
      <c r="I377" s="1186"/>
      <c r="J377" s="656"/>
      <c r="K377" s="656"/>
      <c r="L377" s="656"/>
      <c r="M377" s="656"/>
      <c r="N377" s="656"/>
      <c r="O377" s="656"/>
      <c r="P377" s="656"/>
      <c r="Q377" s="656"/>
      <c r="R377" s="656"/>
      <c r="S377" s="656"/>
      <c r="T377" s="656"/>
      <c r="U377" s="656"/>
      <c r="V377" s="656"/>
      <c r="W377" s="656"/>
      <c r="X377" s="656"/>
      <c r="Y377" s="656"/>
      <c r="Z377" s="656"/>
      <c r="AA377" s="656"/>
      <c r="AB377" s="656"/>
      <c r="AC377" s="656"/>
      <c r="AD377" s="656"/>
      <c r="AE377" s="656"/>
      <c r="AF377" s="656"/>
      <c r="AG377" s="656"/>
      <c r="AH377" s="656"/>
      <c r="AI377" s="656"/>
      <c r="AJ377" s="656"/>
      <c r="AK377" s="656"/>
      <c r="AL377" s="656"/>
      <c r="AM377" s="656"/>
      <c r="AN377" s="656"/>
      <c r="AO377" s="656"/>
      <c r="AP377" s="656"/>
      <c r="AQ377" s="656"/>
      <c r="AR377" s="656"/>
      <c r="AS377" s="656"/>
      <c r="AT377" s="656"/>
      <c r="AU377" s="656"/>
      <c r="AV377" s="656"/>
      <c r="AW377" s="656"/>
      <c r="AX377" s="656"/>
      <c r="AY377" s="656"/>
      <c r="AZ377" s="656"/>
      <c r="BA377" s="656"/>
      <c r="BB377" s="656"/>
      <c r="BC377" s="656"/>
      <c r="BD377" s="656"/>
      <c r="BE377" s="656"/>
      <c r="BF377" s="656"/>
      <c r="BG377" s="1186"/>
      <c r="BH377" s="1186"/>
      <c r="BI377" s="1186"/>
      <c r="BJ377" s="656"/>
      <c r="BK377" s="656"/>
      <c r="BL377" s="656"/>
      <c r="BM377" s="656"/>
      <c r="BN377" s="656"/>
      <c r="BO377" s="79"/>
      <c r="BP377" s="63"/>
      <c r="BQ377" s="1325"/>
      <c r="BR377" s="712"/>
      <c r="BS377" s="712"/>
      <c r="BT377" s="712"/>
      <c r="BU377" s="712"/>
      <c r="BV377" s="712"/>
      <c r="BW377" s="712"/>
      <c r="BX377" s="712"/>
      <c r="BY377" s="718" t="s">
        <v>106</v>
      </c>
      <c r="BZ377" s="58" t="s">
        <v>107</v>
      </c>
      <c r="CA377" s="720" t="s">
        <v>108</v>
      </c>
      <c r="CB377" s="1196"/>
      <c r="CC377" s="1197"/>
      <c r="CD377" s="63"/>
      <c r="CE377" s="1200"/>
      <c r="CF377" s="1201"/>
      <c r="CG377" s="63"/>
      <c r="CH377" s="1186"/>
    </row>
    <row r="378" spans="2:86" ht="18.75" outlineLevel="1" thickBot="1">
      <c r="B378" s="65"/>
      <c r="C378" s="66"/>
      <c r="D378" s="661" t="s">
        <v>6306</v>
      </c>
      <c r="E378" s="661" t="s">
        <v>6306</v>
      </c>
      <c r="F378" s="661"/>
      <c r="G378" s="661" t="s">
        <v>6306</v>
      </c>
      <c r="H378" s="661" t="s">
        <v>6306</v>
      </c>
      <c r="I378" s="661" t="s">
        <v>6306</v>
      </c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  <c r="AS378" s="64"/>
      <c r="AT378" s="64"/>
      <c r="AU378" s="64"/>
      <c r="AV378" s="64"/>
      <c r="AW378" s="64"/>
      <c r="AX378" s="64"/>
      <c r="AY378" s="64"/>
      <c r="AZ378" s="64"/>
      <c r="BA378" s="64"/>
      <c r="BB378" s="64"/>
      <c r="BC378" s="64"/>
      <c r="BD378" s="64"/>
      <c r="BE378" s="64"/>
      <c r="BF378" s="64"/>
      <c r="BG378" s="64" t="s">
        <v>119</v>
      </c>
      <c r="BH378" s="64" t="s">
        <v>119</v>
      </c>
      <c r="BI378" s="64" t="s">
        <v>6618</v>
      </c>
      <c r="BJ378" s="64"/>
      <c r="BK378" s="64"/>
      <c r="BL378" s="64"/>
      <c r="BM378" s="64"/>
      <c r="BN378" s="64"/>
      <c r="BO378" s="66"/>
      <c r="BP378" s="63"/>
      <c r="BQ378" s="66"/>
      <c r="BR378" s="713"/>
      <c r="BS378" s="713"/>
      <c r="BT378" s="713"/>
      <c r="BU378" s="713"/>
      <c r="BV378" s="713"/>
      <c r="BW378" s="713"/>
      <c r="BX378" s="713"/>
      <c r="BY378" s="713" t="s">
        <v>109</v>
      </c>
      <c r="BZ378" s="66" t="s">
        <v>109</v>
      </c>
      <c r="CA378" s="64" t="s">
        <v>109</v>
      </c>
      <c r="CB378" s="66" t="s">
        <v>109</v>
      </c>
      <c r="CC378" s="721" t="s">
        <v>110</v>
      </c>
      <c r="CD378" s="63"/>
      <c r="CE378" s="724" t="s">
        <v>111</v>
      </c>
      <c r="CF378" s="725" t="s">
        <v>112</v>
      </c>
      <c r="CG378" s="63"/>
      <c r="CH378" s="66" t="s">
        <v>114</v>
      </c>
    </row>
    <row r="379" spans="2:86" outlineLevel="1">
      <c r="B379" s="787" t="s">
        <v>6496</v>
      </c>
      <c r="C379" s="80"/>
      <c r="D379" s="716"/>
      <c r="E379" s="662"/>
      <c r="F379" s="69" t="str">
        <f>IF(E379=0,"",MONTH(E379))</f>
        <v/>
      </c>
      <c r="G379" s="80" t="s">
        <v>136</v>
      </c>
      <c r="H379" s="80"/>
      <c r="I379" s="648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  <c r="AP379" s="69"/>
      <c r="AQ379" s="69"/>
      <c r="AR379" s="69"/>
      <c r="AS379" s="69"/>
      <c r="AT379" s="69"/>
      <c r="AU379" s="69"/>
      <c r="AV379" s="69"/>
      <c r="AW379" s="69"/>
      <c r="AX379" s="69"/>
      <c r="AY379" s="69"/>
      <c r="AZ379" s="69"/>
      <c r="BA379" s="69"/>
      <c r="BB379" s="69"/>
      <c r="BC379" s="69"/>
      <c r="BD379" s="69"/>
      <c r="BE379" s="69"/>
      <c r="BF379" s="69"/>
      <c r="BG379" s="1050" t="s">
        <v>725</v>
      </c>
      <c r="BH379" s="789">
        <v>0.5</v>
      </c>
      <c r="BI379" s="790">
        <v>450</v>
      </c>
      <c r="BJ379" s="69"/>
      <c r="BK379" s="69"/>
      <c r="BL379" s="69"/>
      <c r="BM379" s="69"/>
      <c r="BN379" s="69"/>
      <c r="BO379" s="69"/>
      <c r="BP379" s="63"/>
      <c r="BQ379" s="69"/>
      <c r="BR379" s="719"/>
      <c r="BS379" s="719"/>
      <c r="BT379" s="719"/>
      <c r="BU379" s="719"/>
      <c r="BV379" s="719"/>
      <c r="BW379" s="719"/>
      <c r="BX379" s="719"/>
      <c r="BY379" s="791">
        <f>IF(BG379=0, ,IF(BH379=0, ,IF(BG379=FÉ!$U$548,VLOOKUP(BH379,FÉ!$C$548:$L$553,10,FALSE), IF(BG379=FÉ!$U$549,VLOOKUP(BH379,FÉ!$C$554:$L$559,10,FALSE), IF(BG379=FÉ!$U$550,VLOOKUP(BH379,FÉ!$C$560:$L$565,10,FALSE), )))))*BI379</f>
        <v>2331</v>
      </c>
      <c r="BZ379" s="69">
        <v>0</v>
      </c>
      <c r="CA379" s="700">
        <v>0</v>
      </c>
      <c r="CB379" s="69">
        <f>SUM(BY379:CA379)</f>
        <v>2331</v>
      </c>
      <c r="CC379" s="722">
        <f>CB379/(10^6)</f>
        <v>2.3310000000000002E-3</v>
      </c>
      <c r="CD379" s="63"/>
      <c r="CE379" s="726"/>
      <c r="CF379" s="727"/>
      <c r="CG379" s="63"/>
      <c r="CH379" s="730"/>
    </row>
    <row r="380" spans="2:86" outlineLevel="1">
      <c r="B380" s="69" t="str">
        <f t="shared" ref="B380:B388" si="88">B379</f>
        <v>4.1D1</v>
      </c>
      <c r="C380" s="80"/>
      <c r="D380" s="80"/>
      <c r="E380" s="663"/>
      <c r="F380" s="69" t="str">
        <f t="shared" ref="F380:F388" si="89">IF(E380=0,"",MONTH(E380))</f>
        <v/>
      </c>
      <c r="G380" s="80" t="s">
        <v>136</v>
      </c>
      <c r="H380" s="80"/>
      <c r="I380" s="648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  <c r="AP380" s="69"/>
      <c r="AQ380" s="69"/>
      <c r="AR380" s="69"/>
      <c r="AS380" s="69"/>
      <c r="AT380" s="69"/>
      <c r="AU380" s="69"/>
      <c r="AV380" s="69"/>
      <c r="AW380" s="69"/>
      <c r="AX380" s="69"/>
      <c r="AY380" s="69"/>
      <c r="AZ380" s="69"/>
      <c r="BA380" s="69"/>
      <c r="BB380" s="69"/>
      <c r="BC380" s="69"/>
      <c r="BD380" s="69"/>
      <c r="BE380" s="69"/>
      <c r="BF380" s="69"/>
      <c r="BG380" s="1050" t="s">
        <v>729</v>
      </c>
      <c r="BH380" s="789">
        <v>1</v>
      </c>
      <c r="BI380" s="790">
        <v>10</v>
      </c>
      <c r="BJ380" s="69"/>
      <c r="BK380" s="69"/>
      <c r="BL380" s="69"/>
      <c r="BM380" s="69"/>
      <c r="BN380" s="69"/>
      <c r="BO380" s="69"/>
      <c r="BP380" s="63"/>
      <c r="BQ380" s="69"/>
      <c r="BR380" s="719"/>
      <c r="BS380" s="719"/>
      <c r="BT380" s="719"/>
      <c r="BU380" s="719"/>
      <c r="BV380" s="719"/>
      <c r="BW380" s="719"/>
      <c r="BX380" s="719"/>
      <c r="BY380" s="791">
        <f>IF(BG380=0, ,IF(BH380=0, ,IF(BG380=FÉ!$U$548,VLOOKUP(BH380,FÉ!$C$548:$L$553,10,FALSE), IF(BG380=FÉ!$U$549,VLOOKUP(BH380,FÉ!$C$554:$L$559,10,FALSE), IF(BG380=FÉ!$U$550,VLOOKUP(BH380,FÉ!$C$560:$L$565,10,FALSE), )))))*BI380</f>
        <v>80.399999999999991</v>
      </c>
      <c r="BZ380" s="69">
        <v>0</v>
      </c>
      <c r="CA380" s="700">
        <v>0</v>
      </c>
      <c r="CB380" s="69">
        <f>SUM(BY380:CA380)</f>
        <v>80.399999999999991</v>
      </c>
      <c r="CC380" s="722">
        <f>CB380/(10^6)</f>
        <v>8.0399999999999989E-5</v>
      </c>
      <c r="CD380" s="63"/>
      <c r="CE380" s="726"/>
      <c r="CF380" s="727"/>
      <c r="CG380" s="63"/>
      <c r="CH380" s="730"/>
    </row>
    <row r="381" spans="2:86" outlineLevel="1">
      <c r="B381" s="69" t="str">
        <f t="shared" si="88"/>
        <v>4.1D1</v>
      </c>
      <c r="C381" s="80"/>
      <c r="D381" s="80"/>
      <c r="E381" s="663"/>
      <c r="F381" s="69" t="str">
        <f t="shared" si="89"/>
        <v/>
      </c>
      <c r="G381" s="80"/>
      <c r="H381" s="80"/>
      <c r="I381" s="648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  <c r="AP381" s="69"/>
      <c r="AQ381" s="69"/>
      <c r="AR381" s="69"/>
      <c r="AS381" s="69"/>
      <c r="AT381" s="69"/>
      <c r="AU381" s="69"/>
      <c r="AV381" s="69"/>
      <c r="AW381" s="69"/>
      <c r="AX381" s="69"/>
      <c r="AY381" s="69"/>
      <c r="AZ381" s="69"/>
      <c r="BA381" s="69"/>
      <c r="BB381" s="69"/>
      <c r="BC381" s="69"/>
      <c r="BD381" s="69"/>
      <c r="BE381" s="69"/>
      <c r="BF381" s="69"/>
      <c r="BG381" s="1050"/>
      <c r="BH381" s="789"/>
      <c r="BI381" s="790"/>
      <c r="BJ381" s="69"/>
      <c r="BK381" s="69"/>
      <c r="BL381" s="69"/>
      <c r="BM381" s="69"/>
      <c r="BN381" s="69"/>
      <c r="BO381" s="69"/>
      <c r="BP381" s="63"/>
      <c r="BQ381" s="69"/>
      <c r="BR381" s="719"/>
      <c r="BS381" s="719"/>
      <c r="BT381" s="719"/>
      <c r="BU381" s="719"/>
      <c r="BV381" s="719"/>
      <c r="BW381" s="719"/>
      <c r="BX381" s="719"/>
      <c r="BY381" s="791">
        <f>IF(BG381=0, ,IF(BH381=0, ,IF(BG381=FÉ!$U$548,VLOOKUP(BH381,FÉ!$C$548:$L$553,10,FALSE), IF(BG381=FÉ!$U$549,VLOOKUP(BH381,FÉ!$C$554:$L$559,10,FALSE), IF(BG381=FÉ!$U$550,VLOOKUP(BH381,FÉ!$C$560:$L$565,10,FALSE), )))))*BI381</f>
        <v>0</v>
      </c>
      <c r="BZ381" s="69">
        <v>0</v>
      </c>
      <c r="CA381" s="700">
        <v>0</v>
      </c>
      <c r="CB381" s="69">
        <f t="shared" ref="CB381:CB388" si="90">SUM(BY381:CA381)</f>
        <v>0</v>
      </c>
      <c r="CC381" s="722">
        <f t="shared" ref="CC381:CC388" si="91">CB381/(10^6)</f>
        <v>0</v>
      </c>
      <c r="CD381" s="63"/>
      <c r="CE381" s="726"/>
      <c r="CF381" s="727"/>
      <c r="CG381" s="63"/>
      <c r="CH381" s="730"/>
    </row>
    <row r="382" spans="2:86" outlineLevel="1">
      <c r="B382" s="69" t="str">
        <f t="shared" si="88"/>
        <v>4.1D1</v>
      </c>
      <c r="C382" s="80"/>
      <c r="D382" s="80"/>
      <c r="E382" s="663"/>
      <c r="F382" s="69" t="str">
        <f t="shared" si="89"/>
        <v/>
      </c>
      <c r="G382" s="80" t="s">
        <v>141</v>
      </c>
      <c r="H382" s="80"/>
      <c r="I382" s="648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  <c r="AP382" s="69"/>
      <c r="AQ382" s="69"/>
      <c r="AR382" s="69"/>
      <c r="AS382" s="69"/>
      <c r="AT382" s="69"/>
      <c r="AU382" s="69"/>
      <c r="AV382" s="69"/>
      <c r="AW382" s="69"/>
      <c r="AX382" s="69"/>
      <c r="AY382" s="69"/>
      <c r="AZ382" s="69"/>
      <c r="BA382" s="69"/>
      <c r="BB382" s="69"/>
      <c r="BC382" s="69"/>
      <c r="BD382" s="69"/>
      <c r="BE382" s="69"/>
      <c r="BF382" s="69"/>
      <c r="BG382" s="1050" t="s">
        <v>725</v>
      </c>
      <c r="BH382" s="789" t="s">
        <v>726</v>
      </c>
      <c r="BI382" s="790">
        <v>550</v>
      </c>
      <c r="BJ382" s="69"/>
      <c r="BK382" s="69"/>
      <c r="BL382" s="69"/>
      <c r="BM382" s="69"/>
      <c r="BN382" s="69"/>
      <c r="BO382" s="69"/>
      <c r="BP382" s="63"/>
      <c r="BQ382" s="69"/>
      <c r="BR382" s="719"/>
      <c r="BS382" s="719"/>
      <c r="BT382" s="719"/>
      <c r="BU382" s="719"/>
      <c r="BV382" s="719"/>
      <c r="BW382" s="719"/>
      <c r="BX382" s="719"/>
      <c r="BY382" s="791">
        <f>IF(BG382=0, ,IF(BH382=0, ,IF(BG382=FÉ!$U$548,VLOOKUP(BH382,FÉ!$C$548:$L$553,10,FALSE), IF(BG382=FÉ!$U$549,VLOOKUP(BH382,FÉ!$C$554:$L$559,10,FALSE), IF(BG382=FÉ!$U$550,VLOOKUP(BH382,FÉ!$C$560:$L$565,10,FALSE), )))))*BI382</f>
        <v>3498</v>
      </c>
      <c r="BZ382" s="69">
        <v>0</v>
      </c>
      <c r="CA382" s="700">
        <v>0</v>
      </c>
      <c r="CB382" s="69">
        <f t="shared" si="90"/>
        <v>3498</v>
      </c>
      <c r="CC382" s="722">
        <f t="shared" si="91"/>
        <v>3.4979999999999998E-3</v>
      </c>
      <c r="CD382" s="63"/>
      <c r="CE382" s="726"/>
      <c r="CF382" s="727"/>
      <c r="CG382" s="63"/>
      <c r="CH382" s="730"/>
    </row>
    <row r="383" spans="2:86" outlineLevel="1">
      <c r="B383" s="69" t="str">
        <f t="shared" si="88"/>
        <v>4.1D1</v>
      </c>
      <c r="C383" s="80"/>
      <c r="D383" s="80"/>
      <c r="E383" s="663"/>
      <c r="F383" s="69" t="str">
        <f t="shared" si="89"/>
        <v/>
      </c>
      <c r="G383" s="80"/>
      <c r="H383" s="80"/>
      <c r="I383" s="648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  <c r="AP383" s="69"/>
      <c r="AQ383" s="69"/>
      <c r="AR383" s="69"/>
      <c r="AS383" s="69"/>
      <c r="AT383" s="69"/>
      <c r="AU383" s="69"/>
      <c r="AV383" s="69"/>
      <c r="AW383" s="69"/>
      <c r="AX383" s="69"/>
      <c r="AY383" s="69"/>
      <c r="AZ383" s="69"/>
      <c r="BA383" s="69"/>
      <c r="BB383" s="69"/>
      <c r="BC383" s="69"/>
      <c r="BD383" s="69"/>
      <c r="BE383" s="69"/>
      <c r="BF383" s="69"/>
      <c r="BG383" s="1050"/>
      <c r="BH383" s="789"/>
      <c r="BI383" s="790"/>
      <c r="BJ383" s="69"/>
      <c r="BK383" s="69"/>
      <c r="BL383" s="69"/>
      <c r="BM383" s="69"/>
      <c r="BN383" s="69"/>
      <c r="BO383" s="69"/>
      <c r="BP383" s="63"/>
      <c r="BQ383" s="69"/>
      <c r="BR383" s="719"/>
      <c r="BS383" s="719"/>
      <c r="BT383" s="719"/>
      <c r="BU383" s="719"/>
      <c r="BV383" s="719"/>
      <c r="BW383" s="719"/>
      <c r="BX383" s="719"/>
      <c r="BY383" s="791">
        <f>IF(BG383=0, ,IF(BH383=0, ,IF(BG383=FÉ!$U$548,VLOOKUP(BH383,FÉ!$C$548:$L$553,10,FALSE), IF(BG383=FÉ!$U$549,VLOOKUP(BH383,FÉ!$C$554:$L$559,10,FALSE), IF(BG383=FÉ!$U$550,VLOOKUP(BH383,FÉ!$C$560:$L$565,10,FALSE), )))))*BI383</f>
        <v>0</v>
      </c>
      <c r="BZ383" s="69">
        <v>0</v>
      </c>
      <c r="CA383" s="700">
        <v>0</v>
      </c>
      <c r="CB383" s="69">
        <f t="shared" si="90"/>
        <v>0</v>
      </c>
      <c r="CC383" s="722">
        <f t="shared" si="91"/>
        <v>0</v>
      </c>
      <c r="CD383" s="63"/>
      <c r="CE383" s="726"/>
      <c r="CF383" s="727"/>
      <c r="CG383" s="63"/>
      <c r="CH383" s="730"/>
    </row>
    <row r="384" spans="2:86" outlineLevel="1">
      <c r="B384" s="69" t="str">
        <f t="shared" si="88"/>
        <v>4.1D1</v>
      </c>
      <c r="C384" s="80"/>
      <c r="D384" s="80"/>
      <c r="E384" s="663"/>
      <c r="F384" s="69" t="str">
        <f t="shared" si="89"/>
        <v/>
      </c>
      <c r="G384" s="80"/>
      <c r="H384" s="80"/>
      <c r="I384" s="648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  <c r="AP384" s="69"/>
      <c r="AQ384" s="69"/>
      <c r="AR384" s="69"/>
      <c r="AS384" s="69"/>
      <c r="AT384" s="69"/>
      <c r="AU384" s="69"/>
      <c r="AV384" s="69"/>
      <c r="AW384" s="69"/>
      <c r="AX384" s="69"/>
      <c r="AY384" s="69"/>
      <c r="AZ384" s="69"/>
      <c r="BA384" s="69"/>
      <c r="BB384" s="69"/>
      <c r="BC384" s="69"/>
      <c r="BD384" s="69"/>
      <c r="BE384" s="69"/>
      <c r="BF384" s="69"/>
      <c r="BG384" s="1050"/>
      <c r="BH384" s="789"/>
      <c r="BI384" s="790"/>
      <c r="BJ384" s="69"/>
      <c r="BK384" s="69"/>
      <c r="BL384" s="69"/>
      <c r="BM384" s="69"/>
      <c r="BN384" s="69"/>
      <c r="BO384" s="69"/>
      <c r="BP384" s="63"/>
      <c r="BQ384" s="69"/>
      <c r="BR384" s="719"/>
      <c r="BS384" s="719"/>
      <c r="BT384" s="719"/>
      <c r="BU384" s="719"/>
      <c r="BV384" s="719"/>
      <c r="BW384" s="719"/>
      <c r="BX384" s="719"/>
      <c r="BY384" s="791">
        <f>IF(BG384=0, ,IF(BH384=0, ,IF(BG384=FÉ!$U$548,VLOOKUP(BH384,FÉ!$C$548:$L$553,10,FALSE), IF(BG384=FÉ!$U$549,VLOOKUP(BH384,FÉ!$C$554:$L$559,10,FALSE), IF(BG384=FÉ!$U$550,VLOOKUP(BH384,FÉ!$C$560:$L$565,10,FALSE), )))))*BI384</f>
        <v>0</v>
      </c>
      <c r="BZ384" s="69">
        <v>0</v>
      </c>
      <c r="CA384" s="700">
        <v>0</v>
      </c>
      <c r="CB384" s="69">
        <f t="shared" si="90"/>
        <v>0</v>
      </c>
      <c r="CC384" s="722">
        <f t="shared" si="91"/>
        <v>0</v>
      </c>
      <c r="CD384" s="63"/>
      <c r="CE384" s="726"/>
      <c r="CF384" s="727"/>
      <c r="CG384" s="63"/>
      <c r="CH384" s="730"/>
    </row>
    <row r="385" spans="2:86" outlineLevel="1">
      <c r="B385" s="69" t="str">
        <f t="shared" si="88"/>
        <v>4.1D1</v>
      </c>
      <c r="C385" s="80"/>
      <c r="D385" s="80"/>
      <c r="E385" s="663"/>
      <c r="F385" s="69" t="str">
        <f t="shared" si="89"/>
        <v/>
      </c>
      <c r="G385" s="80"/>
      <c r="H385" s="80"/>
      <c r="I385" s="648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  <c r="AP385" s="69"/>
      <c r="AQ385" s="69"/>
      <c r="AR385" s="69"/>
      <c r="AS385" s="69"/>
      <c r="AT385" s="69"/>
      <c r="AU385" s="69"/>
      <c r="AV385" s="69"/>
      <c r="AW385" s="69"/>
      <c r="AX385" s="69"/>
      <c r="AY385" s="69"/>
      <c r="AZ385" s="69"/>
      <c r="BA385" s="69"/>
      <c r="BB385" s="69"/>
      <c r="BC385" s="69"/>
      <c r="BD385" s="69"/>
      <c r="BE385" s="69"/>
      <c r="BF385" s="69"/>
      <c r="BG385" s="1050"/>
      <c r="BH385" s="789"/>
      <c r="BI385" s="790"/>
      <c r="BJ385" s="69"/>
      <c r="BK385" s="69"/>
      <c r="BL385" s="69"/>
      <c r="BM385" s="69"/>
      <c r="BN385" s="69"/>
      <c r="BO385" s="69"/>
      <c r="BP385" s="63"/>
      <c r="BQ385" s="69"/>
      <c r="BR385" s="719"/>
      <c r="BS385" s="719"/>
      <c r="BT385" s="719"/>
      <c r="BU385" s="719"/>
      <c r="BV385" s="719"/>
      <c r="BW385" s="719"/>
      <c r="BX385" s="719"/>
      <c r="BY385" s="791">
        <f>IF(BG385=0, ,IF(BH385=0, ,IF(BG385=FÉ!$U$548,VLOOKUP(BH385,FÉ!$C$548:$L$553,10,FALSE), IF(BG385=FÉ!$U$549,VLOOKUP(BH385,FÉ!$C$554:$L$559,10,FALSE), IF(BG385=FÉ!$U$550,VLOOKUP(BH385,FÉ!$C$560:$L$565,10,FALSE), )))))*BI385</f>
        <v>0</v>
      </c>
      <c r="BZ385" s="69">
        <v>0</v>
      </c>
      <c r="CA385" s="700">
        <v>0</v>
      </c>
      <c r="CB385" s="69">
        <f t="shared" si="90"/>
        <v>0</v>
      </c>
      <c r="CC385" s="722">
        <f t="shared" si="91"/>
        <v>0</v>
      </c>
      <c r="CD385" s="63"/>
      <c r="CE385" s="726"/>
      <c r="CF385" s="727"/>
      <c r="CG385" s="63"/>
      <c r="CH385" s="730"/>
    </row>
    <row r="386" spans="2:86" outlineLevel="1">
      <c r="B386" s="69" t="str">
        <f t="shared" si="88"/>
        <v>4.1D1</v>
      </c>
      <c r="C386" s="80"/>
      <c r="D386" s="80"/>
      <c r="E386" s="663"/>
      <c r="F386" s="69" t="str">
        <f t="shared" si="89"/>
        <v/>
      </c>
      <c r="G386" s="80"/>
      <c r="H386" s="80"/>
      <c r="I386" s="648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  <c r="AP386" s="69"/>
      <c r="AQ386" s="69"/>
      <c r="AR386" s="69"/>
      <c r="AS386" s="69"/>
      <c r="AT386" s="69"/>
      <c r="AU386" s="69"/>
      <c r="AV386" s="69"/>
      <c r="AW386" s="69"/>
      <c r="AX386" s="69"/>
      <c r="AY386" s="69"/>
      <c r="AZ386" s="69"/>
      <c r="BA386" s="69"/>
      <c r="BB386" s="69"/>
      <c r="BC386" s="69"/>
      <c r="BD386" s="69"/>
      <c r="BE386" s="69"/>
      <c r="BF386" s="69"/>
      <c r="BG386" s="1050"/>
      <c r="BH386" s="789"/>
      <c r="BI386" s="790"/>
      <c r="BJ386" s="69"/>
      <c r="BK386" s="69"/>
      <c r="BL386" s="69"/>
      <c r="BM386" s="69"/>
      <c r="BN386" s="69"/>
      <c r="BO386" s="69"/>
      <c r="BP386" s="63"/>
      <c r="BQ386" s="69"/>
      <c r="BR386" s="719"/>
      <c r="BS386" s="719"/>
      <c r="BT386" s="719"/>
      <c r="BU386" s="719"/>
      <c r="BV386" s="719"/>
      <c r="BW386" s="719"/>
      <c r="BX386" s="719"/>
      <c r="BY386" s="791">
        <f>IF(BG386=0, ,IF(BH386=0, ,IF(BG386=FÉ!$U$548,VLOOKUP(BH386,FÉ!$C$548:$L$553,10,FALSE), IF(BG386=FÉ!$U$549,VLOOKUP(BH386,FÉ!$C$554:$L$559,10,FALSE), IF(BG386=FÉ!$U$550,VLOOKUP(BH386,FÉ!$C$560:$L$565,10,FALSE), )))))*BI386</f>
        <v>0</v>
      </c>
      <c r="BZ386" s="69">
        <v>0</v>
      </c>
      <c r="CA386" s="700">
        <v>0</v>
      </c>
      <c r="CB386" s="69">
        <f t="shared" si="90"/>
        <v>0</v>
      </c>
      <c r="CC386" s="722">
        <f t="shared" si="91"/>
        <v>0</v>
      </c>
      <c r="CD386" s="63"/>
      <c r="CE386" s="726"/>
      <c r="CF386" s="727"/>
      <c r="CG386" s="63"/>
      <c r="CH386" s="730"/>
    </row>
    <row r="387" spans="2:86" outlineLevel="1">
      <c r="B387" s="69" t="str">
        <f t="shared" si="88"/>
        <v>4.1D1</v>
      </c>
      <c r="C387" s="80"/>
      <c r="D387" s="80"/>
      <c r="E387" s="663"/>
      <c r="F387" s="69" t="str">
        <f t="shared" si="89"/>
        <v/>
      </c>
      <c r="G387" s="80"/>
      <c r="H387" s="80"/>
      <c r="I387" s="648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  <c r="AP387" s="69"/>
      <c r="AQ387" s="69"/>
      <c r="AR387" s="69"/>
      <c r="AS387" s="69"/>
      <c r="AT387" s="69"/>
      <c r="AU387" s="69"/>
      <c r="AV387" s="69"/>
      <c r="AW387" s="69"/>
      <c r="AX387" s="69"/>
      <c r="AY387" s="69"/>
      <c r="AZ387" s="69"/>
      <c r="BA387" s="69"/>
      <c r="BB387" s="69"/>
      <c r="BC387" s="69"/>
      <c r="BD387" s="69"/>
      <c r="BE387" s="69"/>
      <c r="BF387" s="69"/>
      <c r="BG387" s="1050"/>
      <c r="BH387" s="789"/>
      <c r="BI387" s="790"/>
      <c r="BJ387" s="69"/>
      <c r="BK387" s="69"/>
      <c r="BL387" s="69"/>
      <c r="BM387" s="69"/>
      <c r="BN387" s="69"/>
      <c r="BO387" s="69"/>
      <c r="BP387" s="63"/>
      <c r="BQ387" s="69"/>
      <c r="BR387" s="719"/>
      <c r="BS387" s="719"/>
      <c r="BT387" s="719"/>
      <c r="BU387" s="719"/>
      <c r="BV387" s="719"/>
      <c r="BW387" s="719"/>
      <c r="BX387" s="719"/>
      <c r="BY387" s="791">
        <f>IF(BG387=0, ,IF(BH387=0, ,IF(BG387=FÉ!$U$548,VLOOKUP(BH387,FÉ!$C$548:$L$553,10,FALSE), IF(BG387=FÉ!$U$549,VLOOKUP(BH387,FÉ!$C$554:$L$559,10,FALSE), IF(BG387=FÉ!$U$550,VLOOKUP(BH387,FÉ!$C$560:$L$565,10,FALSE), )))))*BI387</f>
        <v>0</v>
      </c>
      <c r="BZ387" s="69">
        <v>0</v>
      </c>
      <c r="CA387" s="700">
        <v>0</v>
      </c>
      <c r="CB387" s="69">
        <f t="shared" si="90"/>
        <v>0</v>
      </c>
      <c r="CC387" s="722">
        <f t="shared" si="91"/>
        <v>0</v>
      </c>
      <c r="CD387" s="63"/>
      <c r="CE387" s="726"/>
      <c r="CF387" s="727"/>
      <c r="CG387" s="63"/>
      <c r="CH387" s="730"/>
    </row>
    <row r="388" spans="2:86" ht="15.75" outlineLevel="1" thickBot="1">
      <c r="B388" s="69" t="str">
        <f t="shared" si="88"/>
        <v>4.1D1</v>
      </c>
      <c r="C388" s="80"/>
      <c r="D388" s="717"/>
      <c r="E388" s="663"/>
      <c r="F388" s="69" t="str">
        <f t="shared" si="89"/>
        <v/>
      </c>
      <c r="G388" s="80"/>
      <c r="H388" s="80"/>
      <c r="I388" s="648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  <c r="AP388" s="69"/>
      <c r="AQ388" s="69"/>
      <c r="AR388" s="69"/>
      <c r="AS388" s="69"/>
      <c r="AT388" s="69"/>
      <c r="AU388" s="69"/>
      <c r="AV388" s="69"/>
      <c r="AW388" s="69"/>
      <c r="AX388" s="69"/>
      <c r="AY388" s="69"/>
      <c r="AZ388" s="69"/>
      <c r="BA388" s="69"/>
      <c r="BB388" s="69"/>
      <c r="BC388" s="69"/>
      <c r="BD388" s="69"/>
      <c r="BE388" s="69"/>
      <c r="BF388" s="69"/>
      <c r="BG388" s="1050"/>
      <c r="BH388" s="789"/>
      <c r="BI388" s="790"/>
      <c r="BJ388" s="69"/>
      <c r="BK388" s="69"/>
      <c r="BL388" s="69"/>
      <c r="BM388" s="69"/>
      <c r="BN388" s="69"/>
      <c r="BO388" s="69"/>
      <c r="BP388" s="63"/>
      <c r="BQ388" s="69"/>
      <c r="BR388" s="719"/>
      <c r="BS388" s="719"/>
      <c r="BT388" s="719"/>
      <c r="BU388" s="719"/>
      <c r="BV388" s="719"/>
      <c r="BW388" s="719"/>
      <c r="BX388" s="719"/>
      <c r="BY388" s="791">
        <f>IF(BG388=0, ,IF(BH388=0, ,IF(BG388=FÉ!$U$548,VLOOKUP(BH388,FÉ!$C$548:$L$553,10,FALSE), IF(BG388=FÉ!$U$549,VLOOKUP(BH388,FÉ!$C$554:$L$559,10,FALSE), IF(BG388=FÉ!$U$550,VLOOKUP(BH388,FÉ!$C$560:$L$565,10,FALSE), )))))*BI388</f>
        <v>0</v>
      </c>
      <c r="BZ388" s="69">
        <v>0</v>
      </c>
      <c r="CA388" s="700">
        <v>0</v>
      </c>
      <c r="CB388" s="647">
        <f t="shared" si="90"/>
        <v>0</v>
      </c>
      <c r="CC388" s="723">
        <f t="shared" si="91"/>
        <v>0</v>
      </c>
      <c r="CD388" s="63"/>
      <c r="CE388" s="728"/>
      <c r="CF388" s="729"/>
      <c r="CG388" s="63"/>
      <c r="CH388" s="730"/>
    </row>
    <row r="389" spans="2:86" ht="15.75" outlineLevel="1" thickBot="1">
      <c r="B389" s="783"/>
      <c r="C389" s="784"/>
      <c r="D389" s="784"/>
      <c r="E389" s="785"/>
      <c r="F389" s="788" t="str">
        <f>$B379</f>
        <v>4.1D1</v>
      </c>
      <c r="G389" s="788" t="str">
        <f>$B379</f>
        <v>4.1D1</v>
      </c>
      <c r="H389" s="788" t="str">
        <f>$B379</f>
        <v>4.1D1</v>
      </c>
      <c r="I389" s="785"/>
      <c r="J389" s="786"/>
      <c r="K389" s="786"/>
      <c r="L389" s="786"/>
      <c r="M389" s="786"/>
      <c r="N389" s="786"/>
      <c r="O389" s="786"/>
      <c r="P389" s="786"/>
      <c r="Q389" s="786"/>
      <c r="R389" s="786"/>
      <c r="S389" s="786"/>
      <c r="T389" s="786"/>
      <c r="U389" s="786"/>
      <c r="V389" s="786"/>
      <c r="W389" s="786"/>
      <c r="X389" s="786"/>
      <c r="Y389" s="786"/>
      <c r="Z389" s="786"/>
      <c r="AA389" s="786"/>
      <c r="AB389" s="786"/>
      <c r="AC389" s="786"/>
      <c r="AD389" s="786"/>
      <c r="AE389" s="786"/>
      <c r="AF389" s="786"/>
      <c r="AG389" s="786"/>
      <c r="AH389" s="786"/>
      <c r="AI389" s="786"/>
      <c r="AJ389" s="786"/>
      <c r="AK389" s="786"/>
      <c r="AL389" s="786"/>
      <c r="AM389" s="786"/>
      <c r="AN389" s="786"/>
      <c r="AO389" s="786"/>
      <c r="AP389" s="786"/>
      <c r="AQ389" s="786"/>
      <c r="AR389" s="786"/>
      <c r="AS389" s="786"/>
      <c r="AT389" s="786"/>
      <c r="AU389" s="786"/>
      <c r="AV389" s="786"/>
      <c r="AW389" s="786"/>
      <c r="AX389" s="786"/>
      <c r="AY389" s="786"/>
      <c r="AZ389" s="786"/>
      <c r="BA389" s="786"/>
      <c r="BB389" s="786"/>
      <c r="BC389" s="786"/>
      <c r="BD389" s="786"/>
      <c r="BE389" s="786"/>
      <c r="BF389" s="786"/>
      <c r="BG389" s="786"/>
      <c r="BH389" s="786"/>
      <c r="BI389" s="786"/>
      <c r="BJ389" s="786"/>
      <c r="BK389" s="786"/>
      <c r="BL389" s="786"/>
      <c r="BM389" s="786"/>
      <c r="BN389" s="786"/>
      <c r="BO389" s="786"/>
      <c r="BP389" s="63"/>
      <c r="BQ389" s="782"/>
      <c r="BR389" s="782"/>
      <c r="BS389" s="782"/>
      <c r="BT389" s="782"/>
      <c r="BU389" s="782"/>
      <c r="BV389" s="782"/>
      <c r="BW389" s="782"/>
      <c r="BX389" s="782"/>
      <c r="BY389" s="782">
        <f>SUM(BY379:BY388)</f>
        <v>5909.4</v>
      </c>
      <c r="BZ389" s="782">
        <f>SUM(BZ379:BZ388)</f>
        <v>0</v>
      </c>
      <c r="CA389" s="782">
        <f>SUM(CA379:CA388)</f>
        <v>0</v>
      </c>
      <c r="CB389" s="782">
        <f>SUM(CB379:CB388)</f>
        <v>5909.4</v>
      </c>
      <c r="CC389" s="781">
        <f>SUM(CC379:CC388)</f>
        <v>5.9094000000000004E-3</v>
      </c>
      <c r="CD389" s="63"/>
      <c r="CE389" s="780">
        <f>SUM(CE379:CE388)</f>
        <v>0</v>
      </c>
      <c r="CF389" s="781">
        <f>SUM(CF379:CF388)</f>
        <v>0</v>
      </c>
      <c r="CG389" s="63"/>
      <c r="CH389" s="779">
        <f>SUM(CH379:CH388)</f>
        <v>0</v>
      </c>
    </row>
    <row r="391" spans="2:86" ht="31.5">
      <c r="B391" s="1176" t="s">
        <v>6479</v>
      </c>
      <c r="C391" s="1177"/>
      <c r="D391" s="1177"/>
      <c r="E391" s="1177"/>
      <c r="F391" s="1177"/>
      <c r="G391" s="1177"/>
      <c r="H391" s="1177"/>
      <c r="I391" s="1177"/>
      <c r="J391" s="1177"/>
      <c r="K391" s="1177"/>
      <c r="L391" s="1177"/>
      <c r="M391" s="1177"/>
      <c r="N391" s="1177"/>
      <c r="O391" s="1177"/>
      <c r="P391" s="1177"/>
      <c r="Q391" s="1177"/>
      <c r="R391" s="1177"/>
      <c r="S391" s="1177"/>
      <c r="T391" s="1177"/>
      <c r="U391" s="1177"/>
      <c r="V391" s="1177"/>
      <c r="W391" s="1177"/>
      <c r="X391" s="1177"/>
      <c r="Y391" s="1177"/>
      <c r="Z391" s="1177"/>
      <c r="AA391" s="1177"/>
      <c r="AB391" s="1177"/>
      <c r="AC391" s="1177"/>
      <c r="AD391" s="1177"/>
      <c r="AE391" s="1177"/>
      <c r="AF391" s="1177"/>
      <c r="AG391" s="1177"/>
      <c r="AH391" s="1177"/>
      <c r="AI391" s="1177"/>
      <c r="AJ391" s="1177"/>
      <c r="AK391" s="1177"/>
      <c r="AL391" s="1177"/>
      <c r="AM391" s="1177"/>
      <c r="AN391" s="1177"/>
      <c r="AO391" s="1177"/>
      <c r="AP391" s="1177"/>
      <c r="AQ391" s="1177"/>
      <c r="AR391" s="1177"/>
      <c r="AS391" s="1177"/>
      <c r="AT391" s="1177"/>
      <c r="AU391" s="1177"/>
      <c r="AV391" s="1177"/>
      <c r="AW391" s="1177"/>
      <c r="AX391" s="1177"/>
      <c r="AY391" s="1177"/>
      <c r="AZ391" s="1177"/>
      <c r="BA391" s="1177"/>
      <c r="BB391" s="1177"/>
      <c r="BC391" s="1177"/>
      <c r="BD391" s="1177"/>
      <c r="BE391" s="1177"/>
      <c r="BF391" s="1177"/>
      <c r="BG391" s="1177"/>
      <c r="BH391" s="1177"/>
      <c r="BI391" s="1177"/>
      <c r="BJ391" s="1177"/>
      <c r="BK391" s="1177"/>
      <c r="BL391" s="1177"/>
      <c r="BM391" s="1177"/>
      <c r="BN391" s="1177"/>
      <c r="BO391" s="1177"/>
      <c r="BP391" s="1177"/>
      <c r="BQ391" s="1177"/>
      <c r="BR391" s="1177"/>
      <c r="BS391" s="1177"/>
      <c r="BT391" s="1177"/>
      <c r="BU391" s="1177"/>
      <c r="BV391" s="1177"/>
      <c r="BW391" s="1177"/>
      <c r="BX391" s="1177"/>
      <c r="BY391" s="1177"/>
      <c r="BZ391" s="1177"/>
      <c r="CA391" s="1177"/>
      <c r="CB391" s="1177"/>
      <c r="CC391" s="1177"/>
      <c r="CD391" s="1177"/>
      <c r="CE391" s="1177"/>
      <c r="CF391" s="1177"/>
      <c r="CG391" s="1177"/>
      <c r="CH391" s="1177"/>
    </row>
    <row r="392" spans="2:86" ht="15.75" outlineLevel="1" thickBot="1">
      <c r="CH392" s="63"/>
    </row>
    <row r="393" spans="2:86" ht="21.75" outlineLevel="1" thickBot="1">
      <c r="B393" s="1178" t="s">
        <v>115</v>
      </c>
      <c r="C393" s="1179"/>
      <c r="D393" s="1179"/>
      <c r="E393" s="1179"/>
      <c r="F393" s="1179"/>
      <c r="G393" s="1179"/>
      <c r="H393" s="1179"/>
      <c r="I393" s="1179"/>
      <c r="J393" s="1179"/>
      <c r="K393" s="1179"/>
      <c r="L393" s="1179"/>
      <c r="M393" s="1179"/>
      <c r="N393" s="1179"/>
      <c r="O393" s="1179"/>
      <c r="P393" s="1179"/>
      <c r="Q393" s="1179"/>
      <c r="R393" s="1179"/>
      <c r="S393" s="1179"/>
      <c r="T393" s="1179"/>
      <c r="U393" s="1179"/>
      <c r="V393" s="1179"/>
      <c r="W393" s="1179"/>
      <c r="X393" s="1179"/>
      <c r="Y393" s="1179"/>
      <c r="Z393" s="1179"/>
      <c r="AA393" s="1179"/>
      <c r="AB393" s="1179"/>
      <c r="AC393" s="1179"/>
      <c r="AD393" s="1179"/>
      <c r="AE393" s="1179"/>
      <c r="AF393" s="1179"/>
      <c r="AG393" s="1179"/>
      <c r="AH393" s="1179"/>
      <c r="AI393" s="1179"/>
      <c r="AJ393" s="1179"/>
      <c r="AK393" s="1179"/>
      <c r="AL393" s="1179"/>
      <c r="AM393" s="1179"/>
      <c r="AN393" s="1179"/>
      <c r="AO393" s="1179"/>
      <c r="AP393" s="1179"/>
      <c r="AQ393" s="1179"/>
      <c r="AR393" s="1179"/>
      <c r="AS393" s="1179"/>
      <c r="AT393" s="1179"/>
      <c r="AU393" s="1179"/>
      <c r="AV393" s="1179"/>
      <c r="AW393" s="1179"/>
      <c r="AX393" s="1179"/>
      <c r="AY393" s="1179"/>
      <c r="AZ393" s="1179"/>
      <c r="BA393" s="1179"/>
      <c r="BB393" s="1179"/>
      <c r="BC393" s="1179"/>
      <c r="BD393" s="1179"/>
      <c r="BE393" s="1179"/>
      <c r="BF393" s="1179"/>
      <c r="BG393" s="1179"/>
      <c r="BH393" s="1179"/>
      <c r="BI393" s="1179"/>
      <c r="BJ393" s="1179"/>
      <c r="BK393" s="1179"/>
      <c r="BL393" s="1179"/>
      <c r="BM393" s="1179"/>
      <c r="BN393" s="1179"/>
      <c r="BO393" s="1179"/>
      <c r="BP393" s="63"/>
      <c r="BQ393" s="1180" t="s">
        <v>121</v>
      </c>
      <c r="BR393" s="1181"/>
      <c r="BS393" s="1181"/>
      <c r="BT393" s="1181"/>
      <c r="BU393" s="1181"/>
      <c r="BV393" s="1181"/>
      <c r="BW393" s="1181"/>
      <c r="BX393" s="1181"/>
      <c r="BY393" s="1181"/>
      <c r="BZ393" s="1181"/>
      <c r="CA393" s="1181"/>
      <c r="CB393" s="1181"/>
      <c r="CC393" s="1181"/>
      <c r="CD393" s="1181"/>
      <c r="CE393" s="1181"/>
      <c r="CF393" s="1181"/>
      <c r="CG393" s="1181"/>
      <c r="CH393" s="1182"/>
    </row>
    <row r="394" spans="2:86" ht="15" customHeight="1" outlineLevel="1">
      <c r="B394" s="1183" t="s">
        <v>6353</v>
      </c>
      <c r="C394" s="1185" t="s">
        <v>6372</v>
      </c>
      <c r="D394" s="1185" t="s">
        <v>7</v>
      </c>
      <c r="E394" s="1185" t="s">
        <v>127</v>
      </c>
      <c r="F394" s="1187" t="s">
        <v>6348</v>
      </c>
      <c r="G394" s="1185" t="s">
        <v>6333</v>
      </c>
      <c r="H394" s="1185" t="s">
        <v>128</v>
      </c>
      <c r="I394" s="1185" t="s">
        <v>156</v>
      </c>
      <c r="J394" s="655"/>
      <c r="K394" s="655"/>
      <c r="L394" s="655"/>
      <c r="M394" s="655"/>
      <c r="N394" s="655"/>
      <c r="O394" s="655"/>
      <c r="P394" s="655"/>
      <c r="Q394" s="655"/>
      <c r="R394" s="655"/>
      <c r="S394" s="655"/>
      <c r="T394" s="655"/>
      <c r="U394" s="655"/>
      <c r="V394" s="655"/>
      <c r="W394" s="655"/>
      <c r="X394" s="655"/>
      <c r="Y394" s="655"/>
      <c r="Z394" s="655"/>
      <c r="AA394" s="655"/>
      <c r="AB394" s="655"/>
      <c r="AC394" s="655"/>
      <c r="AD394" s="655"/>
      <c r="AE394" s="655"/>
      <c r="AF394" s="655"/>
      <c r="AG394" s="655"/>
      <c r="AH394" s="655"/>
      <c r="AI394" s="655"/>
      <c r="AJ394" s="655"/>
      <c r="AK394" s="1185" t="s">
        <v>6405</v>
      </c>
      <c r="AL394" s="655"/>
      <c r="AM394" s="1189" t="s">
        <v>721</v>
      </c>
      <c r="AN394" s="1190"/>
      <c r="AO394" s="655"/>
      <c r="AP394" s="655"/>
      <c r="AQ394" s="655"/>
      <c r="AR394" s="655"/>
      <c r="AS394" s="655"/>
      <c r="AT394" s="655"/>
      <c r="AU394" s="655"/>
      <c r="AV394" s="655"/>
      <c r="AW394" s="655"/>
      <c r="AX394" s="655"/>
      <c r="AY394" s="655"/>
      <c r="AZ394" s="655"/>
      <c r="BA394" s="655"/>
      <c r="BB394" s="655"/>
      <c r="BC394" s="655"/>
      <c r="BD394" s="655"/>
      <c r="BE394" s="655"/>
      <c r="BF394" s="655"/>
      <c r="BG394" s="655"/>
      <c r="BH394" s="655"/>
      <c r="BI394" s="655"/>
      <c r="BJ394" s="655"/>
      <c r="BK394" s="655"/>
      <c r="BL394" s="655"/>
      <c r="BM394" s="655"/>
      <c r="BN394" s="655"/>
      <c r="BO394" s="657"/>
      <c r="BP394" s="63"/>
      <c r="BQ394" s="732"/>
      <c r="BR394" s="732"/>
      <c r="BS394" s="732"/>
      <c r="BT394" s="732"/>
      <c r="BU394" s="732"/>
      <c r="BV394" s="732"/>
      <c r="BW394" s="732"/>
      <c r="BX394" s="732"/>
      <c r="BY394" s="1193" t="s">
        <v>122</v>
      </c>
      <c r="BZ394" s="1193"/>
      <c r="CA394" s="1193"/>
      <c r="CB394" s="1194" t="s">
        <v>123</v>
      </c>
      <c r="CC394" s="1195"/>
      <c r="CD394" s="63"/>
      <c r="CE394" s="1198" t="s">
        <v>124</v>
      </c>
      <c r="CF394" s="1199"/>
      <c r="CG394" s="63"/>
      <c r="CH394" s="1185" t="s">
        <v>125</v>
      </c>
    </row>
    <row r="395" spans="2:86" ht="18" outlineLevel="1">
      <c r="B395" s="1184"/>
      <c r="C395" s="1186"/>
      <c r="D395" s="1186"/>
      <c r="E395" s="1186"/>
      <c r="F395" s="1188"/>
      <c r="G395" s="1186"/>
      <c r="H395" s="1186"/>
      <c r="I395" s="1186"/>
      <c r="J395" s="656"/>
      <c r="K395" s="656"/>
      <c r="L395" s="656"/>
      <c r="M395" s="656"/>
      <c r="N395" s="656"/>
      <c r="O395" s="656"/>
      <c r="P395" s="656"/>
      <c r="Q395" s="656"/>
      <c r="R395" s="656"/>
      <c r="S395" s="656"/>
      <c r="T395" s="656"/>
      <c r="U395" s="656"/>
      <c r="V395" s="656"/>
      <c r="W395" s="656"/>
      <c r="X395" s="656"/>
      <c r="Y395" s="656"/>
      <c r="Z395" s="656"/>
      <c r="AA395" s="656"/>
      <c r="AB395" s="656"/>
      <c r="AC395" s="656"/>
      <c r="AD395" s="656"/>
      <c r="AE395" s="656"/>
      <c r="AF395" s="656"/>
      <c r="AG395" s="656"/>
      <c r="AH395" s="656"/>
      <c r="AI395" s="656"/>
      <c r="AJ395" s="656"/>
      <c r="AK395" s="1186"/>
      <c r="AL395" s="656"/>
      <c r="AM395" s="1191"/>
      <c r="AN395" s="1192"/>
      <c r="AO395" s="656"/>
      <c r="AP395" s="656"/>
      <c r="AQ395" s="656"/>
      <c r="AR395" s="656"/>
      <c r="AS395" s="656"/>
      <c r="AT395" s="656"/>
      <c r="AU395" s="656"/>
      <c r="AV395" s="656"/>
      <c r="AW395" s="656"/>
      <c r="AX395" s="656"/>
      <c r="AY395" s="656"/>
      <c r="AZ395" s="656"/>
      <c r="BA395" s="656"/>
      <c r="BB395" s="656"/>
      <c r="BC395" s="656"/>
      <c r="BD395" s="656"/>
      <c r="BE395" s="656"/>
      <c r="BF395" s="656"/>
      <c r="BG395" s="656"/>
      <c r="BH395" s="656"/>
      <c r="BI395" s="656"/>
      <c r="BJ395" s="656"/>
      <c r="BK395" s="656"/>
      <c r="BL395" s="656"/>
      <c r="BM395" s="656"/>
      <c r="BN395" s="656"/>
      <c r="BO395" s="79"/>
      <c r="BP395" s="63"/>
      <c r="BQ395" s="1325"/>
      <c r="BR395" s="712"/>
      <c r="BS395" s="712"/>
      <c r="BT395" s="712"/>
      <c r="BU395" s="712"/>
      <c r="BV395" s="712"/>
      <c r="BW395" s="712"/>
      <c r="BX395" s="712"/>
      <c r="BY395" s="718" t="s">
        <v>106</v>
      </c>
      <c r="BZ395" s="58" t="s">
        <v>107</v>
      </c>
      <c r="CA395" s="720" t="s">
        <v>108</v>
      </c>
      <c r="CB395" s="1196"/>
      <c r="CC395" s="1197"/>
      <c r="CD395" s="63"/>
      <c r="CE395" s="1200"/>
      <c r="CF395" s="1201"/>
      <c r="CG395" s="63"/>
      <c r="CH395" s="1186"/>
    </row>
    <row r="396" spans="2:86" ht="18.75" outlineLevel="1" thickBot="1">
      <c r="B396" s="65"/>
      <c r="C396" s="66"/>
      <c r="D396" s="661" t="s">
        <v>6306</v>
      </c>
      <c r="E396" s="661" t="s">
        <v>6306</v>
      </c>
      <c r="F396" s="661"/>
      <c r="G396" s="661" t="s">
        <v>6306</v>
      </c>
      <c r="H396" s="661" t="s">
        <v>6306</v>
      </c>
      <c r="I396" s="661" t="s">
        <v>6306</v>
      </c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 t="s">
        <v>119</v>
      </c>
      <c r="AL396" s="64"/>
      <c r="AM396" s="1174" t="s">
        <v>6407</v>
      </c>
      <c r="AN396" s="1175"/>
      <c r="AO396" s="64"/>
      <c r="AP396" s="64"/>
      <c r="AQ396" s="64"/>
      <c r="AR396" s="64"/>
      <c r="AS396" s="64"/>
      <c r="AT396" s="64"/>
      <c r="AU396" s="64"/>
      <c r="AV396" s="64"/>
      <c r="AW396" s="64"/>
      <c r="AX396" s="64"/>
      <c r="AY396" s="64"/>
      <c r="AZ396" s="64"/>
      <c r="BA396" s="64"/>
      <c r="BB396" s="64"/>
      <c r="BC396" s="64"/>
      <c r="BD396" s="64"/>
      <c r="BE396" s="64"/>
      <c r="BF396" s="64"/>
      <c r="BG396" s="64"/>
      <c r="BH396" s="64"/>
      <c r="BI396" s="64"/>
      <c r="BJ396" s="64"/>
      <c r="BK396" s="64"/>
      <c r="BL396" s="64"/>
      <c r="BM396" s="64"/>
      <c r="BN396" s="64"/>
      <c r="BO396" s="66"/>
      <c r="BP396" s="63"/>
      <c r="BQ396" s="66"/>
      <c r="BR396" s="713"/>
      <c r="BS396" s="713"/>
      <c r="BT396" s="713"/>
      <c r="BU396" s="713"/>
      <c r="BV396" s="713"/>
      <c r="BW396" s="713"/>
      <c r="BX396" s="713"/>
      <c r="BY396" s="713" t="s">
        <v>109</v>
      </c>
      <c r="BZ396" s="66" t="s">
        <v>109</v>
      </c>
      <c r="CA396" s="64" t="s">
        <v>109</v>
      </c>
      <c r="CB396" s="66" t="s">
        <v>109</v>
      </c>
      <c r="CC396" s="721" t="s">
        <v>110</v>
      </c>
      <c r="CD396" s="63"/>
      <c r="CE396" s="724" t="s">
        <v>111</v>
      </c>
      <c r="CF396" s="725" t="s">
        <v>112</v>
      </c>
      <c r="CG396" s="63"/>
      <c r="CH396" s="66" t="s">
        <v>114</v>
      </c>
    </row>
    <row r="397" spans="2:86" outlineLevel="1">
      <c r="B397" s="787" t="s">
        <v>6489</v>
      </c>
      <c r="C397" s="80"/>
      <c r="D397" s="716"/>
      <c r="E397" s="662"/>
      <c r="F397" s="69" t="str">
        <f>IF(E397=0,"",MONTH(E397))</f>
        <v/>
      </c>
      <c r="G397" s="80"/>
      <c r="H397" s="80"/>
      <c r="I397" s="648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69"/>
      <c r="AJ397" s="69"/>
      <c r="AK397" s="789"/>
      <c r="AL397" s="69"/>
      <c r="AM397" s="790"/>
      <c r="AN397" s="59" t="str">
        <f>IFERROR(VLOOKUP(AK397,FÉ!$C$762:$L$815,4,FALSE),"")</f>
        <v/>
      </c>
      <c r="AO397" s="69"/>
      <c r="AP397" s="69"/>
      <c r="AQ397" s="69"/>
      <c r="AR397" s="69"/>
      <c r="AS397" s="69"/>
      <c r="AT397" s="69"/>
      <c r="AU397" s="69"/>
      <c r="AV397" s="69"/>
      <c r="AW397" s="69"/>
      <c r="AX397" s="69"/>
      <c r="AY397" s="69"/>
      <c r="AZ397" s="69"/>
      <c r="BA397" s="69"/>
      <c r="BB397" s="69"/>
      <c r="BC397" s="69"/>
      <c r="BD397" s="69"/>
      <c r="BE397" s="69"/>
      <c r="BF397" s="69"/>
      <c r="BG397" s="69"/>
      <c r="BH397" s="69"/>
      <c r="BI397" s="69"/>
      <c r="BJ397" s="69"/>
      <c r="BK397" s="69"/>
      <c r="BL397" s="69"/>
      <c r="BM397" s="69"/>
      <c r="BN397" s="69"/>
      <c r="BO397" s="69"/>
      <c r="BP397" s="63"/>
      <c r="BQ397" s="69"/>
      <c r="BR397" s="719"/>
      <c r="BS397" s="719"/>
      <c r="BT397" s="719"/>
      <c r="BU397" s="719"/>
      <c r="BV397" s="719"/>
      <c r="BW397" s="719"/>
      <c r="BX397" s="719"/>
      <c r="BY397" s="791">
        <f>IFERROR(VLOOKUP(AK397,Tableau1[[Aliments]:['[gCO2eq/kg']]],7,FALSE)*AM397,)</f>
        <v>0</v>
      </c>
      <c r="BZ397" s="69">
        <v>0</v>
      </c>
      <c r="CA397" s="700">
        <v>0</v>
      </c>
      <c r="CB397" s="69">
        <f>SUM(BY397:CA397)</f>
        <v>0</v>
      </c>
      <c r="CC397" s="722">
        <f>CB397/(10^6)</f>
        <v>0</v>
      </c>
      <c r="CD397" s="63"/>
      <c r="CE397" s="726"/>
      <c r="CF397" s="727"/>
      <c r="CG397" s="63"/>
      <c r="CH397" s="730"/>
    </row>
    <row r="398" spans="2:86" outlineLevel="1">
      <c r="B398" s="69" t="str">
        <f t="shared" ref="B398:B406" si="92">B397</f>
        <v>4.1E1</v>
      </c>
      <c r="C398" s="80"/>
      <c r="D398" s="80"/>
      <c r="E398" s="663">
        <v>45751</v>
      </c>
      <c r="F398" s="69">
        <f t="shared" ref="F398:F406" si="93">IF(E398=0,"",MONTH(E398))</f>
        <v>4</v>
      </c>
      <c r="G398" s="80" t="s">
        <v>136</v>
      </c>
      <c r="H398" s="80"/>
      <c r="I398" s="648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  <c r="AK398" s="789" t="s">
        <v>956</v>
      </c>
      <c r="AL398" s="69"/>
      <c r="AM398" s="790">
        <v>100</v>
      </c>
      <c r="AN398" s="59" t="str">
        <f>IFERROR(VLOOKUP(AK398,FÉ!$C$762:$L$815,4,FALSE),"")</f>
        <v>kg</v>
      </c>
      <c r="AO398" s="69"/>
      <c r="AP398" s="69"/>
      <c r="AQ398" s="69"/>
      <c r="AR398" s="69"/>
      <c r="AS398" s="69"/>
      <c r="AT398" s="69"/>
      <c r="AU398" s="69"/>
      <c r="AV398" s="69"/>
      <c r="AW398" s="69"/>
      <c r="AX398" s="69"/>
      <c r="AY398" s="69"/>
      <c r="AZ398" s="69"/>
      <c r="BA398" s="69"/>
      <c r="BB398" s="69"/>
      <c r="BC398" s="69"/>
      <c r="BD398" s="69"/>
      <c r="BE398" s="69"/>
      <c r="BF398" s="69"/>
      <c r="BG398" s="69"/>
      <c r="BH398" s="69"/>
      <c r="BI398" s="69"/>
      <c r="BJ398" s="69"/>
      <c r="BK398" s="69"/>
      <c r="BL398" s="69"/>
      <c r="BM398" s="69"/>
      <c r="BN398" s="69"/>
      <c r="BO398" s="69"/>
      <c r="BP398" s="63"/>
      <c r="BQ398" s="69"/>
      <c r="BR398" s="719"/>
      <c r="BS398" s="719"/>
      <c r="BT398" s="719"/>
      <c r="BU398" s="719"/>
      <c r="BV398" s="719"/>
      <c r="BW398" s="719"/>
      <c r="BX398" s="719"/>
      <c r="BY398" s="791">
        <f>IFERROR(VLOOKUP(AK398,Tableau1[[Aliments]:['[gCO2eq/kg']]],7,FALSE)*AM398,)</f>
        <v>9948000</v>
      </c>
      <c r="BZ398" s="69">
        <v>0</v>
      </c>
      <c r="CA398" s="700">
        <v>0</v>
      </c>
      <c r="CB398" s="69">
        <f>SUM(BY398:CA398)</f>
        <v>9948000</v>
      </c>
      <c r="CC398" s="722">
        <f>CB398/(10^6)</f>
        <v>9.9480000000000004</v>
      </c>
      <c r="CD398" s="63"/>
      <c r="CE398" s="726"/>
      <c r="CF398" s="727"/>
      <c r="CG398" s="63"/>
      <c r="CH398" s="730"/>
    </row>
    <row r="399" spans="2:86" outlineLevel="1">
      <c r="B399" s="69" t="str">
        <f t="shared" si="92"/>
        <v>4.1E1</v>
      </c>
      <c r="C399" s="80"/>
      <c r="D399" s="80"/>
      <c r="E399" s="663">
        <v>45751</v>
      </c>
      <c r="F399" s="69">
        <f t="shared" si="93"/>
        <v>4</v>
      </c>
      <c r="G399" s="80" t="s">
        <v>136</v>
      </c>
      <c r="H399" s="80"/>
      <c r="I399" s="648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69"/>
      <c r="AJ399" s="69"/>
      <c r="AK399" s="789" t="s">
        <v>972</v>
      </c>
      <c r="AL399" s="69"/>
      <c r="AM399" s="790">
        <v>100</v>
      </c>
      <c r="AN399" s="59" t="str">
        <f>IFERROR(VLOOKUP(AK399,FÉ!$C$762:$L$815,4,FALSE),"")</f>
        <v>kg</v>
      </c>
      <c r="AO399" s="69"/>
      <c r="AP399" s="69"/>
      <c r="AQ399" s="69"/>
      <c r="AR399" s="69"/>
      <c r="AS399" s="69"/>
      <c r="AT399" s="69"/>
      <c r="AU399" s="69"/>
      <c r="AV399" s="69"/>
      <c r="AW399" s="69"/>
      <c r="AX399" s="69"/>
      <c r="AY399" s="69"/>
      <c r="AZ399" s="69"/>
      <c r="BA399" s="69"/>
      <c r="BB399" s="69"/>
      <c r="BC399" s="69"/>
      <c r="BD399" s="69"/>
      <c r="BE399" s="69"/>
      <c r="BF399" s="69"/>
      <c r="BG399" s="69"/>
      <c r="BH399" s="69"/>
      <c r="BI399" s="69"/>
      <c r="BJ399" s="69"/>
      <c r="BK399" s="69"/>
      <c r="BL399" s="69"/>
      <c r="BM399" s="69"/>
      <c r="BN399" s="69"/>
      <c r="BO399" s="69"/>
      <c r="BP399" s="63"/>
      <c r="BQ399" s="69"/>
      <c r="BR399" s="719"/>
      <c r="BS399" s="719"/>
      <c r="BT399" s="719"/>
      <c r="BU399" s="719"/>
      <c r="BV399" s="719"/>
      <c r="BW399" s="719"/>
      <c r="BX399" s="719"/>
      <c r="BY399" s="791">
        <f>IFERROR(VLOOKUP(AK399,Tableau1[[Aliments]:['[gCO2eq/kg']]],7,FALSE)*AM399,)</f>
        <v>316000</v>
      </c>
      <c r="BZ399" s="69">
        <v>0</v>
      </c>
      <c r="CA399" s="700">
        <v>0</v>
      </c>
      <c r="CB399" s="69">
        <f t="shared" ref="CB399:CB406" si="94">SUM(BY399:CA399)</f>
        <v>316000</v>
      </c>
      <c r="CC399" s="722">
        <f t="shared" ref="CC399:CC406" si="95">CB399/(10^6)</f>
        <v>0.316</v>
      </c>
      <c r="CD399" s="63"/>
      <c r="CE399" s="726"/>
      <c r="CF399" s="727"/>
      <c r="CG399" s="63"/>
      <c r="CH399" s="730"/>
    </row>
    <row r="400" spans="2:86" outlineLevel="1">
      <c r="B400" s="69" t="str">
        <f t="shared" si="92"/>
        <v>4.1E1</v>
      </c>
      <c r="C400" s="80"/>
      <c r="D400" s="80"/>
      <c r="E400" s="663"/>
      <c r="F400" s="69" t="str">
        <f t="shared" si="93"/>
        <v/>
      </c>
      <c r="G400" s="80"/>
      <c r="H400" s="80"/>
      <c r="I400" s="648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  <c r="AK400" s="789"/>
      <c r="AL400" s="69"/>
      <c r="AM400" s="790"/>
      <c r="AN400" s="59" t="str">
        <f>IFERROR(VLOOKUP(AK400,FÉ!$C$762:$L$815,4,FALSE),"")</f>
        <v/>
      </c>
      <c r="AO400" s="69"/>
      <c r="AP400" s="69"/>
      <c r="AQ400" s="69"/>
      <c r="AR400" s="69"/>
      <c r="AS400" s="69"/>
      <c r="AT400" s="69"/>
      <c r="AU400" s="69"/>
      <c r="AV400" s="69"/>
      <c r="AW400" s="69"/>
      <c r="AX400" s="69"/>
      <c r="AY400" s="69"/>
      <c r="AZ400" s="69"/>
      <c r="BA400" s="69"/>
      <c r="BB400" s="69"/>
      <c r="BC400" s="69"/>
      <c r="BD400" s="69"/>
      <c r="BE400" s="69"/>
      <c r="BF400" s="69"/>
      <c r="BG400" s="69"/>
      <c r="BH400" s="69"/>
      <c r="BI400" s="69"/>
      <c r="BJ400" s="69"/>
      <c r="BK400" s="69"/>
      <c r="BL400" s="69"/>
      <c r="BM400" s="69"/>
      <c r="BN400" s="69"/>
      <c r="BO400" s="69"/>
      <c r="BP400" s="63"/>
      <c r="BQ400" s="69"/>
      <c r="BR400" s="719"/>
      <c r="BS400" s="719"/>
      <c r="BT400" s="719"/>
      <c r="BU400" s="719"/>
      <c r="BV400" s="719"/>
      <c r="BW400" s="719"/>
      <c r="BX400" s="719"/>
      <c r="BY400" s="791">
        <f>IFERROR(VLOOKUP(AK400,Tableau1[[Aliments]:['[gCO2eq/kg']]],7,FALSE)*AM400,)</f>
        <v>0</v>
      </c>
      <c r="BZ400" s="69">
        <v>0</v>
      </c>
      <c r="CA400" s="700">
        <v>0</v>
      </c>
      <c r="CB400" s="69">
        <f t="shared" si="94"/>
        <v>0</v>
      </c>
      <c r="CC400" s="722">
        <f t="shared" si="95"/>
        <v>0</v>
      </c>
      <c r="CD400" s="63"/>
      <c r="CE400" s="726"/>
      <c r="CF400" s="727"/>
      <c r="CG400" s="63"/>
      <c r="CH400" s="730"/>
    </row>
    <row r="401" spans="2:86" outlineLevel="1">
      <c r="B401" s="69" t="str">
        <f t="shared" si="92"/>
        <v>4.1E1</v>
      </c>
      <c r="C401" s="80"/>
      <c r="D401" s="80"/>
      <c r="E401" s="663"/>
      <c r="F401" s="69" t="str">
        <f t="shared" si="93"/>
        <v/>
      </c>
      <c r="G401" s="80"/>
      <c r="H401" s="80"/>
      <c r="I401" s="648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  <c r="AK401" s="789"/>
      <c r="AL401" s="69"/>
      <c r="AM401" s="790"/>
      <c r="AN401" s="59" t="str">
        <f>IFERROR(VLOOKUP(AK401,FÉ!$C$762:$L$815,4,FALSE),"")</f>
        <v/>
      </c>
      <c r="AO401" s="69"/>
      <c r="AP401" s="69"/>
      <c r="AQ401" s="69"/>
      <c r="AR401" s="69"/>
      <c r="AS401" s="69"/>
      <c r="AT401" s="69"/>
      <c r="AU401" s="69"/>
      <c r="AV401" s="69"/>
      <c r="AW401" s="69"/>
      <c r="AX401" s="69"/>
      <c r="AY401" s="69"/>
      <c r="AZ401" s="69"/>
      <c r="BA401" s="69"/>
      <c r="BB401" s="69"/>
      <c r="BC401" s="69"/>
      <c r="BD401" s="69"/>
      <c r="BE401" s="69"/>
      <c r="BF401" s="69"/>
      <c r="BG401" s="69"/>
      <c r="BH401" s="69"/>
      <c r="BI401" s="69"/>
      <c r="BJ401" s="69"/>
      <c r="BK401" s="69"/>
      <c r="BL401" s="69"/>
      <c r="BM401" s="69"/>
      <c r="BN401" s="69"/>
      <c r="BO401" s="69"/>
      <c r="BP401" s="63"/>
      <c r="BQ401" s="69"/>
      <c r="BR401" s="719"/>
      <c r="BS401" s="719"/>
      <c r="BT401" s="719"/>
      <c r="BU401" s="719"/>
      <c r="BV401" s="719"/>
      <c r="BW401" s="719"/>
      <c r="BX401" s="719"/>
      <c r="BY401" s="791">
        <f>IFERROR(VLOOKUP(AK401,Tableau1[[Aliments]:['[gCO2eq/kg']]],7,FALSE)*AM401,)</f>
        <v>0</v>
      </c>
      <c r="BZ401" s="69">
        <v>0</v>
      </c>
      <c r="CA401" s="700">
        <v>0</v>
      </c>
      <c r="CB401" s="69">
        <f t="shared" si="94"/>
        <v>0</v>
      </c>
      <c r="CC401" s="722">
        <f t="shared" si="95"/>
        <v>0</v>
      </c>
      <c r="CD401" s="63"/>
      <c r="CE401" s="726"/>
      <c r="CF401" s="727"/>
      <c r="CG401" s="63"/>
      <c r="CH401" s="730"/>
    </row>
    <row r="402" spans="2:86" outlineLevel="1">
      <c r="B402" s="69" t="str">
        <f t="shared" si="92"/>
        <v>4.1E1</v>
      </c>
      <c r="C402" s="80"/>
      <c r="D402" s="80"/>
      <c r="E402" s="663"/>
      <c r="F402" s="69" t="str">
        <f t="shared" si="93"/>
        <v/>
      </c>
      <c r="G402" s="80"/>
      <c r="H402" s="80"/>
      <c r="I402" s="648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  <c r="AK402" s="789"/>
      <c r="AL402" s="69"/>
      <c r="AM402" s="790"/>
      <c r="AN402" s="59" t="str">
        <f>IFERROR(VLOOKUP(AK402,FÉ!$C$762:$L$815,4,FALSE),"")</f>
        <v/>
      </c>
      <c r="AO402" s="69"/>
      <c r="AP402" s="69"/>
      <c r="AQ402" s="69"/>
      <c r="AR402" s="69"/>
      <c r="AS402" s="69"/>
      <c r="AT402" s="69"/>
      <c r="AU402" s="69"/>
      <c r="AV402" s="69"/>
      <c r="AW402" s="69"/>
      <c r="AX402" s="69"/>
      <c r="AY402" s="69"/>
      <c r="AZ402" s="69"/>
      <c r="BA402" s="69"/>
      <c r="BB402" s="69"/>
      <c r="BC402" s="69"/>
      <c r="BD402" s="69"/>
      <c r="BE402" s="69"/>
      <c r="BF402" s="69"/>
      <c r="BG402" s="69"/>
      <c r="BH402" s="69"/>
      <c r="BI402" s="69"/>
      <c r="BJ402" s="69"/>
      <c r="BK402" s="69"/>
      <c r="BL402" s="69"/>
      <c r="BM402" s="69"/>
      <c r="BN402" s="69"/>
      <c r="BO402" s="69"/>
      <c r="BP402" s="63"/>
      <c r="BQ402" s="69"/>
      <c r="BR402" s="719"/>
      <c r="BS402" s="719"/>
      <c r="BT402" s="719"/>
      <c r="BU402" s="719"/>
      <c r="BV402" s="719"/>
      <c r="BW402" s="719"/>
      <c r="BX402" s="719"/>
      <c r="BY402" s="791">
        <f>IFERROR(VLOOKUP(AK402,Tableau1[[Aliments]:['[gCO2eq/kg']]],7,FALSE)*AM402,)</f>
        <v>0</v>
      </c>
      <c r="BZ402" s="69">
        <v>0</v>
      </c>
      <c r="CA402" s="700">
        <v>0</v>
      </c>
      <c r="CB402" s="69">
        <f t="shared" si="94"/>
        <v>0</v>
      </c>
      <c r="CC402" s="722">
        <f t="shared" si="95"/>
        <v>0</v>
      </c>
      <c r="CD402" s="63"/>
      <c r="CE402" s="726"/>
      <c r="CF402" s="727"/>
      <c r="CG402" s="63"/>
      <c r="CH402" s="730"/>
    </row>
    <row r="403" spans="2:86" outlineLevel="1">
      <c r="B403" s="69" t="str">
        <f t="shared" si="92"/>
        <v>4.1E1</v>
      </c>
      <c r="C403" s="80"/>
      <c r="D403" s="80"/>
      <c r="E403" s="663"/>
      <c r="F403" s="69" t="str">
        <f t="shared" si="93"/>
        <v/>
      </c>
      <c r="G403" s="80"/>
      <c r="H403" s="80"/>
      <c r="I403" s="648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789"/>
      <c r="AL403" s="69"/>
      <c r="AM403" s="790"/>
      <c r="AN403" s="59" t="str">
        <f>IFERROR(VLOOKUP(AK403,FÉ!$C$762:$L$815,4,FALSE),"")</f>
        <v/>
      </c>
      <c r="AO403" s="69"/>
      <c r="AP403" s="69"/>
      <c r="AQ403" s="69"/>
      <c r="AR403" s="69"/>
      <c r="AS403" s="69"/>
      <c r="AT403" s="69"/>
      <c r="AU403" s="69"/>
      <c r="AV403" s="69"/>
      <c r="AW403" s="69"/>
      <c r="AX403" s="69"/>
      <c r="AY403" s="69"/>
      <c r="AZ403" s="69"/>
      <c r="BA403" s="69"/>
      <c r="BB403" s="69"/>
      <c r="BC403" s="69"/>
      <c r="BD403" s="69"/>
      <c r="BE403" s="69"/>
      <c r="BF403" s="69"/>
      <c r="BG403" s="69"/>
      <c r="BH403" s="69"/>
      <c r="BI403" s="69"/>
      <c r="BJ403" s="69"/>
      <c r="BK403" s="69"/>
      <c r="BL403" s="69"/>
      <c r="BM403" s="69"/>
      <c r="BN403" s="69"/>
      <c r="BO403" s="69"/>
      <c r="BP403" s="63"/>
      <c r="BQ403" s="69"/>
      <c r="BR403" s="719"/>
      <c r="BS403" s="719"/>
      <c r="BT403" s="719"/>
      <c r="BU403" s="719"/>
      <c r="BV403" s="719"/>
      <c r="BW403" s="719"/>
      <c r="BX403" s="719"/>
      <c r="BY403" s="791">
        <f>IFERROR(VLOOKUP(AK403,Tableau1[[Aliments]:['[gCO2eq/kg']]],7,FALSE)*AM403,)</f>
        <v>0</v>
      </c>
      <c r="BZ403" s="69">
        <v>0</v>
      </c>
      <c r="CA403" s="700">
        <v>0</v>
      </c>
      <c r="CB403" s="69">
        <f t="shared" si="94"/>
        <v>0</v>
      </c>
      <c r="CC403" s="722">
        <f t="shared" si="95"/>
        <v>0</v>
      </c>
      <c r="CD403" s="63"/>
      <c r="CE403" s="726"/>
      <c r="CF403" s="727"/>
      <c r="CG403" s="63"/>
      <c r="CH403" s="730"/>
    </row>
    <row r="404" spans="2:86" outlineLevel="1">
      <c r="B404" s="69" t="str">
        <f t="shared" si="92"/>
        <v>4.1E1</v>
      </c>
      <c r="C404" s="80"/>
      <c r="D404" s="80"/>
      <c r="E404" s="663"/>
      <c r="F404" s="69" t="str">
        <f t="shared" si="93"/>
        <v/>
      </c>
      <c r="G404" s="80"/>
      <c r="H404" s="80"/>
      <c r="I404" s="648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789"/>
      <c r="AL404" s="69"/>
      <c r="AM404" s="790"/>
      <c r="AN404" s="59" t="str">
        <f>IFERROR(VLOOKUP(AK404,FÉ!$C$762:$L$815,4,FALSE),"")</f>
        <v/>
      </c>
      <c r="AO404" s="69"/>
      <c r="AP404" s="69"/>
      <c r="AQ404" s="69"/>
      <c r="AR404" s="69"/>
      <c r="AS404" s="69"/>
      <c r="AT404" s="69"/>
      <c r="AU404" s="69"/>
      <c r="AV404" s="69"/>
      <c r="AW404" s="69"/>
      <c r="AX404" s="69"/>
      <c r="AY404" s="69"/>
      <c r="AZ404" s="69"/>
      <c r="BA404" s="69"/>
      <c r="BB404" s="69"/>
      <c r="BC404" s="69"/>
      <c r="BD404" s="69"/>
      <c r="BE404" s="69"/>
      <c r="BF404" s="69"/>
      <c r="BG404" s="69"/>
      <c r="BH404" s="69"/>
      <c r="BI404" s="69"/>
      <c r="BJ404" s="69"/>
      <c r="BK404" s="69"/>
      <c r="BL404" s="69"/>
      <c r="BM404" s="69"/>
      <c r="BN404" s="69"/>
      <c r="BO404" s="69"/>
      <c r="BP404" s="63"/>
      <c r="BQ404" s="69"/>
      <c r="BR404" s="719"/>
      <c r="BS404" s="719"/>
      <c r="BT404" s="719"/>
      <c r="BU404" s="719"/>
      <c r="BV404" s="719"/>
      <c r="BW404" s="719"/>
      <c r="BX404" s="719"/>
      <c r="BY404" s="791">
        <f>IFERROR(VLOOKUP(AK404,Tableau1[[Aliments]:['[gCO2eq/kg']]],7,FALSE)*AM404,)</f>
        <v>0</v>
      </c>
      <c r="BZ404" s="69">
        <v>0</v>
      </c>
      <c r="CA404" s="700">
        <v>0</v>
      </c>
      <c r="CB404" s="69">
        <f t="shared" si="94"/>
        <v>0</v>
      </c>
      <c r="CC404" s="722">
        <f t="shared" si="95"/>
        <v>0</v>
      </c>
      <c r="CD404" s="63"/>
      <c r="CE404" s="726"/>
      <c r="CF404" s="727"/>
      <c r="CG404" s="63"/>
      <c r="CH404" s="730"/>
    </row>
    <row r="405" spans="2:86" outlineLevel="1">
      <c r="B405" s="69" t="str">
        <f t="shared" si="92"/>
        <v>4.1E1</v>
      </c>
      <c r="C405" s="80"/>
      <c r="D405" s="80"/>
      <c r="E405" s="663"/>
      <c r="F405" s="69" t="str">
        <f t="shared" si="93"/>
        <v/>
      </c>
      <c r="G405" s="80"/>
      <c r="H405" s="80"/>
      <c r="I405" s="648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69"/>
      <c r="AJ405" s="69"/>
      <c r="AK405" s="789"/>
      <c r="AL405" s="69"/>
      <c r="AM405" s="790"/>
      <c r="AN405" s="59" t="str">
        <f>IFERROR(VLOOKUP(AK405,FÉ!$C$762:$L$815,4,FALSE),"")</f>
        <v/>
      </c>
      <c r="AO405" s="69"/>
      <c r="AP405" s="69"/>
      <c r="AQ405" s="69"/>
      <c r="AR405" s="69"/>
      <c r="AS405" s="69"/>
      <c r="AT405" s="69"/>
      <c r="AU405" s="69"/>
      <c r="AV405" s="69"/>
      <c r="AW405" s="69"/>
      <c r="AX405" s="69"/>
      <c r="AY405" s="69"/>
      <c r="AZ405" s="69"/>
      <c r="BA405" s="69"/>
      <c r="BB405" s="69"/>
      <c r="BC405" s="69"/>
      <c r="BD405" s="69"/>
      <c r="BE405" s="69"/>
      <c r="BF405" s="69"/>
      <c r="BG405" s="69"/>
      <c r="BH405" s="69"/>
      <c r="BI405" s="69"/>
      <c r="BJ405" s="69"/>
      <c r="BK405" s="69"/>
      <c r="BL405" s="69"/>
      <c r="BM405" s="69"/>
      <c r="BN405" s="69"/>
      <c r="BO405" s="69"/>
      <c r="BP405" s="63"/>
      <c r="BQ405" s="69"/>
      <c r="BR405" s="719"/>
      <c r="BS405" s="719"/>
      <c r="BT405" s="719"/>
      <c r="BU405" s="719"/>
      <c r="BV405" s="719"/>
      <c r="BW405" s="719"/>
      <c r="BX405" s="719"/>
      <c r="BY405" s="791">
        <f>IFERROR(VLOOKUP(AK405,Tableau1[[Aliments]:['[gCO2eq/kg']]],7,FALSE)*AM405,)</f>
        <v>0</v>
      </c>
      <c r="BZ405" s="69">
        <v>0</v>
      </c>
      <c r="CA405" s="700">
        <v>0</v>
      </c>
      <c r="CB405" s="69">
        <f t="shared" si="94"/>
        <v>0</v>
      </c>
      <c r="CC405" s="722">
        <f t="shared" si="95"/>
        <v>0</v>
      </c>
      <c r="CD405" s="63"/>
      <c r="CE405" s="726"/>
      <c r="CF405" s="727"/>
      <c r="CG405" s="63"/>
      <c r="CH405" s="730"/>
    </row>
    <row r="406" spans="2:86" ht="15.75" outlineLevel="1" thickBot="1">
      <c r="B406" s="69" t="str">
        <f t="shared" si="92"/>
        <v>4.1E1</v>
      </c>
      <c r="C406" s="80"/>
      <c r="D406" s="717"/>
      <c r="E406" s="663"/>
      <c r="F406" s="69" t="str">
        <f t="shared" si="93"/>
        <v/>
      </c>
      <c r="G406" s="80"/>
      <c r="H406" s="80"/>
      <c r="I406" s="648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  <c r="AK406" s="789"/>
      <c r="AL406" s="69"/>
      <c r="AM406" s="790"/>
      <c r="AN406" s="59" t="str">
        <f>IFERROR(VLOOKUP(AK406,FÉ!$C$762:$L$815,4,FALSE),"")</f>
        <v/>
      </c>
      <c r="AO406" s="69"/>
      <c r="AP406" s="69"/>
      <c r="AQ406" s="69"/>
      <c r="AR406" s="69"/>
      <c r="AS406" s="69"/>
      <c r="AT406" s="69"/>
      <c r="AU406" s="69"/>
      <c r="AV406" s="69"/>
      <c r="AW406" s="69"/>
      <c r="AX406" s="69"/>
      <c r="AY406" s="69"/>
      <c r="AZ406" s="69"/>
      <c r="BA406" s="69"/>
      <c r="BB406" s="69"/>
      <c r="BC406" s="69"/>
      <c r="BD406" s="69"/>
      <c r="BE406" s="69"/>
      <c r="BF406" s="69"/>
      <c r="BG406" s="69"/>
      <c r="BH406" s="69"/>
      <c r="BI406" s="69"/>
      <c r="BJ406" s="69"/>
      <c r="BK406" s="69"/>
      <c r="BL406" s="69"/>
      <c r="BM406" s="69"/>
      <c r="BN406" s="69"/>
      <c r="BO406" s="69"/>
      <c r="BP406" s="63"/>
      <c r="BQ406" s="69"/>
      <c r="BR406" s="719"/>
      <c r="BS406" s="719"/>
      <c r="BT406" s="719"/>
      <c r="BU406" s="719"/>
      <c r="BV406" s="719"/>
      <c r="BW406" s="719"/>
      <c r="BX406" s="719"/>
      <c r="BY406" s="791">
        <f>IFERROR(VLOOKUP(AK406,Tableau1[[Aliments]:['[gCO2eq/kg']]],7,FALSE)*AM406,)</f>
        <v>0</v>
      </c>
      <c r="BZ406" s="69">
        <v>0</v>
      </c>
      <c r="CA406" s="700">
        <v>0</v>
      </c>
      <c r="CB406" s="647">
        <f t="shared" si="94"/>
        <v>0</v>
      </c>
      <c r="CC406" s="723">
        <f t="shared" si="95"/>
        <v>0</v>
      </c>
      <c r="CD406" s="63"/>
      <c r="CE406" s="728"/>
      <c r="CF406" s="729"/>
      <c r="CG406" s="63"/>
      <c r="CH406" s="730"/>
    </row>
    <row r="407" spans="2:86" ht="15.75" outlineLevel="1" thickBot="1">
      <c r="B407" s="783"/>
      <c r="C407" s="784"/>
      <c r="D407" s="784"/>
      <c r="E407" s="785"/>
      <c r="F407" s="788" t="str">
        <f>$B397</f>
        <v>4.1E1</v>
      </c>
      <c r="G407" s="788" t="str">
        <f>$B397</f>
        <v>4.1E1</v>
      </c>
      <c r="H407" s="788" t="str">
        <f>$B397</f>
        <v>4.1E1</v>
      </c>
      <c r="I407" s="785"/>
      <c r="J407" s="786"/>
      <c r="K407" s="786"/>
      <c r="L407" s="786"/>
      <c r="M407" s="786"/>
      <c r="N407" s="786"/>
      <c r="O407" s="786"/>
      <c r="P407" s="786"/>
      <c r="Q407" s="786"/>
      <c r="R407" s="786"/>
      <c r="S407" s="786"/>
      <c r="T407" s="786"/>
      <c r="U407" s="786"/>
      <c r="V407" s="786"/>
      <c r="W407" s="786"/>
      <c r="X407" s="786"/>
      <c r="Y407" s="786"/>
      <c r="Z407" s="786"/>
      <c r="AA407" s="786"/>
      <c r="AB407" s="786"/>
      <c r="AC407" s="786"/>
      <c r="AD407" s="786"/>
      <c r="AE407" s="786"/>
      <c r="AF407" s="786"/>
      <c r="AG407" s="786"/>
      <c r="AH407" s="786"/>
      <c r="AI407" s="786"/>
      <c r="AJ407" s="786"/>
      <c r="AK407" s="786"/>
      <c r="AL407" s="786"/>
      <c r="AM407" s="786"/>
      <c r="AN407" s="786"/>
      <c r="AO407" s="786"/>
      <c r="AP407" s="786"/>
      <c r="AQ407" s="786"/>
      <c r="AR407" s="786"/>
      <c r="AS407" s="786"/>
      <c r="AT407" s="786"/>
      <c r="AU407" s="786"/>
      <c r="AV407" s="786"/>
      <c r="AW407" s="786"/>
      <c r="AX407" s="786"/>
      <c r="AY407" s="786"/>
      <c r="AZ407" s="786"/>
      <c r="BA407" s="786"/>
      <c r="BB407" s="786"/>
      <c r="BC407" s="786"/>
      <c r="BD407" s="786"/>
      <c r="BE407" s="786"/>
      <c r="BF407" s="786"/>
      <c r="BG407" s="786"/>
      <c r="BH407" s="786"/>
      <c r="BI407" s="786"/>
      <c r="BJ407" s="786"/>
      <c r="BK407" s="786"/>
      <c r="BL407" s="786"/>
      <c r="BM407" s="786"/>
      <c r="BN407" s="786"/>
      <c r="BO407" s="786"/>
      <c r="BP407" s="63"/>
      <c r="BQ407" s="782"/>
      <c r="BR407" s="782"/>
      <c r="BS407" s="782"/>
      <c r="BT407" s="782"/>
      <c r="BU407" s="782"/>
      <c r="BV407" s="782"/>
      <c r="BW407" s="782"/>
      <c r="BX407" s="782"/>
      <c r="BY407" s="782">
        <f>SUM(BY397:BY406)</f>
        <v>10264000</v>
      </c>
      <c r="BZ407" s="782">
        <f>SUM(BZ397:BZ406)</f>
        <v>0</v>
      </c>
      <c r="CA407" s="782">
        <f>SUM(CA397:CA406)</f>
        <v>0</v>
      </c>
      <c r="CB407" s="782">
        <f>SUM(CB397:CB406)</f>
        <v>10264000</v>
      </c>
      <c r="CC407" s="781">
        <f>SUM(CC397:CC406)</f>
        <v>10.264000000000001</v>
      </c>
      <c r="CD407" s="63"/>
      <c r="CE407" s="780">
        <f>SUM(CE397:CE406)</f>
        <v>0</v>
      </c>
      <c r="CF407" s="781">
        <f>SUM(CF397:CF406)</f>
        <v>0</v>
      </c>
      <c r="CG407" s="63"/>
      <c r="CH407" s="779">
        <f>SUM(CH397:CH406)</f>
        <v>0</v>
      </c>
    </row>
    <row r="409" spans="2:86" ht="31.5">
      <c r="B409" s="1176" t="s">
        <v>6488</v>
      </c>
      <c r="C409" s="1177"/>
      <c r="D409" s="1177"/>
      <c r="E409" s="1177"/>
      <c r="F409" s="1177"/>
      <c r="G409" s="1177"/>
      <c r="H409" s="1177"/>
      <c r="I409" s="1177"/>
      <c r="J409" s="1177"/>
      <c r="K409" s="1177"/>
      <c r="L409" s="1177"/>
      <c r="M409" s="1177"/>
      <c r="N409" s="1177"/>
      <c r="O409" s="1177"/>
      <c r="P409" s="1177"/>
      <c r="Q409" s="1177"/>
      <c r="R409" s="1177"/>
      <c r="S409" s="1177"/>
      <c r="T409" s="1177"/>
      <c r="U409" s="1177"/>
      <c r="V409" s="1177"/>
      <c r="W409" s="1177"/>
      <c r="X409" s="1177"/>
      <c r="Y409" s="1177"/>
      <c r="Z409" s="1177"/>
      <c r="AA409" s="1177"/>
      <c r="AB409" s="1177"/>
      <c r="AC409" s="1177"/>
      <c r="AD409" s="1177"/>
      <c r="AE409" s="1177"/>
      <c r="AF409" s="1177"/>
      <c r="AG409" s="1177"/>
      <c r="AH409" s="1177"/>
      <c r="AI409" s="1177"/>
      <c r="AJ409" s="1177"/>
      <c r="AK409" s="1177"/>
      <c r="AL409" s="1177"/>
      <c r="AM409" s="1177"/>
      <c r="AN409" s="1177"/>
      <c r="AO409" s="1177"/>
      <c r="AP409" s="1177"/>
      <c r="AQ409" s="1177"/>
      <c r="AR409" s="1177"/>
      <c r="AS409" s="1177"/>
      <c r="AT409" s="1177"/>
      <c r="AU409" s="1177"/>
      <c r="AV409" s="1177"/>
      <c r="AW409" s="1177"/>
      <c r="AX409" s="1177"/>
      <c r="AY409" s="1177"/>
      <c r="AZ409" s="1177"/>
      <c r="BA409" s="1177"/>
      <c r="BB409" s="1177"/>
      <c r="BC409" s="1177"/>
      <c r="BD409" s="1177"/>
      <c r="BE409" s="1177"/>
      <c r="BF409" s="1177"/>
      <c r="BG409" s="1177"/>
      <c r="BH409" s="1177"/>
      <c r="BI409" s="1177"/>
      <c r="BJ409" s="1177"/>
      <c r="BK409" s="1177"/>
      <c r="BL409" s="1177"/>
      <c r="BM409" s="1177"/>
      <c r="BN409" s="1177"/>
      <c r="BO409" s="1177"/>
      <c r="BP409" s="1177"/>
      <c r="BQ409" s="1177"/>
      <c r="BR409" s="1177"/>
      <c r="BS409" s="1177"/>
      <c r="BT409" s="1177"/>
      <c r="BU409" s="1177"/>
      <c r="BV409" s="1177"/>
      <c r="BW409" s="1177"/>
      <c r="BX409" s="1177"/>
      <c r="BY409" s="1177"/>
      <c r="BZ409" s="1177"/>
      <c r="CA409" s="1177"/>
      <c r="CB409" s="1177"/>
      <c r="CC409" s="1177"/>
      <c r="CD409" s="1177"/>
      <c r="CE409" s="1177"/>
      <c r="CF409" s="1177"/>
      <c r="CG409" s="1177"/>
      <c r="CH409" s="1177"/>
    </row>
    <row r="410" spans="2:86" ht="15.75" outlineLevel="1" thickBot="1">
      <c r="CH410" s="63"/>
    </row>
    <row r="411" spans="2:86" ht="21.75" outlineLevel="1" thickBot="1">
      <c r="B411" s="1178" t="s">
        <v>115</v>
      </c>
      <c r="C411" s="1179"/>
      <c r="D411" s="1179"/>
      <c r="E411" s="1179"/>
      <c r="F411" s="1179"/>
      <c r="G411" s="1179"/>
      <c r="H411" s="1179"/>
      <c r="I411" s="1179"/>
      <c r="J411" s="1179"/>
      <c r="K411" s="1179"/>
      <c r="L411" s="1179"/>
      <c r="M411" s="1179"/>
      <c r="N411" s="1179"/>
      <c r="O411" s="1179"/>
      <c r="P411" s="1179"/>
      <c r="Q411" s="1179"/>
      <c r="R411" s="1179"/>
      <c r="S411" s="1179"/>
      <c r="T411" s="1179"/>
      <c r="U411" s="1179"/>
      <c r="V411" s="1179"/>
      <c r="W411" s="1179"/>
      <c r="X411" s="1179"/>
      <c r="Y411" s="1179"/>
      <c r="Z411" s="1179"/>
      <c r="AA411" s="1179"/>
      <c r="AB411" s="1179"/>
      <c r="AC411" s="1179"/>
      <c r="AD411" s="1179"/>
      <c r="AE411" s="1179"/>
      <c r="AF411" s="1179"/>
      <c r="AG411" s="1179"/>
      <c r="AH411" s="1179"/>
      <c r="AI411" s="1179"/>
      <c r="AJ411" s="1179"/>
      <c r="AK411" s="1179"/>
      <c r="AL411" s="1179"/>
      <c r="AM411" s="1179"/>
      <c r="AN411" s="1179"/>
      <c r="AO411" s="1179"/>
      <c r="AP411" s="1179"/>
      <c r="AQ411" s="1179"/>
      <c r="AR411" s="1179"/>
      <c r="AS411" s="1179"/>
      <c r="AT411" s="1179"/>
      <c r="AU411" s="1179"/>
      <c r="AV411" s="1179"/>
      <c r="AW411" s="1179"/>
      <c r="AX411" s="1179"/>
      <c r="AY411" s="1179"/>
      <c r="AZ411" s="1179"/>
      <c r="BA411" s="1179"/>
      <c r="BB411" s="1179"/>
      <c r="BC411" s="1179"/>
      <c r="BD411" s="1179"/>
      <c r="BE411" s="1179"/>
      <c r="BF411" s="1179"/>
      <c r="BG411" s="1179"/>
      <c r="BH411" s="1179"/>
      <c r="BI411" s="1179"/>
      <c r="BJ411" s="1179"/>
      <c r="BK411" s="1179"/>
      <c r="BL411" s="1179"/>
      <c r="BM411" s="1179"/>
      <c r="BN411" s="1179"/>
      <c r="BO411" s="1179"/>
      <c r="BP411" s="63"/>
      <c r="BQ411" s="1180" t="s">
        <v>121</v>
      </c>
      <c r="BR411" s="1181"/>
      <c r="BS411" s="1181"/>
      <c r="BT411" s="1181"/>
      <c r="BU411" s="1181"/>
      <c r="BV411" s="1181"/>
      <c r="BW411" s="1181"/>
      <c r="BX411" s="1181"/>
      <c r="BY411" s="1181"/>
      <c r="BZ411" s="1181"/>
      <c r="CA411" s="1181"/>
      <c r="CB411" s="1181"/>
      <c r="CC411" s="1181"/>
      <c r="CD411" s="1181"/>
      <c r="CE411" s="1181"/>
      <c r="CF411" s="1181"/>
      <c r="CG411" s="1181"/>
      <c r="CH411" s="1182"/>
    </row>
    <row r="412" spans="2:86" ht="15" customHeight="1" outlineLevel="1">
      <c r="B412" s="1183" t="s">
        <v>6353</v>
      </c>
      <c r="C412" s="1185" t="s">
        <v>6372</v>
      </c>
      <c r="D412" s="1185" t="s">
        <v>7</v>
      </c>
      <c r="E412" s="1185" t="s">
        <v>127</v>
      </c>
      <c r="F412" s="1187" t="s">
        <v>6348</v>
      </c>
      <c r="G412" s="1185" t="s">
        <v>6333</v>
      </c>
      <c r="H412" s="1185" t="s">
        <v>128</v>
      </c>
      <c r="I412" s="1185" t="s">
        <v>156</v>
      </c>
      <c r="J412" s="655"/>
      <c r="K412" s="655"/>
      <c r="L412" s="655"/>
      <c r="M412" s="655"/>
      <c r="N412" s="655"/>
      <c r="O412" s="655"/>
      <c r="P412" s="655"/>
      <c r="Q412" s="655"/>
      <c r="R412" s="655"/>
      <c r="S412" s="655"/>
      <c r="T412" s="655"/>
      <c r="U412" s="655"/>
      <c r="V412" s="655"/>
      <c r="W412" s="655"/>
      <c r="X412" s="655"/>
      <c r="Y412" s="655"/>
      <c r="Z412" s="655"/>
      <c r="AA412" s="655"/>
      <c r="AB412" s="655"/>
      <c r="AC412" s="655"/>
      <c r="AD412" s="655"/>
      <c r="AE412" s="655"/>
      <c r="AF412" s="655"/>
      <c r="AG412" s="655"/>
      <c r="AH412" s="655"/>
      <c r="AI412" s="655"/>
      <c r="AJ412" s="655"/>
      <c r="AK412" s="655"/>
      <c r="AL412" s="1185" t="s">
        <v>6406</v>
      </c>
      <c r="AM412" s="1189" t="s">
        <v>721</v>
      </c>
      <c r="AN412" s="1190"/>
      <c r="AO412" s="655"/>
      <c r="AP412" s="655"/>
      <c r="AQ412" s="655"/>
      <c r="AR412" s="655"/>
      <c r="AS412" s="655"/>
      <c r="AT412" s="655"/>
      <c r="AU412" s="655"/>
      <c r="AV412" s="655"/>
      <c r="AW412" s="655"/>
      <c r="AX412" s="655"/>
      <c r="AY412" s="655"/>
      <c r="AZ412" s="655"/>
      <c r="BA412" s="655"/>
      <c r="BB412" s="655"/>
      <c r="BC412" s="655"/>
      <c r="BD412" s="655"/>
      <c r="BE412" s="655"/>
      <c r="BF412" s="655"/>
      <c r="BG412" s="655"/>
      <c r="BH412" s="655"/>
      <c r="BI412" s="655"/>
      <c r="BJ412" s="655"/>
      <c r="BK412" s="655"/>
      <c r="BL412" s="655"/>
      <c r="BM412" s="655"/>
      <c r="BN412" s="655"/>
      <c r="BO412" s="657"/>
      <c r="BP412" s="63"/>
      <c r="BQ412" s="732"/>
      <c r="BR412" s="732"/>
      <c r="BS412" s="732"/>
      <c r="BT412" s="732"/>
      <c r="BU412" s="732"/>
      <c r="BV412" s="732"/>
      <c r="BW412" s="732"/>
      <c r="BX412" s="732"/>
      <c r="BY412" s="1193" t="s">
        <v>122</v>
      </c>
      <c r="BZ412" s="1193"/>
      <c r="CA412" s="1193"/>
      <c r="CB412" s="1194" t="s">
        <v>123</v>
      </c>
      <c r="CC412" s="1195"/>
      <c r="CD412" s="63"/>
      <c r="CE412" s="1198" t="s">
        <v>124</v>
      </c>
      <c r="CF412" s="1199"/>
      <c r="CG412" s="63"/>
      <c r="CH412" s="1185" t="s">
        <v>125</v>
      </c>
    </row>
    <row r="413" spans="2:86" ht="18" outlineLevel="1">
      <c r="B413" s="1184"/>
      <c r="C413" s="1186"/>
      <c r="D413" s="1186"/>
      <c r="E413" s="1186"/>
      <c r="F413" s="1188"/>
      <c r="G413" s="1186"/>
      <c r="H413" s="1186"/>
      <c r="I413" s="1186"/>
      <c r="J413" s="656"/>
      <c r="K413" s="656"/>
      <c r="L413" s="656"/>
      <c r="M413" s="656"/>
      <c r="N413" s="656"/>
      <c r="O413" s="656"/>
      <c r="P413" s="656"/>
      <c r="Q413" s="656"/>
      <c r="R413" s="656"/>
      <c r="S413" s="656"/>
      <c r="T413" s="656"/>
      <c r="U413" s="656"/>
      <c r="V413" s="656"/>
      <c r="W413" s="656"/>
      <c r="X413" s="656"/>
      <c r="Y413" s="656"/>
      <c r="Z413" s="656"/>
      <c r="AA413" s="656"/>
      <c r="AB413" s="656"/>
      <c r="AC413" s="656"/>
      <c r="AD413" s="656"/>
      <c r="AE413" s="656"/>
      <c r="AF413" s="656"/>
      <c r="AG413" s="656"/>
      <c r="AH413" s="656"/>
      <c r="AI413" s="656"/>
      <c r="AJ413" s="656"/>
      <c r="AK413" s="656"/>
      <c r="AL413" s="1186"/>
      <c r="AM413" s="1191"/>
      <c r="AN413" s="1192"/>
      <c r="AO413" s="656"/>
      <c r="AP413" s="656"/>
      <c r="AQ413" s="656"/>
      <c r="AR413" s="656"/>
      <c r="AS413" s="656"/>
      <c r="AT413" s="656"/>
      <c r="AU413" s="656"/>
      <c r="AV413" s="656"/>
      <c r="AW413" s="656"/>
      <c r="AX413" s="656"/>
      <c r="AY413" s="656"/>
      <c r="AZ413" s="656"/>
      <c r="BA413" s="656"/>
      <c r="BB413" s="656"/>
      <c r="BC413" s="656"/>
      <c r="BD413" s="656"/>
      <c r="BE413" s="656"/>
      <c r="BF413" s="656"/>
      <c r="BG413" s="656"/>
      <c r="BH413" s="656"/>
      <c r="BI413" s="656"/>
      <c r="BJ413" s="656"/>
      <c r="BK413" s="656"/>
      <c r="BL413" s="656"/>
      <c r="BM413" s="656"/>
      <c r="BN413" s="656"/>
      <c r="BO413" s="79"/>
      <c r="BP413" s="63"/>
      <c r="BQ413" s="1325"/>
      <c r="BR413" s="712"/>
      <c r="BS413" s="712"/>
      <c r="BT413" s="712"/>
      <c r="BU413" s="712"/>
      <c r="BV413" s="712"/>
      <c r="BW413" s="712"/>
      <c r="BX413" s="712"/>
      <c r="BY413" s="718" t="s">
        <v>106</v>
      </c>
      <c r="BZ413" s="58" t="s">
        <v>107</v>
      </c>
      <c r="CA413" s="720" t="s">
        <v>108</v>
      </c>
      <c r="CB413" s="1196"/>
      <c r="CC413" s="1197"/>
      <c r="CD413" s="63"/>
      <c r="CE413" s="1200"/>
      <c r="CF413" s="1201"/>
      <c r="CG413" s="63"/>
      <c r="CH413" s="1186"/>
    </row>
    <row r="414" spans="2:86" ht="18.75" outlineLevel="1" thickBot="1">
      <c r="B414" s="65"/>
      <c r="C414" s="66"/>
      <c r="D414" s="661" t="s">
        <v>6306</v>
      </c>
      <c r="E414" s="661" t="s">
        <v>6306</v>
      </c>
      <c r="F414" s="661"/>
      <c r="G414" s="661" t="s">
        <v>6306</v>
      </c>
      <c r="H414" s="661" t="s">
        <v>6306</v>
      </c>
      <c r="I414" s="661" t="s">
        <v>6306</v>
      </c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 t="s">
        <v>119</v>
      </c>
      <c r="AM414" s="1174" t="s">
        <v>6407</v>
      </c>
      <c r="AN414" s="1175"/>
      <c r="AO414" s="64"/>
      <c r="AP414" s="64"/>
      <c r="AQ414" s="64"/>
      <c r="AR414" s="64"/>
      <c r="AS414" s="64"/>
      <c r="AT414" s="64"/>
      <c r="AU414" s="64"/>
      <c r="AV414" s="64"/>
      <c r="AW414" s="64"/>
      <c r="AX414" s="64"/>
      <c r="AY414" s="64"/>
      <c r="AZ414" s="64"/>
      <c r="BA414" s="64"/>
      <c r="BB414" s="64"/>
      <c r="BC414" s="64"/>
      <c r="BD414" s="64"/>
      <c r="BE414" s="64"/>
      <c r="BF414" s="64"/>
      <c r="BG414" s="64"/>
      <c r="BH414" s="64"/>
      <c r="BI414" s="64"/>
      <c r="BJ414" s="64"/>
      <c r="BK414" s="64"/>
      <c r="BL414" s="64"/>
      <c r="BM414" s="64"/>
      <c r="BN414" s="64"/>
      <c r="BO414" s="66"/>
      <c r="BP414" s="63"/>
      <c r="BQ414" s="66"/>
      <c r="BR414" s="713"/>
      <c r="BS414" s="713"/>
      <c r="BT414" s="713"/>
      <c r="BU414" s="713"/>
      <c r="BV414" s="713"/>
      <c r="BW414" s="713"/>
      <c r="BX414" s="713"/>
      <c r="BY414" s="713" t="s">
        <v>109</v>
      </c>
      <c r="BZ414" s="66" t="s">
        <v>109</v>
      </c>
      <c r="CA414" s="64" t="s">
        <v>109</v>
      </c>
      <c r="CB414" s="66" t="s">
        <v>109</v>
      </c>
      <c r="CC414" s="721" t="s">
        <v>110</v>
      </c>
      <c r="CD414" s="63"/>
      <c r="CE414" s="724" t="s">
        <v>111</v>
      </c>
      <c r="CF414" s="725" t="s">
        <v>112</v>
      </c>
      <c r="CG414" s="63"/>
      <c r="CH414" s="66" t="s">
        <v>114</v>
      </c>
    </row>
    <row r="415" spans="2:86" outlineLevel="1">
      <c r="B415" s="787" t="s">
        <v>6490</v>
      </c>
      <c r="C415" s="80"/>
      <c r="D415" s="716"/>
      <c r="E415" s="662"/>
      <c r="F415" s="69" t="str">
        <f>IF(E415=0,"",MONTH(E415))</f>
        <v/>
      </c>
      <c r="G415" s="80"/>
      <c r="H415" s="80"/>
      <c r="I415" s="648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69"/>
      <c r="AJ415" s="69"/>
      <c r="AK415" s="69"/>
      <c r="AL415" s="789"/>
      <c r="AM415" s="790"/>
      <c r="AN415" s="59" t="str">
        <f>IFERROR(VLOOKUP(AL415,FÉ!$C$762:$L$815,4,FALSE),"")</f>
        <v/>
      </c>
      <c r="AO415" s="69"/>
      <c r="AP415" s="69"/>
      <c r="AQ415" s="69"/>
      <c r="AR415" s="69"/>
      <c r="AS415" s="69"/>
      <c r="AT415" s="69"/>
      <c r="AU415" s="69"/>
      <c r="AV415" s="69"/>
      <c r="AW415" s="69"/>
      <c r="AX415" s="69"/>
      <c r="AY415" s="69"/>
      <c r="AZ415" s="69"/>
      <c r="BA415" s="69"/>
      <c r="BB415" s="69"/>
      <c r="BC415" s="69"/>
      <c r="BD415" s="69"/>
      <c r="BE415" s="69"/>
      <c r="BF415" s="69"/>
      <c r="BG415" s="69"/>
      <c r="BH415" s="69"/>
      <c r="BI415" s="69"/>
      <c r="BJ415" s="69"/>
      <c r="BK415" s="69"/>
      <c r="BL415" s="69"/>
      <c r="BM415" s="69"/>
      <c r="BN415" s="69"/>
      <c r="BO415" s="69"/>
      <c r="BP415" s="63"/>
      <c r="BQ415" s="69"/>
      <c r="BR415" s="719"/>
      <c r="BS415" s="719"/>
      <c r="BT415" s="719"/>
      <c r="BU415" s="719"/>
      <c r="BV415" s="719"/>
      <c r="BW415" s="719"/>
      <c r="BX415" s="719"/>
      <c r="BY415" s="791">
        <f>IFERROR(VLOOKUP(AL415,Tableau1[[Aliments]:['[gCO2eq/kg']]],7,FALSE)*AM415,)</f>
        <v>0</v>
      </c>
      <c r="BZ415" s="69">
        <v>0</v>
      </c>
      <c r="CA415" s="700">
        <v>0</v>
      </c>
      <c r="CB415" s="69">
        <f>SUM(BY415:CA415)</f>
        <v>0</v>
      </c>
      <c r="CC415" s="722">
        <f>CB415/(10^6)</f>
        <v>0</v>
      </c>
      <c r="CD415" s="63"/>
      <c r="CE415" s="726"/>
      <c r="CF415" s="727"/>
      <c r="CG415" s="63"/>
      <c r="CH415" s="730"/>
    </row>
    <row r="416" spans="2:86" outlineLevel="1">
      <c r="B416" s="69" t="str">
        <f t="shared" ref="B416:B424" si="96">B415</f>
        <v>4.1E2</v>
      </c>
      <c r="C416" s="80"/>
      <c r="D416" s="80"/>
      <c r="E416" s="663">
        <v>45751</v>
      </c>
      <c r="F416" s="69">
        <f>IF(E416=0,"",MONTH(E416))</f>
        <v>4</v>
      </c>
      <c r="G416" s="80" t="s">
        <v>136</v>
      </c>
      <c r="H416" s="80"/>
      <c r="I416" s="648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  <c r="AL416" s="789" t="s">
        <v>1008</v>
      </c>
      <c r="AM416" s="790">
        <v>100</v>
      </c>
      <c r="AN416" s="59" t="str">
        <f>IFERROR(VLOOKUP(AL416,FÉ!$C$762:$L$815,4,FALSE),"")</f>
        <v>Qte</v>
      </c>
      <c r="AO416" s="69"/>
      <c r="AP416" s="69"/>
      <c r="AQ416" s="69"/>
      <c r="AR416" s="69"/>
      <c r="AS416" s="69"/>
      <c r="AT416" s="69"/>
      <c r="AU416" s="69"/>
      <c r="AV416" s="69"/>
      <c r="AW416" s="69"/>
      <c r="AX416" s="69"/>
      <c r="AY416" s="69"/>
      <c r="AZ416" s="69"/>
      <c r="BA416" s="69"/>
      <c r="BB416" s="69"/>
      <c r="BC416" s="69"/>
      <c r="BD416" s="69"/>
      <c r="BE416" s="69"/>
      <c r="BF416" s="69"/>
      <c r="BG416" s="69"/>
      <c r="BH416" s="69"/>
      <c r="BI416" s="69"/>
      <c r="BJ416" s="69"/>
      <c r="BK416" s="69"/>
      <c r="BL416" s="69"/>
      <c r="BM416" s="69"/>
      <c r="BN416" s="69"/>
      <c r="BO416" s="69"/>
      <c r="BP416" s="63"/>
      <c r="BQ416" s="69"/>
      <c r="BR416" s="719"/>
      <c r="BS416" s="719"/>
      <c r="BT416" s="719"/>
      <c r="BU416" s="719"/>
      <c r="BV416" s="719"/>
      <c r="BW416" s="719"/>
      <c r="BX416" s="719"/>
      <c r="BY416" s="791">
        <f>IFERROR(VLOOKUP(AL416,Tableau1[[Aliments]:['[gCO2eq/kg']]],7,FALSE)*AM416,)</f>
        <v>726000</v>
      </c>
      <c r="BZ416" s="69">
        <v>0</v>
      </c>
      <c r="CA416" s="700">
        <v>0</v>
      </c>
      <c r="CB416" s="69">
        <f>SUM(BY416:CA416)</f>
        <v>726000</v>
      </c>
      <c r="CC416" s="722">
        <f>CB416/(10^6)</f>
        <v>0.72599999999999998</v>
      </c>
      <c r="CD416" s="63"/>
      <c r="CE416" s="726"/>
      <c r="CF416" s="727"/>
      <c r="CG416" s="63"/>
      <c r="CH416" s="730"/>
    </row>
    <row r="417" spans="2:86" outlineLevel="1">
      <c r="B417" s="69" t="str">
        <f t="shared" si="96"/>
        <v>4.1E2</v>
      </c>
      <c r="C417" s="80"/>
      <c r="D417" s="80"/>
      <c r="E417" s="663">
        <v>45751</v>
      </c>
      <c r="F417" s="69">
        <f>IF(E417=0,"",MONTH(E417))</f>
        <v>4</v>
      </c>
      <c r="G417" s="80" t="s">
        <v>136</v>
      </c>
      <c r="H417" s="80"/>
      <c r="I417" s="648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  <c r="AJ417" s="69"/>
      <c r="AK417" s="69"/>
      <c r="AL417" s="789" t="s">
        <v>1002</v>
      </c>
      <c r="AM417" s="790">
        <v>100</v>
      </c>
      <c r="AN417" s="59" t="str">
        <f>IFERROR(VLOOKUP(AL417,FÉ!$C$762:$L$815,4,FALSE),"")</f>
        <v>Qte</v>
      </c>
      <c r="AO417" s="69"/>
      <c r="AP417" s="69"/>
      <c r="AQ417" s="69"/>
      <c r="AR417" s="69"/>
      <c r="AS417" s="69"/>
      <c r="AT417" s="69"/>
      <c r="AU417" s="69"/>
      <c r="AV417" s="69"/>
      <c r="AW417" s="69"/>
      <c r="AX417" s="69"/>
      <c r="AY417" s="69"/>
      <c r="AZ417" s="69"/>
      <c r="BA417" s="69"/>
      <c r="BB417" s="69"/>
      <c r="BC417" s="69"/>
      <c r="BD417" s="69"/>
      <c r="BE417" s="69"/>
      <c r="BF417" s="69"/>
      <c r="BG417" s="69"/>
      <c r="BH417" s="69"/>
      <c r="BI417" s="69"/>
      <c r="BJ417" s="69"/>
      <c r="BK417" s="69"/>
      <c r="BL417" s="69"/>
      <c r="BM417" s="69"/>
      <c r="BN417" s="69"/>
      <c r="BO417" s="69"/>
      <c r="BP417" s="63"/>
      <c r="BQ417" s="69"/>
      <c r="BR417" s="719"/>
      <c r="BS417" s="719"/>
      <c r="BT417" s="719"/>
      <c r="BU417" s="719"/>
      <c r="BV417" s="719"/>
      <c r="BW417" s="719"/>
      <c r="BX417" s="719"/>
      <c r="BY417" s="791">
        <f>IFERROR(VLOOKUP(AL417,Tableau1[[Aliments]:['[gCO2eq/kg']]],7,FALSE)*AM417,)</f>
        <v>39000</v>
      </c>
      <c r="BZ417" s="69">
        <v>0</v>
      </c>
      <c r="CA417" s="700">
        <v>0</v>
      </c>
      <c r="CB417" s="69">
        <f t="shared" ref="CB417:CB424" si="97">SUM(BY417:CA417)</f>
        <v>39000</v>
      </c>
      <c r="CC417" s="722">
        <f t="shared" ref="CC417:CC424" si="98">CB417/(10^6)</f>
        <v>3.9E-2</v>
      </c>
      <c r="CD417" s="63"/>
      <c r="CE417" s="726"/>
      <c r="CF417" s="727"/>
      <c r="CG417" s="63"/>
      <c r="CH417" s="730"/>
    </row>
    <row r="418" spans="2:86" outlineLevel="1">
      <c r="B418" s="69" t="str">
        <f t="shared" si="96"/>
        <v>4.1E2</v>
      </c>
      <c r="C418" s="80"/>
      <c r="D418" s="80"/>
      <c r="E418" s="663"/>
      <c r="F418" s="69" t="str">
        <f t="shared" ref="F418:F424" si="99">IF(E418=0,"",MONTH(E418))</f>
        <v/>
      </c>
      <c r="G418" s="80"/>
      <c r="H418" s="80"/>
      <c r="I418" s="648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789"/>
      <c r="AM418" s="790"/>
      <c r="AN418" s="59" t="str">
        <f>IFERROR(VLOOKUP(AL418,FÉ!$C$762:$L$815,4,FALSE),"")</f>
        <v/>
      </c>
      <c r="AO418" s="69"/>
      <c r="AP418" s="69"/>
      <c r="AQ418" s="69"/>
      <c r="AR418" s="69"/>
      <c r="AS418" s="69"/>
      <c r="AT418" s="69"/>
      <c r="AU418" s="69"/>
      <c r="AV418" s="69"/>
      <c r="AW418" s="69"/>
      <c r="AX418" s="69"/>
      <c r="AY418" s="69"/>
      <c r="AZ418" s="69"/>
      <c r="BA418" s="69"/>
      <c r="BB418" s="69"/>
      <c r="BC418" s="69"/>
      <c r="BD418" s="69"/>
      <c r="BE418" s="69"/>
      <c r="BF418" s="69"/>
      <c r="BG418" s="69"/>
      <c r="BH418" s="69"/>
      <c r="BI418" s="69"/>
      <c r="BJ418" s="69"/>
      <c r="BK418" s="69"/>
      <c r="BL418" s="69"/>
      <c r="BM418" s="69"/>
      <c r="BN418" s="69"/>
      <c r="BO418" s="69"/>
      <c r="BP418" s="63"/>
      <c r="BQ418" s="69"/>
      <c r="BR418" s="719"/>
      <c r="BS418" s="719"/>
      <c r="BT418" s="719"/>
      <c r="BU418" s="719"/>
      <c r="BV418" s="719"/>
      <c r="BW418" s="719"/>
      <c r="BX418" s="719"/>
      <c r="BY418" s="791">
        <f>IFERROR(VLOOKUP(AL418,Tableau1[[Aliments]:['[gCO2eq/kg']]],7,FALSE)*AM418,)</f>
        <v>0</v>
      </c>
      <c r="BZ418" s="69">
        <v>0</v>
      </c>
      <c r="CA418" s="700">
        <v>0</v>
      </c>
      <c r="CB418" s="69">
        <f t="shared" si="97"/>
        <v>0</v>
      </c>
      <c r="CC418" s="722">
        <f t="shared" si="98"/>
        <v>0</v>
      </c>
      <c r="CD418" s="63"/>
      <c r="CE418" s="726"/>
      <c r="CF418" s="727"/>
      <c r="CG418" s="63"/>
      <c r="CH418" s="730"/>
    </row>
    <row r="419" spans="2:86" outlineLevel="1">
      <c r="B419" s="69" t="str">
        <f t="shared" si="96"/>
        <v>4.1E2</v>
      </c>
      <c r="C419" s="80"/>
      <c r="D419" s="80"/>
      <c r="E419" s="663"/>
      <c r="F419" s="69" t="str">
        <f t="shared" si="99"/>
        <v/>
      </c>
      <c r="G419" s="80"/>
      <c r="H419" s="80"/>
      <c r="I419" s="648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69"/>
      <c r="AJ419" s="69"/>
      <c r="AK419" s="69"/>
      <c r="AL419" s="789"/>
      <c r="AM419" s="790"/>
      <c r="AN419" s="59" t="str">
        <f>IFERROR(VLOOKUP(AL419,FÉ!$C$762:$L$815,4,FALSE),"")</f>
        <v/>
      </c>
      <c r="AO419" s="69"/>
      <c r="AP419" s="69"/>
      <c r="AQ419" s="69"/>
      <c r="AR419" s="69"/>
      <c r="AS419" s="69"/>
      <c r="AT419" s="69"/>
      <c r="AU419" s="69"/>
      <c r="AV419" s="69"/>
      <c r="AW419" s="69"/>
      <c r="AX419" s="69"/>
      <c r="AY419" s="69"/>
      <c r="AZ419" s="69"/>
      <c r="BA419" s="69"/>
      <c r="BB419" s="69"/>
      <c r="BC419" s="69"/>
      <c r="BD419" s="69"/>
      <c r="BE419" s="69"/>
      <c r="BF419" s="69"/>
      <c r="BG419" s="69"/>
      <c r="BH419" s="69"/>
      <c r="BI419" s="69"/>
      <c r="BJ419" s="69"/>
      <c r="BK419" s="69"/>
      <c r="BL419" s="69"/>
      <c r="BM419" s="69"/>
      <c r="BN419" s="69"/>
      <c r="BO419" s="69"/>
      <c r="BP419" s="63"/>
      <c r="BQ419" s="69"/>
      <c r="BR419" s="719"/>
      <c r="BS419" s="719"/>
      <c r="BT419" s="719"/>
      <c r="BU419" s="719"/>
      <c r="BV419" s="719"/>
      <c r="BW419" s="719"/>
      <c r="BX419" s="719"/>
      <c r="BY419" s="791">
        <f>IFERROR(VLOOKUP(AL419,Tableau1[[Aliments]:['[gCO2eq/kg']]],7,FALSE)*AM419,)</f>
        <v>0</v>
      </c>
      <c r="BZ419" s="69">
        <v>0</v>
      </c>
      <c r="CA419" s="700">
        <v>0</v>
      </c>
      <c r="CB419" s="69">
        <f t="shared" si="97"/>
        <v>0</v>
      </c>
      <c r="CC419" s="722">
        <f t="shared" si="98"/>
        <v>0</v>
      </c>
      <c r="CD419" s="63"/>
      <c r="CE419" s="726"/>
      <c r="CF419" s="727"/>
      <c r="CG419" s="63"/>
      <c r="CH419" s="730"/>
    </row>
    <row r="420" spans="2:86" outlineLevel="1">
      <c r="B420" s="69" t="str">
        <f t="shared" si="96"/>
        <v>4.1E2</v>
      </c>
      <c r="C420" s="80"/>
      <c r="D420" s="80"/>
      <c r="E420" s="663"/>
      <c r="F420" s="69" t="str">
        <f t="shared" si="99"/>
        <v/>
      </c>
      <c r="G420" s="80"/>
      <c r="H420" s="80"/>
      <c r="I420" s="648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789"/>
      <c r="AM420" s="790"/>
      <c r="AN420" s="59" t="str">
        <f>IFERROR(VLOOKUP(AL420,FÉ!$C$762:$L$815,4,FALSE),"")</f>
        <v/>
      </c>
      <c r="AO420" s="69"/>
      <c r="AP420" s="69"/>
      <c r="AQ420" s="69"/>
      <c r="AR420" s="69"/>
      <c r="AS420" s="69"/>
      <c r="AT420" s="69"/>
      <c r="AU420" s="69"/>
      <c r="AV420" s="69"/>
      <c r="AW420" s="69"/>
      <c r="AX420" s="69"/>
      <c r="AY420" s="69"/>
      <c r="AZ420" s="69"/>
      <c r="BA420" s="69"/>
      <c r="BB420" s="69"/>
      <c r="BC420" s="69"/>
      <c r="BD420" s="69"/>
      <c r="BE420" s="69"/>
      <c r="BF420" s="69"/>
      <c r="BG420" s="69"/>
      <c r="BH420" s="69"/>
      <c r="BI420" s="69"/>
      <c r="BJ420" s="69"/>
      <c r="BK420" s="69"/>
      <c r="BL420" s="69"/>
      <c r="BM420" s="69"/>
      <c r="BN420" s="69"/>
      <c r="BO420" s="69"/>
      <c r="BP420" s="63"/>
      <c r="BQ420" s="69"/>
      <c r="BR420" s="719"/>
      <c r="BS420" s="719"/>
      <c r="BT420" s="719"/>
      <c r="BU420" s="719"/>
      <c r="BV420" s="719"/>
      <c r="BW420" s="719"/>
      <c r="BX420" s="719"/>
      <c r="BY420" s="791">
        <f>IFERROR(VLOOKUP(AL420,Tableau1[[Aliments]:['[gCO2eq/kg']]],7,FALSE)*AM420,)</f>
        <v>0</v>
      </c>
      <c r="BZ420" s="69">
        <v>0</v>
      </c>
      <c r="CA420" s="700">
        <v>0</v>
      </c>
      <c r="CB420" s="69">
        <f t="shared" si="97"/>
        <v>0</v>
      </c>
      <c r="CC420" s="722">
        <f t="shared" si="98"/>
        <v>0</v>
      </c>
      <c r="CD420" s="63"/>
      <c r="CE420" s="726"/>
      <c r="CF420" s="727"/>
      <c r="CG420" s="63"/>
      <c r="CH420" s="730"/>
    </row>
    <row r="421" spans="2:86" outlineLevel="1">
      <c r="B421" s="69" t="str">
        <f t="shared" si="96"/>
        <v>4.1E2</v>
      </c>
      <c r="C421" s="80"/>
      <c r="D421" s="80"/>
      <c r="E421" s="663"/>
      <c r="F421" s="69" t="str">
        <f t="shared" si="99"/>
        <v/>
      </c>
      <c r="G421" s="80"/>
      <c r="H421" s="80"/>
      <c r="I421" s="648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69"/>
      <c r="AJ421" s="69"/>
      <c r="AK421" s="69"/>
      <c r="AL421" s="789"/>
      <c r="AM421" s="790"/>
      <c r="AN421" s="59" t="str">
        <f>IFERROR(VLOOKUP(AL421,FÉ!$C$762:$L$815,4,FALSE),"")</f>
        <v/>
      </c>
      <c r="AO421" s="69"/>
      <c r="AP421" s="69"/>
      <c r="AQ421" s="69"/>
      <c r="AR421" s="69"/>
      <c r="AS421" s="69"/>
      <c r="AT421" s="69"/>
      <c r="AU421" s="69"/>
      <c r="AV421" s="69"/>
      <c r="AW421" s="69"/>
      <c r="AX421" s="69"/>
      <c r="AY421" s="69"/>
      <c r="AZ421" s="69"/>
      <c r="BA421" s="69"/>
      <c r="BB421" s="69"/>
      <c r="BC421" s="69"/>
      <c r="BD421" s="69"/>
      <c r="BE421" s="69"/>
      <c r="BF421" s="69"/>
      <c r="BG421" s="69"/>
      <c r="BH421" s="69"/>
      <c r="BI421" s="69"/>
      <c r="BJ421" s="69"/>
      <c r="BK421" s="69"/>
      <c r="BL421" s="69"/>
      <c r="BM421" s="69"/>
      <c r="BN421" s="69"/>
      <c r="BO421" s="69"/>
      <c r="BP421" s="63"/>
      <c r="BQ421" s="69"/>
      <c r="BR421" s="719"/>
      <c r="BS421" s="719"/>
      <c r="BT421" s="719"/>
      <c r="BU421" s="719"/>
      <c r="BV421" s="719"/>
      <c r="BW421" s="719"/>
      <c r="BX421" s="719"/>
      <c r="BY421" s="791">
        <f>IFERROR(VLOOKUP(AL421,Tableau1[[Aliments]:['[gCO2eq/kg']]],7,FALSE)*AM421,)</f>
        <v>0</v>
      </c>
      <c r="BZ421" s="69">
        <v>0</v>
      </c>
      <c r="CA421" s="700">
        <v>0</v>
      </c>
      <c r="CB421" s="69">
        <f t="shared" si="97"/>
        <v>0</v>
      </c>
      <c r="CC421" s="722">
        <f t="shared" si="98"/>
        <v>0</v>
      </c>
      <c r="CD421" s="63"/>
      <c r="CE421" s="726"/>
      <c r="CF421" s="727"/>
      <c r="CG421" s="63"/>
      <c r="CH421" s="730"/>
    </row>
    <row r="422" spans="2:86" outlineLevel="1">
      <c r="B422" s="69" t="str">
        <f t="shared" si="96"/>
        <v>4.1E2</v>
      </c>
      <c r="C422" s="80"/>
      <c r="D422" s="80"/>
      <c r="E422" s="663"/>
      <c r="F422" s="69" t="str">
        <f t="shared" si="99"/>
        <v/>
      </c>
      <c r="G422" s="80"/>
      <c r="H422" s="80"/>
      <c r="I422" s="648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789"/>
      <c r="AM422" s="790"/>
      <c r="AN422" s="59" t="str">
        <f>IFERROR(VLOOKUP(AL422,FÉ!$C$762:$L$815,4,FALSE),"")</f>
        <v/>
      </c>
      <c r="AO422" s="69"/>
      <c r="AP422" s="69"/>
      <c r="AQ422" s="69"/>
      <c r="AR422" s="69"/>
      <c r="AS422" s="69"/>
      <c r="AT422" s="69"/>
      <c r="AU422" s="69"/>
      <c r="AV422" s="69"/>
      <c r="AW422" s="69"/>
      <c r="AX422" s="69"/>
      <c r="AY422" s="69"/>
      <c r="AZ422" s="69"/>
      <c r="BA422" s="69"/>
      <c r="BB422" s="69"/>
      <c r="BC422" s="69"/>
      <c r="BD422" s="69"/>
      <c r="BE422" s="69"/>
      <c r="BF422" s="69"/>
      <c r="BG422" s="69"/>
      <c r="BH422" s="69"/>
      <c r="BI422" s="69"/>
      <c r="BJ422" s="69"/>
      <c r="BK422" s="69"/>
      <c r="BL422" s="69"/>
      <c r="BM422" s="69"/>
      <c r="BN422" s="69"/>
      <c r="BO422" s="69"/>
      <c r="BP422" s="63"/>
      <c r="BQ422" s="69"/>
      <c r="BR422" s="719"/>
      <c r="BS422" s="719"/>
      <c r="BT422" s="719"/>
      <c r="BU422" s="719"/>
      <c r="BV422" s="719"/>
      <c r="BW422" s="719"/>
      <c r="BX422" s="719"/>
      <c r="BY422" s="791">
        <f>IFERROR(VLOOKUP(AL422,Tableau1[[Aliments]:['[gCO2eq/kg']]],7,FALSE)*AM422,)</f>
        <v>0</v>
      </c>
      <c r="BZ422" s="69">
        <v>0</v>
      </c>
      <c r="CA422" s="700">
        <v>0</v>
      </c>
      <c r="CB422" s="69">
        <f t="shared" si="97"/>
        <v>0</v>
      </c>
      <c r="CC422" s="722">
        <f t="shared" si="98"/>
        <v>0</v>
      </c>
      <c r="CD422" s="63"/>
      <c r="CE422" s="726"/>
      <c r="CF422" s="727"/>
      <c r="CG422" s="63"/>
      <c r="CH422" s="730"/>
    </row>
    <row r="423" spans="2:86" outlineLevel="1">
      <c r="B423" s="69" t="str">
        <f t="shared" si="96"/>
        <v>4.1E2</v>
      </c>
      <c r="C423" s="80"/>
      <c r="D423" s="80"/>
      <c r="E423" s="663"/>
      <c r="F423" s="69" t="str">
        <f t="shared" si="99"/>
        <v/>
      </c>
      <c r="G423" s="80"/>
      <c r="H423" s="80"/>
      <c r="I423" s="648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69"/>
      <c r="AJ423" s="69"/>
      <c r="AK423" s="69"/>
      <c r="AL423" s="789"/>
      <c r="AM423" s="790"/>
      <c r="AN423" s="59" t="str">
        <f>IFERROR(VLOOKUP(AL423,FÉ!$C$762:$L$815,4,FALSE),"")</f>
        <v/>
      </c>
      <c r="AO423" s="69"/>
      <c r="AP423" s="69"/>
      <c r="AQ423" s="69"/>
      <c r="AR423" s="69"/>
      <c r="AS423" s="69"/>
      <c r="AT423" s="69"/>
      <c r="AU423" s="69"/>
      <c r="AV423" s="69"/>
      <c r="AW423" s="69"/>
      <c r="AX423" s="69"/>
      <c r="AY423" s="69"/>
      <c r="AZ423" s="69"/>
      <c r="BA423" s="69"/>
      <c r="BB423" s="69"/>
      <c r="BC423" s="69"/>
      <c r="BD423" s="69"/>
      <c r="BE423" s="69"/>
      <c r="BF423" s="69"/>
      <c r="BG423" s="69"/>
      <c r="BH423" s="69"/>
      <c r="BI423" s="69"/>
      <c r="BJ423" s="69"/>
      <c r="BK423" s="69"/>
      <c r="BL423" s="69"/>
      <c r="BM423" s="69"/>
      <c r="BN423" s="69"/>
      <c r="BO423" s="69"/>
      <c r="BP423" s="63"/>
      <c r="BQ423" s="69"/>
      <c r="BR423" s="719"/>
      <c r="BS423" s="719"/>
      <c r="BT423" s="719"/>
      <c r="BU423" s="719"/>
      <c r="BV423" s="719"/>
      <c r="BW423" s="719"/>
      <c r="BX423" s="719"/>
      <c r="BY423" s="791">
        <f>IFERROR(VLOOKUP(AL423,Tableau1[[Aliments]:['[gCO2eq/kg']]],7,FALSE)*AM423,)</f>
        <v>0</v>
      </c>
      <c r="BZ423" s="69">
        <v>0</v>
      </c>
      <c r="CA423" s="700">
        <v>0</v>
      </c>
      <c r="CB423" s="69">
        <f t="shared" si="97"/>
        <v>0</v>
      </c>
      <c r="CC423" s="722">
        <f t="shared" si="98"/>
        <v>0</v>
      </c>
      <c r="CD423" s="63"/>
      <c r="CE423" s="726"/>
      <c r="CF423" s="727"/>
      <c r="CG423" s="63"/>
      <c r="CH423" s="730"/>
    </row>
    <row r="424" spans="2:86" ht="15.75" outlineLevel="1" thickBot="1">
      <c r="B424" s="69" t="str">
        <f t="shared" si="96"/>
        <v>4.1E2</v>
      </c>
      <c r="C424" s="80"/>
      <c r="D424" s="717"/>
      <c r="E424" s="663"/>
      <c r="F424" s="69" t="str">
        <f t="shared" si="99"/>
        <v/>
      </c>
      <c r="G424" s="80"/>
      <c r="H424" s="80"/>
      <c r="I424" s="648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789"/>
      <c r="AM424" s="790"/>
      <c r="AN424" s="59" t="str">
        <f>IFERROR(VLOOKUP(AL424,FÉ!$C$762:$L$815,4,FALSE),"")</f>
        <v/>
      </c>
      <c r="AO424" s="69"/>
      <c r="AP424" s="69"/>
      <c r="AQ424" s="69"/>
      <c r="AR424" s="69"/>
      <c r="AS424" s="69"/>
      <c r="AT424" s="69"/>
      <c r="AU424" s="69"/>
      <c r="AV424" s="69"/>
      <c r="AW424" s="69"/>
      <c r="AX424" s="69"/>
      <c r="AY424" s="69"/>
      <c r="AZ424" s="69"/>
      <c r="BA424" s="69"/>
      <c r="BB424" s="69"/>
      <c r="BC424" s="69"/>
      <c r="BD424" s="69"/>
      <c r="BE424" s="69"/>
      <c r="BF424" s="69"/>
      <c r="BG424" s="69"/>
      <c r="BH424" s="69"/>
      <c r="BI424" s="69"/>
      <c r="BJ424" s="69"/>
      <c r="BK424" s="69"/>
      <c r="BL424" s="69"/>
      <c r="BM424" s="69"/>
      <c r="BN424" s="69"/>
      <c r="BO424" s="69"/>
      <c r="BP424" s="63"/>
      <c r="BQ424" s="69"/>
      <c r="BR424" s="719"/>
      <c r="BS424" s="719"/>
      <c r="BT424" s="719"/>
      <c r="BU424" s="719"/>
      <c r="BV424" s="719"/>
      <c r="BW424" s="719"/>
      <c r="BX424" s="719"/>
      <c r="BY424" s="791">
        <f>IFERROR(VLOOKUP(AL424,Tableau1[[Aliments]:['[gCO2eq/kg']]],7,FALSE)*AM424,)</f>
        <v>0</v>
      </c>
      <c r="BZ424" s="69">
        <v>0</v>
      </c>
      <c r="CA424" s="700">
        <v>0</v>
      </c>
      <c r="CB424" s="647">
        <f t="shared" si="97"/>
        <v>0</v>
      </c>
      <c r="CC424" s="723">
        <f t="shared" si="98"/>
        <v>0</v>
      </c>
      <c r="CD424" s="63"/>
      <c r="CE424" s="728"/>
      <c r="CF424" s="729"/>
      <c r="CG424" s="63"/>
      <c r="CH424" s="731"/>
    </row>
    <row r="425" spans="2:86" ht="15.75" outlineLevel="1" thickBot="1">
      <c r="B425" s="783"/>
      <c r="C425" s="784"/>
      <c r="D425" s="784"/>
      <c r="E425" s="785"/>
      <c r="F425" s="788" t="str">
        <f>$B415</f>
        <v>4.1E2</v>
      </c>
      <c r="G425" s="788" t="str">
        <f>$B415</f>
        <v>4.1E2</v>
      </c>
      <c r="H425" s="788" t="str">
        <f>$B415</f>
        <v>4.1E2</v>
      </c>
      <c r="I425" s="785"/>
      <c r="J425" s="786"/>
      <c r="K425" s="786"/>
      <c r="L425" s="786"/>
      <c r="M425" s="786"/>
      <c r="N425" s="786"/>
      <c r="O425" s="786"/>
      <c r="P425" s="786"/>
      <c r="Q425" s="786"/>
      <c r="R425" s="786"/>
      <c r="S425" s="786"/>
      <c r="T425" s="786"/>
      <c r="U425" s="786"/>
      <c r="V425" s="786"/>
      <c r="W425" s="786"/>
      <c r="X425" s="786"/>
      <c r="Y425" s="786"/>
      <c r="Z425" s="786"/>
      <c r="AA425" s="786"/>
      <c r="AB425" s="786"/>
      <c r="AC425" s="786"/>
      <c r="AD425" s="786"/>
      <c r="AE425" s="786"/>
      <c r="AF425" s="786"/>
      <c r="AG425" s="786"/>
      <c r="AH425" s="786"/>
      <c r="AI425" s="786"/>
      <c r="AJ425" s="786"/>
      <c r="AK425" s="786"/>
      <c r="AL425" s="786"/>
      <c r="AM425" s="786"/>
      <c r="AN425" s="786"/>
      <c r="AO425" s="786"/>
      <c r="AP425" s="786"/>
      <c r="AQ425" s="786"/>
      <c r="AR425" s="786"/>
      <c r="AS425" s="786"/>
      <c r="AT425" s="786"/>
      <c r="AU425" s="786"/>
      <c r="AV425" s="786"/>
      <c r="AW425" s="786"/>
      <c r="AX425" s="786"/>
      <c r="AY425" s="786"/>
      <c r="AZ425" s="786"/>
      <c r="BA425" s="786"/>
      <c r="BB425" s="786"/>
      <c r="BC425" s="786"/>
      <c r="BD425" s="786"/>
      <c r="BE425" s="786"/>
      <c r="BF425" s="786"/>
      <c r="BG425" s="786"/>
      <c r="BH425" s="786"/>
      <c r="BI425" s="786"/>
      <c r="BJ425" s="786"/>
      <c r="BK425" s="786"/>
      <c r="BL425" s="786"/>
      <c r="BM425" s="786"/>
      <c r="BN425" s="786"/>
      <c r="BO425" s="786"/>
      <c r="BP425" s="63"/>
      <c r="BQ425" s="782"/>
      <c r="BR425" s="782"/>
      <c r="BS425" s="782"/>
      <c r="BT425" s="782"/>
      <c r="BU425" s="782"/>
      <c r="BV425" s="782"/>
      <c r="BW425" s="782"/>
      <c r="BX425" s="782"/>
      <c r="BY425" s="782">
        <f>SUM(BY415:BY424)</f>
        <v>765000</v>
      </c>
      <c r="BZ425" s="782">
        <f>SUM(BZ415:BZ424)</f>
        <v>0</v>
      </c>
      <c r="CA425" s="782">
        <f>SUM(CA415:CA424)</f>
        <v>0</v>
      </c>
      <c r="CB425" s="782">
        <f>SUM(CB415:CB424)</f>
        <v>765000</v>
      </c>
      <c r="CC425" s="781">
        <f>SUM(CC415:CC424)</f>
        <v>0.76500000000000001</v>
      </c>
      <c r="CD425" s="63"/>
      <c r="CE425" s="780">
        <f>SUM(CE415:CE424)</f>
        <v>0</v>
      </c>
      <c r="CF425" s="781">
        <f>SUM(CF415:CF424)</f>
        <v>0</v>
      </c>
      <c r="CG425" s="63"/>
      <c r="CH425" s="779">
        <f>SUM(CH415:CH424)</f>
        <v>0</v>
      </c>
    </row>
    <row r="427" spans="2:86" ht="31.5">
      <c r="B427" s="1176" t="s">
        <v>6632</v>
      </c>
      <c r="C427" s="1177"/>
      <c r="D427" s="1177"/>
      <c r="E427" s="1177"/>
      <c r="F427" s="1177"/>
      <c r="G427" s="1177"/>
      <c r="H427" s="1177"/>
      <c r="I427" s="1177"/>
      <c r="J427" s="1177"/>
      <c r="K427" s="1177"/>
      <c r="L427" s="1177"/>
      <c r="M427" s="1177"/>
      <c r="N427" s="1177"/>
      <c r="O427" s="1177"/>
      <c r="P427" s="1177"/>
      <c r="Q427" s="1177"/>
      <c r="R427" s="1177"/>
      <c r="S427" s="1177"/>
      <c r="T427" s="1177"/>
      <c r="U427" s="1177"/>
      <c r="V427" s="1177"/>
      <c r="W427" s="1177"/>
      <c r="X427" s="1177"/>
      <c r="Y427" s="1177"/>
      <c r="Z427" s="1177"/>
      <c r="AA427" s="1177"/>
      <c r="AB427" s="1177"/>
      <c r="AC427" s="1177"/>
      <c r="AD427" s="1177"/>
      <c r="AE427" s="1177"/>
      <c r="AF427" s="1177"/>
      <c r="AG427" s="1177"/>
      <c r="AH427" s="1177"/>
      <c r="AI427" s="1177"/>
      <c r="AJ427" s="1177"/>
      <c r="AK427" s="1177"/>
      <c r="AL427" s="1177"/>
      <c r="AM427" s="1177"/>
      <c r="AN427" s="1177"/>
      <c r="AO427" s="1177"/>
      <c r="AP427" s="1177"/>
      <c r="AQ427" s="1177"/>
      <c r="AR427" s="1177"/>
      <c r="AS427" s="1177"/>
      <c r="AT427" s="1177"/>
      <c r="AU427" s="1177"/>
      <c r="AV427" s="1177"/>
      <c r="AW427" s="1177"/>
      <c r="AX427" s="1177"/>
      <c r="AY427" s="1177"/>
      <c r="AZ427" s="1177"/>
      <c r="BA427" s="1177"/>
      <c r="BB427" s="1177"/>
      <c r="BC427" s="1177"/>
      <c r="BD427" s="1177"/>
      <c r="BE427" s="1177"/>
      <c r="BF427" s="1177"/>
      <c r="BG427" s="1177"/>
      <c r="BH427" s="1177"/>
      <c r="BI427" s="1177"/>
      <c r="BJ427" s="1177"/>
      <c r="BK427" s="1177"/>
      <c r="BL427" s="1177"/>
      <c r="BM427" s="1177"/>
      <c r="BN427" s="1177"/>
      <c r="BO427" s="1177"/>
      <c r="BP427" s="1177"/>
      <c r="BQ427" s="1177"/>
      <c r="BR427" s="1177"/>
      <c r="BS427" s="1177"/>
      <c r="BT427" s="1177"/>
      <c r="BU427" s="1177"/>
      <c r="BV427" s="1177"/>
      <c r="BW427" s="1177"/>
      <c r="BX427" s="1177"/>
      <c r="BY427" s="1177"/>
      <c r="BZ427" s="1177"/>
      <c r="CA427" s="1177"/>
      <c r="CB427" s="1177"/>
      <c r="CC427" s="1177"/>
      <c r="CD427" s="1177"/>
      <c r="CE427" s="1177"/>
      <c r="CF427" s="1177"/>
      <c r="CG427" s="1177"/>
      <c r="CH427" s="1177"/>
    </row>
    <row r="428" spans="2:86" ht="15.75" outlineLevel="1" thickBot="1">
      <c r="CH428" s="63"/>
    </row>
    <row r="429" spans="2:86" ht="21.75" outlineLevel="1" thickBot="1">
      <c r="B429" s="1178" t="s">
        <v>115</v>
      </c>
      <c r="C429" s="1179"/>
      <c r="D429" s="1179"/>
      <c r="E429" s="1179"/>
      <c r="F429" s="1179"/>
      <c r="G429" s="1179"/>
      <c r="H429" s="1179"/>
      <c r="I429" s="1179"/>
      <c r="J429" s="1179"/>
      <c r="K429" s="1179"/>
      <c r="L429" s="1179"/>
      <c r="M429" s="1179"/>
      <c r="N429" s="1179"/>
      <c r="O429" s="1179"/>
      <c r="P429" s="1179"/>
      <c r="Q429" s="1179"/>
      <c r="R429" s="1179"/>
      <c r="S429" s="1179"/>
      <c r="T429" s="1179"/>
      <c r="U429" s="1179"/>
      <c r="V429" s="1179"/>
      <c r="W429" s="1179"/>
      <c r="X429" s="1179"/>
      <c r="Y429" s="1179"/>
      <c r="Z429" s="1179"/>
      <c r="AA429" s="1179"/>
      <c r="AB429" s="1179"/>
      <c r="AC429" s="1179"/>
      <c r="AD429" s="1179"/>
      <c r="AE429" s="1179"/>
      <c r="AF429" s="1179"/>
      <c r="AG429" s="1179"/>
      <c r="AH429" s="1179"/>
      <c r="AI429" s="1179"/>
      <c r="AJ429" s="1179"/>
      <c r="AK429" s="1179"/>
      <c r="AL429" s="1179"/>
      <c r="AM429" s="1179"/>
      <c r="AN429" s="1179"/>
      <c r="AO429" s="1179"/>
      <c r="AP429" s="1179"/>
      <c r="AQ429" s="1179"/>
      <c r="AR429" s="1179"/>
      <c r="AS429" s="1179"/>
      <c r="AT429" s="1179"/>
      <c r="AU429" s="1179"/>
      <c r="AV429" s="1179"/>
      <c r="AW429" s="1179"/>
      <c r="AX429" s="1179"/>
      <c r="AY429" s="1179"/>
      <c r="AZ429" s="1179"/>
      <c r="BA429" s="1179"/>
      <c r="BB429" s="1179"/>
      <c r="BC429" s="1179"/>
      <c r="BD429" s="1179"/>
      <c r="BE429" s="1179"/>
      <c r="BF429" s="1179"/>
      <c r="BG429" s="1179"/>
      <c r="BH429" s="1179"/>
      <c r="BI429" s="1179"/>
      <c r="BJ429" s="1179"/>
      <c r="BK429" s="1179"/>
      <c r="BL429" s="1179"/>
      <c r="BM429" s="1179"/>
      <c r="BN429" s="1179"/>
      <c r="BO429" s="1179"/>
      <c r="BP429" s="63"/>
      <c r="BQ429" s="1180" t="s">
        <v>121</v>
      </c>
      <c r="BR429" s="1181"/>
      <c r="BS429" s="1181"/>
      <c r="BT429" s="1181"/>
      <c r="BU429" s="1181"/>
      <c r="BV429" s="1181"/>
      <c r="BW429" s="1181"/>
      <c r="BX429" s="1181"/>
      <c r="BY429" s="1181"/>
      <c r="BZ429" s="1181"/>
      <c r="CA429" s="1181"/>
      <c r="CB429" s="1181"/>
      <c r="CC429" s="1181"/>
      <c r="CD429" s="1181"/>
      <c r="CE429" s="1181"/>
      <c r="CF429" s="1181"/>
      <c r="CG429" s="1181"/>
      <c r="CH429" s="1182"/>
    </row>
    <row r="430" spans="2:86" ht="15" customHeight="1" outlineLevel="1">
      <c r="B430" s="1183" t="s">
        <v>6353</v>
      </c>
      <c r="C430" s="1185" t="s">
        <v>6372</v>
      </c>
      <c r="D430" s="1185" t="s">
        <v>7</v>
      </c>
      <c r="E430" s="1185" t="s">
        <v>127</v>
      </c>
      <c r="F430" s="1187" t="s">
        <v>6348</v>
      </c>
      <c r="G430" s="1185" t="s">
        <v>6333</v>
      </c>
      <c r="H430" s="1185" t="s">
        <v>128</v>
      </c>
      <c r="I430" s="1185" t="s">
        <v>156</v>
      </c>
      <c r="J430" s="655"/>
      <c r="K430" s="655"/>
      <c r="L430" s="655"/>
      <c r="M430" s="655"/>
      <c r="N430" s="655"/>
      <c r="O430" s="655"/>
      <c r="P430" s="655"/>
      <c r="Q430" s="655"/>
      <c r="R430" s="655"/>
      <c r="S430" s="655"/>
      <c r="T430" s="655"/>
      <c r="U430" s="655"/>
      <c r="V430" s="655"/>
      <c r="W430" s="655"/>
      <c r="X430" s="655"/>
      <c r="Y430" s="655"/>
      <c r="Z430" s="655"/>
      <c r="AA430" s="655"/>
      <c r="AB430" s="655"/>
      <c r="AC430" s="655"/>
      <c r="AD430" s="655"/>
      <c r="AE430" s="655"/>
      <c r="AF430" s="655"/>
      <c r="AG430" s="655"/>
      <c r="AH430" s="655"/>
      <c r="AI430" s="655"/>
      <c r="AJ430" s="655"/>
      <c r="AK430" s="655"/>
      <c r="AL430" s="655"/>
      <c r="AM430" s="655"/>
      <c r="AN430" s="655"/>
      <c r="AO430" s="655"/>
      <c r="AP430" s="655"/>
      <c r="AQ430" s="655"/>
      <c r="AR430" s="655"/>
      <c r="AS430" s="655"/>
      <c r="AT430" s="655"/>
      <c r="AU430" s="655"/>
      <c r="AV430" s="655"/>
      <c r="AW430" s="655"/>
      <c r="AX430" s="655"/>
      <c r="AY430" s="655"/>
      <c r="AZ430" s="655"/>
      <c r="BA430" s="655"/>
      <c r="BB430" s="655"/>
      <c r="BC430" s="655"/>
      <c r="BD430" s="655"/>
      <c r="BE430" s="655"/>
      <c r="BF430" s="655"/>
      <c r="BG430" s="655"/>
      <c r="BH430" s="655"/>
      <c r="BI430" s="655"/>
      <c r="BJ430" s="1185" t="s">
        <v>6633</v>
      </c>
      <c r="BK430" s="1185" t="s">
        <v>721</v>
      </c>
      <c r="BL430" s="655"/>
      <c r="BM430" s="655"/>
      <c r="BN430" s="655"/>
      <c r="BO430" s="657"/>
      <c r="BP430" s="63"/>
      <c r="BQ430" s="732"/>
      <c r="BR430" s="732"/>
      <c r="BS430" s="732"/>
      <c r="BT430" s="732"/>
      <c r="BU430" s="732"/>
      <c r="BV430" s="732"/>
      <c r="BW430" s="732"/>
      <c r="BX430" s="732"/>
      <c r="BY430" s="1193" t="s">
        <v>122</v>
      </c>
      <c r="BZ430" s="1193"/>
      <c r="CA430" s="1193"/>
      <c r="CB430" s="1194" t="s">
        <v>123</v>
      </c>
      <c r="CC430" s="1195"/>
      <c r="CD430" s="63"/>
      <c r="CE430" s="1198" t="s">
        <v>124</v>
      </c>
      <c r="CF430" s="1199"/>
      <c r="CG430" s="63"/>
      <c r="CH430" s="1185" t="s">
        <v>125</v>
      </c>
    </row>
    <row r="431" spans="2:86" ht="18" outlineLevel="1">
      <c r="B431" s="1184"/>
      <c r="C431" s="1186"/>
      <c r="D431" s="1186"/>
      <c r="E431" s="1186"/>
      <c r="F431" s="1188"/>
      <c r="G431" s="1186"/>
      <c r="H431" s="1186"/>
      <c r="I431" s="1186"/>
      <c r="J431" s="656"/>
      <c r="K431" s="656"/>
      <c r="L431" s="656"/>
      <c r="M431" s="656"/>
      <c r="N431" s="656"/>
      <c r="O431" s="656"/>
      <c r="P431" s="656"/>
      <c r="Q431" s="656"/>
      <c r="R431" s="656"/>
      <c r="S431" s="656"/>
      <c r="T431" s="656"/>
      <c r="U431" s="656"/>
      <c r="V431" s="656"/>
      <c r="W431" s="656"/>
      <c r="X431" s="656"/>
      <c r="Y431" s="656"/>
      <c r="Z431" s="656"/>
      <c r="AA431" s="656"/>
      <c r="AB431" s="656"/>
      <c r="AC431" s="656"/>
      <c r="AD431" s="656"/>
      <c r="AE431" s="656"/>
      <c r="AF431" s="656"/>
      <c r="AG431" s="656"/>
      <c r="AH431" s="656"/>
      <c r="AI431" s="656"/>
      <c r="AJ431" s="656"/>
      <c r="AK431" s="656"/>
      <c r="AL431" s="656"/>
      <c r="AM431" s="656"/>
      <c r="AN431" s="656"/>
      <c r="AO431" s="656"/>
      <c r="AP431" s="656"/>
      <c r="AQ431" s="656"/>
      <c r="AR431" s="656"/>
      <c r="AS431" s="656"/>
      <c r="AT431" s="656"/>
      <c r="AU431" s="656"/>
      <c r="AV431" s="656"/>
      <c r="AW431" s="656"/>
      <c r="AX431" s="656"/>
      <c r="AY431" s="656"/>
      <c r="AZ431" s="656"/>
      <c r="BA431" s="656"/>
      <c r="BB431" s="656"/>
      <c r="BC431" s="656"/>
      <c r="BD431" s="656"/>
      <c r="BE431" s="656"/>
      <c r="BF431" s="656"/>
      <c r="BG431" s="656"/>
      <c r="BH431" s="656"/>
      <c r="BI431" s="656"/>
      <c r="BJ431" s="1186"/>
      <c r="BK431" s="1186"/>
      <c r="BL431" s="656"/>
      <c r="BM431" s="656"/>
      <c r="BN431" s="656"/>
      <c r="BO431" s="79"/>
      <c r="BP431" s="63"/>
      <c r="BQ431" s="1325"/>
      <c r="BR431" s="712"/>
      <c r="BS431" s="712"/>
      <c r="BT431" s="712"/>
      <c r="BU431" s="712"/>
      <c r="BV431" s="712"/>
      <c r="BW431" s="712"/>
      <c r="BX431" s="712"/>
      <c r="BY431" s="718" t="s">
        <v>106</v>
      </c>
      <c r="BZ431" s="58" t="s">
        <v>107</v>
      </c>
      <c r="CA431" s="720" t="s">
        <v>108</v>
      </c>
      <c r="CB431" s="1196"/>
      <c r="CC431" s="1197"/>
      <c r="CD431" s="63"/>
      <c r="CE431" s="1200"/>
      <c r="CF431" s="1201"/>
      <c r="CG431" s="63"/>
      <c r="CH431" s="1186"/>
    </row>
    <row r="432" spans="2:86" ht="18.75" outlineLevel="1" thickBot="1">
      <c r="B432" s="65"/>
      <c r="C432" s="66"/>
      <c r="D432" s="661" t="s">
        <v>6306</v>
      </c>
      <c r="E432" s="661" t="s">
        <v>6306</v>
      </c>
      <c r="F432" s="661"/>
      <c r="G432" s="661" t="s">
        <v>6306</v>
      </c>
      <c r="H432" s="661" t="s">
        <v>6306</v>
      </c>
      <c r="I432" s="661" t="s">
        <v>6306</v>
      </c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/>
      <c r="AS432" s="64"/>
      <c r="AT432" s="64"/>
      <c r="AU432" s="64"/>
      <c r="AV432" s="64"/>
      <c r="AW432" s="64"/>
      <c r="AX432" s="64"/>
      <c r="AY432" s="64"/>
      <c r="AZ432" s="64"/>
      <c r="BA432" s="64"/>
      <c r="BB432" s="64"/>
      <c r="BC432" s="64"/>
      <c r="BD432" s="64"/>
      <c r="BE432" s="64"/>
      <c r="BF432" s="64"/>
      <c r="BG432" s="64"/>
      <c r="BH432" s="64"/>
      <c r="BI432" s="64"/>
      <c r="BJ432" s="64" t="s">
        <v>119</v>
      </c>
      <c r="BK432" s="64" t="s">
        <v>6415</v>
      </c>
      <c r="BL432" s="64"/>
      <c r="BM432" s="64"/>
      <c r="BN432" s="64"/>
      <c r="BO432" s="66"/>
      <c r="BP432" s="63"/>
      <c r="BQ432" s="66"/>
      <c r="BR432" s="713"/>
      <c r="BS432" s="713"/>
      <c r="BT432" s="713"/>
      <c r="BU432" s="713"/>
      <c r="BV432" s="713"/>
      <c r="BW432" s="713"/>
      <c r="BX432" s="713"/>
      <c r="BY432" s="713" t="s">
        <v>109</v>
      </c>
      <c r="BZ432" s="66" t="s">
        <v>109</v>
      </c>
      <c r="CA432" s="64" t="s">
        <v>109</v>
      </c>
      <c r="CB432" s="66" t="s">
        <v>109</v>
      </c>
      <c r="CC432" s="721" t="s">
        <v>110</v>
      </c>
      <c r="CD432" s="63"/>
      <c r="CE432" s="724" t="s">
        <v>111</v>
      </c>
      <c r="CF432" s="725" t="s">
        <v>112</v>
      </c>
      <c r="CG432" s="63"/>
      <c r="CH432" s="66" t="s">
        <v>114</v>
      </c>
    </row>
    <row r="433" spans="2:86" outlineLevel="1">
      <c r="B433" s="787" t="s">
        <v>6557</v>
      </c>
      <c r="C433" s="80"/>
      <c r="D433" s="716"/>
      <c r="E433" s="662"/>
      <c r="F433" s="69" t="str">
        <f>IF(E433=0,"",MONTH(E433))</f>
        <v/>
      </c>
      <c r="G433" s="80"/>
      <c r="H433" s="80"/>
      <c r="I433" s="648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  <c r="AP433" s="69"/>
      <c r="AQ433" s="69"/>
      <c r="AR433" s="69"/>
      <c r="AS433" s="69"/>
      <c r="AT433" s="69"/>
      <c r="AU433" s="69"/>
      <c r="AV433" s="69"/>
      <c r="AW433" s="69"/>
      <c r="AX433" s="69"/>
      <c r="AY433" s="69"/>
      <c r="AZ433" s="69"/>
      <c r="BA433" s="69"/>
      <c r="BB433" s="69"/>
      <c r="BC433" s="69"/>
      <c r="BD433" s="69"/>
      <c r="BE433" s="69"/>
      <c r="BF433" s="69"/>
      <c r="BG433" s="69"/>
      <c r="BH433" s="69"/>
      <c r="BI433" s="69"/>
      <c r="BJ433" s="80"/>
      <c r="BK433" s="1050"/>
      <c r="BL433" s="69"/>
      <c r="BM433" s="69"/>
      <c r="BN433" s="69"/>
      <c r="BO433" s="69"/>
      <c r="BP433" s="63"/>
      <c r="BQ433" s="69"/>
      <c r="BR433" s="719"/>
      <c r="BS433" s="719"/>
      <c r="BT433" s="719"/>
      <c r="BU433" s="719"/>
      <c r="BV433" s="719"/>
      <c r="BW433" s="719"/>
      <c r="BX433" s="719"/>
      <c r="BY433" s="791">
        <v>0</v>
      </c>
      <c r="BZ433" s="791">
        <f>IF(BJ433="",,(BK433/1000)*(VLOOKUP(BJ433,FÉ!$C$722:$L$730,10,FALSE)+FÉ!$L$718))</f>
        <v>0</v>
      </c>
      <c r="CA433" s="700">
        <v>0</v>
      </c>
      <c r="CB433" s="69">
        <f>SUM(BY433:CA433)</f>
        <v>0</v>
      </c>
      <c r="CC433" s="722">
        <f>CB433/(10^6)</f>
        <v>0</v>
      </c>
      <c r="CD433" s="63"/>
      <c r="CE433" s="726"/>
      <c r="CF433" s="727"/>
      <c r="CG433" s="63"/>
      <c r="CH433" s="730"/>
    </row>
    <row r="434" spans="2:86" outlineLevel="1">
      <c r="B434" s="69" t="str">
        <f t="shared" ref="B434:B442" si="100">B433</f>
        <v>4.3A1</v>
      </c>
      <c r="C434" s="80"/>
      <c r="D434" s="80"/>
      <c r="E434" s="663">
        <v>45751</v>
      </c>
      <c r="F434" s="69">
        <f t="shared" ref="F434:F442" si="101">IF(E434=0,"",MONTH(E434))</f>
        <v>4</v>
      </c>
      <c r="G434" s="80" t="s">
        <v>136</v>
      </c>
      <c r="H434" s="80"/>
      <c r="I434" s="648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  <c r="AP434" s="69"/>
      <c r="AQ434" s="69"/>
      <c r="AR434" s="69"/>
      <c r="AS434" s="69"/>
      <c r="AT434" s="69"/>
      <c r="AU434" s="69"/>
      <c r="AV434" s="69"/>
      <c r="AW434" s="69"/>
      <c r="AX434" s="69"/>
      <c r="AY434" s="69"/>
      <c r="AZ434" s="69"/>
      <c r="BA434" s="69"/>
      <c r="BB434" s="69"/>
      <c r="BC434" s="69"/>
      <c r="BD434" s="69"/>
      <c r="BE434" s="69"/>
      <c r="BF434" s="69"/>
      <c r="BG434" s="69"/>
      <c r="BH434" s="69"/>
      <c r="BI434" s="69"/>
      <c r="BJ434" s="80" t="s">
        <v>907</v>
      </c>
      <c r="BK434" s="1050">
        <v>15000</v>
      </c>
      <c r="BL434" s="69"/>
      <c r="BM434" s="69"/>
      <c r="BN434" s="69"/>
      <c r="BO434" s="69"/>
      <c r="BP434" s="63"/>
      <c r="BQ434" s="69"/>
      <c r="BR434" s="719"/>
      <c r="BS434" s="719"/>
      <c r="BT434" s="719"/>
      <c r="BU434" s="719"/>
      <c r="BV434" s="719"/>
      <c r="BW434" s="719"/>
      <c r="BX434" s="719"/>
      <c r="BY434" s="791">
        <v>0</v>
      </c>
      <c r="BZ434" s="791">
        <f>IF(BJ434="",,(BK434/1000)*(VLOOKUP(BJ434,FÉ!$C$722:$L$730,10,FALSE)+FÉ!$L$718))</f>
        <v>1172.5140852</v>
      </c>
      <c r="CA434" s="700">
        <v>0</v>
      </c>
      <c r="CB434" s="69">
        <f>SUM(BZ434:CA434)</f>
        <v>1172.5140852</v>
      </c>
      <c r="CC434" s="722">
        <f>CB434/(10^6)</f>
        <v>1.1725140852E-3</v>
      </c>
      <c r="CD434" s="63"/>
      <c r="CE434" s="726"/>
      <c r="CF434" s="727"/>
      <c r="CG434" s="63"/>
      <c r="CH434" s="730"/>
    </row>
    <row r="435" spans="2:86" outlineLevel="1">
      <c r="B435" s="69" t="str">
        <f t="shared" si="100"/>
        <v>4.3A1</v>
      </c>
      <c r="C435" s="80"/>
      <c r="D435" s="80"/>
      <c r="E435" s="663">
        <v>45751</v>
      </c>
      <c r="F435" s="69">
        <f t="shared" si="101"/>
        <v>4</v>
      </c>
      <c r="G435" s="80" t="s">
        <v>136</v>
      </c>
      <c r="H435" s="80"/>
      <c r="I435" s="648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  <c r="AP435" s="69"/>
      <c r="AQ435" s="69"/>
      <c r="AR435" s="69"/>
      <c r="AS435" s="69"/>
      <c r="AT435" s="69"/>
      <c r="AU435" s="69"/>
      <c r="AV435" s="69"/>
      <c r="AW435" s="69"/>
      <c r="AX435" s="69"/>
      <c r="AY435" s="69"/>
      <c r="AZ435" s="69"/>
      <c r="BA435" s="69"/>
      <c r="BB435" s="69"/>
      <c r="BC435" s="69"/>
      <c r="BD435" s="69"/>
      <c r="BE435" s="69"/>
      <c r="BF435" s="69"/>
      <c r="BG435" s="69"/>
      <c r="BH435" s="69"/>
      <c r="BI435" s="69"/>
      <c r="BJ435" s="80" t="s">
        <v>908</v>
      </c>
      <c r="BK435" s="1050">
        <v>260000</v>
      </c>
      <c r="BL435" s="69"/>
      <c r="BM435" s="69"/>
      <c r="BN435" s="69"/>
      <c r="BO435" s="69"/>
      <c r="BP435" s="63"/>
      <c r="BQ435" s="69"/>
      <c r="BR435" s="719"/>
      <c r="BS435" s="719"/>
      <c r="BT435" s="719"/>
      <c r="BU435" s="719"/>
      <c r="BV435" s="719"/>
      <c r="BW435" s="719"/>
      <c r="BX435" s="719"/>
      <c r="BY435" s="791">
        <v>0</v>
      </c>
      <c r="BZ435" s="791">
        <f>IF(BJ435="",,(BK435/1000)*(VLOOKUP(BJ435,FÉ!$C$722:$L$730,10,FALSE)+FÉ!$L$718))</f>
        <v>22225.448044800003</v>
      </c>
      <c r="CA435" s="700">
        <v>0</v>
      </c>
      <c r="CB435" s="69">
        <f t="shared" ref="CB435:CB442" si="102">SUM(BY435:CA435)</f>
        <v>22225.448044800003</v>
      </c>
      <c r="CC435" s="722">
        <f t="shared" ref="CC435:CC442" si="103">CB435/(10^6)</f>
        <v>2.2225448044800002E-2</v>
      </c>
      <c r="CD435" s="63"/>
      <c r="CE435" s="726"/>
      <c r="CF435" s="727"/>
      <c r="CG435" s="63"/>
      <c r="CH435" s="730"/>
    </row>
    <row r="436" spans="2:86" outlineLevel="1">
      <c r="B436" s="69" t="str">
        <f t="shared" si="100"/>
        <v>4.3A1</v>
      </c>
      <c r="C436" s="80"/>
      <c r="D436" s="80"/>
      <c r="E436" s="663"/>
      <c r="F436" s="69" t="str">
        <f t="shared" si="101"/>
        <v/>
      </c>
      <c r="G436" s="80"/>
      <c r="H436" s="80"/>
      <c r="I436" s="648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  <c r="AP436" s="69"/>
      <c r="AQ436" s="69"/>
      <c r="AR436" s="69"/>
      <c r="AS436" s="69"/>
      <c r="AT436" s="69"/>
      <c r="AU436" s="69"/>
      <c r="AV436" s="69"/>
      <c r="AW436" s="69"/>
      <c r="AX436" s="69"/>
      <c r="AY436" s="69"/>
      <c r="AZ436" s="69"/>
      <c r="BA436" s="69"/>
      <c r="BB436" s="69"/>
      <c r="BC436" s="69"/>
      <c r="BD436" s="69"/>
      <c r="BE436" s="69"/>
      <c r="BF436" s="69"/>
      <c r="BG436" s="69"/>
      <c r="BH436" s="69"/>
      <c r="BI436" s="69"/>
      <c r="BJ436" s="80"/>
      <c r="BK436" s="1050"/>
      <c r="BL436" s="69"/>
      <c r="BM436" s="69"/>
      <c r="BN436" s="69"/>
      <c r="BO436" s="69"/>
      <c r="BP436" s="63"/>
      <c r="BQ436" s="69"/>
      <c r="BR436" s="719"/>
      <c r="BS436" s="719"/>
      <c r="BT436" s="719"/>
      <c r="BU436" s="719"/>
      <c r="BV436" s="719"/>
      <c r="BW436" s="719"/>
      <c r="BX436" s="719"/>
      <c r="BY436" s="791">
        <v>0</v>
      </c>
      <c r="BZ436" s="791">
        <f>IF(BJ436="",,(BK436/1000)*(VLOOKUP(BJ436,FÉ!$C$722:$L$730,10,FALSE)+FÉ!$L$718))</f>
        <v>0</v>
      </c>
      <c r="CA436" s="700">
        <v>0</v>
      </c>
      <c r="CB436" s="69">
        <f t="shared" si="102"/>
        <v>0</v>
      </c>
      <c r="CC436" s="722">
        <f t="shared" si="103"/>
        <v>0</v>
      </c>
      <c r="CD436" s="63"/>
      <c r="CE436" s="726"/>
      <c r="CF436" s="727"/>
      <c r="CG436" s="63"/>
      <c r="CH436" s="730"/>
    </row>
    <row r="437" spans="2:86" outlineLevel="1">
      <c r="B437" s="69" t="str">
        <f t="shared" si="100"/>
        <v>4.3A1</v>
      </c>
      <c r="C437" s="80"/>
      <c r="D437" s="80"/>
      <c r="E437" s="663"/>
      <c r="F437" s="69" t="str">
        <f t="shared" si="101"/>
        <v/>
      </c>
      <c r="G437" s="80"/>
      <c r="H437" s="80"/>
      <c r="I437" s="648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69"/>
      <c r="AJ437" s="69"/>
      <c r="AK437" s="69"/>
      <c r="AL437" s="69"/>
      <c r="AM437" s="69"/>
      <c r="AN437" s="69"/>
      <c r="AO437" s="69"/>
      <c r="AP437" s="69"/>
      <c r="AQ437" s="69"/>
      <c r="AR437" s="69"/>
      <c r="AS437" s="69"/>
      <c r="AT437" s="69"/>
      <c r="AU437" s="69"/>
      <c r="AV437" s="69"/>
      <c r="AW437" s="69"/>
      <c r="AX437" s="69"/>
      <c r="AY437" s="69"/>
      <c r="AZ437" s="69"/>
      <c r="BA437" s="69"/>
      <c r="BB437" s="69"/>
      <c r="BC437" s="69"/>
      <c r="BD437" s="69"/>
      <c r="BE437" s="69"/>
      <c r="BF437" s="69"/>
      <c r="BG437" s="69"/>
      <c r="BH437" s="69"/>
      <c r="BI437" s="69"/>
      <c r="BJ437" s="80"/>
      <c r="BK437" s="1050"/>
      <c r="BL437" s="69"/>
      <c r="BM437" s="69"/>
      <c r="BN437" s="69"/>
      <c r="BO437" s="69"/>
      <c r="BP437" s="63"/>
      <c r="BQ437" s="69"/>
      <c r="BR437" s="719"/>
      <c r="BS437" s="719"/>
      <c r="BT437" s="719"/>
      <c r="BU437" s="719"/>
      <c r="BV437" s="719"/>
      <c r="BW437" s="719"/>
      <c r="BX437" s="719"/>
      <c r="BY437" s="791">
        <v>0</v>
      </c>
      <c r="BZ437" s="791">
        <f>IF(BJ437="",,(BK437/1000)*(VLOOKUP(BJ437,FÉ!$C$722:$L$730,10,FALSE)+FÉ!$L$718))</f>
        <v>0</v>
      </c>
      <c r="CA437" s="700">
        <v>0</v>
      </c>
      <c r="CB437" s="69">
        <f t="shared" si="102"/>
        <v>0</v>
      </c>
      <c r="CC437" s="722">
        <f t="shared" si="103"/>
        <v>0</v>
      </c>
      <c r="CD437" s="63"/>
      <c r="CE437" s="726"/>
      <c r="CF437" s="727"/>
      <c r="CG437" s="63"/>
      <c r="CH437" s="730"/>
    </row>
    <row r="438" spans="2:86" outlineLevel="1">
      <c r="B438" s="69" t="str">
        <f t="shared" si="100"/>
        <v>4.3A1</v>
      </c>
      <c r="C438" s="80"/>
      <c r="D438" s="80"/>
      <c r="E438" s="663"/>
      <c r="F438" s="69" t="str">
        <f t="shared" si="101"/>
        <v/>
      </c>
      <c r="G438" s="80"/>
      <c r="H438" s="80"/>
      <c r="I438" s="648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  <c r="AP438" s="69"/>
      <c r="AQ438" s="69"/>
      <c r="AR438" s="69"/>
      <c r="AS438" s="69"/>
      <c r="AT438" s="69"/>
      <c r="AU438" s="69"/>
      <c r="AV438" s="69"/>
      <c r="AW438" s="69"/>
      <c r="AX438" s="69"/>
      <c r="AY438" s="69"/>
      <c r="AZ438" s="69"/>
      <c r="BA438" s="69"/>
      <c r="BB438" s="69"/>
      <c r="BC438" s="69"/>
      <c r="BD438" s="69"/>
      <c r="BE438" s="69"/>
      <c r="BF438" s="69"/>
      <c r="BG438" s="69"/>
      <c r="BH438" s="69"/>
      <c r="BI438" s="69"/>
      <c r="BJ438" s="80"/>
      <c r="BK438" s="1050"/>
      <c r="BL438" s="69"/>
      <c r="BM438" s="69"/>
      <c r="BN438" s="69"/>
      <c r="BO438" s="69"/>
      <c r="BP438" s="63"/>
      <c r="BQ438" s="69"/>
      <c r="BR438" s="719"/>
      <c r="BS438" s="719"/>
      <c r="BT438" s="719"/>
      <c r="BU438" s="719"/>
      <c r="BV438" s="719"/>
      <c r="BW438" s="719"/>
      <c r="BX438" s="719"/>
      <c r="BY438" s="791">
        <v>0</v>
      </c>
      <c r="BZ438" s="791">
        <f>IF(BJ438="",,(BK438/1000)*(VLOOKUP(BJ438,FÉ!$C$722:$L$730,10,FALSE)+FÉ!$L$718))</f>
        <v>0</v>
      </c>
      <c r="CA438" s="700">
        <v>0</v>
      </c>
      <c r="CB438" s="69">
        <f t="shared" si="102"/>
        <v>0</v>
      </c>
      <c r="CC438" s="722">
        <f t="shared" si="103"/>
        <v>0</v>
      </c>
      <c r="CD438" s="63"/>
      <c r="CE438" s="726"/>
      <c r="CF438" s="727"/>
      <c r="CG438" s="63"/>
      <c r="CH438" s="730"/>
    </row>
    <row r="439" spans="2:86" outlineLevel="1">
      <c r="B439" s="69" t="str">
        <f t="shared" si="100"/>
        <v>4.3A1</v>
      </c>
      <c r="C439" s="80"/>
      <c r="D439" s="80"/>
      <c r="E439" s="663"/>
      <c r="F439" s="69" t="str">
        <f t="shared" si="101"/>
        <v/>
      </c>
      <c r="G439" s="80"/>
      <c r="H439" s="80"/>
      <c r="I439" s="648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  <c r="AP439" s="69"/>
      <c r="AQ439" s="69"/>
      <c r="AR439" s="69"/>
      <c r="AS439" s="69"/>
      <c r="AT439" s="69"/>
      <c r="AU439" s="69"/>
      <c r="AV439" s="69"/>
      <c r="AW439" s="69"/>
      <c r="AX439" s="69"/>
      <c r="AY439" s="69"/>
      <c r="AZ439" s="69"/>
      <c r="BA439" s="69"/>
      <c r="BB439" s="69"/>
      <c r="BC439" s="69"/>
      <c r="BD439" s="69"/>
      <c r="BE439" s="69"/>
      <c r="BF439" s="69"/>
      <c r="BG439" s="69"/>
      <c r="BH439" s="69"/>
      <c r="BI439" s="69"/>
      <c r="BJ439" s="80"/>
      <c r="BK439" s="1050"/>
      <c r="BL439" s="69"/>
      <c r="BM439" s="69"/>
      <c r="BN439" s="69"/>
      <c r="BO439" s="69"/>
      <c r="BP439" s="63"/>
      <c r="BQ439" s="69"/>
      <c r="BR439" s="719"/>
      <c r="BS439" s="719"/>
      <c r="BT439" s="719"/>
      <c r="BU439" s="719"/>
      <c r="BV439" s="719"/>
      <c r="BW439" s="719"/>
      <c r="BX439" s="719"/>
      <c r="BY439" s="791">
        <v>0</v>
      </c>
      <c r="BZ439" s="791">
        <f>IF(BJ439="",,(BK439/1000)*(VLOOKUP(BJ439,FÉ!$C$722:$L$730,10,FALSE)+FÉ!$L$718))</f>
        <v>0</v>
      </c>
      <c r="CA439" s="700">
        <v>0</v>
      </c>
      <c r="CB439" s="69">
        <f t="shared" si="102"/>
        <v>0</v>
      </c>
      <c r="CC439" s="722">
        <f t="shared" si="103"/>
        <v>0</v>
      </c>
      <c r="CD439" s="63"/>
      <c r="CE439" s="726"/>
      <c r="CF439" s="727"/>
      <c r="CG439" s="63"/>
      <c r="CH439" s="730"/>
    </row>
    <row r="440" spans="2:86" outlineLevel="1">
      <c r="B440" s="69" t="str">
        <f t="shared" si="100"/>
        <v>4.3A1</v>
      </c>
      <c r="C440" s="80"/>
      <c r="D440" s="80"/>
      <c r="E440" s="663"/>
      <c r="F440" s="69" t="str">
        <f t="shared" si="101"/>
        <v/>
      </c>
      <c r="G440" s="80"/>
      <c r="H440" s="80"/>
      <c r="I440" s="648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  <c r="AP440" s="69"/>
      <c r="AQ440" s="69"/>
      <c r="AR440" s="69"/>
      <c r="AS440" s="69"/>
      <c r="AT440" s="69"/>
      <c r="AU440" s="69"/>
      <c r="AV440" s="69"/>
      <c r="AW440" s="69"/>
      <c r="AX440" s="69"/>
      <c r="AY440" s="69"/>
      <c r="AZ440" s="69"/>
      <c r="BA440" s="69"/>
      <c r="BB440" s="69"/>
      <c r="BC440" s="69"/>
      <c r="BD440" s="69"/>
      <c r="BE440" s="69"/>
      <c r="BF440" s="69"/>
      <c r="BG440" s="69"/>
      <c r="BH440" s="69"/>
      <c r="BI440" s="69"/>
      <c r="BJ440" s="80"/>
      <c r="BK440" s="1050"/>
      <c r="BL440" s="69"/>
      <c r="BM440" s="69"/>
      <c r="BN440" s="69"/>
      <c r="BO440" s="69"/>
      <c r="BP440" s="63"/>
      <c r="BQ440" s="69"/>
      <c r="BR440" s="719"/>
      <c r="BS440" s="719"/>
      <c r="BT440" s="719"/>
      <c r="BU440" s="719"/>
      <c r="BV440" s="719"/>
      <c r="BW440" s="719"/>
      <c r="BX440" s="719"/>
      <c r="BY440" s="791">
        <v>0</v>
      </c>
      <c r="BZ440" s="791">
        <f>IF(BJ440="",,(BK440/1000)*(VLOOKUP(BJ440,FÉ!$C$722:$L$730,10,FALSE)+FÉ!$L$718))</f>
        <v>0</v>
      </c>
      <c r="CA440" s="700">
        <v>0</v>
      </c>
      <c r="CB440" s="69">
        <f t="shared" si="102"/>
        <v>0</v>
      </c>
      <c r="CC440" s="722">
        <f t="shared" si="103"/>
        <v>0</v>
      </c>
      <c r="CD440" s="63"/>
      <c r="CE440" s="726"/>
      <c r="CF440" s="727"/>
      <c r="CG440" s="63"/>
      <c r="CH440" s="730"/>
    </row>
    <row r="441" spans="2:86" outlineLevel="1">
      <c r="B441" s="69" t="str">
        <f t="shared" si="100"/>
        <v>4.3A1</v>
      </c>
      <c r="C441" s="80"/>
      <c r="D441" s="80"/>
      <c r="E441" s="663"/>
      <c r="F441" s="69" t="str">
        <f t="shared" si="101"/>
        <v/>
      </c>
      <c r="G441" s="80"/>
      <c r="H441" s="80"/>
      <c r="I441" s="648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69"/>
      <c r="AJ441" s="69"/>
      <c r="AK441" s="69"/>
      <c r="AL441" s="69"/>
      <c r="AM441" s="69"/>
      <c r="AN441" s="69"/>
      <c r="AO441" s="69"/>
      <c r="AP441" s="69"/>
      <c r="AQ441" s="69"/>
      <c r="AR441" s="69"/>
      <c r="AS441" s="69"/>
      <c r="AT441" s="69"/>
      <c r="AU441" s="69"/>
      <c r="AV441" s="69"/>
      <c r="AW441" s="69"/>
      <c r="AX441" s="69"/>
      <c r="AY441" s="69"/>
      <c r="AZ441" s="69"/>
      <c r="BA441" s="69"/>
      <c r="BB441" s="69"/>
      <c r="BC441" s="69"/>
      <c r="BD441" s="69"/>
      <c r="BE441" s="69"/>
      <c r="BF441" s="69"/>
      <c r="BG441" s="69"/>
      <c r="BH441" s="69"/>
      <c r="BI441" s="69"/>
      <c r="BJ441" s="80"/>
      <c r="BK441" s="1050"/>
      <c r="BL441" s="69"/>
      <c r="BM441" s="69"/>
      <c r="BN441" s="69"/>
      <c r="BO441" s="69"/>
      <c r="BP441" s="63"/>
      <c r="BQ441" s="69"/>
      <c r="BR441" s="719"/>
      <c r="BS441" s="719"/>
      <c r="BT441" s="719"/>
      <c r="BU441" s="719"/>
      <c r="BV441" s="719"/>
      <c r="BW441" s="719"/>
      <c r="BX441" s="719"/>
      <c r="BY441" s="791">
        <v>0</v>
      </c>
      <c r="BZ441" s="791">
        <f>IF(BJ441="",,(BK441/1000)*(VLOOKUP(BJ441,FÉ!$C$722:$L$730,10,FALSE)+FÉ!$L$718))</f>
        <v>0</v>
      </c>
      <c r="CA441" s="700">
        <v>0</v>
      </c>
      <c r="CB441" s="69">
        <f t="shared" si="102"/>
        <v>0</v>
      </c>
      <c r="CC441" s="722">
        <f t="shared" si="103"/>
        <v>0</v>
      </c>
      <c r="CD441" s="63"/>
      <c r="CE441" s="726"/>
      <c r="CF441" s="727"/>
      <c r="CG441" s="63"/>
      <c r="CH441" s="730"/>
    </row>
    <row r="442" spans="2:86" ht="15.75" outlineLevel="1" thickBot="1">
      <c r="B442" s="69" t="str">
        <f t="shared" si="100"/>
        <v>4.3A1</v>
      </c>
      <c r="C442" s="80"/>
      <c r="D442" s="717"/>
      <c r="E442" s="663"/>
      <c r="F442" s="69" t="str">
        <f t="shared" si="101"/>
        <v/>
      </c>
      <c r="G442" s="80"/>
      <c r="H442" s="80"/>
      <c r="I442" s="648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  <c r="AP442" s="69"/>
      <c r="AQ442" s="69"/>
      <c r="AR442" s="69"/>
      <c r="AS442" s="69"/>
      <c r="AT442" s="69"/>
      <c r="AU442" s="69"/>
      <c r="AV442" s="69"/>
      <c r="AW442" s="69"/>
      <c r="AX442" s="69"/>
      <c r="AY442" s="69"/>
      <c r="AZ442" s="69"/>
      <c r="BA442" s="69"/>
      <c r="BB442" s="69"/>
      <c r="BC442" s="69"/>
      <c r="BD442" s="69"/>
      <c r="BE442" s="69"/>
      <c r="BF442" s="69"/>
      <c r="BG442" s="69"/>
      <c r="BH442" s="69"/>
      <c r="BI442" s="69"/>
      <c r="BJ442" s="80"/>
      <c r="BK442" s="1050"/>
      <c r="BL442" s="69"/>
      <c r="BM442" s="69"/>
      <c r="BN442" s="69"/>
      <c r="BO442" s="69"/>
      <c r="BP442" s="63"/>
      <c r="BQ442" s="69"/>
      <c r="BR442" s="719"/>
      <c r="BS442" s="719"/>
      <c r="BT442" s="719"/>
      <c r="BU442" s="719"/>
      <c r="BV442" s="719"/>
      <c r="BW442" s="719"/>
      <c r="BX442" s="719"/>
      <c r="BY442" s="791">
        <v>0</v>
      </c>
      <c r="BZ442" s="791">
        <f>IF(BJ442="",,(BK442/1000)*(VLOOKUP(BJ442,FÉ!$C$722:$L$730,10,FALSE)+FÉ!$L$718))</f>
        <v>0</v>
      </c>
      <c r="CA442" s="700">
        <v>0</v>
      </c>
      <c r="CB442" s="647">
        <f t="shared" si="102"/>
        <v>0</v>
      </c>
      <c r="CC442" s="723">
        <f t="shared" si="103"/>
        <v>0</v>
      </c>
      <c r="CD442" s="63"/>
      <c r="CE442" s="728"/>
      <c r="CF442" s="729"/>
      <c r="CG442" s="63"/>
      <c r="CH442" s="731"/>
    </row>
    <row r="443" spans="2:86" ht="15.75" outlineLevel="1" thickBot="1">
      <c r="B443" s="783"/>
      <c r="C443" s="784"/>
      <c r="D443" s="784"/>
      <c r="E443" s="785"/>
      <c r="F443" s="788" t="str">
        <f>$B433</f>
        <v>4.3A1</v>
      </c>
      <c r="G443" s="788" t="str">
        <f>$B433</f>
        <v>4.3A1</v>
      </c>
      <c r="H443" s="788" t="str">
        <f>$B433</f>
        <v>4.3A1</v>
      </c>
      <c r="I443" s="785"/>
      <c r="J443" s="786"/>
      <c r="K443" s="786"/>
      <c r="L443" s="786"/>
      <c r="M443" s="786"/>
      <c r="N443" s="786"/>
      <c r="O443" s="786"/>
      <c r="P443" s="786"/>
      <c r="Q443" s="786"/>
      <c r="R443" s="786"/>
      <c r="S443" s="786"/>
      <c r="T443" s="786"/>
      <c r="U443" s="786"/>
      <c r="V443" s="786"/>
      <c r="W443" s="786"/>
      <c r="X443" s="786"/>
      <c r="Y443" s="786"/>
      <c r="Z443" s="786"/>
      <c r="AA443" s="786"/>
      <c r="AB443" s="786"/>
      <c r="AC443" s="786"/>
      <c r="AD443" s="786"/>
      <c r="AE443" s="786"/>
      <c r="AF443" s="786"/>
      <c r="AG443" s="786"/>
      <c r="AH443" s="786"/>
      <c r="AI443" s="786"/>
      <c r="AJ443" s="786"/>
      <c r="AK443" s="786"/>
      <c r="AL443" s="786"/>
      <c r="AM443" s="786"/>
      <c r="AN443" s="786"/>
      <c r="AO443" s="786"/>
      <c r="AP443" s="786"/>
      <c r="AQ443" s="786"/>
      <c r="AR443" s="786"/>
      <c r="AS443" s="786"/>
      <c r="AT443" s="786"/>
      <c r="AU443" s="786"/>
      <c r="AV443" s="786"/>
      <c r="AW443" s="786"/>
      <c r="AX443" s="786"/>
      <c r="AY443" s="786"/>
      <c r="AZ443" s="786"/>
      <c r="BA443" s="786"/>
      <c r="BB443" s="786"/>
      <c r="BC443" s="786"/>
      <c r="BD443" s="786"/>
      <c r="BE443" s="786"/>
      <c r="BF443" s="786"/>
      <c r="BG443" s="786"/>
      <c r="BH443" s="786"/>
      <c r="BI443" s="786"/>
      <c r="BJ443" s="786"/>
      <c r="BK443" s="786"/>
      <c r="BL443" s="786"/>
      <c r="BM443" s="786"/>
      <c r="BN443" s="786"/>
      <c r="BO443" s="786"/>
      <c r="BP443" s="63"/>
      <c r="BQ443" s="782"/>
      <c r="BR443" s="782"/>
      <c r="BS443" s="782"/>
      <c r="BT443" s="782"/>
      <c r="BU443" s="782"/>
      <c r="BV443" s="782"/>
      <c r="BW443" s="782"/>
      <c r="BX443" s="782"/>
      <c r="BY443" s="782">
        <f>SUM(BY433:BY442)</f>
        <v>0</v>
      </c>
      <c r="BZ443" s="782">
        <f>SUM(BZ433:BZ442)</f>
        <v>23397.962130000004</v>
      </c>
      <c r="CA443" s="782">
        <f>SUM(CA433:CA442)</f>
        <v>0</v>
      </c>
      <c r="CB443" s="782">
        <f>SUM(CB433:CB442)</f>
        <v>23397.962130000004</v>
      </c>
      <c r="CC443" s="781">
        <f>SUM(CC433:CC442)</f>
        <v>2.3397962130000002E-2</v>
      </c>
      <c r="CD443" s="63"/>
      <c r="CE443" s="780">
        <f>SUM(CE433:CE442)</f>
        <v>0</v>
      </c>
      <c r="CF443" s="781">
        <f>SUM(CF433:CF442)</f>
        <v>0</v>
      </c>
      <c r="CG443" s="63"/>
      <c r="CH443" s="779">
        <f>SUM(CH433:CH442)</f>
        <v>0</v>
      </c>
    </row>
    <row r="450" spans="2:86" ht="31.5">
      <c r="B450" s="1230" t="s">
        <v>1430</v>
      </c>
      <c r="C450" s="1231"/>
      <c r="D450" s="1231"/>
      <c r="E450" s="1231"/>
      <c r="F450" s="1231"/>
      <c r="G450" s="1231"/>
      <c r="H450" s="1231"/>
      <c r="I450" s="1231"/>
      <c r="J450" s="1231"/>
      <c r="K450" s="1231"/>
      <c r="L450" s="1231"/>
      <c r="M450" s="1231"/>
      <c r="N450" s="1231"/>
      <c r="O450" s="1231"/>
      <c r="P450" s="1231"/>
      <c r="Q450" s="1231"/>
      <c r="R450" s="1231"/>
      <c r="S450" s="1231"/>
      <c r="T450" s="1231"/>
      <c r="U450" s="1231"/>
      <c r="V450" s="1231"/>
      <c r="W450" s="1231"/>
      <c r="X450" s="1231"/>
      <c r="Y450" s="1231"/>
      <c r="Z450" s="1231"/>
      <c r="AA450" s="1231"/>
      <c r="AB450" s="1231"/>
      <c r="AC450" s="1231"/>
      <c r="AD450" s="1231"/>
      <c r="AE450" s="1231"/>
      <c r="AF450" s="1231"/>
      <c r="AG450" s="1231"/>
      <c r="AH450" s="1231"/>
      <c r="AI450" s="1231"/>
      <c r="AJ450" s="1231"/>
      <c r="AK450" s="1231"/>
      <c r="AL450" s="1231"/>
      <c r="AM450" s="1231"/>
      <c r="AN450" s="1231"/>
      <c r="AO450" s="1231"/>
      <c r="AP450" s="1231"/>
      <c r="AQ450" s="1231"/>
      <c r="AR450" s="1231"/>
      <c r="AS450" s="1231"/>
      <c r="AT450" s="1231"/>
      <c r="AU450" s="1231"/>
      <c r="AV450" s="1231"/>
      <c r="AW450" s="1231"/>
      <c r="AX450" s="1231"/>
      <c r="AY450" s="1231"/>
      <c r="AZ450" s="1231"/>
      <c r="BA450" s="1231"/>
      <c r="BB450" s="1231"/>
      <c r="BC450" s="1231"/>
      <c r="BD450" s="1231"/>
      <c r="BE450" s="1231"/>
      <c r="BF450" s="1231"/>
      <c r="BG450" s="1231"/>
      <c r="BH450" s="1231"/>
      <c r="BI450" s="1231"/>
      <c r="BJ450" s="1231"/>
      <c r="BK450" s="1231"/>
      <c r="BL450" s="1231"/>
      <c r="BM450" s="1231"/>
      <c r="BN450" s="1231"/>
      <c r="BO450" s="1231"/>
      <c r="BP450" s="1231"/>
      <c r="BQ450" s="1231"/>
      <c r="BR450" s="1231"/>
      <c r="BS450" s="1231"/>
      <c r="BT450" s="1231"/>
      <c r="BU450" s="1231"/>
      <c r="BV450" s="1231"/>
      <c r="BW450" s="1231"/>
      <c r="BX450" s="1231"/>
      <c r="BY450" s="1231"/>
      <c r="BZ450" s="1231"/>
      <c r="CA450" s="1231"/>
      <c r="CB450" s="1231"/>
      <c r="CC450" s="1231"/>
      <c r="CD450" s="1231"/>
      <c r="CE450" s="1231"/>
      <c r="CF450" s="1231"/>
      <c r="CG450" s="1231"/>
      <c r="CH450" s="1231"/>
    </row>
    <row r="451" spans="2:86" ht="15.75" outlineLevel="1" thickBot="1">
      <c r="CH451" s="63"/>
    </row>
    <row r="452" spans="2:86" ht="21.75" outlineLevel="1" thickBot="1">
      <c r="B452" s="1228" t="s">
        <v>115</v>
      </c>
      <c r="C452" s="1229"/>
      <c r="D452" s="1229"/>
      <c r="E452" s="1229"/>
      <c r="F452" s="1229"/>
      <c r="G452" s="1229"/>
      <c r="H452" s="1229"/>
      <c r="I452" s="1229"/>
      <c r="J452" s="1229"/>
      <c r="K452" s="1229"/>
      <c r="L452" s="1229"/>
      <c r="M452" s="1229"/>
      <c r="N452" s="1229"/>
      <c r="O452" s="1229"/>
      <c r="P452" s="1229"/>
      <c r="Q452" s="1229"/>
      <c r="R452" s="1229"/>
      <c r="S452" s="1229"/>
      <c r="T452" s="1229"/>
      <c r="U452" s="1229"/>
      <c r="V452" s="1229"/>
      <c r="W452" s="1229"/>
      <c r="X452" s="1229"/>
      <c r="Y452" s="1229"/>
      <c r="Z452" s="1229"/>
      <c r="AA452" s="1229"/>
      <c r="AB452" s="1229"/>
      <c r="AC452" s="1229"/>
      <c r="AD452" s="1229"/>
      <c r="AE452" s="1229"/>
      <c r="AF452" s="1229"/>
      <c r="AG452" s="1229"/>
      <c r="AH452" s="1229"/>
      <c r="AI452" s="1229"/>
      <c r="AJ452" s="1229"/>
      <c r="AK452" s="1229"/>
      <c r="AL452" s="1229"/>
      <c r="AM452" s="1229"/>
      <c r="AN452" s="1229"/>
      <c r="AO452" s="1229"/>
      <c r="AP452" s="1229"/>
      <c r="AQ452" s="1229"/>
      <c r="AR452" s="1229"/>
      <c r="AS452" s="1229"/>
      <c r="AT452" s="1229"/>
      <c r="AU452" s="1229"/>
      <c r="AV452" s="1229"/>
      <c r="AW452" s="1229"/>
      <c r="AX452" s="1229"/>
      <c r="AY452" s="1229"/>
      <c r="AZ452" s="1229"/>
      <c r="BA452" s="1229"/>
      <c r="BB452" s="1229"/>
      <c r="BC452" s="1229"/>
      <c r="BD452" s="1229"/>
      <c r="BE452" s="1229"/>
      <c r="BF452" s="1229"/>
      <c r="BG452" s="1229"/>
      <c r="BH452" s="1229"/>
      <c r="BI452" s="1229"/>
      <c r="BJ452" s="1229"/>
      <c r="BK452" s="1229"/>
      <c r="BL452" s="1229"/>
      <c r="BM452" s="1229"/>
      <c r="BN452" s="1229"/>
      <c r="BO452" s="1229"/>
      <c r="BP452" s="63"/>
      <c r="BQ452" s="1221" t="s">
        <v>121</v>
      </c>
      <c r="BR452" s="1222"/>
      <c r="BS452" s="1222"/>
      <c r="BT452" s="1222"/>
      <c r="BU452" s="1222"/>
      <c r="BV452" s="1222"/>
      <c r="BW452" s="1222"/>
      <c r="BX452" s="1222"/>
      <c r="BY452" s="1222"/>
      <c r="BZ452" s="1222"/>
      <c r="CA452" s="1222"/>
      <c r="CB452" s="1222"/>
      <c r="CC452" s="1222"/>
      <c r="CD452" s="1222"/>
      <c r="CE452" s="1222"/>
      <c r="CF452" s="1222"/>
      <c r="CG452" s="1222"/>
      <c r="CH452" s="1223"/>
    </row>
    <row r="453" spans="2:86" ht="15" customHeight="1" outlineLevel="1">
      <c r="B453" s="1183" t="s">
        <v>6353</v>
      </c>
      <c r="C453" s="1185" t="s">
        <v>6372</v>
      </c>
      <c r="D453" s="1185" t="s">
        <v>7</v>
      </c>
      <c r="E453" s="1185" t="s">
        <v>127</v>
      </c>
      <c r="F453" s="1187" t="s">
        <v>6348</v>
      </c>
      <c r="G453" s="1185" t="s">
        <v>6333</v>
      </c>
      <c r="H453" s="1185" t="s">
        <v>128</v>
      </c>
      <c r="I453" s="1185" t="s">
        <v>156</v>
      </c>
      <c r="J453" s="655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55"/>
      <c r="AB453" s="655"/>
      <c r="AC453" s="655"/>
      <c r="AD453" s="655"/>
      <c r="AE453" s="655"/>
      <c r="AF453" s="655"/>
      <c r="AG453" s="655"/>
      <c r="AH453" s="655"/>
      <c r="AI453" s="655"/>
      <c r="AJ453" s="655"/>
      <c r="AK453" s="655"/>
      <c r="AL453" s="655"/>
      <c r="AM453" s="655"/>
      <c r="AN453" s="655"/>
      <c r="AO453" s="655"/>
      <c r="AP453" s="655"/>
      <c r="AQ453" s="655"/>
      <c r="AR453" s="655"/>
      <c r="AS453" s="655"/>
      <c r="AT453" s="655"/>
      <c r="AU453" s="655"/>
      <c r="AV453" s="655"/>
      <c r="AW453" s="655"/>
      <c r="AX453" s="655"/>
      <c r="AY453" s="655"/>
      <c r="AZ453" s="655"/>
      <c r="BA453" s="655"/>
      <c r="BB453" s="655"/>
      <c r="BC453" s="655"/>
      <c r="BD453" s="655"/>
      <c r="BE453" s="655"/>
      <c r="BF453" s="655"/>
      <c r="BG453" s="655"/>
      <c r="BH453" s="655"/>
      <c r="BI453" s="655"/>
      <c r="BJ453" s="655"/>
      <c r="BK453" s="655"/>
      <c r="BL453" s="655"/>
      <c r="BM453" s="655"/>
      <c r="BN453" s="655"/>
      <c r="BO453" s="657"/>
      <c r="BP453" s="63"/>
      <c r="BQ453" s="657"/>
      <c r="BR453" s="732"/>
      <c r="BS453" s="732"/>
      <c r="BT453" s="732"/>
      <c r="BU453" s="732"/>
      <c r="BV453" s="732"/>
      <c r="BW453" s="732"/>
      <c r="BX453" s="732"/>
      <c r="BY453" s="1193" t="s">
        <v>122</v>
      </c>
      <c r="BZ453" s="1193"/>
      <c r="CA453" s="1193"/>
      <c r="CB453" s="1194" t="s">
        <v>123</v>
      </c>
      <c r="CC453" s="1195"/>
      <c r="CD453" s="63"/>
      <c r="CE453" s="1198" t="s">
        <v>124</v>
      </c>
      <c r="CF453" s="1199"/>
      <c r="CG453" s="63"/>
      <c r="CH453" s="1185" t="s">
        <v>125</v>
      </c>
    </row>
    <row r="454" spans="2:86" ht="18" outlineLevel="1">
      <c r="B454" s="1184"/>
      <c r="C454" s="1186"/>
      <c r="D454" s="1186"/>
      <c r="E454" s="1186"/>
      <c r="F454" s="1188"/>
      <c r="G454" s="1186"/>
      <c r="H454" s="1186"/>
      <c r="I454" s="1186"/>
      <c r="J454" s="656"/>
      <c r="K454" s="656"/>
      <c r="L454" s="656"/>
      <c r="M454" s="656"/>
      <c r="N454" s="656"/>
      <c r="O454" s="656"/>
      <c r="P454" s="656"/>
      <c r="Q454" s="656"/>
      <c r="R454" s="656"/>
      <c r="S454" s="656"/>
      <c r="T454" s="656"/>
      <c r="U454" s="656"/>
      <c r="V454" s="656"/>
      <c r="W454" s="656"/>
      <c r="X454" s="656"/>
      <c r="Y454" s="656"/>
      <c r="Z454" s="656"/>
      <c r="AA454" s="656"/>
      <c r="AB454" s="656"/>
      <c r="AC454" s="656"/>
      <c r="AD454" s="656"/>
      <c r="AE454" s="656"/>
      <c r="AF454" s="656"/>
      <c r="AG454" s="656"/>
      <c r="AH454" s="656"/>
      <c r="AI454" s="656"/>
      <c r="AJ454" s="656"/>
      <c r="AK454" s="656"/>
      <c r="AL454" s="656"/>
      <c r="AM454" s="656"/>
      <c r="AN454" s="656"/>
      <c r="AO454" s="656"/>
      <c r="AP454" s="656"/>
      <c r="AQ454" s="656"/>
      <c r="AR454" s="656"/>
      <c r="AS454" s="656"/>
      <c r="AT454" s="656"/>
      <c r="AU454" s="656"/>
      <c r="AV454" s="656"/>
      <c r="AW454" s="656"/>
      <c r="AX454" s="656"/>
      <c r="AY454" s="656"/>
      <c r="AZ454" s="656"/>
      <c r="BA454" s="656"/>
      <c r="BB454" s="656"/>
      <c r="BC454" s="656"/>
      <c r="BD454" s="656"/>
      <c r="BE454" s="656"/>
      <c r="BF454" s="656"/>
      <c r="BG454" s="656"/>
      <c r="BH454" s="656"/>
      <c r="BI454" s="656"/>
      <c r="BJ454" s="656"/>
      <c r="BK454" s="656"/>
      <c r="BL454" s="656"/>
      <c r="BM454" s="656"/>
      <c r="BN454" s="656"/>
      <c r="BO454" s="79"/>
      <c r="BP454" s="63"/>
      <c r="BQ454" s="79"/>
      <c r="BR454" s="712"/>
      <c r="BS454" s="712"/>
      <c r="BT454" s="712"/>
      <c r="BU454" s="712"/>
      <c r="BV454" s="712"/>
      <c r="BW454" s="712"/>
      <c r="BX454" s="712"/>
      <c r="BY454" s="718" t="s">
        <v>106</v>
      </c>
      <c r="BZ454" s="58" t="s">
        <v>107</v>
      </c>
      <c r="CA454" s="720" t="s">
        <v>108</v>
      </c>
      <c r="CB454" s="1196"/>
      <c r="CC454" s="1197"/>
      <c r="CD454" s="63"/>
      <c r="CE454" s="1200"/>
      <c r="CF454" s="1201"/>
      <c r="CG454" s="63"/>
      <c r="CH454" s="1186"/>
    </row>
    <row r="455" spans="2:86" ht="18.75" outlineLevel="1" thickBot="1">
      <c r="B455" s="65"/>
      <c r="C455" s="66"/>
      <c r="D455" s="661" t="s">
        <v>6306</v>
      </c>
      <c r="E455" s="661" t="s">
        <v>6306</v>
      </c>
      <c r="F455" s="661"/>
      <c r="G455" s="661" t="s">
        <v>6306</v>
      </c>
      <c r="H455" s="661" t="s">
        <v>6306</v>
      </c>
      <c r="I455" s="661" t="s">
        <v>6306</v>
      </c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  <c r="AS455" s="64"/>
      <c r="AT455" s="64"/>
      <c r="AU455" s="64"/>
      <c r="AV455" s="64"/>
      <c r="AW455" s="64"/>
      <c r="AX455" s="64"/>
      <c r="AY455" s="64"/>
      <c r="AZ455" s="64"/>
      <c r="BA455" s="64"/>
      <c r="BB455" s="64"/>
      <c r="BC455" s="64"/>
      <c r="BD455" s="64"/>
      <c r="BE455" s="64"/>
      <c r="BF455" s="64"/>
      <c r="BG455" s="64"/>
      <c r="BH455" s="64"/>
      <c r="BI455" s="64"/>
      <c r="BJ455" s="64"/>
      <c r="BK455" s="64"/>
      <c r="BL455" s="64"/>
      <c r="BM455" s="64"/>
      <c r="BN455" s="64"/>
      <c r="BO455" s="66"/>
      <c r="BP455" s="63"/>
      <c r="BQ455" s="66"/>
      <c r="BR455" s="713"/>
      <c r="BS455" s="713"/>
      <c r="BT455" s="713"/>
      <c r="BU455" s="713"/>
      <c r="BV455" s="713"/>
      <c r="BW455" s="713"/>
      <c r="BX455" s="713"/>
      <c r="BY455" s="713" t="s">
        <v>109</v>
      </c>
      <c r="BZ455" s="66" t="s">
        <v>109</v>
      </c>
      <c r="CA455" s="64" t="s">
        <v>109</v>
      </c>
      <c r="CB455" s="66" t="s">
        <v>109</v>
      </c>
      <c r="CC455" s="721" t="s">
        <v>110</v>
      </c>
      <c r="CD455" s="63"/>
      <c r="CE455" s="724" t="s">
        <v>111</v>
      </c>
      <c r="CF455" s="725" t="s">
        <v>112</v>
      </c>
      <c r="CG455" s="63"/>
      <c r="CH455" s="66" t="s">
        <v>114</v>
      </c>
    </row>
    <row r="456" spans="2:86" outlineLevel="1">
      <c r="B456" s="69" t="s">
        <v>6384</v>
      </c>
      <c r="C456" s="80"/>
      <c r="D456" s="716"/>
      <c r="E456" s="662"/>
      <c r="F456" s="69" t="str">
        <f>IF(E456=0,"",MONTH(E456))</f>
        <v/>
      </c>
      <c r="G456" s="80"/>
      <c r="H456" s="80"/>
      <c r="I456" s="648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  <c r="AP456" s="69"/>
      <c r="AQ456" s="69"/>
      <c r="AR456" s="69"/>
      <c r="AS456" s="69"/>
      <c r="AT456" s="69"/>
      <c r="AU456" s="69"/>
      <c r="AV456" s="69"/>
      <c r="AW456" s="69"/>
      <c r="AX456" s="69"/>
      <c r="AY456" s="69"/>
      <c r="AZ456" s="69"/>
      <c r="BA456" s="69"/>
      <c r="BB456" s="69"/>
      <c r="BC456" s="69"/>
      <c r="BD456" s="69"/>
      <c r="BE456" s="69"/>
      <c r="BF456" s="69"/>
      <c r="BG456" s="69"/>
      <c r="BH456" s="69"/>
      <c r="BI456" s="69"/>
      <c r="BJ456" s="69"/>
      <c r="BK456" s="69"/>
      <c r="BL456" s="69"/>
      <c r="BM456" s="69"/>
      <c r="BN456" s="69"/>
      <c r="BO456" s="69"/>
      <c r="BP456" s="63"/>
      <c r="BQ456" s="69"/>
      <c r="BR456" s="719"/>
      <c r="BS456" s="719"/>
      <c r="BT456" s="719"/>
      <c r="BU456" s="719"/>
      <c r="BV456" s="719"/>
      <c r="BW456" s="719"/>
      <c r="BX456" s="719"/>
      <c r="BY456" s="719">
        <f>IFERROR(VLOOKUP($M456,FÉ!$B$41:$L$58,8,FALSE)*$W456*PRP!$J$8,) + IF($M456=FÉ!$B$57, IFERROR(VLOOKUP($Y456,FÉ!$B$385:$L$437,8,FALSE)*$AA456*PRP!$J$8,),0)</f>
        <v>0</v>
      </c>
      <c r="BZ456" s="69">
        <f>IFERROR(VLOOKUP($M456,FÉ!$B$41:$L$58,9,FALSE)*$W456*PRP!$J$9,) + IF($M456=FÉ!$B$57, IFERROR(VLOOKUP($Y456,FÉ!$B$385:$L$437,9,FALSE)*$AA456*PRP!$J$9,),0)</f>
        <v>0</v>
      </c>
      <c r="CA456" s="700">
        <f>IFERROR(VLOOKUP($M456,FÉ!$B$41:$L$58,10,FALSE)*$W456*PRP!$J$10,) + IF($M456=FÉ!$B$57, IFERROR(VLOOKUP($Y456,FÉ!$B$385:$L$437,10,FALSE)*$AA456*PRP!$J$10,),0)</f>
        <v>0</v>
      </c>
      <c r="CB456" s="69">
        <f>SUM(BY456:CA456)</f>
        <v>0</v>
      </c>
      <c r="CC456" s="722">
        <f>CB456/(10^6)</f>
        <v>0</v>
      </c>
      <c r="CD456" s="63"/>
      <c r="CE456" s="726"/>
      <c r="CF456" s="727"/>
      <c r="CG456" s="63"/>
      <c r="CH456" s="730">
        <f>IFERROR(IF($M456=0, ,VLOOKUP($M456,FÉ!$B$41:$K$59,7,FALSE))*W456,) + AA456</f>
        <v>0</v>
      </c>
    </row>
    <row r="457" spans="2:86" outlineLevel="1">
      <c r="B457" s="69" t="str">
        <f t="shared" ref="B457:B465" si="104">B456</f>
        <v>23X1</v>
      </c>
      <c r="C457" s="80"/>
      <c r="D457" s="80"/>
      <c r="E457" s="663"/>
      <c r="F457" s="69" t="str">
        <f t="shared" ref="F457:F465" si="105">IF(E457=0,"",MONTH(E457))</f>
        <v/>
      </c>
      <c r="G457" s="80"/>
      <c r="H457" s="80"/>
      <c r="I457" s="648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  <c r="AP457" s="69"/>
      <c r="AQ457" s="69"/>
      <c r="AR457" s="69"/>
      <c r="AS457" s="69"/>
      <c r="AT457" s="69"/>
      <c r="AU457" s="69"/>
      <c r="AV457" s="69"/>
      <c r="AW457" s="69"/>
      <c r="AX457" s="69"/>
      <c r="AY457" s="69"/>
      <c r="AZ457" s="69"/>
      <c r="BA457" s="69"/>
      <c r="BB457" s="69"/>
      <c r="BC457" s="69"/>
      <c r="BD457" s="69"/>
      <c r="BE457" s="69"/>
      <c r="BF457" s="69"/>
      <c r="BG457" s="69"/>
      <c r="BH457" s="69"/>
      <c r="BI457" s="69"/>
      <c r="BJ457" s="69"/>
      <c r="BK457" s="69"/>
      <c r="BL457" s="69"/>
      <c r="BM457" s="69"/>
      <c r="BN457" s="69"/>
      <c r="BO457" s="69"/>
      <c r="BP457" s="63"/>
      <c r="BQ457" s="69"/>
      <c r="BR457" s="719"/>
      <c r="BS457" s="719"/>
      <c r="BT457" s="719"/>
      <c r="BU457" s="719"/>
      <c r="BV457" s="719"/>
      <c r="BW457" s="719"/>
      <c r="BX457" s="719"/>
      <c r="BY457" s="719">
        <f>IFERROR(VLOOKUP($M457,FÉ!$B$41:$L$58,8,FALSE)*$W457*PRP!$J$8,) + IF($M457=FÉ!$B$57, IFERROR(VLOOKUP($Y457,FÉ!$B$385:$L$437,8,FALSE)*$AA457*PRP!$J$8,),0)</f>
        <v>0</v>
      </c>
      <c r="BZ457" s="69">
        <f>IFERROR(VLOOKUP($M457,FÉ!$B$41:$L$58,9,FALSE)*$W457*PRP!$J$9,) + IF($M457=FÉ!$B$57, IFERROR(VLOOKUP($Y457,FÉ!$B$385:$L$437,9,FALSE)*$AA457*PRP!$J$9,),0)</f>
        <v>0</v>
      </c>
      <c r="CA457" s="700">
        <f>IFERROR(VLOOKUP($M457,FÉ!$B$41:$L$58,10,FALSE)*$W457*PRP!$J$10,) + IF($M457=FÉ!$B$57, IFERROR(VLOOKUP($Y457,FÉ!$B$385:$L$437,10,FALSE)*$AA457*PRP!$J$10,),0)</f>
        <v>0</v>
      </c>
      <c r="CB457" s="69">
        <f>SUM(BY457:CA457)</f>
        <v>0</v>
      </c>
      <c r="CC457" s="722">
        <f>CB457/(10^6)</f>
        <v>0</v>
      </c>
      <c r="CD457" s="63"/>
      <c r="CE457" s="726"/>
      <c r="CF457" s="727"/>
      <c r="CG457" s="63"/>
      <c r="CH457" s="730">
        <f>IFERROR(IF($M457=0, ,VLOOKUP($M457,FÉ!$B$41:$K$59,7,FALSE))*W457,) + AA457</f>
        <v>0</v>
      </c>
    </row>
    <row r="458" spans="2:86" outlineLevel="1">
      <c r="B458" s="69" t="str">
        <f t="shared" si="104"/>
        <v>23X1</v>
      </c>
      <c r="C458" s="80"/>
      <c r="D458" s="80"/>
      <c r="E458" s="663"/>
      <c r="F458" s="69" t="str">
        <f t="shared" si="105"/>
        <v/>
      </c>
      <c r="G458" s="80"/>
      <c r="H458" s="80"/>
      <c r="I458" s="648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  <c r="AP458" s="69"/>
      <c r="AQ458" s="69"/>
      <c r="AR458" s="69"/>
      <c r="AS458" s="69"/>
      <c r="AT458" s="69"/>
      <c r="AU458" s="69"/>
      <c r="AV458" s="69"/>
      <c r="AW458" s="69"/>
      <c r="AX458" s="69"/>
      <c r="AY458" s="69"/>
      <c r="AZ458" s="69"/>
      <c r="BA458" s="69"/>
      <c r="BB458" s="69"/>
      <c r="BC458" s="69"/>
      <c r="BD458" s="69"/>
      <c r="BE458" s="69"/>
      <c r="BF458" s="69"/>
      <c r="BG458" s="69"/>
      <c r="BH458" s="69"/>
      <c r="BI458" s="69"/>
      <c r="BJ458" s="69"/>
      <c r="BK458" s="69"/>
      <c r="BL458" s="69"/>
      <c r="BM458" s="69"/>
      <c r="BN458" s="69"/>
      <c r="BO458" s="69"/>
      <c r="BP458" s="63"/>
      <c r="BQ458" s="69"/>
      <c r="BR458" s="719"/>
      <c r="BS458" s="719"/>
      <c r="BT458" s="719"/>
      <c r="BU458" s="719"/>
      <c r="BV458" s="719"/>
      <c r="BW458" s="719"/>
      <c r="BX458" s="719"/>
      <c r="BY458" s="719">
        <f>IFERROR(VLOOKUP($M458,FÉ!$B$41:$L$58,8,FALSE)*$W458*PRP!$J$8,) + IF($M458=FÉ!$B$57, IFERROR(VLOOKUP($Y458,FÉ!$B$385:$L$437,8,FALSE)*$AA458*PRP!$J$8,),0)</f>
        <v>0</v>
      </c>
      <c r="BZ458" s="69">
        <f>IFERROR(VLOOKUP($M458,FÉ!$B$41:$L$58,9,FALSE)*$W458*PRP!$J$9,) + IF($M458=FÉ!$B$57, IFERROR(VLOOKUP($Y458,FÉ!$B$385:$L$437,9,FALSE)*$AA458*PRP!$J$9,),0)</f>
        <v>0</v>
      </c>
      <c r="CA458" s="700">
        <f>IFERROR(VLOOKUP($M458,FÉ!$B$41:$L$58,10,FALSE)*$W458*PRP!$J$10,) + IF($M458=FÉ!$B$57, IFERROR(VLOOKUP($Y458,FÉ!$B$385:$L$437,10,FALSE)*$AA458*PRP!$J$10,),0)</f>
        <v>0</v>
      </c>
      <c r="CB458" s="69">
        <f t="shared" ref="CB458:CB465" si="106">SUM(BY458:CA458)</f>
        <v>0</v>
      </c>
      <c r="CC458" s="722">
        <f t="shared" ref="CC458:CC465" si="107">CB458/(10^6)</f>
        <v>0</v>
      </c>
      <c r="CD458" s="63"/>
      <c r="CE458" s="726"/>
      <c r="CF458" s="727"/>
      <c r="CG458" s="63"/>
      <c r="CH458" s="730">
        <f>IFERROR(IF($M458=0, ,VLOOKUP($M458,FÉ!$B$41:$K$59,7,FALSE))*W458,) + AA458</f>
        <v>0</v>
      </c>
    </row>
    <row r="459" spans="2:86" outlineLevel="1">
      <c r="B459" s="69" t="str">
        <f t="shared" si="104"/>
        <v>23X1</v>
      </c>
      <c r="C459" s="80"/>
      <c r="D459" s="80"/>
      <c r="E459" s="663"/>
      <c r="F459" s="69" t="str">
        <f t="shared" si="105"/>
        <v/>
      </c>
      <c r="G459" s="80"/>
      <c r="H459" s="80"/>
      <c r="I459" s="648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  <c r="AP459" s="69"/>
      <c r="AQ459" s="69"/>
      <c r="AR459" s="69"/>
      <c r="AS459" s="69"/>
      <c r="AT459" s="69"/>
      <c r="AU459" s="69"/>
      <c r="AV459" s="69"/>
      <c r="AW459" s="69"/>
      <c r="AX459" s="69"/>
      <c r="AY459" s="69"/>
      <c r="AZ459" s="69"/>
      <c r="BA459" s="69"/>
      <c r="BB459" s="69"/>
      <c r="BC459" s="69"/>
      <c r="BD459" s="69"/>
      <c r="BE459" s="69"/>
      <c r="BF459" s="69"/>
      <c r="BG459" s="69"/>
      <c r="BH459" s="69"/>
      <c r="BI459" s="69"/>
      <c r="BJ459" s="69"/>
      <c r="BK459" s="69"/>
      <c r="BL459" s="69"/>
      <c r="BM459" s="69"/>
      <c r="BN459" s="69"/>
      <c r="BO459" s="69"/>
      <c r="BP459" s="63"/>
      <c r="BQ459" s="69"/>
      <c r="BR459" s="719"/>
      <c r="BS459" s="719"/>
      <c r="BT459" s="719"/>
      <c r="BU459" s="719"/>
      <c r="BV459" s="719"/>
      <c r="BW459" s="719"/>
      <c r="BX459" s="719"/>
      <c r="BY459" s="719">
        <f>IFERROR(VLOOKUP($M459,FÉ!$B$41:$L$58,8,FALSE)*$W459*PRP!$J$8,) + IF($M459=FÉ!$B$57, IFERROR(VLOOKUP($Y459,FÉ!$B$385:$L$437,8,FALSE)*$AA459*PRP!$J$8,),0)</f>
        <v>0</v>
      </c>
      <c r="BZ459" s="69">
        <f>IFERROR(VLOOKUP($M459,FÉ!$B$41:$L$58,9,FALSE)*$W459*PRP!$J$9,) + IF($M459=FÉ!$B$57, IFERROR(VLOOKUP($Y459,FÉ!$B$385:$L$437,9,FALSE)*$AA459*PRP!$J$9,),0)</f>
        <v>0</v>
      </c>
      <c r="CA459" s="700">
        <f>IFERROR(VLOOKUP($M459,FÉ!$B$41:$L$58,10,FALSE)*$W459*PRP!$J$10,) + IF($M459=FÉ!$B$57, IFERROR(VLOOKUP($Y459,FÉ!$B$385:$L$437,10,FALSE)*$AA459*PRP!$J$10,),0)</f>
        <v>0</v>
      </c>
      <c r="CB459" s="69">
        <f t="shared" si="106"/>
        <v>0</v>
      </c>
      <c r="CC459" s="722">
        <f t="shared" si="107"/>
        <v>0</v>
      </c>
      <c r="CD459" s="63"/>
      <c r="CE459" s="726"/>
      <c r="CF459" s="727"/>
      <c r="CG459" s="63"/>
      <c r="CH459" s="730">
        <f>IFERROR(IF($M459=0, ,VLOOKUP($M459,FÉ!$B$41:$K$59,7,FALSE))*W459,) + AA459</f>
        <v>0</v>
      </c>
    </row>
    <row r="460" spans="2:86" outlineLevel="1">
      <c r="B460" s="69" t="str">
        <f t="shared" si="104"/>
        <v>23X1</v>
      </c>
      <c r="C460" s="80"/>
      <c r="D460" s="80"/>
      <c r="E460" s="663"/>
      <c r="F460" s="69" t="str">
        <f t="shared" si="105"/>
        <v/>
      </c>
      <c r="G460" s="80"/>
      <c r="H460" s="80"/>
      <c r="I460" s="648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  <c r="AP460" s="69"/>
      <c r="AQ460" s="69"/>
      <c r="AR460" s="69"/>
      <c r="AS460" s="69"/>
      <c r="AT460" s="69"/>
      <c r="AU460" s="69"/>
      <c r="AV460" s="69"/>
      <c r="AW460" s="69"/>
      <c r="AX460" s="69"/>
      <c r="AY460" s="69"/>
      <c r="AZ460" s="69"/>
      <c r="BA460" s="69"/>
      <c r="BB460" s="69"/>
      <c r="BC460" s="69"/>
      <c r="BD460" s="69"/>
      <c r="BE460" s="69"/>
      <c r="BF460" s="69"/>
      <c r="BG460" s="69"/>
      <c r="BH460" s="69"/>
      <c r="BI460" s="69"/>
      <c r="BJ460" s="69"/>
      <c r="BK460" s="69"/>
      <c r="BL460" s="69"/>
      <c r="BM460" s="69"/>
      <c r="BN460" s="69"/>
      <c r="BO460" s="69"/>
      <c r="BP460" s="63"/>
      <c r="BQ460" s="69"/>
      <c r="BR460" s="719"/>
      <c r="BS460" s="719"/>
      <c r="BT460" s="719"/>
      <c r="BU460" s="719"/>
      <c r="BV460" s="719"/>
      <c r="BW460" s="719"/>
      <c r="BX460" s="719"/>
      <c r="BY460" s="719">
        <f>IFERROR(VLOOKUP($M460,FÉ!$B$41:$L$58,8,FALSE)*$W460*PRP!$J$8,) + IF($M460=FÉ!$B$57, IFERROR(VLOOKUP($Y460,FÉ!$B$385:$L$437,8,FALSE)*$AA460*PRP!$J$8,),0)</f>
        <v>0</v>
      </c>
      <c r="BZ460" s="69">
        <f>IFERROR(VLOOKUP($M460,FÉ!$B$41:$L$58,9,FALSE)*$W460*PRP!$J$9,) + IF($M460=FÉ!$B$57, IFERROR(VLOOKUP($Y460,FÉ!$B$385:$L$437,9,FALSE)*$AA460*PRP!$J$9,),0)</f>
        <v>0</v>
      </c>
      <c r="CA460" s="700">
        <f>IFERROR(VLOOKUP($M460,FÉ!$B$41:$L$58,10,FALSE)*$W460*PRP!$J$10,) + IF($M460=FÉ!$B$57, IFERROR(VLOOKUP($Y460,FÉ!$B$385:$L$437,10,FALSE)*$AA460*PRP!$J$10,),0)</f>
        <v>0</v>
      </c>
      <c r="CB460" s="69">
        <f t="shared" si="106"/>
        <v>0</v>
      </c>
      <c r="CC460" s="722">
        <f t="shared" si="107"/>
        <v>0</v>
      </c>
      <c r="CD460" s="63"/>
      <c r="CE460" s="726"/>
      <c r="CF460" s="727"/>
      <c r="CG460" s="63"/>
      <c r="CH460" s="730">
        <f>IFERROR(IF($M460=0, ,VLOOKUP($M460,FÉ!$B$41:$K$59,7,FALSE))*W460,) + AA460</f>
        <v>0</v>
      </c>
    </row>
    <row r="461" spans="2:86" outlineLevel="1">
      <c r="B461" s="69" t="str">
        <f t="shared" si="104"/>
        <v>23X1</v>
      </c>
      <c r="C461" s="80"/>
      <c r="D461" s="80"/>
      <c r="E461" s="663"/>
      <c r="F461" s="69" t="str">
        <f t="shared" si="105"/>
        <v/>
      </c>
      <c r="G461" s="80"/>
      <c r="H461" s="80"/>
      <c r="I461" s="648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  <c r="AP461" s="69"/>
      <c r="AQ461" s="69"/>
      <c r="AR461" s="69"/>
      <c r="AS461" s="69"/>
      <c r="AT461" s="69"/>
      <c r="AU461" s="69"/>
      <c r="AV461" s="69"/>
      <c r="AW461" s="69"/>
      <c r="AX461" s="69"/>
      <c r="AY461" s="69"/>
      <c r="AZ461" s="69"/>
      <c r="BA461" s="69"/>
      <c r="BB461" s="69"/>
      <c r="BC461" s="69"/>
      <c r="BD461" s="69"/>
      <c r="BE461" s="69"/>
      <c r="BF461" s="69"/>
      <c r="BG461" s="69"/>
      <c r="BH461" s="69"/>
      <c r="BI461" s="69"/>
      <c r="BJ461" s="69"/>
      <c r="BK461" s="69"/>
      <c r="BL461" s="69"/>
      <c r="BM461" s="69"/>
      <c r="BN461" s="69"/>
      <c r="BO461" s="69"/>
      <c r="BP461" s="63"/>
      <c r="BQ461" s="69"/>
      <c r="BR461" s="719"/>
      <c r="BS461" s="719"/>
      <c r="BT461" s="719"/>
      <c r="BU461" s="719"/>
      <c r="BV461" s="719"/>
      <c r="BW461" s="719"/>
      <c r="BX461" s="719"/>
      <c r="BY461" s="719">
        <f>IFERROR(VLOOKUP($M461,FÉ!$B$41:$L$58,8,FALSE)*$W461*PRP!$J$8,) + IF($M461=FÉ!$B$57, IFERROR(VLOOKUP($Y461,FÉ!$B$385:$L$437,8,FALSE)*$AA461*PRP!$J$8,),0)</f>
        <v>0</v>
      </c>
      <c r="BZ461" s="69">
        <f>IFERROR(VLOOKUP($M461,FÉ!$B$41:$L$58,9,FALSE)*$W461*PRP!$J$9,) + IF($M461=FÉ!$B$57, IFERROR(VLOOKUP($Y461,FÉ!$B$385:$L$437,9,FALSE)*$AA461*PRP!$J$9,),0)</f>
        <v>0</v>
      </c>
      <c r="CA461" s="700">
        <f>IFERROR(VLOOKUP($M461,FÉ!$B$41:$L$58,10,FALSE)*$W461*PRP!$J$10,) + IF($M461=FÉ!$B$57, IFERROR(VLOOKUP($Y461,FÉ!$B$385:$L$437,10,FALSE)*$AA461*PRP!$J$10,),0)</f>
        <v>0</v>
      </c>
      <c r="CB461" s="69">
        <f t="shared" si="106"/>
        <v>0</v>
      </c>
      <c r="CC461" s="722">
        <f t="shared" si="107"/>
        <v>0</v>
      </c>
      <c r="CD461" s="63"/>
      <c r="CE461" s="726"/>
      <c r="CF461" s="727"/>
      <c r="CG461" s="63"/>
      <c r="CH461" s="730">
        <f>IFERROR(IF($M461=0, ,VLOOKUP($M461,FÉ!$B$41:$K$59,7,FALSE))*W461,) + AA461</f>
        <v>0</v>
      </c>
    </row>
    <row r="462" spans="2:86" outlineLevel="1">
      <c r="B462" s="69" t="str">
        <f t="shared" si="104"/>
        <v>23X1</v>
      </c>
      <c r="C462" s="80"/>
      <c r="D462" s="80"/>
      <c r="E462" s="663"/>
      <c r="F462" s="69" t="str">
        <f t="shared" si="105"/>
        <v/>
      </c>
      <c r="G462" s="80"/>
      <c r="H462" s="80"/>
      <c r="I462" s="648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  <c r="AP462" s="69"/>
      <c r="AQ462" s="69"/>
      <c r="AR462" s="69"/>
      <c r="AS462" s="69"/>
      <c r="AT462" s="69"/>
      <c r="AU462" s="69"/>
      <c r="AV462" s="69"/>
      <c r="AW462" s="69"/>
      <c r="AX462" s="69"/>
      <c r="AY462" s="69"/>
      <c r="AZ462" s="69"/>
      <c r="BA462" s="69"/>
      <c r="BB462" s="69"/>
      <c r="BC462" s="69"/>
      <c r="BD462" s="69"/>
      <c r="BE462" s="69"/>
      <c r="BF462" s="69"/>
      <c r="BG462" s="69"/>
      <c r="BH462" s="69"/>
      <c r="BI462" s="69"/>
      <c r="BJ462" s="69"/>
      <c r="BK462" s="69"/>
      <c r="BL462" s="69"/>
      <c r="BM462" s="69"/>
      <c r="BN462" s="69"/>
      <c r="BO462" s="69"/>
      <c r="BP462" s="63"/>
      <c r="BQ462" s="69"/>
      <c r="BR462" s="719"/>
      <c r="BS462" s="719"/>
      <c r="BT462" s="719"/>
      <c r="BU462" s="719"/>
      <c r="BV462" s="719"/>
      <c r="BW462" s="719"/>
      <c r="BX462" s="719"/>
      <c r="BY462" s="719">
        <f>IFERROR(VLOOKUP($M462,FÉ!$B$41:$L$58,8,FALSE)*$W462*PRP!$J$8,) + IF($M462=FÉ!$B$57, IFERROR(VLOOKUP($Y462,FÉ!$B$385:$L$437,8,FALSE)*$AA462*PRP!$J$8,),0)</f>
        <v>0</v>
      </c>
      <c r="BZ462" s="69">
        <f>IFERROR(VLOOKUP($M462,FÉ!$B$41:$L$58,9,FALSE)*$W462*PRP!$J$9,) + IF($M462=FÉ!$B$57, IFERROR(VLOOKUP($Y462,FÉ!$B$385:$L$437,9,FALSE)*$AA462*PRP!$J$9,),0)</f>
        <v>0</v>
      </c>
      <c r="CA462" s="700">
        <f>IFERROR(VLOOKUP($M462,FÉ!$B$41:$L$58,10,FALSE)*$W462*PRP!$J$10,) + IF($M462=FÉ!$B$57, IFERROR(VLOOKUP($Y462,FÉ!$B$385:$L$437,10,FALSE)*$AA462*PRP!$J$10,),0)</f>
        <v>0</v>
      </c>
      <c r="CB462" s="69">
        <f t="shared" si="106"/>
        <v>0</v>
      </c>
      <c r="CC462" s="722">
        <f t="shared" si="107"/>
        <v>0</v>
      </c>
      <c r="CD462" s="63"/>
      <c r="CE462" s="726"/>
      <c r="CF462" s="727"/>
      <c r="CG462" s="63"/>
      <c r="CH462" s="730">
        <f>IFERROR(IF($M462=0, ,VLOOKUP($M462,FÉ!$B$41:$K$59,7,FALSE))*W462,) + AA462</f>
        <v>0</v>
      </c>
    </row>
    <row r="463" spans="2:86" outlineLevel="1">
      <c r="B463" s="69" t="str">
        <f t="shared" si="104"/>
        <v>23X1</v>
      </c>
      <c r="C463" s="80"/>
      <c r="D463" s="80"/>
      <c r="E463" s="663"/>
      <c r="F463" s="69" t="str">
        <f t="shared" si="105"/>
        <v/>
      </c>
      <c r="G463" s="80"/>
      <c r="H463" s="80"/>
      <c r="I463" s="648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  <c r="AP463" s="69"/>
      <c r="AQ463" s="69"/>
      <c r="AR463" s="69"/>
      <c r="AS463" s="69"/>
      <c r="AT463" s="69"/>
      <c r="AU463" s="69"/>
      <c r="AV463" s="69"/>
      <c r="AW463" s="69"/>
      <c r="AX463" s="69"/>
      <c r="AY463" s="69"/>
      <c r="AZ463" s="69"/>
      <c r="BA463" s="69"/>
      <c r="BB463" s="69"/>
      <c r="BC463" s="69"/>
      <c r="BD463" s="69"/>
      <c r="BE463" s="69"/>
      <c r="BF463" s="69"/>
      <c r="BG463" s="69"/>
      <c r="BH463" s="69"/>
      <c r="BI463" s="69"/>
      <c r="BJ463" s="69"/>
      <c r="BK463" s="69"/>
      <c r="BL463" s="69"/>
      <c r="BM463" s="69"/>
      <c r="BN463" s="69"/>
      <c r="BO463" s="69"/>
      <c r="BP463" s="63"/>
      <c r="BQ463" s="69"/>
      <c r="BR463" s="719"/>
      <c r="BS463" s="719"/>
      <c r="BT463" s="719"/>
      <c r="BU463" s="719"/>
      <c r="BV463" s="719"/>
      <c r="BW463" s="719"/>
      <c r="BX463" s="719"/>
      <c r="BY463" s="719">
        <f>IFERROR(VLOOKUP($M463,FÉ!$B$41:$L$58,8,FALSE)*$W463*PRP!$J$8,) + IF($M463=FÉ!$B$57, IFERROR(VLOOKUP($Y463,FÉ!$B$385:$L$437,8,FALSE)*$AA463*PRP!$J$8,),0)</f>
        <v>0</v>
      </c>
      <c r="BZ463" s="69">
        <f>IFERROR(VLOOKUP($M463,FÉ!$B$41:$L$58,9,FALSE)*$W463*PRP!$J$9,) + IF($M463=FÉ!$B$57, IFERROR(VLOOKUP($Y463,FÉ!$B$385:$L$437,9,FALSE)*$AA463*PRP!$J$9,),0)</f>
        <v>0</v>
      </c>
      <c r="CA463" s="700">
        <f>IFERROR(VLOOKUP($M463,FÉ!$B$41:$L$58,10,FALSE)*$W463*PRP!$J$10,) + IF($M463=FÉ!$B$57, IFERROR(VLOOKUP($Y463,FÉ!$B$385:$L$437,10,FALSE)*$AA463*PRP!$J$10,),0)</f>
        <v>0</v>
      </c>
      <c r="CB463" s="69">
        <f t="shared" si="106"/>
        <v>0</v>
      </c>
      <c r="CC463" s="722">
        <f t="shared" si="107"/>
        <v>0</v>
      </c>
      <c r="CD463" s="63"/>
      <c r="CE463" s="726"/>
      <c r="CF463" s="727"/>
      <c r="CG463" s="63"/>
      <c r="CH463" s="730">
        <f>IFERROR(IF($M463=0, ,VLOOKUP($M463,FÉ!$B$41:$K$59,7,FALSE))*W463,) + AA463</f>
        <v>0</v>
      </c>
    </row>
    <row r="464" spans="2:86" outlineLevel="1">
      <c r="B464" s="69" t="str">
        <f t="shared" si="104"/>
        <v>23X1</v>
      </c>
      <c r="C464" s="80"/>
      <c r="D464" s="80"/>
      <c r="E464" s="663"/>
      <c r="F464" s="69" t="str">
        <f t="shared" si="105"/>
        <v/>
      </c>
      <c r="G464" s="80"/>
      <c r="H464" s="80"/>
      <c r="I464" s="648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  <c r="AP464" s="69"/>
      <c r="AQ464" s="69"/>
      <c r="AR464" s="69"/>
      <c r="AS464" s="69"/>
      <c r="AT464" s="69"/>
      <c r="AU464" s="69"/>
      <c r="AV464" s="69"/>
      <c r="AW464" s="69"/>
      <c r="AX464" s="69"/>
      <c r="AY464" s="69"/>
      <c r="AZ464" s="69"/>
      <c r="BA464" s="69"/>
      <c r="BB464" s="69"/>
      <c r="BC464" s="69"/>
      <c r="BD464" s="69"/>
      <c r="BE464" s="69"/>
      <c r="BF464" s="69"/>
      <c r="BG464" s="69"/>
      <c r="BH464" s="69"/>
      <c r="BI464" s="69"/>
      <c r="BJ464" s="69"/>
      <c r="BK464" s="69"/>
      <c r="BL464" s="69"/>
      <c r="BM464" s="69"/>
      <c r="BN464" s="69"/>
      <c r="BO464" s="69"/>
      <c r="BP464" s="63"/>
      <c r="BQ464" s="69"/>
      <c r="BR464" s="719"/>
      <c r="BS464" s="719"/>
      <c r="BT464" s="719"/>
      <c r="BU464" s="719"/>
      <c r="BV464" s="719"/>
      <c r="BW464" s="719"/>
      <c r="BX464" s="719"/>
      <c r="BY464" s="719">
        <f>IFERROR(VLOOKUP($M464,FÉ!$B$41:$L$58,8,FALSE)*$W464*PRP!$J$8,) + IF($M464=FÉ!$B$57, IFERROR(VLOOKUP($Y464,FÉ!$B$385:$L$437,8,FALSE)*$AA464*PRP!$J$8,),0)</f>
        <v>0</v>
      </c>
      <c r="BZ464" s="69">
        <f>IFERROR(VLOOKUP($M464,FÉ!$B$41:$L$58,9,FALSE)*$W464*PRP!$J$9,) + IF($M464=FÉ!$B$57, IFERROR(VLOOKUP($Y464,FÉ!$B$385:$L$437,9,FALSE)*$AA464*PRP!$J$9,),0)</f>
        <v>0</v>
      </c>
      <c r="CA464" s="700">
        <f>IFERROR(VLOOKUP($M464,FÉ!$B$41:$L$58,10,FALSE)*$W464*PRP!$J$10,) + IF($M464=FÉ!$B$57, IFERROR(VLOOKUP($Y464,FÉ!$B$385:$L$437,10,FALSE)*$AA464*PRP!$J$10,),0)</f>
        <v>0</v>
      </c>
      <c r="CB464" s="69">
        <f t="shared" si="106"/>
        <v>0</v>
      </c>
      <c r="CC464" s="722">
        <f t="shared" si="107"/>
        <v>0</v>
      </c>
      <c r="CD464" s="63"/>
      <c r="CE464" s="726"/>
      <c r="CF464" s="727"/>
      <c r="CG464" s="63"/>
      <c r="CH464" s="730">
        <f>IFERROR(IF($M464=0, ,VLOOKUP($M464,FÉ!$B$41:$K$59,7,FALSE))*W464,) + AA464</f>
        <v>0</v>
      </c>
    </row>
    <row r="465" spans="2:86" ht="15.75" outlineLevel="1" thickBot="1">
      <c r="B465" s="69" t="str">
        <f t="shared" si="104"/>
        <v>23X1</v>
      </c>
      <c r="C465" s="80"/>
      <c r="D465" s="717"/>
      <c r="E465" s="663"/>
      <c r="F465" s="69" t="str">
        <f t="shared" si="105"/>
        <v/>
      </c>
      <c r="G465" s="80"/>
      <c r="H465" s="80"/>
      <c r="I465" s="648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  <c r="AP465" s="69"/>
      <c r="AQ465" s="69"/>
      <c r="AR465" s="69"/>
      <c r="AS465" s="69"/>
      <c r="AT465" s="69"/>
      <c r="AU465" s="69"/>
      <c r="AV465" s="69"/>
      <c r="AW465" s="69"/>
      <c r="AX465" s="69"/>
      <c r="AY465" s="69"/>
      <c r="AZ465" s="69"/>
      <c r="BA465" s="69"/>
      <c r="BB465" s="69"/>
      <c r="BC465" s="69"/>
      <c r="BD465" s="69"/>
      <c r="BE465" s="69"/>
      <c r="BF465" s="69"/>
      <c r="BG465" s="69"/>
      <c r="BH465" s="69"/>
      <c r="BI465" s="69"/>
      <c r="BJ465" s="69"/>
      <c r="BK465" s="69"/>
      <c r="BL465" s="69"/>
      <c r="BM465" s="69"/>
      <c r="BN465" s="69"/>
      <c r="BO465" s="69"/>
      <c r="BP465" s="63"/>
      <c r="BQ465" s="69"/>
      <c r="BR465" s="719"/>
      <c r="BS465" s="719"/>
      <c r="BT465" s="719"/>
      <c r="BU465" s="719"/>
      <c r="BV465" s="719"/>
      <c r="BW465" s="719"/>
      <c r="BX465" s="719"/>
      <c r="BY465" s="719">
        <f>IFERROR(VLOOKUP($M465,FÉ!$B$41:$L$58,8,FALSE)*$W465*PRP!$J$8,) + IF($M465=FÉ!$B$57, IFERROR(VLOOKUP($Y465,FÉ!$B$385:$L$437,8,FALSE)*$AA465*PRP!$J$8,),0)</f>
        <v>0</v>
      </c>
      <c r="BZ465" s="69">
        <f>IFERROR(VLOOKUP($M465,FÉ!$B$41:$L$58,9,FALSE)*$W465*PRP!$J$9,) + IF($M465=FÉ!$B$57, IFERROR(VLOOKUP($Y465,FÉ!$B$385:$L$437,9,FALSE)*$AA465*PRP!$J$9,),0)</f>
        <v>0</v>
      </c>
      <c r="CA465" s="700">
        <f>IFERROR(VLOOKUP($M465,FÉ!$B$41:$L$58,10,FALSE)*$W465*PRP!$J$10,) + IF($M465=FÉ!$B$57, IFERROR(VLOOKUP($Y465,FÉ!$B$385:$L$437,10,FALSE)*$AA465*PRP!$J$10,),0)</f>
        <v>0</v>
      </c>
      <c r="CB465" s="647">
        <f t="shared" si="106"/>
        <v>0</v>
      </c>
      <c r="CC465" s="723">
        <f t="shared" si="107"/>
        <v>0</v>
      </c>
      <c r="CD465" s="63"/>
      <c r="CE465" s="728"/>
      <c r="CF465" s="729"/>
      <c r="CG465" s="63"/>
      <c r="CH465" s="731">
        <f>IFERROR(IF($M465=0, ,VLOOKUP($M465,FÉ!$B$41:$K$59,7,FALSE))*W465,) + AA465</f>
        <v>0</v>
      </c>
    </row>
    <row r="466" spans="2:86" ht="15.75" outlineLevel="1" thickBot="1">
      <c r="B466" s="72"/>
      <c r="C466" s="78"/>
      <c r="D466" s="78"/>
      <c r="E466" s="707"/>
      <c r="F466" s="707" t="str">
        <f>$B456</f>
        <v>23X1</v>
      </c>
      <c r="G466" s="707" t="str">
        <f>$B456</f>
        <v>23X1</v>
      </c>
      <c r="H466" s="707" t="str">
        <f>$B456</f>
        <v>23X1</v>
      </c>
      <c r="I466" s="707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  <c r="BC466" s="73"/>
      <c r="BD466" s="73"/>
      <c r="BE466" s="73"/>
      <c r="BF466" s="73"/>
      <c r="BG466" s="73"/>
      <c r="BH466" s="73"/>
      <c r="BI466" s="73"/>
      <c r="BJ466" s="73"/>
      <c r="BK466" s="73"/>
      <c r="BL466" s="73"/>
      <c r="BM466" s="73"/>
      <c r="BN466" s="73"/>
      <c r="BO466" s="73"/>
      <c r="BP466" s="63"/>
      <c r="BQ466" s="70"/>
      <c r="BR466" s="70"/>
      <c r="BS466" s="70"/>
      <c r="BT466" s="70"/>
      <c r="BU466" s="70"/>
      <c r="BV466" s="70"/>
      <c r="BW466" s="70"/>
      <c r="BX466" s="70"/>
      <c r="BY466" s="70">
        <f>SUM(BY456:BY465)</f>
        <v>0</v>
      </c>
      <c r="BZ466" s="70">
        <f>SUM(BZ456:BZ465)</f>
        <v>0</v>
      </c>
      <c r="CA466" s="70">
        <f>SUM(CA456:CA465)</f>
        <v>0</v>
      </c>
      <c r="CB466" s="70">
        <f>SUM(CB456:CB465)</f>
        <v>0</v>
      </c>
      <c r="CC466" s="76">
        <f>SUM(CC456:CC465)</f>
        <v>0</v>
      </c>
      <c r="CD466" s="63"/>
      <c r="CE466" s="77">
        <f>SUM(CE456:CE465)</f>
        <v>0</v>
      </c>
      <c r="CF466" s="76">
        <f>SUM(CF456:CF465)</f>
        <v>0</v>
      </c>
      <c r="CG466" s="63"/>
      <c r="CH466" s="664">
        <f>SUM(CH456:CH465)</f>
        <v>0</v>
      </c>
    </row>
  </sheetData>
  <protectedRanges>
    <protectedRange sqref="AC118:AC127 AC145:AC154 AC136" name="Plage2"/>
    <protectedRange sqref="AM397:AM406 AM415:AM424 BA325:BB334 BC343:BD352 BE361:BF370 BI379:BI388 AO235:AR244 AO253:AP262 AT271:AT280 AP271:AR280 AZ271:AZ280 AR289:AR298 AX289:AX298 AP289:AP298 AR307:AR316 AU307:AX316 AT235:AT244 AZ235:AZ244 AR253:AR262 AX253:AX262 AZ253:AZ262 AZ289:AZ298 AZ307:AZ316 AR217:AR226 AY217:AZ226 AP217:AP226" name="Méthode 9E1_1"/>
    <protectedRange sqref="AL415:AL424" name="Méthode 9E1_3"/>
    <protectedRange sqref="AK397:AK406" name="Méthode 9E1_4"/>
    <protectedRange sqref="BG379:BH388 BK433:BK442" name="Méthode 9D1"/>
    <protectedRange sqref="BJ433:BJ442" name="Plage3"/>
  </protectedRanges>
  <dataConsolidate/>
  <mergeCells count="490">
    <mergeCell ref="AY214:AY215"/>
    <mergeCell ref="CH232:CH233"/>
    <mergeCell ref="B247:CH247"/>
    <mergeCell ref="B249:BO249"/>
    <mergeCell ref="BQ249:CH249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AP250:AP251"/>
    <mergeCell ref="AR250:AR251"/>
    <mergeCell ref="AX250:AX251"/>
    <mergeCell ref="AZ250:AZ251"/>
    <mergeCell ref="BU250:BU251"/>
    <mergeCell ref="BV250:BV251"/>
    <mergeCell ref="BY250:CA250"/>
    <mergeCell ref="CB250:CC251"/>
    <mergeCell ref="CE250:CF251"/>
    <mergeCell ref="CH250:CH251"/>
    <mergeCell ref="AO250:AO251"/>
    <mergeCell ref="AW304:AW305"/>
    <mergeCell ref="AU304:AU305"/>
    <mergeCell ref="AV304:AV305"/>
    <mergeCell ref="B229:CH229"/>
    <mergeCell ref="B231:BO231"/>
    <mergeCell ref="BQ231:CH231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AP232:AP233"/>
    <mergeCell ref="AQ232:AQ233"/>
    <mergeCell ref="AR232:AR233"/>
    <mergeCell ref="AT232:AT233"/>
    <mergeCell ref="AZ232:AZ233"/>
    <mergeCell ref="BU232:BU233"/>
    <mergeCell ref="BV232:BV233"/>
    <mergeCell ref="BY232:CA232"/>
    <mergeCell ref="CB232:CC233"/>
    <mergeCell ref="CE232:CF233"/>
    <mergeCell ref="CE286:CF287"/>
    <mergeCell ref="CH286:CH287"/>
    <mergeCell ref="AX286:AX287"/>
    <mergeCell ref="B301:CH301"/>
    <mergeCell ref="B303:BO303"/>
    <mergeCell ref="BQ303:CH303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AR304:AR305"/>
    <mergeCell ref="AX304:AX305"/>
    <mergeCell ref="AZ304:AZ305"/>
    <mergeCell ref="BU304:BU305"/>
    <mergeCell ref="BV304:BV305"/>
    <mergeCell ref="BY304:CA304"/>
    <mergeCell ref="CB304:CC305"/>
    <mergeCell ref="CE304:CF305"/>
    <mergeCell ref="CH304:CH305"/>
    <mergeCell ref="CB268:CC269"/>
    <mergeCell ref="CE268:CF269"/>
    <mergeCell ref="CH268:CH269"/>
    <mergeCell ref="AT268:AT269"/>
    <mergeCell ref="B283:CH283"/>
    <mergeCell ref="B285:BO285"/>
    <mergeCell ref="BQ285:CH285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AP286:AP287"/>
    <mergeCell ref="AR286:AR287"/>
    <mergeCell ref="AZ286:AZ287"/>
    <mergeCell ref="BU286:BU287"/>
    <mergeCell ref="BV286:BV287"/>
    <mergeCell ref="BY286:CA286"/>
    <mergeCell ref="CB286:CC287"/>
    <mergeCell ref="CE214:CF215"/>
    <mergeCell ref="CH214:CH215"/>
    <mergeCell ref="AP214:AP215"/>
    <mergeCell ref="AR214:AR215"/>
    <mergeCell ref="AZ214:AZ215"/>
    <mergeCell ref="CE412:CF413"/>
    <mergeCell ref="CH412:CH413"/>
    <mergeCell ref="BY412:CA412"/>
    <mergeCell ref="CB412:CC413"/>
    <mergeCell ref="BY394:CA394"/>
    <mergeCell ref="CB394:CC395"/>
    <mergeCell ref="CE394:CF395"/>
    <mergeCell ref="CH394:CH395"/>
    <mergeCell ref="B337:CH337"/>
    <mergeCell ref="B265:CH265"/>
    <mergeCell ref="B267:BO267"/>
    <mergeCell ref="BQ267:CH267"/>
    <mergeCell ref="B268:B269"/>
    <mergeCell ref="C268:C269"/>
    <mergeCell ref="D268:D269"/>
    <mergeCell ref="G214:G215"/>
    <mergeCell ref="H214:H215"/>
    <mergeCell ref="I214:I215"/>
    <mergeCell ref="B412:B413"/>
    <mergeCell ref="C412:C413"/>
    <mergeCell ref="BU214:BU215"/>
    <mergeCell ref="BV214:BV215"/>
    <mergeCell ref="BY214:CA214"/>
    <mergeCell ref="CB214:CC215"/>
    <mergeCell ref="I394:I395"/>
    <mergeCell ref="I412:I413"/>
    <mergeCell ref="E268:E269"/>
    <mergeCell ref="F268:F269"/>
    <mergeCell ref="G268:G269"/>
    <mergeCell ref="H268:H269"/>
    <mergeCell ref="I268:I269"/>
    <mergeCell ref="AO232:AO233"/>
    <mergeCell ref="AP268:AP269"/>
    <mergeCell ref="AQ268:AQ269"/>
    <mergeCell ref="AR268:AR269"/>
    <mergeCell ref="AZ268:AZ269"/>
    <mergeCell ref="BU268:BU269"/>
    <mergeCell ref="BV268:BV269"/>
    <mergeCell ref="BY268:CA268"/>
    <mergeCell ref="I453:I454"/>
    <mergeCell ref="AK394:AK395"/>
    <mergeCell ref="AM394:AN395"/>
    <mergeCell ref="AM396:AN396"/>
    <mergeCell ref="AL412:AL413"/>
    <mergeCell ref="AM412:AN413"/>
    <mergeCell ref="AM414:AN414"/>
    <mergeCell ref="D412:D413"/>
    <mergeCell ref="E412:E413"/>
    <mergeCell ref="F412:F413"/>
    <mergeCell ref="G412:G413"/>
    <mergeCell ref="H412:H413"/>
    <mergeCell ref="F394:F395"/>
    <mergeCell ref="G394:G395"/>
    <mergeCell ref="H394:H395"/>
    <mergeCell ref="B409:CH409"/>
    <mergeCell ref="B411:BO411"/>
    <mergeCell ref="BQ411:CH411"/>
    <mergeCell ref="B452:BO452"/>
    <mergeCell ref="BQ452:CH452"/>
    <mergeCell ref="B453:B454"/>
    <mergeCell ref="C453:C454"/>
    <mergeCell ref="D453:D454"/>
    <mergeCell ref="E453:E454"/>
    <mergeCell ref="CH142:CH143"/>
    <mergeCell ref="B450:CH450"/>
    <mergeCell ref="B391:CH391"/>
    <mergeCell ref="B393:BO393"/>
    <mergeCell ref="BQ393:CH393"/>
    <mergeCell ref="B394:B395"/>
    <mergeCell ref="C394:C395"/>
    <mergeCell ref="D394:D395"/>
    <mergeCell ref="E394:E395"/>
    <mergeCell ref="AC142:AC143"/>
    <mergeCell ref="AD142:AD143"/>
    <mergeCell ref="AE142:AE143"/>
    <mergeCell ref="AF142:AF143"/>
    <mergeCell ref="BQ142:BQ143"/>
    <mergeCell ref="BR142:BR143"/>
    <mergeCell ref="BS142:BS143"/>
    <mergeCell ref="BT142:BT143"/>
    <mergeCell ref="B175:CH175"/>
    <mergeCell ref="B177:BO177"/>
    <mergeCell ref="BQ177:CH177"/>
    <mergeCell ref="B178:B179"/>
    <mergeCell ref="C178:C179"/>
    <mergeCell ref="B211:CH211"/>
    <mergeCell ref="B213:BO213"/>
    <mergeCell ref="F453:F454"/>
    <mergeCell ref="G453:G454"/>
    <mergeCell ref="H453:H454"/>
    <mergeCell ref="BY453:CA453"/>
    <mergeCell ref="CB453:CC454"/>
    <mergeCell ref="CE453:CF454"/>
    <mergeCell ref="CH453:CH454"/>
    <mergeCell ref="BQ78:CH78"/>
    <mergeCell ref="BQ96:CH96"/>
    <mergeCell ref="BQ114:CH114"/>
    <mergeCell ref="B78:BO78"/>
    <mergeCell ref="I79:I80"/>
    <mergeCell ref="I97:I98"/>
    <mergeCell ref="I115:I116"/>
    <mergeCell ref="I160:I161"/>
    <mergeCell ref="AH160:AH161"/>
    <mergeCell ref="AI160:AI161"/>
    <mergeCell ref="G160:G161"/>
    <mergeCell ref="H160:H161"/>
    <mergeCell ref="B160:B161"/>
    <mergeCell ref="C160:C161"/>
    <mergeCell ref="D160:D161"/>
    <mergeCell ref="E160:E161"/>
    <mergeCell ref="F160:F161"/>
    <mergeCell ref="CE133:CF134"/>
    <mergeCell ref="B157:CH157"/>
    <mergeCell ref="B159:BO159"/>
    <mergeCell ref="BQ159:CH159"/>
    <mergeCell ref="BQ133:BQ134"/>
    <mergeCell ref="BY160:CA160"/>
    <mergeCell ref="CB160:CC161"/>
    <mergeCell ref="CE160:CF161"/>
    <mergeCell ref="CH160:CH161"/>
    <mergeCell ref="CH133:CH134"/>
    <mergeCell ref="B139:CH139"/>
    <mergeCell ref="B141:BO141"/>
    <mergeCell ref="BQ141:CH141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BY142:CA142"/>
    <mergeCell ref="CB142:CC143"/>
    <mergeCell ref="CE142:CF143"/>
    <mergeCell ref="BQ115:BQ116"/>
    <mergeCell ref="BR115:BR116"/>
    <mergeCell ref="BS115:BS116"/>
    <mergeCell ref="BT115:BT116"/>
    <mergeCell ref="B130:CH130"/>
    <mergeCell ref="B132:BO132"/>
    <mergeCell ref="BQ132:CH132"/>
    <mergeCell ref="B133:B134"/>
    <mergeCell ref="C133:C134"/>
    <mergeCell ref="B115:B116"/>
    <mergeCell ref="C115:C116"/>
    <mergeCell ref="E115:E116"/>
    <mergeCell ref="F115:F116"/>
    <mergeCell ref="G115:G116"/>
    <mergeCell ref="H115:H116"/>
    <mergeCell ref="BR133:BR134"/>
    <mergeCell ref="BS133:BS134"/>
    <mergeCell ref="BT133:BT134"/>
    <mergeCell ref="BY133:CA133"/>
    <mergeCell ref="CH115:CH116"/>
    <mergeCell ref="BY115:CA115"/>
    <mergeCell ref="CB115:CC116"/>
    <mergeCell ref="CE115:CF116"/>
    <mergeCell ref="CB133:CC134"/>
    <mergeCell ref="D61:D62"/>
    <mergeCell ref="D79:D80"/>
    <mergeCell ref="D97:D98"/>
    <mergeCell ref="D115:D116"/>
    <mergeCell ref="AC115:AC116"/>
    <mergeCell ref="AD115:AD116"/>
    <mergeCell ref="AE115:AE116"/>
    <mergeCell ref="AF115:AF116"/>
    <mergeCell ref="AC133:AC134"/>
    <mergeCell ref="AD133:AD134"/>
    <mergeCell ref="AE133:AE134"/>
    <mergeCell ref="AF133:AF134"/>
    <mergeCell ref="B112:CH112"/>
    <mergeCell ref="B114:BO114"/>
    <mergeCell ref="B96:BO96"/>
    <mergeCell ref="B94:CH94"/>
    <mergeCell ref="T61:T62"/>
    <mergeCell ref="V61:V62"/>
    <mergeCell ref="B79:B80"/>
    <mergeCell ref="W79:X80"/>
    <mergeCell ref="BY79:CA79"/>
    <mergeCell ref="CB79:CC80"/>
    <mergeCell ref="CE79:CF80"/>
    <mergeCell ref="CH79:CH80"/>
    <mergeCell ref="W81:X81"/>
    <mergeCell ref="C79:C80"/>
    <mergeCell ref="E79:E80"/>
    <mergeCell ref="F79:F80"/>
    <mergeCell ref="G79:G80"/>
    <mergeCell ref="H79:H80"/>
    <mergeCell ref="M79:M80"/>
    <mergeCell ref="N79:N80"/>
    <mergeCell ref="O79:O80"/>
    <mergeCell ref="CB3:CC3"/>
    <mergeCell ref="CE3:CF3"/>
    <mergeCell ref="B7:BO7"/>
    <mergeCell ref="B35:BO35"/>
    <mergeCell ref="B60:BO60"/>
    <mergeCell ref="BY36:CA36"/>
    <mergeCell ref="CB36:CC37"/>
    <mergeCell ref="CE36:CF37"/>
    <mergeCell ref="K8:L9"/>
    <mergeCell ref="BY8:CA8"/>
    <mergeCell ref="CB8:CC9"/>
    <mergeCell ref="CE8:CF9"/>
    <mergeCell ref="D8:D9"/>
    <mergeCell ref="D36:D37"/>
    <mergeCell ref="BQ7:CH7"/>
    <mergeCell ref="BQ35:CH35"/>
    <mergeCell ref="C8:C9"/>
    <mergeCell ref="C36:C37"/>
    <mergeCell ref="B33:CH33"/>
    <mergeCell ref="B36:B37"/>
    <mergeCell ref="E36:E37"/>
    <mergeCell ref="CH97:CH98"/>
    <mergeCell ref="W98:X98"/>
    <mergeCell ref="AA98:AB98"/>
    <mergeCell ref="CE61:CF62"/>
    <mergeCell ref="CH61:CH62"/>
    <mergeCell ref="B58:CH58"/>
    <mergeCell ref="B61:B62"/>
    <mergeCell ref="E61:E62"/>
    <mergeCell ref="F61:F62"/>
    <mergeCell ref="G61:G62"/>
    <mergeCell ref="H61:H62"/>
    <mergeCell ref="M61:M62"/>
    <mergeCell ref="I61:I62"/>
    <mergeCell ref="BQ60:CH60"/>
    <mergeCell ref="F36:F37"/>
    <mergeCell ref="G36:G37"/>
    <mergeCell ref="H36:H37"/>
    <mergeCell ref="M36:M37"/>
    <mergeCell ref="W63:X63"/>
    <mergeCell ref="C61:C62"/>
    <mergeCell ref="B76:CH76"/>
    <mergeCell ref="B97:B98"/>
    <mergeCell ref="M97:M98"/>
    <mergeCell ref="V97:X97"/>
    <mergeCell ref="Y97:AB97"/>
    <mergeCell ref="BY97:CA97"/>
    <mergeCell ref="P97:P98"/>
    <mergeCell ref="Q97:Q98"/>
    <mergeCell ref="R97:R98"/>
    <mergeCell ref="T97:T98"/>
    <mergeCell ref="U97:U98"/>
    <mergeCell ref="C97:C98"/>
    <mergeCell ref="E97:E98"/>
    <mergeCell ref="F97:F98"/>
    <mergeCell ref="G97:G98"/>
    <mergeCell ref="H97:H98"/>
    <mergeCell ref="CH8:CH9"/>
    <mergeCell ref="K10:L10"/>
    <mergeCell ref="B5:CH5"/>
    <mergeCell ref="B8:B9"/>
    <mergeCell ref="E8:E9"/>
    <mergeCell ref="F8:F9"/>
    <mergeCell ref="G8:G9"/>
    <mergeCell ref="H8:H9"/>
    <mergeCell ref="J8:J9"/>
    <mergeCell ref="I8:I9"/>
    <mergeCell ref="I36:I37"/>
    <mergeCell ref="BY178:CA178"/>
    <mergeCell ref="CB178:CC179"/>
    <mergeCell ref="CE178:CF179"/>
    <mergeCell ref="CH178:CH179"/>
    <mergeCell ref="AJ178:AJ179"/>
    <mergeCell ref="D178:D179"/>
    <mergeCell ref="E178:E179"/>
    <mergeCell ref="F178:F179"/>
    <mergeCell ref="G178:G179"/>
    <mergeCell ref="H178:H179"/>
    <mergeCell ref="I178:I179"/>
    <mergeCell ref="AH178:AH179"/>
    <mergeCell ref="AI178:AI179"/>
    <mergeCell ref="W99:X99"/>
    <mergeCell ref="AA99:AB99"/>
    <mergeCell ref="CB97:CC98"/>
    <mergeCell ref="CE97:CF98"/>
    <mergeCell ref="W36:X37"/>
    <mergeCell ref="CH36:CH37"/>
    <mergeCell ref="W38:X38"/>
    <mergeCell ref="W61:X62"/>
    <mergeCell ref="BY61:CA61"/>
    <mergeCell ref="CB61:CC62"/>
    <mergeCell ref="CB196:CC197"/>
    <mergeCell ref="CE196:CF197"/>
    <mergeCell ref="B193:CH193"/>
    <mergeCell ref="B195:BO195"/>
    <mergeCell ref="BQ195:CH195"/>
    <mergeCell ref="B196:B197"/>
    <mergeCell ref="C196:C197"/>
    <mergeCell ref="D196:D197"/>
    <mergeCell ref="E196:E197"/>
    <mergeCell ref="CH196:CH197"/>
    <mergeCell ref="J196:J197"/>
    <mergeCell ref="K196:L197"/>
    <mergeCell ref="F196:F197"/>
    <mergeCell ref="G196:G197"/>
    <mergeCell ref="H196:H197"/>
    <mergeCell ref="I196:I197"/>
    <mergeCell ref="BY196:CA196"/>
    <mergeCell ref="K198:L198"/>
    <mergeCell ref="B319:CH319"/>
    <mergeCell ref="B321:BO321"/>
    <mergeCell ref="BQ321:CH321"/>
    <mergeCell ref="B322:B323"/>
    <mergeCell ref="C322:C323"/>
    <mergeCell ref="D322:D323"/>
    <mergeCell ref="E322:E323"/>
    <mergeCell ref="F322:F323"/>
    <mergeCell ref="G322:G323"/>
    <mergeCell ref="H322:H323"/>
    <mergeCell ref="I322:I323"/>
    <mergeCell ref="BY322:CA322"/>
    <mergeCell ref="CB322:CC323"/>
    <mergeCell ref="CE322:CF323"/>
    <mergeCell ref="CH322:CH323"/>
    <mergeCell ref="BA322:BA323"/>
    <mergeCell ref="BB322:BB323"/>
    <mergeCell ref="BQ213:CH213"/>
    <mergeCell ref="B214:B215"/>
    <mergeCell ref="C214:C215"/>
    <mergeCell ref="D214:D215"/>
    <mergeCell ref="E214:E215"/>
    <mergeCell ref="F214:F215"/>
    <mergeCell ref="B339:BO339"/>
    <mergeCell ref="BQ339:CH339"/>
    <mergeCell ref="B340:B341"/>
    <mergeCell ref="C340:C341"/>
    <mergeCell ref="D340:D341"/>
    <mergeCell ref="E340:E341"/>
    <mergeCell ref="F340:F341"/>
    <mergeCell ref="G340:G341"/>
    <mergeCell ref="H340:H341"/>
    <mergeCell ref="I340:I341"/>
    <mergeCell ref="BY340:CA340"/>
    <mergeCell ref="CB340:CC341"/>
    <mergeCell ref="CE340:CF341"/>
    <mergeCell ref="CH340:CH341"/>
    <mergeCell ref="BC340:BC341"/>
    <mergeCell ref="BD340:BD341"/>
    <mergeCell ref="B355:CH355"/>
    <mergeCell ref="B357:BO357"/>
    <mergeCell ref="BQ357:CH357"/>
    <mergeCell ref="B358:B359"/>
    <mergeCell ref="C358:C359"/>
    <mergeCell ref="D358:D359"/>
    <mergeCell ref="E358:E359"/>
    <mergeCell ref="F358:F359"/>
    <mergeCell ref="G358:G359"/>
    <mergeCell ref="H358:H359"/>
    <mergeCell ref="I358:I359"/>
    <mergeCell ref="BY358:CA358"/>
    <mergeCell ref="CB358:CC359"/>
    <mergeCell ref="CE358:CF359"/>
    <mergeCell ref="CH358:CH359"/>
    <mergeCell ref="BE358:BE359"/>
    <mergeCell ref="BF358:BF359"/>
    <mergeCell ref="B373:CH373"/>
    <mergeCell ref="B375:BO375"/>
    <mergeCell ref="BQ375:CH375"/>
    <mergeCell ref="B376:B377"/>
    <mergeCell ref="C376:C377"/>
    <mergeCell ref="D376:D377"/>
    <mergeCell ref="E376:E377"/>
    <mergeCell ref="F376:F377"/>
    <mergeCell ref="G376:G377"/>
    <mergeCell ref="H376:H377"/>
    <mergeCell ref="I376:I377"/>
    <mergeCell ref="BY376:CA376"/>
    <mergeCell ref="CB376:CC377"/>
    <mergeCell ref="CE376:CF377"/>
    <mergeCell ref="CH376:CH377"/>
    <mergeCell ref="BI376:BI377"/>
    <mergeCell ref="BG376:BG377"/>
    <mergeCell ref="BH376:BH377"/>
    <mergeCell ref="B427:CH427"/>
    <mergeCell ref="B429:BO429"/>
    <mergeCell ref="BQ429:CH429"/>
    <mergeCell ref="B430:B431"/>
    <mergeCell ref="C430:C431"/>
    <mergeCell ref="D430:D431"/>
    <mergeCell ref="E430:E431"/>
    <mergeCell ref="F430:F431"/>
    <mergeCell ref="G430:G431"/>
    <mergeCell ref="H430:H431"/>
    <mergeCell ref="I430:I431"/>
    <mergeCell ref="BY430:CA430"/>
    <mergeCell ref="CB430:CC431"/>
    <mergeCell ref="CE430:CF431"/>
    <mergeCell ref="CH430:CH431"/>
    <mergeCell ref="BJ430:BJ431"/>
    <mergeCell ref="BK430:BK431"/>
  </mergeCells>
  <dataValidations count="8">
    <dataValidation type="list" allowBlank="1" showInputMessage="1" showErrorMessage="1" sqref="L199:L208 J199:J208 J11:J30 L11:L30" xr:uid="{EFE4F375-E443-4843-B6FF-F2DFB9EF4DA6}">
      <formula1>Équipements_fixes</formula1>
    </dataValidation>
    <dataValidation type="list" allowBlank="1" showInputMessage="1" showErrorMessage="1" sqref="M39:M55 W82:X91 M82:M91 V64:X73 M64:M73 T64:T73 W39:X55 L100:M109" xr:uid="{087886F8-89CA-4D05-AF52-CA3AAA020C21}">
      <formula1>Équipements_mobiles</formula1>
    </dataValidation>
    <dataValidation type="list" allowBlank="1" showInputMessage="1" showErrorMessage="1" sqref="Y100:Y109 AH163:AH172 AH181:AH190" xr:uid="{9D641050-91BC-4AF8-BEF7-C9778A405F08}">
      <formula1>Grid</formula1>
    </dataValidation>
    <dataValidation type="list" allowBlank="1" showInputMessage="1" showErrorMessage="1" sqref="R100:S109" xr:uid="{148AD2A6-2540-4D8E-963F-98A193BD29AB}">
      <formula1>Modèle</formula1>
    </dataValidation>
    <dataValidation type="list" allowBlank="1" showInputMessage="1" showErrorMessage="1" sqref="Q100:Q109" xr:uid="{19786D38-A699-491A-AB2E-17FCE2BCFB99}">
      <formula1>Marque</formula1>
    </dataValidation>
    <dataValidation type="list" allowBlank="1" showInputMessage="1" showErrorMessage="1" sqref="P100:P109" xr:uid="{3B5C712D-453D-4903-992C-0F69E5263F5F}">
      <formula1>Année</formula1>
    </dataValidation>
    <dataValidation type="list" allowBlank="1" showInputMessage="1" showErrorMessage="1" sqref="AP271:AP280 AP235:AP244" xr:uid="{BA874D7F-95EF-4006-8CC9-6706D53F6255}">
      <formula1>Équipements_mobiles</formula1>
    </dataValidation>
    <dataValidation type="list" allowBlank="1" showInputMessage="1" showErrorMessage="1" sqref="AX253:AX262 AX289:AX298 AX307:AX316" xr:uid="{8ECBE17C-6AC2-494D-9B7A-9EBDBC29B35E}">
      <formula1>Oui_Non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6DE6BFE6-E6DB-435D-BA92-8137DDC52B1F}">
          <x14:formula1>
            <xm:f>'Détails Entreprise'!$H$9:$H$13</xm:f>
          </x14:formula1>
          <xm:sqref>H145:H154 H217:H226 H253:H262 H235:H244 H307:H316 H289:H298 H271:H280 H433:H442 H379:H388 H361:H370 H343:H352 H11:H30 H456:H465 H415:H424 H397:H406 H118:H127 H64:H73 H39:H55 H199:H208 H100:H109 H325:H334 H82:H91 H163:H172 H181:H190</xm:sqref>
        </x14:dataValidation>
        <x14:dataValidation type="list" allowBlank="1" showInputMessage="1" showErrorMessage="1" xr:uid="{85F2480A-86DF-4843-A87B-4C9D78B6FEDA}">
          <x14:formula1>
            <xm:f>'Détails Entreprise'!$B$9:$B$13</xm:f>
          </x14:formula1>
          <xm:sqref>G163:G172 G64:G73 G82:G91 G100:G109 G118:G127 G181:G190 G11:G30 G39:G55 G145:G154 G456:G465 G397:G406 G415:G424 G199:G208 G325:G334 G343:G352 G361:G370 G379:G388 G433:G442 G271:G280 G289:G298 G307:G316 G235:G244 G253:G262 G217:G226</xm:sqref>
        </x14:dataValidation>
        <x14:dataValidation type="list" allowBlank="1" showInputMessage="1" showErrorMessage="1" xr:uid="{693E8814-E1F9-4A1A-8AC9-FB7F74BA8A82}">
          <x14:formula1>
            <xm:f>FÉ!$C$367:$C$372</xm:f>
          </x14:formula1>
          <xm:sqref>AC118:AC127 AC136 AC145:AC154</xm:sqref>
        </x14:dataValidation>
        <x14:dataValidation type="list" allowBlank="1" showInputMessage="1" showErrorMessage="1" xr:uid="{23435214-6C03-41F2-BC99-1F79441D094A}">
          <x14:formula1>
            <xm:f>FÉ!$B$365:$B$380</xm:f>
          </x14:formula1>
          <xm:sqref>AD118:AD127 AD136 AD145:AD154</xm:sqref>
        </x14:dataValidation>
        <x14:dataValidation type="list" allowBlank="1" showInputMessage="1" showErrorMessage="1" xr:uid="{5F92ED4C-55C1-47BF-AA5E-0C1204099DE3}">
          <x14:formula1>
            <xm:f>FÉ!$C$762:$C$800</xm:f>
          </x14:formula1>
          <xm:sqref>AK397:AK406</xm:sqref>
        </x14:dataValidation>
        <x14:dataValidation type="list" allowBlank="1" showInputMessage="1" showErrorMessage="1" xr:uid="{6F29F12C-23E9-4169-BE08-CC5EE107E03F}">
          <x14:formula1>
            <xm:f>FÉ!$C$801:$C$815</xm:f>
          </x14:formula1>
          <xm:sqref>AL415:AL424</xm:sqref>
        </x14:dataValidation>
        <x14:dataValidation type="list" allowBlank="1" showInputMessage="1" showErrorMessage="1" xr:uid="{3F556951-BCFA-46B2-BF16-DDBA8A736F97}">
          <x14:formula1>
            <xm:f>FÉ!$B$513:$B$527</xm:f>
          </x14:formula1>
          <xm:sqref>BA325:BA334</xm:sqref>
        </x14:dataValidation>
        <x14:dataValidation type="list" allowBlank="1" showInputMessage="1" showErrorMessage="1" xr:uid="{901CC3CA-745D-4D3E-B0E3-6C87228857BE}">
          <x14:formula1>
            <xm:f>FÉ!$B$532:$B$534</xm:f>
          </x14:formula1>
          <xm:sqref>BC343:BC352</xm:sqref>
        </x14:dataValidation>
        <x14:dataValidation type="list" allowBlank="1" showInputMessage="1" showErrorMessage="1" xr:uid="{64D5EA3E-9B90-4349-AF42-05316BDB5D54}">
          <x14:formula1>
            <xm:f>FÉ!$B$539:$B$543</xm:f>
          </x14:formula1>
          <xm:sqref>BE361:BE370</xm:sqref>
        </x14:dataValidation>
        <x14:dataValidation type="list" allowBlank="1" showInputMessage="1" showErrorMessage="1" xr:uid="{5FD8B4B4-FFC9-48D3-8F3D-13C4363D1A2A}">
          <x14:formula1>
            <xm:f>FÉ!$B$548:$B$565</xm:f>
          </x14:formula1>
          <xm:sqref>BG379:BG388</xm:sqref>
        </x14:dataValidation>
        <x14:dataValidation type="list" allowBlank="1" showInputMessage="1" showErrorMessage="1" xr:uid="{AB07BA01-5F1F-4368-9708-54E9BF699783}">
          <x14:formula1>
            <xm:f>FÉ!$C$548:$C$565</xm:f>
          </x14:formula1>
          <xm:sqref>BH379:BH388</xm:sqref>
        </x14:dataValidation>
        <x14:dataValidation type="list" allowBlank="1" showInputMessage="1" showErrorMessage="1" xr:uid="{3BC57F69-7225-44D9-BE82-E3A621EC8F0D}">
          <x14:formula1>
            <xm:f>FÉ!$C$722:$C$728</xm:f>
          </x14:formula1>
          <xm:sqref>BJ433:BJ442</xm:sqref>
        </x14:dataValidation>
        <x14:dataValidation type="list" allowBlank="1" showInputMessage="1" showErrorMessage="1" xr:uid="{3A9DC063-0EB2-4D42-9F60-19521884F08C}">
          <x14:formula1>
            <xm:f>'Listes déroulantes, autres'!$J$9:$J$11</xm:f>
          </x14:formula1>
          <xm:sqref>AP289:AP298 AP253:AP262</xm:sqref>
        </x14:dataValidation>
        <x14:dataValidation type="list" allowBlank="1" showInputMessage="1" showErrorMessage="1" xr:uid="{A2DBF9DB-8C5E-42A6-B3C2-C729DFC68D0E}">
          <x14:formula1>
            <xm:f>FÉ!$C$93:$C$107</xm:f>
          </x14:formula1>
          <xm:sqref>AW307:AW316</xm:sqref>
        </x14:dataValidation>
        <x14:dataValidation type="list" allowBlank="1" showInputMessage="1" showErrorMessage="1" xr:uid="{D8ED59FC-7141-40CB-9530-194E68E7B4D7}">
          <x14:formula1>
            <xm:f>FÉ!$B$64:$B$73</xm:f>
          </x14:formula1>
          <xm:sqref>AP217:AP226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118DE-545B-48FB-A78F-3E82E766F1F3}">
  <sheetPr codeName="Feuil9">
    <tabColor theme="8" tint="0.39997558519241921"/>
  </sheetPr>
  <dimension ref="B1:L2253"/>
  <sheetViews>
    <sheetView workbookViewId="0">
      <selection activeCell="B11" sqref="B11:B30"/>
    </sheetView>
  </sheetViews>
  <sheetFormatPr baseColWidth="10" defaultRowHeight="15"/>
  <cols>
    <col min="1" max="1" width="3.7109375" style="1" customWidth="1"/>
    <col min="2" max="3" width="18.7109375" style="1" bestFit="1" customWidth="1"/>
    <col min="4" max="4" width="14.42578125" style="1" bestFit="1" customWidth="1"/>
    <col min="5" max="5" width="15.28515625" style="1" bestFit="1" customWidth="1"/>
    <col min="6" max="6" width="18.7109375" style="1" bestFit="1" customWidth="1"/>
    <col min="7" max="7" width="11.42578125" style="1" bestFit="1"/>
    <col min="8" max="8" width="2.28515625" style="1" customWidth="1"/>
    <col min="9" max="9" width="18.7109375" style="1" bestFit="1" customWidth="1"/>
    <col min="10" max="10" width="14.5703125" style="1" bestFit="1" customWidth="1"/>
    <col min="11" max="11" width="3.28515625" style="1" customWidth="1"/>
    <col min="12" max="12" width="24.28515625" style="1" bestFit="1" customWidth="1"/>
    <col min="13" max="16384" width="11.42578125" style="1"/>
  </cols>
  <sheetData>
    <row r="1" spans="2:12" ht="32.25" thickBot="1">
      <c r="B1" s="740" t="s">
        <v>6375</v>
      </c>
      <c r="C1" s="740"/>
      <c r="D1" s="740"/>
      <c r="E1" s="740"/>
      <c r="F1" s="740"/>
      <c r="G1" s="740"/>
      <c r="H1" s="740"/>
      <c r="I1" s="740"/>
      <c r="J1" s="740"/>
      <c r="K1" s="740"/>
      <c r="L1" s="741"/>
    </row>
    <row r="2" spans="2:12" ht="15.75" thickBot="1"/>
    <row r="3" spans="2:12" ht="38.25" thickBot="1">
      <c r="B3" s="743" t="str">
        <f>Calculs!B3</f>
        <v># méthode</v>
      </c>
      <c r="C3" s="744" t="str">
        <f>Calculs!BY3</f>
        <v>CO2</v>
      </c>
      <c r="D3" s="744" t="str">
        <f>Calculs!BZ3</f>
        <v>CH4</v>
      </c>
      <c r="E3" s="744" t="str">
        <f>Calculs!CA3</f>
        <v>N2O</v>
      </c>
      <c r="F3" s="745" t="str">
        <f>Calculs!CB3</f>
        <v>Total GES :</v>
      </c>
      <c r="G3" s="746"/>
      <c r="H3" s="746"/>
      <c r="I3" s="745" t="str">
        <f>Calculs!CE3</f>
        <v>Total CO2 Biogénique :</v>
      </c>
      <c r="J3" s="746"/>
      <c r="K3" s="746"/>
      <c r="L3" s="747" t="str">
        <f>Calculs!CH3</f>
        <v>Énergie équivalente</v>
      </c>
    </row>
    <row r="4" spans="2:12">
      <c r="B4" s="742">
        <f>Calculs!B4</f>
        <v>0</v>
      </c>
      <c r="C4" s="742">
        <f>Calculs!BY4</f>
        <v>0</v>
      </c>
      <c r="D4" s="742">
        <f>Calculs!BZ4</f>
        <v>0</v>
      </c>
      <c r="E4" s="742">
        <f>Calculs!CA4</f>
        <v>0</v>
      </c>
      <c r="F4" s="742">
        <f>Calculs!CB4</f>
        <v>0</v>
      </c>
      <c r="G4" s="742">
        <f>Calculs!CC4</f>
        <v>0</v>
      </c>
      <c r="H4" s="742"/>
      <c r="I4" s="742">
        <f>Calculs!CE4</f>
        <v>0</v>
      </c>
      <c r="J4" s="742">
        <f>Calculs!CF4</f>
        <v>0</v>
      </c>
      <c r="K4" s="742"/>
      <c r="L4" s="742">
        <f>Calculs!CH4</f>
        <v>0</v>
      </c>
    </row>
    <row r="5" spans="2:12">
      <c r="B5" s="742" t="str">
        <f>Calculs!B5</f>
        <v>1.1A1 - Chauffage des bâtiments et équipements fixes</v>
      </c>
      <c r="C5" s="742">
        <f>Calculs!BY5</f>
        <v>0</v>
      </c>
      <c r="D5" s="742">
        <f>Calculs!BZ5</f>
        <v>0</v>
      </c>
      <c r="E5" s="742">
        <f>Calculs!CA5</f>
        <v>0</v>
      </c>
      <c r="F5" s="742">
        <f>Calculs!CB5</f>
        <v>0</v>
      </c>
      <c r="G5" s="742">
        <f>Calculs!CC5</f>
        <v>0</v>
      </c>
      <c r="H5" s="742"/>
      <c r="I5" s="742">
        <f>Calculs!CE5</f>
        <v>0</v>
      </c>
      <c r="J5" s="742">
        <f>Calculs!CF5</f>
        <v>0</v>
      </c>
      <c r="K5" s="742"/>
      <c r="L5" s="742">
        <f>Calculs!CH5</f>
        <v>0</v>
      </c>
    </row>
    <row r="6" spans="2:12">
      <c r="B6" s="742">
        <f>Calculs!B6</f>
        <v>0</v>
      </c>
      <c r="C6" s="742">
        <f>Calculs!BY6</f>
        <v>0</v>
      </c>
      <c r="D6" s="742">
        <f>Calculs!BZ6</f>
        <v>0</v>
      </c>
      <c r="E6" s="742">
        <f>Calculs!CA6</f>
        <v>0</v>
      </c>
      <c r="F6" s="742">
        <f>Calculs!CB6</f>
        <v>0</v>
      </c>
      <c r="G6" s="742">
        <f>Calculs!CC6</f>
        <v>0</v>
      </c>
      <c r="H6" s="742"/>
      <c r="I6" s="742">
        <f>Calculs!CE6</f>
        <v>0</v>
      </c>
      <c r="J6" s="742">
        <f>Calculs!CF6</f>
        <v>0</v>
      </c>
      <c r="K6" s="742"/>
      <c r="L6" s="742">
        <f>Calculs!CH6</f>
        <v>0</v>
      </c>
    </row>
    <row r="7" spans="2:12">
      <c r="B7" s="742" t="str">
        <f>Calculs!B7</f>
        <v>Données d'activité</v>
      </c>
      <c r="C7" s="742">
        <f>Calculs!BY7</f>
        <v>0</v>
      </c>
      <c r="D7" s="742">
        <f>Calculs!BZ7</f>
        <v>0</v>
      </c>
      <c r="E7" s="742">
        <f>Calculs!CA7</f>
        <v>0</v>
      </c>
      <c r="F7" s="742">
        <f>Calculs!CB7</f>
        <v>0</v>
      </c>
      <c r="G7" s="742">
        <f>Calculs!CC7</f>
        <v>0</v>
      </c>
      <c r="H7" s="742"/>
      <c r="I7" s="742">
        <f>Calculs!CE7</f>
        <v>0</v>
      </c>
      <c r="J7" s="742">
        <f>Calculs!CF7</f>
        <v>0</v>
      </c>
      <c r="K7" s="742"/>
      <c r="L7" s="742">
        <f>Calculs!CH7</f>
        <v>0</v>
      </c>
    </row>
    <row r="8" spans="2:12" ht="15" customHeight="1">
      <c r="B8" s="742" t="str">
        <f>Calculs!B8</f>
        <v># méthode</v>
      </c>
      <c r="C8" s="742" t="str">
        <f>Calculs!BY8</f>
        <v>Émissions GES</v>
      </c>
      <c r="D8" s="742">
        <f>Calculs!BZ8</f>
        <v>0</v>
      </c>
      <c r="E8" s="742">
        <f>Calculs!CA8</f>
        <v>0</v>
      </c>
      <c r="F8" s="742" t="str">
        <f>Calculs!CB8</f>
        <v>Total GES :</v>
      </c>
      <c r="G8" s="742">
        <f>Calculs!CC8</f>
        <v>0</v>
      </c>
      <c r="H8" s="742"/>
      <c r="I8" s="742" t="str">
        <f>Calculs!CE8</f>
        <v>Total CO2 Biogénique :</v>
      </c>
      <c r="J8" s="742">
        <f>Calculs!CF8</f>
        <v>0</v>
      </c>
      <c r="K8" s="742"/>
      <c r="L8" s="742" t="str">
        <f>Calculs!CH8</f>
        <v>Énergie équivalente</v>
      </c>
    </row>
    <row r="9" spans="2:12">
      <c r="B9" s="742">
        <f>Calculs!B9</f>
        <v>0</v>
      </c>
      <c r="C9" s="742" t="str">
        <f>Calculs!BY9</f>
        <v>CO2</v>
      </c>
      <c r="D9" s="742" t="str">
        <f>Calculs!BZ9</f>
        <v>CH4</v>
      </c>
      <c r="E9" s="742" t="str">
        <f>Calculs!CA9</f>
        <v>N2O</v>
      </c>
      <c r="F9" s="742">
        <f>Calculs!CB9</f>
        <v>0</v>
      </c>
      <c r="G9" s="742">
        <f>Calculs!CC9</f>
        <v>0</v>
      </c>
      <c r="H9" s="742"/>
      <c r="I9" s="742">
        <f>Calculs!CE9</f>
        <v>0</v>
      </c>
      <c r="J9" s="742">
        <f>Calculs!CF9</f>
        <v>0</v>
      </c>
      <c r="K9" s="742"/>
      <c r="L9" s="742">
        <f>Calculs!CH9</f>
        <v>0</v>
      </c>
    </row>
    <row r="10" spans="2:12">
      <c r="B10" s="742">
        <f>Calculs!B10</f>
        <v>0</v>
      </c>
      <c r="C10" s="742" t="str">
        <f>Calculs!BY10</f>
        <v>[gCO2e]</v>
      </c>
      <c r="D10" s="742" t="str">
        <f>Calculs!BZ10</f>
        <v>[gCO2e]</v>
      </c>
      <c r="E10" s="742" t="str">
        <f>Calculs!CA10</f>
        <v>[gCO2e]</v>
      </c>
      <c r="F10" s="742" t="str">
        <f>Calculs!CB10</f>
        <v>[gCO2e]</v>
      </c>
      <c r="G10" s="742" t="str">
        <f>Calculs!CC10</f>
        <v>[tCO2e]</v>
      </c>
      <c r="H10" s="742"/>
      <c r="I10" s="742" t="str">
        <f>Calculs!CE10</f>
        <v>[gCO2e]</v>
      </c>
      <c r="J10" s="742" t="str">
        <f>Calculs!CF10</f>
        <v>[tCO2e]</v>
      </c>
      <c r="K10" s="742"/>
      <c r="L10" s="742" t="str">
        <f>Calculs!CH10</f>
        <v>[kWh]</v>
      </c>
    </row>
    <row r="11" spans="2:12">
      <c r="B11" s="742" t="str">
        <f>Calculs!B11</f>
        <v>1.1A1</v>
      </c>
      <c r="C11" s="742">
        <f>Calculs!BY11</f>
        <v>0</v>
      </c>
      <c r="D11" s="742">
        <f>Calculs!BZ11</f>
        <v>0</v>
      </c>
      <c r="E11" s="742">
        <f>Calculs!CA11</f>
        <v>0</v>
      </c>
      <c r="F11" s="742">
        <f>Calculs!CB11</f>
        <v>0</v>
      </c>
      <c r="G11" s="742">
        <f>Calculs!CC11</f>
        <v>0</v>
      </c>
      <c r="H11" s="742"/>
      <c r="I11" s="742">
        <f>Calculs!CE11</f>
        <v>0</v>
      </c>
      <c r="J11" s="742">
        <f>Calculs!CF11</f>
        <v>0</v>
      </c>
      <c r="K11" s="742"/>
      <c r="L11" s="742">
        <f>Calculs!CH11</f>
        <v>0</v>
      </c>
    </row>
    <row r="12" spans="2:12">
      <c r="B12" s="742" t="str">
        <f>Calculs!B12</f>
        <v>1.1A1</v>
      </c>
      <c r="C12" s="742">
        <f>Calculs!BY12</f>
        <v>2753000</v>
      </c>
      <c r="D12" s="742">
        <f>Calculs!BZ12</f>
        <v>5364</v>
      </c>
      <c r="E12" s="742">
        <f>Calculs!CA12</f>
        <v>8463</v>
      </c>
      <c r="F12" s="742">
        <f>Calculs!CB12</f>
        <v>2766827</v>
      </c>
      <c r="G12" s="742">
        <f>Calculs!CC12</f>
        <v>2.7668270000000001</v>
      </c>
      <c r="H12" s="742"/>
      <c r="I12" s="742">
        <f>Calculs!CE12</f>
        <v>0</v>
      </c>
      <c r="J12" s="742">
        <f>Calculs!CF12</f>
        <v>0</v>
      </c>
      <c r="K12" s="742"/>
      <c r="L12" s="742">
        <f>Calculs!CH12</f>
        <v>10770</v>
      </c>
    </row>
    <row r="13" spans="2:12">
      <c r="B13" s="742" t="str">
        <f>Calculs!B13</f>
        <v>1.1A1</v>
      </c>
      <c r="C13" s="742">
        <f>Calculs!BY13</f>
        <v>0</v>
      </c>
      <c r="D13" s="742">
        <f>Calculs!BZ13</f>
        <v>25747.199999999997</v>
      </c>
      <c r="E13" s="742">
        <f>Calculs!CA13</f>
        <v>31531.5</v>
      </c>
      <c r="F13" s="742">
        <f>Calculs!CB13</f>
        <v>57278.7</v>
      </c>
      <c r="G13" s="742">
        <f>Calculs!CC13</f>
        <v>5.7278699999999995E-2</v>
      </c>
      <c r="H13" s="742"/>
      <c r="I13" s="742">
        <f>Calculs!CE13</f>
        <v>2698500</v>
      </c>
      <c r="J13" s="742">
        <f>Calculs!CF13</f>
        <v>2.6985000000000001</v>
      </c>
      <c r="K13" s="742"/>
      <c r="L13" s="742">
        <f>Calculs!CH13</f>
        <v>7995</v>
      </c>
    </row>
    <row r="14" spans="2:12">
      <c r="B14" s="742" t="str">
        <f>Calculs!B14</f>
        <v>1.1A1</v>
      </c>
      <c r="C14" s="742">
        <f>Calculs!BY14</f>
        <v>1515000</v>
      </c>
      <c r="D14" s="742">
        <f>Calculs!BZ14</f>
        <v>804.6</v>
      </c>
      <c r="E14" s="742">
        <f>Calculs!CA14</f>
        <v>29484</v>
      </c>
      <c r="F14" s="742">
        <f>Calculs!CB14</f>
        <v>1545288.6</v>
      </c>
      <c r="G14" s="742">
        <f>Calculs!CC14</f>
        <v>1.5452886000000001</v>
      </c>
      <c r="H14" s="742"/>
      <c r="I14" s="742">
        <f>Calculs!CE14</f>
        <v>0</v>
      </c>
      <c r="J14" s="742">
        <f>Calculs!CF14</f>
        <v>0</v>
      </c>
      <c r="K14" s="742"/>
      <c r="L14" s="742">
        <f>Calculs!CH14</f>
        <v>7030</v>
      </c>
    </row>
    <row r="15" spans="2:12">
      <c r="B15" s="742" t="str">
        <f>Calculs!B15</f>
        <v>1.1A1</v>
      </c>
      <c r="C15" s="742">
        <f>Calculs!BY15</f>
        <v>0</v>
      </c>
      <c r="D15" s="742">
        <f>Calculs!BZ15</f>
        <v>0</v>
      </c>
      <c r="E15" s="742">
        <f>Calculs!CA15</f>
        <v>0</v>
      </c>
      <c r="F15" s="742">
        <f>Calculs!CB15</f>
        <v>0</v>
      </c>
      <c r="G15" s="742">
        <f>Calculs!CC15</f>
        <v>0</v>
      </c>
      <c r="H15" s="742"/>
      <c r="I15" s="742">
        <f>Calculs!CE15</f>
        <v>0</v>
      </c>
      <c r="J15" s="742">
        <f>Calculs!CF15</f>
        <v>0</v>
      </c>
      <c r="K15" s="742"/>
      <c r="L15" s="742">
        <f>Calculs!CH15</f>
        <v>0</v>
      </c>
    </row>
    <row r="16" spans="2:12">
      <c r="B16" s="742" t="str">
        <f>Calculs!B16</f>
        <v>1.1A1</v>
      </c>
      <c r="C16" s="742">
        <f>Calculs!BY16</f>
        <v>0</v>
      </c>
      <c r="D16" s="742">
        <f>Calculs!BZ16</f>
        <v>0</v>
      </c>
      <c r="E16" s="742">
        <f>Calculs!CA16</f>
        <v>0</v>
      </c>
      <c r="F16" s="742">
        <f>Calculs!CB16</f>
        <v>0</v>
      </c>
      <c r="G16" s="742">
        <f>Calculs!CC16</f>
        <v>0</v>
      </c>
      <c r="H16" s="742"/>
      <c r="I16" s="742">
        <f>Calculs!CE16</f>
        <v>0</v>
      </c>
      <c r="J16" s="742">
        <f>Calculs!CF16</f>
        <v>0</v>
      </c>
      <c r="K16" s="742"/>
      <c r="L16" s="742">
        <f>Calculs!CH16</f>
        <v>0</v>
      </c>
    </row>
    <row r="17" spans="2:12">
      <c r="B17" s="742" t="str">
        <f>Calculs!B17</f>
        <v>1.1A1</v>
      </c>
      <c r="C17" s="742">
        <f>Calculs!BY17</f>
        <v>0</v>
      </c>
      <c r="D17" s="742">
        <f>Calculs!BZ17</f>
        <v>0</v>
      </c>
      <c r="E17" s="742">
        <f>Calculs!CA17</f>
        <v>0</v>
      </c>
      <c r="F17" s="742">
        <f>Calculs!CB17</f>
        <v>0</v>
      </c>
      <c r="G17" s="742">
        <f>Calculs!CC17</f>
        <v>0</v>
      </c>
      <c r="H17" s="742"/>
      <c r="I17" s="742">
        <f>Calculs!CE17</f>
        <v>0</v>
      </c>
      <c r="J17" s="742">
        <f>Calculs!CF17</f>
        <v>0</v>
      </c>
      <c r="K17" s="742"/>
      <c r="L17" s="742">
        <f>Calculs!CH17</f>
        <v>0</v>
      </c>
    </row>
    <row r="18" spans="2:12">
      <c r="B18" s="742" t="str">
        <f>Calculs!B18</f>
        <v>1.1A1</v>
      </c>
      <c r="C18" s="742">
        <f>Calculs!BY18</f>
        <v>0</v>
      </c>
      <c r="D18" s="742">
        <f>Calculs!BZ18</f>
        <v>0</v>
      </c>
      <c r="E18" s="742">
        <f>Calculs!CA18</f>
        <v>0</v>
      </c>
      <c r="F18" s="742">
        <f>Calculs!CB18</f>
        <v>0</v>
      </c>
      <c r="G18" s="742">
        <f>Calculs!CC18</f>
        <v>0</v>
      </c>
      <c r="H18" s="742"/>
      <c r="I18" s="742">
        <f>Calculs!CE18</f>
        <v>0</v>
      </c>
      <c r="J18" s="742">
        <f>Calculs!CF18</f>
        <v>0</v>
      </c>
      <c r="K18" s="742"/>
      <c r="L18" s="742">
        <f>Calculs!CH18</f>
        <v>0</v>
      </c>
    </row>
    <row r="19" spans="2:12">
      <c r="B19" s="742" t="str">
        <f>Calculs!B19</f>
        <v>1.1A1</v>
      </c>
      <c r="C19" s="742">
        <f>Calculs!BY19</f>
        <v>0</v>
      </c>
      <c r="D19" s="742">
        <f>Calculs!BZ19</f>
        <v>0</v>
      </c>
      <c r="E19" s="742">
        <f>Calculs!CA19</f>
        <v>0</v>
      </c>
      <c r="F19" s="742">
        <f>Calculs!CB19</f>
        <v>0</v>
      </c>
      <c r="G19" s="742">
        <f>Calculs!CC19</f>
        <v>0</v>
      </c>
      <c r="H19" s="742"/>
      <c r="I19" s="742">
        <f>Calculs!CE19</f>
        <v>0</v>
      </c>
      <c r="J19" s="742">
        <f>Calculs!CF19</f>
        <v>0</v>
      </c>
      <c r="K19" s="742"/>
      <c r="L19" s="742">
        <f>Calculs!CH19</f>
        <v>0</v>
      </c>
    </row>
    <row r="20" spans="2:12">
      <c r="B20" s="742" t="str">
        <f>Calculs!B20</f>
        <v>1.1A1</v>
      </c>
      <c r="C20" s="742">
        <f>Calculs!BY20</f>
        <v>0</v>
      </c>
      <c r="D20" s="742">
        <f>Calculs!BZ20</f>
        <v>0</v>
      </c>
      <c r="E20" s="742">
        <f>Calculs!CA20</f>
        <v>0</v>
      </c>
      <c r="F20" s="742">
        <f>Calculs!CB20</f>
        <v>0</v>
      </c>
      <c r="G20" s="742">
        <f>Calculs!CC20</f>
        <v>0</v>
      </c>
      <c r="H20" s="742"/>
      <c r="I20" s="742">
        <f>Calculs!CE20</f>
        <v>0</v>
      </c>
      <c r="J20" s="742">
        <f>Calculs!CF20</f>
        <v>0</v>
      </c>
      <c r="K20" s="742"/>
      <c r="L20" s="742">
        <f>Calculs!CH20</f>
        <v>0</v>
      </c>
    </row>
    <row r="21" spans="2:12">
      <c r="B21" s="742" t="str">
        <f>Calculs!B21</f>
        <v>1.1A1</v>
      </c>
      <c r="C21" s="742">
        <f>Calculs!BY21</f>
        <v>0</v>
      </c>
      <c r="D21" s="742">
        <f>Calculs!BZ21</f>
        <v>0</v>
      </c>
      <c r="E21" s="742">
        <f>Calculs!CA21</f>
        <v>0</v>
      </c>
      <c r="F21" s="742">
        <f>Calculs!CB21</f>
        <v>0</v>
      </c>
      <c r="G21" s="742">
        <f>Calculs!CC21</f>
        <v>0</v>
      </c>
      <c r="H21" s="742"/>
      <c r="I21" s="742">
        <f>Calculs!CE21</f>
        <v>0</v>
      </c>
      <c r="J21" s="742">
        <f>Calculs!CF21</f>
        <v>0</v>
      </c>
      <c r="K21" s="742"/>
      <c r="L21" s="742">
        <f>Calculs!CH21</f>
        <v>0</v>
      </c>
    </row>
    <row r="22" spans="2:12">
      <c r="B22" s="742" t="str">
        <f>Calculs!B22</f>
        <v>1.1A1</v>
      </c>
      <c r="C22" s="742">
        <f>Calculs!BY22</f>
        <v>0</v>
      </c>
      <c r="D22" s="742">
        <f>Calculs!BZ22</f>
        <v>0</v>
      </c>
      <c r="E22" s="742">
        <f>Calculs!CA22</f>
        <v>0</v>
      </c>
      <c r="F22" s="742">
        <f>Calculs!CB22</f>
        <v>0</v>
      </c>
      <c r="G22" s="742">
        <f>Calculs!CC22</f>
        <v>0</v>
      </c>
      <c r="H22" s="742"/>
      <c r="I22" s="742">
        <f>Calculs!CE22</f>
        <v>0</v>
      </c>
      <c r="J22" s="742">
        <f>Calculs!CF22</f>
        <v>0</v>
      </c>
      <c r="K22" s="742"/>
      <c r="L22" s="742">
        <f>Calculs!CH22</f>
        <v>0</v>
      </c>
    </row>
    <row r="23" spans="2:12">
      <c r="B23" s="742" t="str">
        <f>Calculs!B23</f>
        <v>1.1A1</v>
      </c>
      <c r="C23" s="742">
        <f>Calculs!BY23</f>
        <v>0</v>
      </c>
      <c r="D23" s="742">
        <f>Calculs!BZ23</f>
        <v>0</v>
      </c>
      <c r="E23" s="742">
        <f>Calculs!CA23</f>
        <v>0</v>
      </c>
      <c r="F23" s="742">
        <f>Calculs!CB23</f>
        <v>0</v>
      </c>
      <c r="G23" s="742">
        <f>Calculs!CC23</f>
        <v>0</v>
      </c>
      <c r="H23" s="742"/>
      <c r="I23" s="742">
        <f>Calculs!CE23</f>
        <v>0</v>
      </c>
      <c r="J23" s="742">
        <f>Calculs!CF23</f>
        <v>0</v>
      </c>
      <c r="K23" s="742"/>
      <c r="L23" s="742">
        <f>Calculs!CH23</f>
        <v>0</v>
      </c>
    </row>
    <row r="24" spans="2:12">
      <c r="B24" s="742" t="str">
        <f>Calculs!B24</f>
        <v>1.1A1</v>
      </c>
      <c r="C24" s="742">
        <f>Calculs!BY24</f>
        <v>0</v>
      </c>
      <c r="D24" s="742">
        <f>Calculs!BZ24</f>
        <v>0</v>
      </c>
      <c r="E24" s="742">
        <f>Calculs!CA24</f>
        <v>0</v>
      </c>
      <c r="F24" s="742">
        <f>Calculs!CB24</f>
        <v>0</v>
      </c>
      <c r="G24" s="742">
        <f>Calculs!CC24</f>
        <v>0</v>
      </c>
      <c r="H24" s="742"/>
      <c r="I24" s="742">
        <f>Calculs!CE24</f>
        <v>0</v>
      </c>
      <c r="J24" s="742">
        <f>Calculs!CF24</f>
        <v>0</v>
      </c>
      <c r="K24" s="742"/>
      <c r="L24" s="742">
        <f>Calculs!CH24</f>
        <v>0</v>
      </c>
    </row>
    <row r="25" spans="2:12">
      <c r="B25" s="742" t="str">
        <f>Calculs!B25</f>
        <v>1.1A1</v>
      </c>
      <c r="C25" s="742">
        <f>Calculs!BY25</f>
        <v>0</v>
      </c>
      <c r="D25" s="742">
        <f>Calculs!BZ25</f>
        <v>0</v>
      </c>
      <c r="E25" s="742">
        <f>Calculs!CA25</f>
        <v>0</v>
      </c>
      <c r="F25" s="742">
        <f>Calculs!CB25</f>
        <v>0</v>
      </c>
      <c r="G25" s="742">
        <f>Calculs!CC25</f>
        <v>0</v>
      </c>
      <c r="H25" s="742"/>
      <c r="I25" s="742">
        <f>Calculs!CE25</f>
        <v>0</v>
      </c>
      <c r="J25" s="742">
        <f>Calculs!CF25</f>
        <v>0</v>
      </c>
      <c r="K25" s="742"/>
      <c r="L25" s="742">
        <f>Calculs!CH25</f>
        <v>0</v>
      </c>
    </row>
    <row r="26" spans="2:12" ht="15" customHeight="1">
      <c r="B26" s="742" t="str">
        <f>Calculs!B26</f>
        <v>1.1A1</v>
      </c>
      <c r="C26" s="742">
        <f>Calculs!BY26</f>
        <v>0</v>
      </c>
      <c r="D26" s="742">
        <f>Calculs!BZ26</f>
        <v>0</v>
      </c>
      <c r="E26" s="742">
        <f>Calculs!CA26</f>
        <v>0</v>
      </c>
      <c r="F26" s="742">
        <f>Calculs!CB26</f>
        <v>0</v>
      </c>
      <c r="G26" s="742">
        <f>Calculs!CC26</f>
        <v>0</v>
      </c>
      <c r="H26" s="742"/>
      <c r="I26" s="742">
        <f>Calculs!CE26</f>
        <v>0</v>
      </c>
      <c r="J26" s="742">
        <f>Calculs!CF26</f>
        <v>0</v>
      </c>
      <c r="K26" s="742"/>
      <c r="L26" s="742">
        <f>Calculs!CH26</f>
        <v>0</v>
      </c>
    </row>
    <row r="27" spans="2:12">
      <c r="B27" s="742" t="str">
        <f>Calculs!B27</f>
        <v>1.1A1</v>
      </c>
      <c r="C27" s="742">
        <f>Calculs!BY27</f>
        <v>0</v>
      </c>
      <c r="D27" s="742">
        <f>Calculs!BZ27</f>
        <v>0</v>
      </c>
      <c r="E27" s="742">
        <f>Calculs!CA27</f>
        <v>0</v>
      </c>
      <c r="F27" s="742">
        <f>Calculs!CB27</f>
        <v>0</v>
      </c>
      <c r="G27" s="742">
        <f>Calculs!CC27</f>
        <v>0</v>
      </c>
      <c r="H27" s="742"/>
      <c r="I27" s="742">
        <f>Calculs!CE27</f>
        <v>0</v>
      </c>
      <c r="J27" s="742">
        <f>Calculs!CF27</f>
        <v>0</v>
      </c>
      <c r="K27" s="742"/>
      <c r="L27" s="742">
        <f>Calculs!CH27</f>
        <v>0</v>
      </c>
    </row>
    <row r="28" spans="2:12">
      <c r="B28" s="742" t="str">
        <f>Calculs!B28</f>
        <v>1.1A1</v>
      </c>
      <c r="C28" s="742">
        <f>Calculs!BY28</f>
        <v>0</v>
      </c>
      <c r="D28" s="742">
        <f>Calculs!BZ28</f>
        <v>0</v>
      </c>
      <c r="E28" s="742">
        <f>Calculs!CA28</f>
        <v>0</v>
      </c>
      <c r="F28" s="742">
        <f>Calculs!CB28</f>
        <v>0</v>
      </c>
      <c r="G28" s="742">
        <f>Calculs!CC28</f>
        <v>0</v>
      </c>
      <c r="H28" s="742"/>
      <c r="I28" s="742">
        <f>Calculs!CE28</f>
        <v>0</v>
      </c>
      <c r="J28" s="742">
        <f>Calculs!CF28</f>
        <v>0</v>
      </c>
      <c r="K28" s="742"/>
      <c r="L28" s="742">
        <f>Calculs!CH28</f>
        <v>0</v>
      </c>
    </row>
    <row r="29" spans="2:12">
      <c r="B29" s="742" t="str">
        <f>Calculs!B29</f>
        <v>1.1A1</v>
      </c>
      <c r="C29" s="742">
        <f>Calculs!BY29</f>
        <v>0</v>
      </c>
      <c r="D29" s="742">
        <f>Calculs!BZ29</f>
        <v>0</v>
      </c>
      <c r="E29" s="742">
        <f>Calculs!CA29</f>
        <v>0</v>
      </c>
      <c r="F29" s="742">
        <f>Calculs!CB29</f>
        <v>0</v>
      </c>
      <c r="G29" s="742">
        <f>Calculs!CC29</f>
        <v>0</v>
      </c>
      <c r="H29" s="742"/>
      <c r="I29" s="742">
        <f>Calculs!CE29</f>
        <v>0</v>
      </c>
      <c r="J29" s="742">
        <f>Calculs!CF29</f>
        <v>0</v>
      </c>
      <c r="K29" s="742"/>
      <c r="L29" s="742">
        <f>Calculs!CH29</f>
        <v>0</v>
      </c>
    </row>
    <row r="30" spans="2:12">
      <c r="B30" s="742" t="str">
        <f>Calculs!B30</f>
        <v>1.1A1</v>
      </c>
      <c r="C30" s="742">
        <f>Calculs!BY30</f>
        <v>0</v>
      </c>
      <c r="D30" s="742">
        <f>Calculs!BZ30</f>
        <v>0</v>
      </c>
      <c r="E30" s="742">
        <f>Calculs!CA30</f>
        <v>0</v>
      </c>
      <c r="F30" s="742">
        <f>Calculs!CB30</f>
        <v>0</v>
      </c>
      <c r="G30" s="742">
        <f>Calculs!CC30</f>
        <v>0</v>
      </c>
      <c r="H30" s="742"/>
      <c r="I30" s="742">
        <f>Calculs!CE30</f>
        <v>0</v>
      </c>
      <c r="J30" s="742">
        <f>Calculs!CF30</f>
        <v>0</v>
      </c>
      <c r="K30" s="742"/>
      <c r="L30" s="742">
        <f>Calculs!CH30</f>
        <v>0</v>
      </c>
    </row>
    <row r="31" spans="2:12">
      <c r="B31" s="742">
        <f>Calculs!B31</f>
        <v>0</v>
      </c>
      <c r="C31" s="742">
        <f>Calculs!BY31</f>
        <v>4268000</v>
      </c>
      <c r="D31" s="742">
        <f>Calculs!BZ31</f>
        <v>31915.799999999996</v>
      </c>
      <c r="E31" s="742">
        <f>Calculs!CA31</f>
        <v>69478.5</v>
      </c>
      <c r="F31" s="742">
        <f>Calculs!CB31</f>
        <v>4369394.3000000007</v>
      </c>
      <c r="G31" s="742">
        <f>Calculs!CC31</f>
        <v>4.3693942999999997</v>
      </c>
      <c r="H31" s="742"/>
      <c r="I31" s="742">
        <f>Calculs!CE31</f>
        <v>2698500</v>
      </c>
      <c r="J31" s="742">
        <f>Calculs!CF31</f>
        <v>2.6985000000000001</v>
      </c>
      <c r="K31" s="742"/>
      <c r="L31" s="742">
        <f>Calculs!CH31</f>
        <v>25795</v>
      </c>
    </row>
    <row r="32" spans="2:12">
      <c r="B32" s="742">
        <f>Calculs!B32</f>
        <v>0</v>
      </c>
      <c r="C32" s="742">
        <f>Calculs!BY32</f>
        <v>0</v>
      </c>
      <c r="D32" s="742">
        <f>Calculs!BZ32</f>
        <v>0</v>
      </c>
      <c r="E32" s="742">
        <f>Calculs!CA32</f>
        <v>0</v>
      </c>
      <c r="F32" s="742">
        <f>Calculs!CB32</f>
        <v>0</v>
      </c>
      <c r="G32" s="742">
        <f>Calculs!CC32</f>
        <v>0</v>
      </c>
      <c r="H32" s="742"/>
      <c r="I32" s="742">
        <f>Calculs!CE32</f>
        <v>0</v>
      </c>
      <c r="J32" s="742">
        <f>Calculs!CF32</f>
        <v>0</v>
      </c>
      <c r="K32" s="742"/>
      <c r="L32" s="742">
        <f>Calculs!CH32</f>
        <v>0</v>
      </c>
    </row>
    <row r="33" spans="2:12">
      <c r="B33" s="742" t="str">
        <f>Calculs!B33</f>
        <v>1.2A1 - Véhicules (Par la quantité de combustible consommée)</v>
      </c>
      <c r="C33" s="742">
        <f>Calculs!BY33</f>
        <v>0</v>
      </c>
      <c r="D33" s="742">
        <f>Calculs!BZ33</f>
        <v>0</v>
      </c>
      <c r="E33" s="742">
        <f>Calculs!CA33</f>
        <v>0</v>
      </c>
      <c r="F33" s="742">
        <f>Calculs!CB33</f>
        <v>0</v>
      </c>
      <c r="G33" s="742">
        <f>Calculs!CC33</f>
        <v>0</v>
      </c>
      <c r="H33" s="742"/>
      <c r="I33" s="742">
        <f>Calculs!CE33</f>
        <v>0</v>
      </c>
      <c r="J33" s="742">
        <f>Calculs!CF33</f>
        <v>0</v>
      </c>
      <c r="K33" s="742"/>
      <c r="L33" s="742">
        <f>Calculs!CH33</f>
        <v>0</v>
      </c>
    </row>
    <row r="34" spans="2:12">
      <c r="B34" s="742">
        <f>Calculs!B34</f>
        <v>0</v>
      </c>
      <c r="C34" s="742">
        <f>Calculs!BY34</f>
        <v>0</v>
      </c>
      <c r="D34" s="742">
        <f>Calculs!BZ34</f>
        <v>0</v>
      </c>
      <c r="E34" s="742">
        <f>Calculs!CA34</f>
        <v>0</v>
      </c>
      <c r="F34" s="742">
        <f>Calculs!CB34</f>
        <v>0</v>
      </c>
      <c r="G34" s="742">
        <f>Calculs!CC34</f>
        <v>0</v>
      </c>
      <c r="H34" s="742"/>
      <c r="I34" s="742">
        <f>Calculs!CE34</f>
        <v>0</v>
      </c>
      <c r="J34" s="742">
        <f>Calculs!CF34</f>
        <v>0</v>
      </c>
      <c r="K34" s="742"/>
      <c r="L34" s="742">
        <f>Calculs!CH34</f>
        <v>0</v>
      </c>
    </row>
    <row r="35" spans="2:12">
      <c r="B35" s="742" t="str">
        <f>Calculs!B35</f>
        <v>Données d'activité</v>
      </c>
      <c r="C35" s="742">
        <f>Calculs!BY35</f>
        <v>0</v>
      </c>
      <c r="D35" s="742">
        <f>Calculs!BZ35</f>
        <v>0</v>
      </c>
      <c r="E35" s="742">
        <f>Calculs!CA35</f>
        <v>0</v>
      </c>
      <c r="F35" s="742">
        <f>Calculs!CB35</f>
        <v>0</v>
      </c>
      <c r="G35" s="742">
        <f>Calculs!CC35</f>
        <v>0</v>
      </c>
      <c r="H35" s="742"/>
      <c r="I35" s="742">
        <f>Calculs!CE35</f>
        <v>0</v>
      </c>
      <c r="J35" s="742">
        <f>Calculs!CF35</f>
        <v>0</v>
      </c>
      <c r="K35" s="742"/>
      <c r="L35" s="742">
        <f>Calculs!CH35</f>
        <v>0</v>
      </c>
    </row>
    <row r="36" spans="2:12">
      <c r="B36" s="742" t="str">
        <f>Calculs!B36</f>
        <v># méthode</v>
      </c>
      <c r="C36" s="742" t="str">
        <f>Calculs!BY36</f>
        <v>Émissions GES</v>
      </c>
      <c r="D36" s="742">
        <f>Calculs!BZ36</f>
        <v>0</v>
      </c>
      <c r="E36" s="742">
        <f>Calculs!CA36</f>
        <v>0</v>
      </c>
      <c r="F36" s="742" t="str">
        <f>Calculs!CB36</f>
        <v>Total GES :</v>
      </c>
      <c r="G36" s="742">
        <f>Calculs!CC36</f>
        <v>0</v>
      </c>
      <c r="H36" s="742"/>
      <c r="I36" s="742" t="str">
        <f>Calculs!CE36</f>
        <v>Total CO2 Biogénique :</v>
      </c>
      <c r="J36" s="742">
        <f>Calculs!CF36</f>
        <v>0</v>
      </c>
      <c r="K36" s="742"/>
      <c r="L36" s="742" t="str">
        <f>Calculs!CH36</f>
        <v>Énergie équivalente</v>
      </c>
    </row>
    <row r="37" spans="2:12">
      <c r="B37" s="742">
        <f>Calculs!B37</f>
        <v>0</v>
      </c>
      <c r="C37" s="742" t="str">
        <f>Calculs!BY37</f>
        <v>CO2</v>
      </c>
      <c r="D37" s="742" t="str">
        <f>Calculs!BZ37</f>
        <v>CH4</v>
      </c>
      <c r="E37" s="742" t="str">
        <f>Calculs!CA37</f>
        <v>N2O</v>
      </c>
      <c r="F37" s="742">
        <f>Calculs!CB37</f>
        <v>0</v>
      </c>
      <c r="G37" s="742">
        <f>Calculs!CC37</f>
        <v>0</v>
      </c>
      <c r="H37" s="742"/>
      <c r="I37" s="742">
        <f>Calculs!CE37</f>
        <v>0</v>
      </c>
      <c r="J37" s="742">
        <f>Calculs!CF37</f>
        <v>0</v>
      </c>
      <c r="K37" s="742"/>
      <c r="L37" s="742">
        <f>Calculs!CH37</f>
        <v>0</v>
      </c>
    </row>
    <row r="38" spans="2:12">
      <c r="B38" s="742">
        <f>Calculs!B38</f>
        <v>0</v>
      </c>
      <c r="C38" s="742" t="str">
        <f>Calculs!BY38</f>
        <v>[gCO2e]</v>
      </c>
      <c r="D38" s="742" t="str">
        <f>Calculs!BZ38</f>
        <v>[gCO2e]</v>
      </c>
      <c r="E38" s="742" t="str">
        <f>Calculs!CA38</f>
        <v>[gCO2e]</v>
      </c>
      <c r="F38" s="742" t="str">
        <f>Calculs!CB38</f>
        <v>[gCO2e]</v>
      </c>
      <c r="G38" s="742" t="str">
        <f>Calculs!CC38</f>
        <v>[tCO2e]</v>
      </c>
      <c r="H38" s="742"/>
      <c r="I38" s="742" t="str">
        <f>Calculs!CE38</f>
        <v>[gCO2e]</v>
      </c>
      <c r="J38" s="742" t="str">
        <f>Calculs!CF38</f>
        <v>[tCO2e]</v>
      </c>
      <c r="K38" s="742"/>
      <c r="L38" s="742" t="str">
        <f>Calculs!CH38</f>
        <v>[kWh]</v>
      </c>
    </row>
    <row r="39" spans="2:12">
      <c r="B39" s="742" t="str">
        <f>Calculs!B39</f>
        <v>1.2A1</v>
      </c>
      <c r="C39" s="742">
        <f>Calculs!BY39</f>
        <v>0</v>
      </c>
      <c r="D39" s="742">
        <f>Calculs!BZ39</f>
        <v>0</v>
      </c>
      <c r="E39" s="742">
        <f>Calculs!CA39</f>
        <v>0</v>
      </c>
      <c r="F39" s="742">
        <f>Calculs!CB39</f>
        <v>0</v>
      </c>
      <c r="G39" s="742">
        <f>Calculs!CC39</f>
        <v>0</v>
      </c>
      <c r="H39" s="742"/>
      <c r="I39" s="742">
        <f>Calculs!CE39</f>
        <v>0</v>
      </c>
      <c r="J39" s="742">
        <f>Calculs!CF39</f>
        <v>0</v>
      </c>
      <c r="K39" s="742"/>
      <c r="L39" s="742">
        <f>Calculs!CH39</f>
        <v>0</v>
      </c>
    </row>
    <row r="40" spans="2:12">
      <c r="B40" s="742" t="str">
        <f>Calculs!B40</f>
        <v>1.2A1</v>
      </c>
      <c r="C40" s="742">
        <f>Calculs!BY40</f>
        <v>2307300</v>
      </c>
      <c r="D40" s="742">
        <f>Calculs!BZ40</f>
        <v>3307.8</v>
      </c>
      <c r="E40" s="742">
        <f>Calculs!CA40</f>
        <v>1911</v>
      </c>
      <c r="F40" s="742">
        <f>Calculs!CB40</f>
        <v>2312518.7999999998</v>
      </c>
      <c r="G40" s="742">
        <f>Calculs!CC40</f>
        <v>2.3125187999999999</v>
      </c>
      <c r="H40" s="742"/>
      <c r="I40" s="742">
        <f>Calculs!CE40</f>
        <v>0</v>
      </c>
      <c r="J40" s="742">
        <f>Calculs!CF40</f>
        <v>0</v>
      </c>
      <c r="K40" s="742"/>
      <c r="L40" s="742">
        <f>Calculs!CH40</f>
        <v>9690</v>
      </c>
    </row>
    <row r="41" spans="2:12">
      <c r="B41" s="742" t="str">
        <f>Calculs!B41</f>
        <v>1.2A1</v>
      </c>
      <c r="C41" s="742">
        <f>Calculs!BY41</f>
        <v>137438.65155899886</v>
      </c>
      <c r="D41" s="742">
        <f>Calculs!BZ41</f>
        <v>1730.1847937513044</v>
      </c>
      <c r="E41" s="742">
        <f>Calculs!CA41</f>
        <v>693.45283994520605</v>
      </c>
      <c r="F41" s="742">
        <f>Calculs!CB41</f>
        <v>139862.28919269537</v>
      </c>
      <c r="G41" s="742">
        <f>Calculs!CC41</f>
        <v>0.13986228919269539</v>
      </c>
      <c r="H41" s="742"/>
      <c r="I41" s="742">
        <f>Calculs!CE41</f>
        <v>0</v>
      </c>
      <c r="J41" s="742">
        <f>Calculs!CF41</f>
        <v>0</v>
      </c>
      <c r="K41" s="742"/>
      <c r="L41" s="742">
        <f>Calculs!CH41</f>
        <v>637.75163066650953</v>
      </c>
    </row>
    <row r="42" spans="2:12">
      <c r="B42" s="742" t="str">
        <f>Calculs!B42</f>
        <v>1.2A1</v>
      </c>
      <c r="C42" s="742">
        <f>Calculs!BY42</f>
        <v>0</v>
      </c>
      <c r="D42" s="742">
        <f>Calculs!BZ42</f>
        <v>0</v>
      </c>
      <c r="E42" s="742">
        <f>Calculs!CA42</f>
        <v>0</v>
      </c>
      <c r="F42" s="742">
        <f>Calculs!CB42</f>
        <v>0</v>
      </c>
      <c r="G42" s="742">
        <f>Calculs!CC42</f>
        <v>0</v>
      </c>
      <c r="H42" s="742"/>
      <c r="I42" s="742">
        <f>Calculs!CE42</f>
        <v>0</v>
      </c>
      <c r="J42" s="742">
        <f>Calculs!CF42</f>
        <v>0</v>
      </c>
      <c r="K42" s="742"/>
      <c r="L42" s="742">
        <f>Calculs!CH42</f>
        <v>0</v>
      </c>
    </row>
    <row r="43" spans="2:12">
      <c r="B43" s="742" t="str">
        <f>Calculs!B43</f>
        <v>1.2A1</v>
      </c>
      <c r="C43" s="742">
        <f>Calculs!BY43</f>
        <v>0</v>
      </c>
      <c r="D43" s="742">
        <f>Calculs!BZ43</f>
        <v>0</v>
      </c>
      <c r="E43" s="742">
        <f>Calculs!CA43</f>
        <v>0</v>
      </c>
      <c r="F43" s="742">
        <f>Calculs!CB43</f>
        <v>0</v>
      </c>
      <c r="G43" s="742">
        <f>Calculs!CC43</f>
        <v>0</v>
      </c>
      <c r="H43" s="742"/>
      <c r="I43" s="742">
        <f>Calculs!CE43</f>
        <v>0</v>
      </c>
      <c r="J43" s="742">
        <f>Calculs!CF43</f>
        <v>0</v>
      </c>
      <c r="K43" s="742"/>
      <c r="L43" s="742">
        <f>Calculs!CH43</f>
        <v>0</v>
      </c>
    </row>
    <row r="44" spans="2:12" ht="15" customHeight="1">
      <c r="B44" s="742" t="str">
        <f>Calculs!B44</f>
        <v>1.2A1</v>
      </c>
      <c r="C44" s="742">
        <f>Calculs!BY44</f>
        <v>0</v>
      </c>
      <c r="D44" s="742">
        <f>Calculs!BZ44</f>
        <v>0</v>
      </c>
      <c r="E44" s="742">
        <f>Calculs!CA44</f>
        <v>0</v>
      </c>
      <c r="F44" s="742">
        <f>Calculs!CB44</f>
        <v>0</v>
      </c>
      <c r="G44" s="742">
        <f>Calculs!CC44</f>
        <v>0</v>
      </c>
      <c r="H44" s="742"/>
      <c r="I44" s="742">
        <f>Calculs!CE44</f>
        <v>0</v>
      </c>
      <c r="J44" s="742">
        <f>Calculs!CF44</f>
        <v>0</v>
      </c>
      <c r="K44" s="742"/>
      <c r="L44" s="742">
        <f>Calculs!CH44</f>
        <v>0</v>
      </c>
    </row>
    <row r="45" spans="2:12">
      <c r="B45" s="742" t="str">
        <f>Calculs!B45</f>
        <v>1.2A1</v>
      </c>
      <c r="C45" s="742">
        <f>Calculs!BY45</f>
        <v>0</v>
      </c>
      <c r="D45" s="742">
        <f>Calculs!BZ45</f>
        <v>0</v>
      </c>
      <c r="E45" s="742">
        <f>Calculs!CA45</f>
        <v>0</v>
      </c>
      <c r="F45" s="742">
        <f>Calculs!CB45</f>
        <v>0</v>
      </c>
      <c r="G45" s="742">
        <f>Calculs!CC45</f>
        <v>0</v>
      </c>
      <c r="H45" s="742"/>
      <c r="I45" s="742">
        <f>Calculs!CE45</f>
        <v>0</v>
      </c>
      <c r="J45" s="742">
        <f>Calculs!CF45</f>
        <v>0</v>
      </c>
      <c r="K45" s="742"/>
      <c r="L45" s="742">
        <f>Calculs!CH45</f>
        <v>0</v>
      </c>
    </row>
    <row r="46" spans="2:12">
      <c r="B46" s="742" t="str">
        <f>Calculs!B46</f>
        <v>1.2A1</v>
      </c>
      <c r="C46" s="742">
        <f>Calculs!BY46</f>
        <v>0</v>
      </c>
      <c r="D46" s="742">
        <f>Calculs!BZ46</f>
        <v>0</v>
      </c>
      <c r="E46" s="742">
        <f>Calculs!CA46</f>
        <v>0</v>
      </c>
      <c r="F46" s="742">
        <f>Calculs!CB46</f>
        <v>0</v>
      </c>
      <c r="G46" s="742">
        <f>Calculs!CC46</f>
        <v>0</v>
      </c>
      <c r="H46" s="742"/>
      <c r="I46" s="742">
        <f>Calculs!CE46</f>
        <v>0</v>
      </c>
      <c r="J46" s="742">
        <f>Calculs!CF46</f>
        <v>0</v>
      </c>
      <c r="K46" s="742"/>
      <c r="L46" s="742">
        <f>Calculs!CH46</f>
        <v>0</v>
      </c>
    </row>
    <row r="47" spans="2:12">
      <c r="B47" s="742" t="str">
        <f>Calculs!B47</f>
        <v>1.2A1</v>
      </c>
      <c r="C47" s="742">
        <f>Calculs!BY47</f>
        <v>0</v>
      </c>
      <c r="D47" s="742">
        <f>Calculs!BZ47</f>
        <v>0</v>
      </c>
      <c r="E47" s="742">
        <f>Calculs!CA47</f>
        <v>0</v>
      </c>
      <c r="F47" s="742">
        <f>Calculs!CB47</f>
        <v>0</v>
      </c>
      <c r="G47" s="742">
        <f>Calculs!CC47</f>
        <v>0</v>
      </c>
      <c r="H47" s="742"/>
      <c r="I47" s="742">
        <f>Calculs!CE47</f>
        <v>0</v>
      </c>
      <c r="J47" s="742">
        <f>Calculs!CF47</f>
        <v>0</v>
      </c>
      <c r="K47" s="742"/>
      <c r="L47" s="742">
        <f>Calculs!CH47</f>
        <v>0</v>
      </c>
    </row>
    <row r="48" spans="2:12">
      <c r="B48" s="742" t="str">
        <f>Calculs!B48</f>
        <v>1.2A1</v>
      </c>
      <c r="C48" s="742">
        <f>Calculs!BY48</f>
        <v>0</v>
      </c>
      <c r="D48" s="742">
        <f>Calculs!BZ48</f>
        <v>0</v>
      </c>
      <c r="E48" s="742">
        <f>Calculs!CA48</f>
        <v>0</v>
      </c>
      <c r="F48" s="742">
        <f>Calculs!CB48</f>
        <v>0</v>
      </c>
      <c r="G48" s="742">
        <f>Calculs!CC48</f>
        <v>0</v>
      </c>
      <c r="H48" s="742"/>
      <c r="I48" s="742">
        <f>Calculs!CE48</f>
        <v>0</v>
      </c>
      <c r="J48" s="742">
        <f>Calculs!CF48</f>
        <v>0</v>
      </c>
      <c r="K48" s="742"/>
      <c r="L48" s="742">
        <f>Calculs!CH48</f>
        <v>0</v>
      </c>
    </row>
    <row r="49" spans="2:12">
      <c r="B49" s="742" t="str">
        <f>Calculs!B49</f>
        <v>1.2A1</v>
      </c>
      <c r="C49" s="742">
        <f>Calculs!BY49</f>
        <v>0</v>
      </c>
      <c r="D49" s="742">
        <f>Calculs!BZ49</f>
        <v>0</v>
      </c>
      <c r="E49" s="742">
        <f>Calculs!CA49</f>
        <v>0</v>
      </c>
      <c r="F49" s="742">
        <f>Calculs!CB49</f>
        <v>0</v>
      </c>
      <c r="G49" s="742">
        <f>Calculs!CC49</f>
        <v>0</v>
      </c>
      <c r="H49" s="742"/>
      <c r="I49" s="742">
        <f>Calculs!CE49</f>
        <v>0</v>
      </c>
      <c r="J49" s="742">
        <f>Calculs!CF49</f>
        <v>0</v>
      </c>
      <c r="K49" s="742"/>
      <c r="L49" s="742">
        <f>Calculs!CH49</f>
        <v>0</v>
      </c>
    </row>
    <row r="50" spans="2:12">
      <c r="B50" s="742" t="str">
        <f>Calculs!B50</f>
        <v>1.2A1</v>
      </c>
      <c r="C50" s="742">
        <f>Calculs!BY50</f>
        <v>0</v>
      </c>
      <c r="D50" s="742">
        <f>Calculs!BZ50</f>
        <v>0</v>
      </c>
      <c r="E50" s="742">
        <f>Calculs!CA50</f>
        <v>0</v>
      </c>
      <c r="F50" s="742">
        <f>Calculs!CB50</f>
        <v>0</v>
      </c>
      <c r="G50" s="742">
        <f>Calculs!CC50</f>
        <v>0</v>
      </c>
      <c r="H50" s="742"/>
      <c r="I50" s="742">
        <f>Calculs!CE50</f>
        <v>0</v>
      </c>
      <c r="J50" s="742">
        <f>Calculs!CF50</f>
        <v>0</v>
      </c>
      <c r="K50" s="742"/>
      <c r="L50" s="742">
        <f>Calculs!CH50</f>
        <v>0</v>
      </c>
    </row>
    <row r="51" spans="2:12">
      <c r="B51" s="742" t="str">
        <f>Calculs!B51</f>
        <v>1.2A1</v>
      </c>
      <c r="C51" s="742">
        <f>Calculs!BY51</f>
        <v>0</v>
      </c>
      <c r="D51" s="742">
        <f>Calculs!BZ51</f>
        <v>0</v>
      </c>
      <c r="E51" s="742">
        <f>Calculs!CA51</f>
        <v>0</v>
      </c>
      <c r="F51" s="742">
        <f>Calculs!CB51</f>
        <v>0</v>
      </c>
      <c r="G51" s="742">
        <f>Calculs!CC51</f>
        <v>0</v>
      </c>
      <c r="H51" s="742"/>
      <c r="I51" s="742">
        <f>Calculs!CE51</f>
        <v>0</v>
      </c>
      <c r="J51" s="742">
        <f>Calculs!CF51</f>
        <v>0</v>
      </c>
      <c r="K51" s="742"/>
      <c r="L51" s="742">
        <f>Calculs!CH51</f>
        <v>0</v>
      </c>
    </row>
    <row r="52" spans="2:12">
      <c r="B52" s="742" t="str">
        <f>Calculs!B52</f>
        <v>1.2A1</v>
      </c>
      <c r="C52" s="742">
        <f>Calculs!BY52</f>
        <v>0</v>
      </c>
      <c r="D52" s="742">
        <f>Calculs!BZ52</f>
        <v>0</v>
      </c>
      <c r="E52" s="742">
        <f>Calculs!CA52</f>
        <v>0</v>
      </c>
      <c r="F52" s="742">
        <f>Calculs!CB52</f>
        <v>0</v>
      </c>
      <c r="G52" s="742">
        <f>Calculs!CC52</f>
        <v>0</v>
      </c>
      <c r="H52" s="742"/>
      <c r="I52" s="742">
        <f>Calculs!CE52</f>
        <v>0</v>
      </c>
      <c r="J52" s="742">
        <f>Calculs!CF52</f>
        <v>0</v>
      </c>
      <c r="K52" s="742"/>
      <c r="L52" s="742">
        <f>Calculs!CH52</f>
        <v>0</v>
      </c>
    </row>
    <row r="53" spans="2:12">
      <c r="B53" s="742" t="str">
        <f>Calculs!B53</f>
        <v>1.2A1</v>
      </c>
      <c r="C53" s="742">
        <f>Calculs!BY53</f>
        <v>0</v>
      </c>
      <c r="D53" s="742">
        <f>Calculs!BZ53</f>
        <v>0</v>
      </c>
      <c r="E53" s="742">
        <f>Calculs!CA53</f>
        <v>0</v>
      </c>
      <c r="F53" s="742">
        <f>Calculs!CB53</f>
        <v>0</v>
      </c>
      <c r="G53" s="742">
        <f>Calculs!CC53</f>
        <v>0</v>
      </c>
      <c r="H53" s="742"/>
      <c r="I53" s="742">
        <f>Calculs!CE53</f>
        <v>0</v>
      </c>
      <c r="J53" s="742">
        <f>Calculs!CF53</f>
        <v>0</v>
      </c>
      <c r="K53" s="742"/>
      <c r="L53" s="742">
        <f>Calculs!CH53</f>
        <v>0</v>
      </c>
    </row>
    <row r="54" spans="2:12">
      <c r="B54" s="742" t="str">
        <f>Calculs!B54</f>
        <v>1.2A1</v>
      </c>
      <c r="C54" s="742">
        <f>Calculs!BY54</f>
        <v>0</v>
      </c>
      <c r="D54" s="742">
        <f>Calculs!BZ54</f>
        <v>0</v>
      </c>
      <c r="E54" s="742">
        <f>Calculs!CA54</f>
        <v>0</v>
      </c>
      <c r="F54" s="742">
        <f>Calculs!CB54</f>
        <v>0</v>
      </c>
      <c r="G54" s="742">
        <f>Calculs!CC54</f>
        <v>0</v>
      </c>
      <c r="H54" s="742"/>
      <c r="I54" s="742">
        <f>Calculs!CE54</f>
        <v>0</v>
      </c>
      <c r="J54" s="742">
        <f>Calculs!CF54</f>
        <v>0</v>
      </c>
      <c r="K54" s="742"/>
      <c r="L54" s="742">
        <f>Calculs!CH54</f>
        <v>0</v>
      </c>
    </row>
    <row r="55" spans="2:12">
      <c r="B55" s="742" t="str">
        <f>Calculs!B55</f>
        <v>1.2A1</v>
      </c>
      <c r="C55" s="742">
        <f>Calculs!BY55</f>
        <v>0</v>
      </c>
      <c r="D55" s="742">
        <f>Calculs!BZ55</f>
        <v>0</v>
      </c>
      <c r="E55" s="742">
        <f>Calculs!CA55</f>
        <v>0</v>
      </c>
      <c r="F55" s="742">
        <f>Calculs!CB55</f>
        <v>0</v>
      </c>
      <c r="G55" s="742">
        <f>Calculs!CC55</f>
        <v>0</v>
      </c>
      <c r="H55" s="742"/>
      <c r="I55" s="742">
        <f>Calculs!CE55</f>
        <v>0</v>
      </c>
      <c r="J55" s="742">
        <f>Calculs!CF55</f>
        <v>0</v>
      </c>
      <c r="K55" s="742"/>
      <c r="L55" s="742">
        <f>Calculs!CH55</f>
        <v>0</v>
      </c>
    </row>
    <row r="56" spans="2:12">
      <c r="B56" s="742">
        <f>Calculs!B56</f>
        <v>0</v>
      </c>
      <c r="C56" s="742">
        <f>Calculs!BY56</f>
        <v>2444738.651558999</v>
      </c>
      <c r="D56" s="742">
        <f>Calculs!BZ56</f>
        <v>5037.9847937513041</v>
      </c>
      <c r="E56" s="742">
        <f>Calculs!CA56</f>
        <v>2604.4528399452061</v>
      </c>
      <c r="F56" s="742">
        <f>Calculs!CB56</f>
        <v>2452381.089192695</v>
      </c>
      <c r="G56" s="742">
        <f>Calculs!CC56</f>
        <v>2.4523810891926954</v>
      </c>
      <c r="H56" s="742"/>
      <c r="I56" s="742">
        <f>Calculs!CE56</f>
        <v>0</v>
      </c>
      <c r="J56" s="742">
        <f>Calculs!CF56</f>
        <v>0</v>
      </c>
      <c r="K56" s="742"/>
      <c r="L56" s="742">
        <f>Calculs!CH56</f>
        <v>10327.751630666509</v>
      </c>
    </row>
    <row r="57" spans="2:12">
      <c r="B57" s="742">
        <f>Calculs!B57</f>
        <v>0</v>
      </c>
      <c r="C57" s="742">
        <f>Calculs!BY57</f>
        <v>0</v>
      </c>
      <c r="D57" s="742">
        <f>Calculs!BZ57</f>
        <v>0</v>
      </c>
      <c r="E57" s="742">
        <f>Calculs!CA57</f>
        <v>0</v>
      </c>
      <c r="F57" s="742">
        <f>Calculs!CB57</f>
        <v>0</v>
      </c>
      <c r="G57" s="742">
        <f>Calculs!CC57</f>
        <v>0</v>
      </c>
      <c r="H57" s="742"/>
      <c r="I57" s="742">
        <f>Calculs!CE57</f>
        <v>0</v>
      </c>
      <c r="J57" s="742">
        <f>Calculs!CF57</f>
        <v>0</v>
      </c>
      <c r="K57" s="742"/>
      <c r="L57" s="742">
        <f>Calculs!CH57</f>
        <v>0</v>
      </c>
    </row>
    <row r="58" spans="2:12">
      <c r="B58" s="742" t="str">
        <f>Calculs!B58</f>
        <v>1.2A2 - Véhicules (Par la distance parcourue; Consommation L/100km)</v>
      </c>
      <c r="C58" s="742">
        <f>Calculs!BY58</f>
        <v>0</v>
      </c>
      <c r="D58" s="742">
        <f>Calculs!BZ58</f>
        <v>0</v>
      </c>
      <c r="E58" s="742">
        <f>Calculs!CA58</f>
        <v>0</v>
      </c>
      <c r="F58" s="742">
        <f>Calculs!CB58</f>
        <v>0</v>
      </c>
      <c r="G58" s="742">
        <f>Calculs!CC58</f>
        <v>0</v>
      </c>
      <c r="H58" s="742"/>
      <c r="I58" s="742">
        <f>Calculs!CE58</f>
        <v>0</v>
      </c>
      <c r="J58" s="742">
        <f>Calculs!CF58</f>
        <v>0</v>
      </c>
      <c r="K58" s="742"/>
      <c r="L58" s="742">
        <f>Calculs!CH58</f>
        <v>0</v>
      </c>
    </row>
    <row r="59" spans="2:12">
      <c r="B59" s="742">
        <f>Calculs!B59</f>
        <v>0</v>
      </c>
      <c r="C59" s="742">
        <f>Calculs!BY59</f>
        <v>0</v>
      </c>
      <c r="D59" s="742">
        <f>Calculs!BZ59</f>
        <v>0</v>
      </c>
      <c r="E59" s="742">
        <f>Calculs!CA59</f>
        <v>0</v>
      </c>
      <c r="F59" s="742">
        <f>Calculs!CB59</f>
        <v>0</v>
      </c>
      <c r="G59" s="742">
        <f>Calculs!CC59</f>
        <v>0</v>
      </c>
      <c r="H59" s="742"/>
      <c r="I59" s="742">
        <f>Calculs!CE59</f>
        <v>0</v>
      </c>
      <c r="J59" s="742">
        <f>Calculs!CF59</f>
        <v>0</v>
      </c>
      <c r="K59" s="742"/>
      <c r="L59" s="742">
        <f>Calculs!CH59</f>
        <v>0</v>
      </c>
    </row>
    <row r="60" spans="2:12">
      <c r="B60" s="742" t="str">
        <f>Calculs!B60</f>
        <v>Données d'activité</v>
      </c>
      <c r="C60" s="742">
        <f>Calculs!BY60</f>
        <v>0</v>
      </c>
      <c r="D60" s="742">
        <f>Calculs!BZ60</f>
        <v>0</v>
      </c>
      <c r="E60" s="742">
        <f>Calculs!CA60</f>
        <v>0</v>
      </c>
      <c r="F60" s="742">
        <f>Calculs!CB60</f>
        <v>0</v>
      </c>
      <c r="G60" s="742">
        <f>Calculs!CC60</f>
        <v>0</v>
      </c>
      <c r="H60" s="742"/>
      <c r="I60" s="742">
        <f>Calculs!CE60</f>
        <v>0</v>
      </c>
      <c r="J60" s="742">
        <f>Calculs!CF60</f>
        <v>0</v>
      </c>
      <c r="K60" s="742"/>
      <c r="L60" s="742">
        <f>Calculs!CH60</f>
        <v>0</v>
      </c>
    </row>
    <row r="61" spans="2:12">
      <c r="B61" s="742" t="str">
        <f>Calculs!B61</f>
        <v># méthode</v>
      </c>
      <c r="C61" s="742" t="str">
        <f>Calculs!BY61</f>
        <v>Émissions GES</v>
      </c>
      <c r="D61" s="742">
        <f>Calculs!BZ61</f>
        <v>0</v>
      </c>
      <c r="E61" s="742">
        <f>Calculs!CA61</f>
        <v>0</v>
      </c>
      <c r="F61" s="742" t="str">
        <f>Calculs!CB61</f>
        <v>Total GES :</v>
      </c>
      <c r="G61" s="742">
        <f>Calculs!CC61</f>
        <v>0</v>
      </c>
      <c r="H61" s="742"/>
      <c r="I61" s="742" t="str">
        <f>Calculs!CE61</f>
        <v>Total CO2 Biogénique :</v>
      </c>
      <c r="J61" s="742">
        <f>Calculs!CF61</f>
        <v>0</v>
      </c>
      <c r="K61" s="742"/>
      <c r="L61" s="742" t="str">
        <f>Calculs!CH61</f>
        <v>Énergie équivalente</v>
      </c>
    </row>
    <row r="62" spans="2:12" ht="15" customHeight="1">
      <c r="B62" s="742">
        <f>Calculs!B62</f>
        <v>0</v>
      </c>
      <c r="C62" s="742" t="str">
        <f>Calculs!BY62</f>
        <v>CO2</v>
      </c>
      <c r="D62" s="742" t="str">
        <f>Calculs!BZ62</f>
        <v>CH4</v>
      </c>
      <c r="E62" s="742" t="str">
        <f>Calculs!CA62</f>
        <v>N2O</v>
      </c>
      <c r="F62" s="742">
        <f>Calculs!CB62</f>
        <v>0</v>
      </c>
      <c r="G62" s="742">
        <f>Calculs!CC62</f>
        <v>0</v>
      </c>
      <c r="H62" s="742"/>
      <c r="I62" s="742">
        <f>Calculs!CE62</f>
        <v>0</v>
      </c>
      <c r="J62" s="742">
        <f>Calculs!CF62</f>
        <v>0</v>
      </c>
      <c r="K62" s="742"/>
      <c r="L62" s="742">
        <f>Calculs!CH62</f>
        <v>0</v>
      </c>
    </row>
    <row r="63" spans="2:12">
      <c r="B63" s="742">
        <f>Calculs!B63</f>
        <v>0</v>
      </c>
      <c r="C63" s="742" t="str">
        <f>Calculs!BY63</f>
        <v>[gCO2e]</v>
      </c>
      <c r="D63" s="742" t="str">
        <f>Calculs!BZ63</f>
        <v>[gCO2e]</v>
      </c>
      <c r="E63" s="742" t="str">
        <f>Calculs!CA63</f>
        <v>[gCO2e]</v>
      </c>
      <c r="F63" s="742" t="str">
        <f>Calculs!CB63</f>
        <v>[gCO2e]</v>
      </c>
      <c r="G63" s="742" t="str">
        <f>Calculs!CC63</f>
        <v>[tCO2e]</v>
      </c>
      <c r="H63" s="742"/>
      <c r="I63" s="742" t="str">
        <f>Calculs!CE63</f>
        <v>[gCO2e]</v>
      </c>
      <c r="J63" s="742" t="str">
        <f>Calculs!CF63</f>
        <v>[tCO2e]</v>
      </c>
      <c r="K63" s="742"/>
      <c r="L63" s="742" t="str">
        <f>Calculs!CH63</f>
        <v>[kWh]</v>
      </c>
    </row>
    <row r="64" spans="2:12">
      <c r="B64" s="742" t="str">
        <f>Calculs!B64</f>
        <v>1.2A2</v>
      </c>
      <c r="C64" s="742">
        <f>Calculs!BY64</f>
        <v>0</v>
      </c>
      <c r="D64" s="742">
        <f>Calculs!BZ64</f>
        <v>0</v>
      </c>
      <c r="E64" s="742">
        <f>Calculs!CA64</f>
        <v>0</v>
      </c>
      <c r="F64" s="742">
        <f>Calculs!CB64</f>
        <v>0</v>
      </c>
      <c r="G64" s="742">
        <f>Calculs!CC64</f>
        <v>0</v>
      </c>
      <c r="H64" s="742"/>
      <c r="I64" s="742">
        <f>Calculs!CE64</f>
        <v>0</v>
      </c>
      <c r="J64" s="742">
        <f>Calculs!CF64</f>
        <v>0</v>
      </c>
      <c r="K64" s="742"/>
      <c r="L64" s="742">
        <f>Calculs!CH64</f>
        <v>0</v>
      </c>
    </row>
    <row r="65" spans="2:12">
      <c r="B65" s="742" t="str">
        <f>Calculs!B65</f>
        <v>1.2A2</v>
      </c>
      <c r="C65" s="742">
        <f>Calculs!BY65</f>
        <v>2076570.0000000002</v>
      </c>
      <c r="D65" s="742">
        <f>Calculs!BZ65</f>
        <v>2977.0200000000004</v>
      </c>
      <c r="E65" s="742">
        <f>Calculs!CA65</f>
        <v>1719.8999999999999</v>
      </c>
      <c r="F65" s="742">
        <f>Calculs!CB65</f>
        <v>2081266.9200000002</v>
      </c>
      <c r="G65" s="742">
        <f>Calculs!CC65</f>
        <v>2.08126692</v>
      </c>
      <c r="H65" s="742"/>
      <c r="I65" s="742">
        <f>Calculs!CE65</f>
        <v>0</v>
      </c>
      <c r="J65" s="742">
        <f>Calculs!CF65</f>
        <v>0</v>
      </c>
      <c r="K65" s="742"/>
      <c r="L65" s="742">
        <f>Calculs!CH65</f>
        <v>8721</v>
      </c>
    </row>
    <row r="66" spans="2:12">
      <c r="B66" s="742" t="str">
        <f>Calculs!B66</f>
        <v>1.2A2</v>
      </c>
      <c r="C66" s="742">
        <f>Calculs!BY66</f>
        <v>3435966.288974971</v>
      </c>
      <c r="D66" s="742">
        <f>Calculs!BZ66</f>
        <v>43254.61984378261</v>
      </c>
      <c r="E66" s="742">
        <f>Calculs!CA66</f>
        <v>17336.320998630152</v>
      </c>
      <c r="F66" s="742">
        <f>Calculs!CB66</f>
        <v>3496557.2298173835</v>
      </c>
      <c r="G66" s="742">
        <f>Calculs!CC66</f>
        <v>3.4965572298173835</v>
      </c>
      <c r="H66" s="742"/>
      <c r="I66" s="742">
        <f>Calculs!CE66</f>
        <v>0</v>
      </c>
      <c r="J66" s="742">
        <f>Calculs!CF66</f>
        <v>0</v>
      </c>
      <c r="K66" s="742"/>
      <c r="L66" s="742">
        <f>Calculs!CH66</f>
        <v>15943.790766662738</v>
      </c>
    </row>
    <row r="67" spans="2:12">
      <c r="B67" s="742" t="str">
        <f>Calculs!B67</f>
        <v>1.2A2</v>
      </c>
      <c r="C67" s="742">
        <f>Calculs!BY67</f>
        <v>0</v>
      </c>
      <c r="D67" s="742">
        <f>Calculs!BZ67</f>
        <v>0</v>
      </c>
      <c r="E67" s="742">
        <f>Calculs!CA67</f>
        <v>0</v>
      </c>
      <c r="F67" s="742">
        <f>Calculs!CB67</f>
        <v>0</v>
      </c>
      <c r="G67" s="742">
        <f>Calculs!CC67</f>
        <v>0</v>
      </c>
      <c r="H67" s="742"/>
      <c r="I67" s="742">
        <f>Calculs!CE67</f>
        <v>0</v>
      </c>
      <c r="J67" s="742">
        <f>Calculs!CF67</f>
        <v>0</v>
      </c>
      <c r="K67" s="742"/>
      <c r="L67" s="742">
        <f>Calculs!CH67</f>
        <v>0</v>
      </c>
    </row>
    <row r="68" spans="2:12">
      <c r="B68" s="742" t="str">
        <f>Calculs!B68</f>
        <v>1.2A2</v>
      </c>
      <c r="C68" s="742">
        <f>Calculs!BY68</f>
        <v>0</v>
      </c>
      <c r="D68" s="742">
        <f>Calculs!BZ68</f>
        <v>0</v>
      </c>
      <c r="E68" s="742">
        <f>Calculs!CA68</f>
        <v>0</v>
      </c>
      <c r="F68" s="742">
        <f>Calculs!CB68</f>
        <v>0</v>
      </c>
      <c r="G68" s="742">
        <f>Calculs!CC68</f>
        <v>0</v>
      </c>
      <c r="H68" s="742"/>
      <c r="I68" s="742">
        <f>Calculs!CE68</f>
        <v>0</v>
      </c>
      <c r="J68" s="742">
        <f>Calculs!CF68</f>
        <v>0</v>
      </c>
      <c r="K68" s="742"/>
      <c r="L68" s="742">
        <f>Calculs!CH68</f>
        <v>0</v>
      </c>
    </row>
    <row r="69" spans="2:12">
      <c r="B69" s="742" t="str">
        <f>Calculs!B69</f>
        <v>1.2A2</v>
      </c>
      <c r="C69" s="742">
        <f>Calculs!BY69</f>
        <v>0</v>
      </c>
      <c r="D69" s="742">
        <f>Calculs!BZ69</f>
        <v>0</v>
      </c>
      <c r="E69" s="742">
        <f>Calculs!CA69</f>
        <v>0</v>
      </c>
      <c r="F69" s="742">
        <f>Calculs!CB69</f>
        <v>0</v>
      </c>
      <c r="G69" s="742">
        <f>Calculs!CC69</f>
        <v>0</v>
      </c>
      <c r="H69" s="742"/>
      <c r="I69" s="742">
        <f>Calculs!CE69</f>
        <v>0</v>
      </c>
      <c r="J69" s="742">
        <f>Calculs!CF69</f>
        <v>0</v>
      </c>
      <c r="K69" s="742"/>
      <c r="L69" s="742">
        <f>Calculs!CH69</f>
        <v>0</v>
      </c>
    </row>
    <row r="70" spans="2:12">
      <c r="B70" s="742" t="str">
        <f>Calculs!B70</f>
        <v>1.2A2</v>
      </c>
      <c r="C70" s="742">
        <f>Calculs!BY70</f>
        <v>0</v>
      </c>
      <c r="D70" s="742">
        <f>Calculs!BZ70</f>
        <v>0</v>
      </c>
      <c r="E70" s="742">
        <f>Calculs!CA70</f>
        <v>0</v>
      </c>
      <c r="F70" s="742">
        <f>Calculs!CB70</f>
        <v>0</v>
      </c>
      <c r="G70" s="742">
        <f>Calculs!CC70</f>
        <v>0</v>
      </c>
      <c r="H70" s="742"/>
      <c r="I70" s="742">
        <f>Calculs!CE70</f>
        <v>0</v>
      </c>
      <c r="J70" s="742">
        <f>Calculs!CF70</f>
        <v>0</v>
      </c>
      <c r="K70" s="742"/>
      <c r="L70" s="742">
        <f>Calculs!CH70</f>
        <v>0</v>
      </c>
    </row>
    <row r="71" spans="2:12">
      <c r="B71" s="742" t="str">
        <f>Calculs!B71</f>
        <v>1.2A2</v>
      </c>
      <c r="C71" s="742">
        <f>Calculs!BY71</f>
        <v>0</v>
      </c>
      <c r="D71" s="742">
        <f>Calculs!BZ71</f>
        <v>0</v>
      </c>
      <c r="E71" s="742">
        <f>Calculs!CA71</f>
        <v>0</v>
      </c>
      <c r="F71" s="742">
        <f>Calculs!CB71</f>
        <v>0</v>
      </c>
      <c r="G71" s="742">
        <f>Calculs!CC71</f>
        <v>0</v>
      </c>
      <c r="H71" s="742"/>
      <c r="I71" s="742">
        <f>Calculs!CE71</f>
        <v>0</v>
      </c>
      <c r="J71" s="742">
        <f>Calculs!CF71</f>
        <v>0</v>
      </c>
      <c r="K71" s="742"/>
      <c r="L71" s="742">
        <f>Calculs!CH71</f>
        <v>0</v>
      </c>
    </row>
    <row r="72" spans="2:12">
      <c r="B72" s="742" t="str">
        <f>Calculs!B72</f>
        <v>1.2A2</v>
      </c>
      <c r="C72" s="742">
        <f>Calculs!BY72</f>
        <v>0</v>
      </c>
      <c r="D72" s="742">
        <f>Calculs!BZ72</f>
        <v>0</v>
      </c>
      <c r="E72" s="742">
        <f>Calculs!CA72</f>
        <v>0</v>
      </c>
      <c r="F72" s="742">
        <f>Calculs!CB72</f>
        <v>0</v>
      </c>
      <c r="G72" s="742">
        <f>Calculs!CC72</f>
        <v>0</v>
      </c>
      <c r="H72" s="742"/>
      <c r="I72" s="742">
        <f>Calculs!CE72</f>
        <v>0</v>
      </c>
      <c r="J72" s="742">
        <f>Calculs!CF72</f>
        <v>0</v>
      </c>
      <c r="K72" s="742"/>
      <c r="L72" s="742">
        <f>Calculs!CH72</f>
        <v>0</v>
      </c>
    </row>
    <row r="73" spans="2:12">
      <c r="B73" s="742" t="str">
        <f>Calculs!B73</f>
        <v>1.2A2</v>
      </c>
      <c r="C73" s="742">
        <f>Calculs!BY73</f>
        <v>0</v>
      </c>
      <c r="D73" s="742">
        <f>Calculs!BZ73</f>
        <v>0</v>
      </c>
      <c r="E73" s="742">
        <f>Calculs!CA73</f>
        <v>0</v>
      </c>
      <c r="F73" s="742">
        <f>Calculs!CB73</f>
        <v>0</v>
      </c>
      <c r="G73" s="742">
        <f>Calculs!CC73</f>
        <v>0</v>
      </c>
      <c r="H73" s="742"/>
      <c r="I73" s="742">
        <f>Calculs!CE73</f>
        <v>0</v>
      </c>
      <c r="J73" s="742">
        <f>Calculs!CF73</f>
        <v>0</v>
      </c>
      <c r="K73" s="742"/>
      <c r="L73" s="742">
        <f>Calculs!CH73</f>
        <v>0</v>
      </c>
    </row>
    <row r="74" spans="2:12">
      <c r="B74" s="742">
        <f>Calculs!B74</f>
        <v>0</v>
      </c>
      <c r="C74" s="742">
        <f>Calculs!BY74</f>
        <v>5512536.2889749715</v>
      </c>
      <c r="D74" s="742">
        <f>Calculs!BZ74</f>
        <v>46231.639843782614</v>
      </c>
      <c r="E74" s="742">
        <f>Calculs!CA74</f>
        <v>19056.220998630153</v>
      </c>
      <c r="F74" s="742">
        <f>Calculs!CB74</f>
        <v>5577824.1498173838</v>
      </c>
      <c r="G74" s="742">
        <f>Calculs!CC74</f>
        <v>5.5778241498173831</v>
      </c>
      <c r="H74" s="742"/>
      <c r="I74" s="742">
        <f>Calculs!CE74</f>
        <v>0</v>
      </c>
      <c r="J74" s="742">
        <f>Calculs!CF74</f>
        <v>0</v>
      </c>
      <c r="K74" s="742"/>
      <c r="L74" s="742">
        <f>Calculs!CH74</f>
        <v>24664.790766662736</v>
      </c>
    </row>
    <row r="75" spans="2:12">
      <c r="B75" s="742">
        <f>Calculs!B75</f>
        <v>0</v>
      </c>
      <c r="C75" s="742">
        <f>Calculs!BY75</f>
        <v>0</v>
      </c>
      <c r="D75" s="742">
        <f>Calculs!BZ75</f>
        <v>0</v>
      </c>
      <c r="E75" s="742">
        <f>Calculs!CA75</f>
        <v>0</v>
      </c>
      <c r="F75" s="742">
        <f>Calculs!CB75</f>
        <v>0</v>
      </c>
      <c r="G75" s="742">
        <f>Calculs!CC75</f>
        <v>0</v>
      </c>
      <c r="H75" s="742"/>
      <c r="I75" s="742">
        <f>Calculs!CE75</f>
        <v>0</v>
      </c>
      <c r="J75" s="742">
        <f>Calculs!CF75</f>
        <v>0</v>
      </c>
      <c r="K75" s="742"/>
      <c r="L75" s="742">
        <f>Calculs!CH75</f>
        <v>0</v>
      </c>
    </row>
    <row r="76" spans="2:12">
      <c r="B76" s="742" t="str">
        <f>Calculs!B76</f>
        <v>1.2A3 - Véhicules (Par les coûts de carburants)</v>
      </c>
      <c r="C76" s="742">
        <f>Calculs!BY76</f>
        <v>0</v>
      </c>
      <c r="D76" s="742">
        <f>Calculs!BZ76</f>
        <v>0</v>
      </c>
      <c r="E76" s="742">
        <f>Calculs!CA76</f>
        <v>0</v>
      </c>
      <c r="F76" s="742">
        <f>Calculs!CB76</f>
        <v>0</v>
      </c>
      <c r="G76" s="742">
        <f>Calculs!CC76</f>
        <v>0</v>
      </c>
      <c r="H76" s="742"/>
      <c r="I76" s="742">
        <f>Calculs!CE76</f>
        <v>0</v>
      </c>
      <c r="J76" s="742">
        <f>Calculs!CF76</f>
        <v>0</v>
      </c>
      <c r="K76" s="742"/>
      <c r="L76" s="742">
        <f>Calculs!CH76</f>
        <v>0</v>
      </c>
    </row>
    <row r="77" spans="2:12">
      <c r="B77" s="742">
        <f>Calculs!B77</f>
        <v>0</v>
      </c>
      <c r="C77" s="742">
        <f>Calculs!BY77</f>
        <v>0</v>
      </c>
      <c r="D77" s="742">
        <f>Calculs!BZ77</f>
        <v>0</v>
      </c>
      <c r="E77" s="742">
        <f>Calculs!CA77</f>
        <v>0</v>
      </c>
      <c r="F77" s="742">
        <f>Calculs!CB77</f>
        <v>0</v>
      </c>
      <c r="G77" s="742">
        <f>Calculs!CC77</f>
        <v>0</v>
      </c>
      <c r="H77" s="742"/>
      <c r="I77" s="742">
        <f>Calculs!CE77</f>
        <v>0</v>
      </c>
      <c r="J77" s="742">
        <f>Calculs!CF77</f>
        <v>0</v>
      </c>
      <c r="K77" s="742"/>
      <c r="L77" s="742">
        <f>Calculs!CH77</f>
        <v>0</v>
      </c>
    </row>
    <row r="78" spans="2:12">
      <c r="B78" s="742" t="str">
        <f>Calculs!B78</f>
        <v>Données d'activité</v>
      </c>
      <c r="C78" s="742">
        <f>Calculs!BY78</f>
        <v>0</v>
      </c>
      <c r="D78" s="742">
        <f>Calculs!BZ78</f>
        <v>0</v>
      </c>
      <c r="E78" s="742">
        <f>Calculs!CA78</f>
        <v>0</v>
      </c>
      <c r="F78" s="742">
        <f>Calculs!CB78</f>
        <v>0</v>
      </c>
      <c r="G78" s="742">
        <f>Calculs!CC78</f>
        <v>0</v>
      </c>
      <c r="H78" s="742"/>
      <c r="I78" s="742">
        <f>Calculs!CE78</f>
        <v>0</v>
      </c>
      <c r="J78" s="742">
        <f>Calculs!CF78</f>
        <v>0</v>
      </c>
      <c r="K78" s="742"/>
      <c r="L78" s="742">
        <f>Calculs!CH78</f>
        <v>0</v>
      </c>
    </row>
    <row r="79" spans="2:12">
      <c r="B79" s="742" t="str">
        <f>Calculs!B79</f>
        <v># méthode</v>
      </c>
      <c r="C79" s="742" t="str">
        <f>Calculs!BY79</f>
        <v>Émissions GES</v>
      </c>
      <c r="D79" s="742">
        <f>Calculs!BZ79</f>
        <v>0</v>
      </c>
      <c r="E79" s="742">
        <f>Calculs!CA79</f>
        <v>0</v>
      </c>
      <c r="F79" s="742" t="str">
        <f>Calculs!CB79</f>
        <v>Total GES :</v>
      </c>
      <c r="G79" s="742">
        <f>Calculs!CC79</f>
        <v>0</v>
      </c>
      <c r="H79" s="742"/>
      <c r="I79" s="742" t="str">
        <f>Calculs!CE79</f>
        <v>Total CO2 Biogénique :</v>
      </c>
      <c r="J79" s="742">
        <f>Calculs!CF79</f>
        <v>0</v>
      </c>
      <c r="K79" s="742"/>
      <c r="L79" s="742" t="str">
        <f>Calculs!CH79</f>
        <v>Énergie équivalente</v>
      </c>
    </row>
    <row r="80" spans="2:12" ht="15" customHeight="1">
      <c r="B80" s="742">
        <f>Calculs!B80</f>
        <v>0</v>
      </c>
      <c r="C80" s="742" t="str">
        <f>Calculs!BY80</f>
        <v>CO2</v>
      </c>
      <c r="D80" s="742" t="str">
        <f>Calculs!BZ80</f>
        <v>CH4</v>
      </c>
      <c r="E80" s="742" t="str">
        <f>Calculs!CA80</f>
        <v>N2O</v>
      </c>
      <c r="F80" s="742">
        <f>Calculs!CB80</f>
        <v>0</v>
      </c>
      <c r="G80" s="742">
        <f>Calculs!CC80</f>
        <v>0</v>
      </c>
      <c r="H80" s="742"/>
      <c r="I80" s="742">
        <f>Calculs!CE80</f>
        <v>0</v>
      </c>
      <c r="J80" s="742">
        <f>Calculs!CF80</f>
        <v>0</v>
      </c>
      <c r="K80" s="742"/>
      <c r="L80" s="742">
        <f>Calculs!CH80</f>
        <v>0</v>
      </c>
    </row>
    <row r="81" spans="2:12">
      <c r="B81" s="742">
        <f>Calculs!B81</f>
        <v>0</v>
      </c>
      <c r="C81" s="742" t="str">
        <f>Calculs!BY81</f>
        <v>[gCO2e]</v>
      </c>
      <c r="D81" s="742" t="str">
        <f>Calculs!BZ81</f>
        <v>[gCO2e]</v>
      </c>
      <c r="E81" s="742" t="str">
        <f>Calculs!CA81</f>
        <v>[gCO2e]</v>
      </c>
      <c r="F81" s="742" t="str">
        <f>Calculs!CB81</f>
        <v>[gCO2e]</v>
      </c>
      <c r="G81" s="742" t="str">
        <f>Calculs!CC81</f>
        <v>[tCO2e]</v>
      </c>
      <c r="H81" s="742"/>
      <c r="I81" s="742" t="str">
        <f>Calculs!CE81</f>
        <v>[gCO2e]</v>
      </c>
      <c r="J81" s="742" t="str">
        <f>Calculs!CF81</f>
        <v>[tCO2e]</v>
      </c>
      <c r="K81" s="742"/>
      <c r="L81" s="742" t="str">
        <f>Calculs!CH81</f>
        <v>[kWh]</v>
      </c>
    </row>
    <row r="82" spans="2:12">
      <c r="B82" s="742" t="str">
        <f>Calculs!B82</f>
        <v>1.2A3</v>
      </c>
      <c r="C82" s="742">
        <f>Calculs!BY82</f>
        <v>0</v>
      </c>
      <c r="D82" s="742">
        <f>Calculs!BZ82</f>
        <v>0</v>
      </c>
      <c r="E82" s="742">
        <f>Calculs!CA82</f>
        <v>0</v>
      </c>
      <c r="F82" s="742">
        <f>Calculs!CB82</f>
        <v>0</v>
      </c>
      <c r="G82" s="742">
        <f>Calculs!CC82</f>
        <v>0</v>
      </c>
      <c r="H82" s="742"/>
      <c r="I82" s="742">
        <f>Calculs!CE82</f>
        <v>0</v>
      </c>
      <c r="J82" s="742">
        <f>Calculs!CF82</f>
        <v>0</v>
      </c>
      <c r="K82" s="742"/>
      <c r="L82" s="742">
        <f>Calculs!CH82</f>
        <v>0</v>
      </c>
    </row>
    <row r="83" spans="2:12">
      <c r="B83" s="742" t="str">
        <f>Calculs!B83</f>
        <v>1.2A3</v>
      </c>
      <c r="C83" s="742">
        <f>Calculs!BY83</f>
        <v>505298.7</v>
      </c>
      <c r="D83" s="742">
        <f>Calculs!BZ83</f>
        <v>724.40820000000008</v>
      </c>
      <c r="E83" s="742">
        <f>Calculs!CA83</f>
        <v>418.50900000000001</v>
      </c>
      <c r="F83" s="742">
        <f>Calculs!CB83</f>
        <v>506441.61720000004</v>
      </c>
      <c r="G83" s="742">
        <f>Calculs!CC83</f>
        <v>0.50644161720000003</v>
      </c>
      <c r="H83" s="742"/>
      <c r="I83" s="742">
        <f>Calculs!CE83</f>
        <v>0</v>
      </c>
      <c r="J83" s="742">
        <f>Calculs!CF83</f>
        <v>0</v>
      </c>
      <c r="K83" s="742"/>
      <c r="L83" s="742">
        <f>Calculs!CH83</f>
        <v>2122.1099999999997</v>
      </c>
    </row>
    <row r="84" spans="2:12">
      <c r="B84" s="742" t="str">
        <f>Calculs!B84</f>
        <v>1.2A3</v>
      </c>
      <c r="C84" s="742">
        <f>Calculs!BY84</f>
        <v>522266.87592419563</v>
      </c>
      <c r="D84" s="742">
        <f>Calculs!BZ84</f>
        <v>6574.7022162549574</v>
      </c>
      <c r="E84" s="742">
        <f>Calculs!CA84</f>
        <v>2635.1207917917827</v>
      </c>
      <c r="F84" s="742">
        <f>Calculs!CB84</f>
        <v>531476.69893224246</v>
      </c>
      <c r="G84" s="742">
        <f>Calculs!CC84</f>
        <v>0.53147669893224248</v>
      </c>
      <c r="H84" s="742"/>
      <c r="I84" s="742">
        <f>Calculs!CE84</f>
        <v>0</v>
      </c>
      <c r="J84" s="742">
        <f>Calculs!CF84</f>
        <v>0</v>
      </c>
      <c r="K84" s="742"/>
      <c r="L84" s="742">
        <f>Calculs!CH84</f>
        <v>2423.4561965327362</v>
      </c>
    </row>
    <row r="85" spans="2:12">
      <c r="B85" s="742" t="str">
        <f>Calculs!B85</f>
        <v>1.2A3</v>
      </c>
      <c r="C85" s="742">
        <f>Calculs!BY85</f>
        <v>0</v>
      </c>
      <c r="D85" s="742">
        <f>Calculs!BZ85</f>
        <v>0</v>
      </c>
      <c r="E85" s="742">
        <f>Calculs!CA85</f>
        <v>0</v>
      </c>
      <c r="F85" s="742">
        <f>Calculs!CB85</f>
        <v>0</v>
      </c>
      <c r="G85" s="742">
        <f>Calculs!CC85</f>
        <v>0</v>
      </c>
      <c r="H85" s="742"/>
      <c r="I85" s="742">
        <f>Calculs!CE85</f>
        <v>0</v>
      </c>
      <c r="J85" s="742">
        <f>Calculs!CF85</f>
        <v>0</v>
      </c>
      <c r="K85" s="742"/>
      <c r="L85" s="742">
        <f>Calculs!CH85</f>
        <v>0</v>
      </c>
    </row>
    <row r="86" spans="2:12">
      <c r="B86" s="742" t="str">
        <f>Calculs!B86</f>
        <v>1.2A3</v>
      </c>
      <c r="C86" s="742">
        <f>Calculs!BY86</f>
        <v>0</v>
      </c>
      <c r="D86" s="742">
        <f>Calculs!BZ86</f>
        <v>0</v>
      </c>
      <c r="E86" s="742">
        <f>Calculs!CA86</f>
        <v>0</v>
      </c>
      <c r="F86" s="742">
        <f>Calculs!CB86</f>
        <v>0</v>
      </c>
      <c r="G86" s="742">
        <f>Calculs!CC86</f>
        <v>0</v>
      </c>
      <c r="H86" s="742"/>
      <c r="I86" s="742">
        <f>Calculs!CE86</f>
        <v>0</v>
      </c>
      <c r="J86" s="742">
        <f>Calculs!CF86</f>
        <v>0</v>
      </c>
      <c r="K86" s="742"/>
      <c r="L86" s="742">
        <f>Calculs!CH86</f>
        <v>0</v>
      </c>
    </row>
    <row r="87" spans="2:12">
      <c r="B87" s="742" t="str">
        <f>Calculs!B87</f>
        <v>1.2A3</v>
      </c>
      <c r="C87" s="742">
        <f>Calculs!BY87</f>
        <v>0</v>
      </c>
      <c r="D87" s="742">
        <f>Calculs!BZ87</f>
        <v>0</v>
      </c>
      <c r="E87" s="742">
        <f>Calculs!CA87</f>
        <v>0</v>
      </c>
      <c r="F87" s="742">
        <f>Calculs!CB87</f>
        <v>0</v>
      </c>
      <c r="G87" s="742">
        <f>Calculs!CC87</f>
        <v>0</v>
      </c>
      <c r="H87" s="742"/>
      <c r="I87" s="742">
        <f>Calculs!CE87</f>
        <v>0</v>
      </c>
      <c r="J87" s="742">
        <f>Calculs!CF87</f>
        <v>0</v>
      </c>
      <c r="K87" s="742"/>
      <c r="L87" s="742">
        <f>Calculs!CH87</f>
        <v>0</v>
      </c>
    </row>
    <row r="88" spans="2:12">
      <c r="B88" s="742" t="str">
        <f>Calculs!B88</f>
        <v>1.2A3</v>
      </c>
      <c r="C88" s="742">
        <f>Calculs!BY88</f>
        <v>0</v>
      </c>
      <c r="D88" s="742">
        <f>Calculs!BZ88</f>
        <v>0</v>
      </c>
      <c r="E88" s="742">
        <f>Calculs!CA88</f>
        <v>0</v>
      </c>
      <c r="F88" s="742">
        <f>Calculs!CB88</f>
        <v>0</v>
      </c>
      <c r="G88" s="742">
        <f>Calculs!CC88</f>
        <v>0</v>
      </c>
      <c r="H88" s="742"/>
      <c r="I88" s="742">
        <f>Calculs!CE88</f>
        <v>0</v>
      </c>
      <c r="J88" s="742">
        <f>Calculs!CF88</f>
        <v>0</v>
      </c>
      <c r="K88" s="742"/>
      <c r="L88" s="742">
        <f>Calculs!CH88</f>
        <v>0</v>
      </c>
    </row>
    <row r="89" spans="2:12">
      <c r="B89" s="742" t="str">
        <f>Calculs!B89</f>
        <v>1.2A3</v>
      </c>
      <c r="C89" s="742">
        <f>Calculs!BY89</f>
        <v>0</v>
      </c>
      <c r="D89" s="742">
        <f>Calculs!BZ89</f>
        <v>0</v>
      </c>
      <c r="E89" s="742">
        <f>Calculs!CA89</f>
        <v>0</v>
      </c>
      <c r="F89" s="742">
        <f>Calculs!CB89</f>
        <v>0</v>
      </c>
      <c r="G89" s="742">
        <f>Calculs!CC89</f>
        <v>0</v>
      </c>
      <c r="H89" s="742"/>
      <c r="I89" s="742">
        <f>Calculs!CE89</f>
        <v>0</v>
      </c>
      <c r="J89" s="742">
        <f>Calculs!CF89</f>
        <v>0</v>
      </c>
      <c r="K89" s="742"/>
      <c r="L89" s="742">
        <f>Calculs!CH89</f>
        <v>0</v>
      </c>
    </row>
    <row r="90" spans="2:12">
      <c r="B90" s="742" t="str">
        <f>Calculs!B90</f>
        <v>1.2A3</v>
      </c>
      <c r="C90" s="742">
        <f>Calculs!BY90</f>
        <v>0</v>
      </c>
      <c r="D90" s="742">
        <f>Calculs!BZ90</f>
        <v>0</v>
      </c>
      <c r="E90" s="742">
        <f>Calculs!CA90</f>
        <v>0</v>
      </c>
      <c r="F90" s="742">
        <f>Calculs!CB90</f>
        <v>0</v>
      </c>
      <c r="G90" s="742">
        <f>Calculs!CC90</f>
        <v>0</v>
      </c>
      <c r="H90" s="742"/>
      <c r="I90" s="742">
        <f>Calculs!CE90</f>
        <v>0</v>
      </c>
      <c r="J90" s="742">
        <f>Calculs!CF90</f>
        <v>0</v>
      </c>
      <c r="K90" s="742"/>
      <c r="L90" s="742">
        <f>Calculs!CH90</f>
        <v>0</v>
      </c>
    </row>
    <row r="91" spans="2:12">
      <c r="B91" s="742" t="str">
        <f>Calculs!B91</f>
        <v>1.2A3</v>
      </c>
      <c r="C91" s="742">
        <f>Calculs!BY91</f>
        <v>0</v>
      </c>
      <c r="D91" s="742">
        <f>Calculs!BZ91</f>
        <v>0</v>
      </c>
      <c r="E91" s="742">
        <f>Calculs!CA91</f>
        <v>0</v>
      </c>
      <c r="F91" s="742">
        <f>Calculs!CB91</f>
        <v>0</v>
      </c>
      <c r="G91" s="742">
        <f>Calculs!CC91</f>
        <v>0</v>
      </c>
      <c r="H91" s="742"/>
      <c r="I91" s="742">
        <f>Calculs!CE91</f>
        <v>0</v>
      </c>
      <c r="J91" s="742">
        <f>Calculs!CF91</f>
        <v>0</v>
      </c>
      <c r="K91" s="742"/>
      <c r="L91" s="742">
        <f>Calculs!CH91</f>
        <v>0</v>
      </c>
    </row>
    <row r="92" spans="2:12">
      <c r="B92" s="742">
        <f>Calculs!B92</f>
        <v>0</v>
      </c>
      <c r="C92" s="742">
        <f>Calculs!BY92</f>
        <v>1027565.5759241956</v>
      </c>
      <c r="D92" s="742">
        <f>Calculs!BZ92</f>
        <v>7299.1104162549573</v>
      </c>
      <c r="E92" s="742">
        <f>Calculs!CA92</f>
        <v>3053.6297917917827</v>
      </c>
      <c r="F92" s="742">
        <f>Calculs!CB92</f>
        <v>1037918.3161322426</v>
      </c>
      <c r="G92" s="742">
        <f>Calculs!CC92</f>
        <v>1.0379183161322425</v>
      </c>
      <c r="H92" s="742"/>
      <c r="I92" s="742">
        <f>Calculs!CE92</f>
        <v>0</v>
      </c>
      <c r="J92" s="742">
        <f>Calculs!CF92</f>
        <v>0</v>
      </c>
      <c r="K92" s="742"/>
      <c r="L92" s="742">
        <f>Calculs!CH92</f>
        <v>4545.5661965327363</v>
      </c>
    </row>
    <row r="93" spans="2:12">
      <c r="B93" s="742">
        <f>Calculs!B93</f>
        <v>0</v>
      </c>
      <c r="C93" s="742">
        <f>Calculs!BY93</f>
        <v>0</v>
      </c>
      <c r="D93" s="742">
        <f>Calculs!BZ93</f>
        <v>0</v>
      </c>
      <c r="E93" s="742">
        <f>Calculs!CA93</f>
        <v>0</v>
      </c>
      <c r="F93" s="742">
        <f>Calculs!CB93</f>
        <v>0</v>
      </c>
      <c r="G93" s="742">
        <f>Calculs!CC93</f>
        <v>0</v>
      </c>
      <c r="H93" s="742"/>
      <c r="I93" s="742">
        <f>Calculs!CE93</f>
        <v>0</v>
      </c>
      <c r="J93" s="742">
        <f>Calculs!CF93</f>
        <v>0</v>
      </c>
      <c r="K93" s="742"/>
      <c r="L93" s="742">
        <f>Calculs!CH93</f>
        <v>0</v>
      </c>
    </row>
    <row r="94" spans="2:12">
      <c r="B94" s="742" t="str">
        <f>Calculs!B94</f>
        <v>1.2B1 - Véhicules (Par la distance parcourue; Données Canadiennes)</v>
      </c>
      <c r="C94" s="742">
        <f>Calculs!BY94</f>
        <v>0</v>
      </c>
      <c r="D94" s="742">
        <f>Calculs!BZ94</f>
        <v>0</v>
      </c>
      <c r="E94" s="742">
        <f>Calculs!CA94</f>
        <v>0</v>
      </c>
      <c r="F94" s="742">
        <f>Calculs!CB94</f>
        <v>0</v>
      </c>
      <c r="G94" s="742">
        <f>Calculs!CC94</f>
        <v>0</v>
      </c>
      <c r="H94" s="742"/>
      <c r="I94" s="742">
        <f>Calculs!CE94</f>
        <v>0</v>
      </c>
      <c r="J94" s="742">
        <f>Calculs!CF94</f>
        <v>0</v>
      </c>
      <c r="K94" s="742"/>
      <c r="L94" s="742">
        <f>Calculs!CH94</f>
        <v>0</v>
      </c>
    </row>
    <row r="95" spans="2:12">
      <c r="B95" s="742">
        <f>Calculs!B95</f>
        <v>0</v>
      </c>
      <c r="C95" s="742">
        <f>Calculs!BY95</f>
        <v>0</v>
      </c>
      <c r="D95" s="742">
        <f>Calculs!BZ95</f>
        <v>0</v>
      </c>
      <c r="E95" s="742">
        <f>Calculs!CA95</f>
        <v>0</v>
      </c>
      <c r="F95" s="742">
        <f>Calculs!CB95</f>
        <v>0</v>
      </c>
      <c r="G95" s="742">
        <f>Calculs!CC95</f>
        <v>0</v>
      </c>
      <c r="H95" s="742"/>
      <c r="I95" s="742">
        <f>Calculs!CE95</f>
        <v>0</v>
      </c>
      <c r="J95" s="742">
        <f>Calculs!CF95</f>
        <v>0</v>
      </c>
      <c r="K95" s="742"/>
      <c r="L95" s="742">
        <f>Calculs!CH95</f>
        <v>0</v>
      </c>
    </row>
    <row r="96" spans="2:12">
      <c r="B96" s="742" t="str">
        <f>Calculs!B96</f>
        <v>Données d'activité</v>
      </c>
      <c r="C96" s="742">
        <f>Calculs!BY96</f>
        <v>0</v>
      </c>
      <c r="D96" s="742">
        <f>Calculs!BZ96</f>
        <v>0</v>
      </c>
      <c r="E96" s="742">
        <f>Calculs!CA96</f>
        <v>0</v>
      </c>
      <c r="F96" s="742">
        <f>Calculs!CB96</f>
        <v>0</v>
      </c>
      <c r="G96" s="742">
        <f>Calculs!CC96</f>
        <v>0</v>
      </c>
      <c r="H96" s="742"/>
      <c r="I96" s="742">
        <f>Calculs!CE96</f>
        <v>0</v>
      </c>
      <c r="J96" s="742">
        <f>Calculs!CF96</f>
        <v>0</v>
      </c>
      <c r="K96" s="742"/>
      <c r="L96" s="742">
        <f>Calculs!CH96</f>
        <v>0</v>
      </c>
    </row>
    <row r="97" spans="2:12">
      <c r="B97" s="742" t="str">
        <f>Calculs!B97</f>
        <v># méthode</v>
      </c>
      <c r="C97" s="742" t="str">
        <f>Calculs!BY97</f>
        <v>Émissions GES</v>
      </c>
      <c r="D97" s="742">
        <f>Calculs!BZ97</f>
        <v>0</v>
      </c>
      <c r="E97" s="742">
        <f>Calculs!CA97</f>
        <v>0</v>
      </c>
      <c r="F97" s="742" t="str">
        <f>Calculs!CB97</f>
        <v>Total GES :</v>
      </c>
      <c r="G97" s="742">
        <f>Calculs!CC97</f>
        <v>0</v>
      </c>
      <c r="H97" s="742"/>
      <c r="I97" s="742" t="str">
        <f>Calculs!CE97</f>
        <v>Total CO2 Biogénique :</v>
      </c>
      <c r="J97" s="742">
        <f>Calculs!CF97</f>
        <v>0</v>
      </c>
      <c r="K97" s="742"/>
      <c r="L97" s="742" t="str">
        <f>Calculs!CH97</f>
        <v>Énergie équivalente</v>
      </c>
    </row>
    <row r="98" spans="2:12" ht="15" customHeight="1">
      <c r="B98" s="742">
        <f>Calculs!B98</f>
        <v>0</v>
      </c>
      <c r="C98" s="742" t="str">
        <f>Calculs!BY98</f>
        <v>CO2</v>
      </c>
      <c r="D98" s="742" t="str">
        <f>Calculs!BZ98</f>
        <v>CH4</v>
      </c>
      <c r="E98" s="742" t="str">
        <f>Calculs!CA98</f>
        <v>N2O</v>
      </c>
      <c r="F98" s="742">
        <f>Calculs!CB98</f>
        <v>0</v>
      </c>
      <c r="G98" s="742">
        <f>Calculs!CC98</f>
        <v>0</v>
      </c>
      <c r="H98" s="742"/>
      <c r="I98" s="742">
        <f>Calculs!CE98</f>
        <v>0</v>
      </c>
      <c r="J98" s="742">
        <f>Calculs!CF98</f>
        <v>0</v>
      </c>
      <c r="K98" s="742"/>
      <c r="L98" s="742">
        <f>Calculs!CH98</f>
        <v>0</v>
      </c>
    </row>
    <row r="99" spans="2:12">
      <c r="B99" s="742">
        <f>Calculs!B99</f>
        <v>0</v>
      </c>
      <c r="C99" s="742" t="str">
        <f>Calculs!BY99</f>
        <v>[gCO2e]</v>
      </c>
      <c r="D99" s="742" t="str">
        <f>Calculs!BZ99</f>
        <v>[gCO2e]</v>
      </c>
      <c r="E99" s="742" t="str">
        <f>Calculs!CA99</f>
        <v>[gCO2e]</v>
      </c>
      <c r="F99" s="742" t="str">
        <f>Calculs!CB99</f>
        <v>[gCO2e]</v>
      </c>
      <c r="G99" s="742" t="str">
        <f>Calculs!CC99</f>
        <v>[tCO2e]</v>
      </c>
      <c r="H99" s="742"/>
      <c r="I99" s="742" t="str">
        <f>Calculs!CE99</f>
        <v>[gCO2e]</v>
      </c>
      <c r="J99" s="742" t="str">
        <f>Calculs!CF99</f>
        <v>[tCO2e]</v>
      </c>
      <c r="K99" s="742"/>
      <c r="L99" s="742" t="str">
        <f>Calculs!CH99</f>
        <v>[kWh]</v>
      </c>
    </row>
    <row r="100" spans="2:12">
      <c r="B100" s="742" t="str">
        <f>Calculs!B100</f>
        <v>1.2B1</v>
      </c>
      <c r="C100" s="742">
        <f>Calculs!BY100</f>
        <v>0</v>
      </c>
      <c r="D100" s="742">
        <f>Calculs!BZ100</f>
        <v>0</v>
      </c>
      <c r="E100" s="742">
        <f>Calculs!CA100</f>
        <v>0</v>
      </c>
      <c r="F100" s="742">
        <f>Calculs!CB100</f>
        <v>0</v>
      </c>
      <c r="G100" s="742">
        <f>Calculs!CC100</f>
        <v>0</v>
      </c>
      <c r="H100" s="742"/>
      <c r="I100" s="742">
        <f>Calculs!CE100</f>
        <v>0</v>
      </c>
      <c r="J100" s="742">
        <f>Calculs!CF100</f>
        <v>0</v>
      </c>
      <c r="K100" s="742"/>
      <c r="L100" s="742">
        <f>Calculs!CH100</f>
        <v>0</v>
      </c>
    </row>
    <row r="101" spans="2:12">
      <c r="B101" s="742" t="str">
        <f>Calculs!B101</f>
        <v>1.2B1</v>
      </c>
      <c r="C101" s="742">
        <f>Calculs!BY101</f>
        <v>0</v>
      </c>
      <c r="D101" s="742">
        <f>Calculs!BZ101</f>
        <v>0</v>
      </c>
      <c r="E101" s="742">
        <f>Calculs!CA101</f>
        <v>0</v>
      </c>
      <c r="F101" s="742">
        <f>Calculs!CB101</f>
        <v>0</v>
      </c>
      <c r="G101" s="742">
        <f>Calculs!CC101</f>
        <v>0</v>
      </c>
      <c r="H101" s="742"/>
      <c r="I101" s="742">
        <f>Calculs!CE101</f>
        <v>0</v>
      </c>
      <c r="J101" s="742">
        <f>Calculs!CF101</f>
        <v>0</v>
      </c>
      <c r="K101" s="742"/>
      <c r="L101" s="742">
        <f>Calculs!CH101</f>
        <v>0</v>
      </c>
    </row>
    <row r="102" spans="2:12">
      <c r="B102" s="742" t="str">
        <f>Calculs!B102</f>
        <v>1.2B1</v>
      </c>
      <c r="C102" s="742">
        <f>Calculs!BY102</f>
        <v>0</v>
      </c>
      <c r="D102" s="742">
        <f>Calculs!BZ102</f>
        <v>0</v>
      </c>
      <c r="E102" s="742">
        <f>Calculs!CA102</f>
        <v>0</v>
      </c>
      <c r="F102" s="742">
        <f>Calculs!CB102</f>
        <v>0</v>
      </c>
      <c r="G102" s="742">
        <f>Calculs!CC102</f>
        <v>0</v>
      </c>
      <c r="H102" s="742"/>
      <c r="I102" s="742">
        <f>Calculs!CE102</f>
        <v>0</v>
      </c>
      <c r="J102" s="742">
        <f>Calculs!CF102</f>
        <v>0</v>
      </c>
      <c r="K102" s="742"/>
      <c r="L102" s="742">
        <f>Calculs!CH102</f>
        <v>0</v>
      </c>
    </row>
    <row r="103" spans="2:12">
      <c r="B103" s="742" t="str">
        <f>Calculs!B103</f>
        <v>1.2B1</v>
      </c>
      <c r="C103" s="742">
        <f>Calculs!BY103</f>
        <v>0</v>
      </c>
      <c r="D103" s="742">
        <f>Calculs!BZ103</f>
        <v>0</v>
      </c>
      <c r="E103" s="742">
        <f>Calculs!CA103</f>
        <v>0</v>
      </c>
      <c r="F103" s="742">
        <f>Calculs!CB103</f>
        <v>0</v>
      </c>
      <c r="G103" s="742">
        <f>Calculs!CC103</f>
        <v>0</v>
      </c>
      <c r="H103" s="742"/>
      <c r="I103" s="742">
        <f>Calculs!CE103</f>
        <v>0</v>
      </c>
      <c r="J103" s="742">
        <f>Calculs!CF103</f>
        <v>0</v>
      </c>
      <c r="K103" s="742"/>
      <c r="L103" s="742">
        <f>Calculs!CH103</f>
        <v>0</v>
      </c>
    </row>
    <row r="104" spans="2:12">
      <c r="B104" s="742" t="str">
        <f>Calculs!B104</f>
        <v>1.2B1</v>
      </c>
      <c r="C104" s="742">
        <f>Calculs!BY104</f>
        <v>0</v>
      </c>
      <c r="D104" s="742">
        <f>Calculs!BZ104</f>
        <v>0</v>
      </c>
      <c r="E104" s="742">
        <f>Calculs!CA104</f>
        <v>0</v>
      </c>
      <c r="F104" s="742">
        <f>Calculs!CB104</f>
        <v>0</v>
      </c>
      <c r="G104" s="742">
        <f>Calculs!CC104</f>
        <v>0</v>
      </c>
      <c r="H104" s="742"/>
      <c r="I104" s="742">
        <f>Calculs!CE104</f>
        <v>0</v>
      </c>
      <c r="J104" s="742">
        <f>Calculs!CF104</f>
        <v>0</v>
      </c>
      <c r="K104" s="742"/>
      <c r="L104" s="742">
        <f>Calculs!CH104</f>
        <v>0</v>
      </c>
    </row>
    <row r="105" spans="2:12">
      <c r="B105" s="742" t="str">
        <f>Calculs!B105</f>
        <v>1.2B1</v>
      </c>
      <c r="C105" s="742">
        <f>Calculs!BY105</f>
        <v>0</v>
      </c>
      <c r="D105" s="742">
        <f>Calculs!BZ105</f>
        <v>0</v>
      </c>
      <c r="E105" s="742">
        <f>Calculs!CA105</f>
        <v>0</v>
      </c>
      <c r="F105" s="742">
        <f>Calculs!CB105</f>
        <v>0</v>
      </c>
      <c r="G105" s="742">
        <f>Calculs!CC105</f>
        <v>0</v>
      </c>
      <c r="H105" s="742"/>
      <c r="I105" s="742">
        <f>Calculs!CE105</f>
        <v>0</v>
      </c>
      <c r="J105" s="742">
        <f>Calculs!CF105</f>
        <v>0</v>
      </c>
      <c r="K105" s="742"/>
      <c r="L105" s="742">
        <f>Calculs!CH105</f>
        <v>0</v>
      </c>
    </row>
    <row r="106" spans="2:12">
      <c r="B106" s="742" t="str">
        <f>Calculs!B106</f>
        <v>1.2B1</v>
      </c>
      <c r="C106" s="742">
        <f>Calculs!BY106</f>
        <v>0</v>
      </c>
      <c r="D106" s="742">
        <f>Calculs!BZ106</f>
        <v>0</v>
      </c>
      <c r="E106" s="742">
        <f>Calculs!CA106</f>
        <v>0</v>
      </c>
      <c r="F106" s="742">
        <f>Calculs!CB106</f>
        <v>0</v>
      </c>
      <c r="G106" s="742">
        <f>Calculs!CC106</f>
        <v>0</v>
      </c>
      <c r="H106" s="742"/>
      <c r="I106" s="742">
        <f>Calculs!CE106</f>
        <v>0</v>
      </c>
      <c r="J106" s="742">
        <f>Calculs!CF106</f>
        <v>0</v>
      </c>
      <c r="K106" s="742"/>
      <c r="L106" s="742">
        <f>Calculs!CH106</f>
        <v>0</v>
      </c>
    </row>
    <row r="107" spans="2:12">
      <c r="B107" s="742" t="str">
        <f>Calculs!B107</f>
        <v>1.2B1</v>
      </c>
      <c r="C107" s="742">
        <f>Calculs!BY107</f>
        <v>0</v>
      </c>
      <c r="D107" s="742">
        <f>Calculs!BZ107</f>
        <v>0</v>
      </c>
      <c r="E107" s="742">
        <f>Calculs!CA107</f>
        <v>0</v>
      </c>
      <c r="F107" s="742">
        <f>Calculs!CB107</f>
        <v>0</v>
      </c>
      <c r="G107" s="742">
        <f>Calculs!CC107</f>
        <v>0</v>
      </c>
      <c r="H107" s="742"/>
      <c r="I107" s="742">
        <f>Calculs!CE107</f>
        <v>0</v>
      </c>
      <c r="J107" s="742">
        <f>Calculs!CF107</f>
        <v>0</v>
      </c>
      <c r="K107" s="742"/>
      <c r="L107" s="742">
        <f>Calculs!CH107</f>
        <v>0</v>
      </c>
    </row>
    <row r="108" spans="2:12">
      <c r="B108" s="742" t="str">
        <f>Calculs!B108</f>
        <v>1.2B1</v>
      </c>
      <c r="C108" s="742">
        <f>Calculs!BY108</f>
        <v>0</v>
      </c>
      <c r="D108" s="742">
        <f>Calculs!BZ108</f>
        <v>0</v>
      </c>
      <c r="E108" s="742">
        <f>Calculs!CA108</f>
        <v>0</v>
      </c>
      <c r="F108" s="742">
        <f>Calculs!CB108</f>
        <v>0</v>
      </c>
      <c r="G108" s="742">
        <f>Calculs!CC108</f>
        <v>0</v>
      </c>
      <c r="H108" s="742"/>
      <c r="I108" s="742">
        <f>Calculs!CE108</f>
        <v>0</v>
      </c>
      <c r="J108" s="742">
        <f>Calculs!CF108</f>
        <v>0</v>
      </c>
      <c r="K108" s="742"/>
      <c r="L108" s="742">
        <f>Calculs!CH108</f>
        <v>0</v>
      </c>
    </row>
    <row r="109" spans="2:12">
      <c r="B109" s="742" t="str">
        <f>Calculs!B109</f>
        <v>1.2B1</v>
      </c>
      <c r="C109" s="742">
        <f>Calculs!BY109</f>
        <v>0</v>
      </c>
      <c r="D109" s="742">
        <f>Calculs!BZ109</f>
        <v>0</v>
      </c>
      <c r="E109" s="742">
        <f>Calculs!CA109</f>
        <v>0</v>
      </c>
      <c r="F109" s="742">
        <f>Calculs!CB109</f>
        <v>0</v>
      </c>
      <c r="G109" s="742">
        <f>Calculs!CC109</f>
        <v>0</v>
      </c>
      <c r="H109" s="742"/>
      <c r="I109" s="742">
        <f>Calculs!CE109</f>
        <v>0</v>
      </c>
      <c r="J109" s="742">
        <f>Calculs!CF109</f>
        <v>0</v>
      </c>
      <c r="K109" s="742"/>
      <c r="L109" s="742">
        <f>Calculs!CH109</f>
        <v>0</v>
      </c>
    </row>
    <row r="110" spans="2:12">
      <c r="B110" s="742">
        <f>Calculs!B110</f>
        <v>0</v>
      </c>
      <c r="C110" s="742">
        <f>Calculs!BY110</f>
        <v>0</v>
      </c>
      <c r="D110" s="742">
        <f>Calculs!BZ110</f>
        <v>0</v>
      </c>
      <c r="E110" s="742">
        <f>Calculs!CA110</f>
        <v>0</v>
      </c>
      <c r="F110" s="742">
        <f>Calculs!CB110</f>
        <v>0</v>
      </c>
      <c r="G110" s="742">
        <f>Calculs!CC110</f>
        <v>0</v>
      </c>
      <c r="H110" s="742"/>
      <c r="I110" s="742">
        <f>Calculs!CE110</f>
        <v>0</v>
      </c>
      <c r="J110" s="742">
        <f>Calculs!CF110</f>
        <v>0</v>
      </c>
      <c r="K110" s="742"/>
      <c r="L110" s="742">
        <f>Calculs!CH110</f>
        <v>0</v>
      </c>
    </row>
    <row r="111" spans="2:12">
      <c r="B111" s="742">
        <f>Calculs!B111</f>
        <v>0</v>
      </c>
      <c r="C111" s="742">
        <f>Calculs!BY111</f>
        <v>0</v>
      </c>
      <c r="D111" s="742">
        <f>Calculs!BZ111</f>
        <v>0</v>
      </c>
      <c r="E111" s="742">
        <f>Calculs!CA111</f>
        <v>0</v>
      </c>
      <c r="F111" s="742">
        <f>Calculs!CB111</f>
        <v>0</v>
      </c>
      <c r="G111" s="742">
        <f>Calculs!CC111</f>
        <v>0</v>
      </c>
      <c r="H111" s="742"/>
      <c r="I111" s="742">
        <f>Calculs!CE111</f>
        <v>0</v>
      </c>
      <c r="J111" s="742">
        <f>Calculs!CF111</f>
        <v>0</v>
      </c>
      <c r="K111" s="742"/>
      <c r="L111" s="742">
        <f>Calculs!CH111</f>
        <v>0</v>
      </c>
    </row>
    <row r="112" spans="2:12">
      <c r="B112" s="742" t="str">
        <f>Calculs!B112</f>
        <v>1.4A1 - Équipement de réfrigération et de climatisation fixe</v>
      </c>
      <c r="C112" s="742">
        <f>Calculs!BY112</f>
        <v>0</v>
      </c>
      <c r="D112" s="742">
        <f>Calculs!BZ112</f>
        <v>0</v>
      </c>
      <c r="E112" s="742">
        <f>Calculs!CA112</f>
        <v>0</v>
      </c>
      <c r="F112" s="742">
        <f>Calculs!CB112</f>
        <v>0</v>
      </c>
      <c r="G112" s="742">
        <f>Calculs!CC112</f>
        <v>0</v>
      </c>
      <c r="H112" s="742"/>
      <c r="I112" s="742">
        <f>Calculs!CE112</f>
        <v>0</v>
      </c>
      <c r="J112" s="742">
        <f>Calculs!CF112</f>
        <v>0</v>
      </c>
      <c r="K112" s="742"/>
      <c r="L112" s="742">
        <f>Calculs!CH112</f>
        <v>0</v>
      </c>
    </row>
    <row r="113" spans="2:12">
      <c r="B113" s="742">
        <f>Calculs!B113</f>
        <v>0</v>
      </c>
      <c r="C113" s="742">
        <f>Calculs!BY113</f>
        <v>0</v>
      </c>
      <c r="D113" s="742">
        <f>Calculs!BZ113</f>
        <v>0</v>
      </c>
      <c r="E113" s="742">
        <f>Calculs!CA113</f>
        <v>0</v>
      </c>
      <c r="F113" s="742">
        <f>Calculs!CB113</f>
        <v>0</v>
      </c>
      <c r="G113" s="742">
        <f>Calculs!CC113</f>
        <v>0</v>
      </c>
      <c r="H113" s="742"/>
      <c r="I113" s="742">
        <f>Calculs!CE113</f>
        <v>0</v>
      </c>
      <c r="J113" s="742">
        <f>Calculs!CF113</f>
        <v>0</v>
      </c>
      <c r="K113" s="742"/>
      <c r="L113" s="742">
        <f>Calculs!CH113</f>
        <v>0</v>
      </c>
    </row>
    <row r="114" spans="2:12">
      <c r="B114" s="742" t="str">
        <f>Calculs!B114</f>
        <v>Données d'activité</v>
      </c>
      <c r="C114" s="742">
        <f>Calculs!BY114</f>
        <v>0</v>
      </c>
      <c r="D114" s="742">
        <f>Calculs!BZ114</f>
        <v>0</v>
      </c>
      <c r="E114" s="742">
        <f>Calculs!CA114</f>
        <v>0</v>
      </c>
      <c r="F114" s="742">
        <f>Calculs!CB114</f>
        <v>0</v>
      </c>
      <c r="G114" s="742">
        <f>Calculs!CC114</f>
        <v>0</v>
      </c>
      <c r="H114" s="742"/>
      <c r="I114" s="742">
        <f>Calculs!CE114</f>
        <v>0</v>
      </c>
      <c r="J114" s="742">
        <f>Calculs!CF114</f>
        <v>0</v>
      </c>
      <c r="K114" s="742"/>
      <c r="L114" s="742">
        <f>Calculs!CH114</f>
        <v>0</v>
      </c>
    </row>
    <row r="115" spans="2:12">
      <c r="B115" s="742" t="str">
        <f>Calculs!B115</f>
        <v># méthode</v>
      </c>
      <c r="C115" s="742" t="str">
        <f>Calculs!BY115</f>
        <v>Émissions GES</v>
      </c>
      <c r="D115" s="742">
        <f>Calculs!BZ115</f>
        <v>0</v>
      </c>
      <c r="E115" s="742">
        <f>Calculs!CA115</f>
        <v>0</v>
      </c>
      <c r="F115" s="742" t="str">
        <f>Calculs!CB115</f>
        <v>Total GES :</v>
      </c>
      <c r="G115" s="742">
        <f>Calculs!CC115</f>
        <v>0</v>
      </c>
      <c r="H115" s="742"/>
      <c r="I115" s="742" t="str">
        <f>Calculs!CE115</f>
        <v>Total CO2 Biogénique :</v>
      </c>
      <c r="J115" s="742">
        <f>Calculs!CF115</f>
        <v>0</v>
      </c>
      <c r="K115" s="742"/>
      <c r="L115" s="742" t="str">
        <f>Calculs!CH115</f>
        <v>Énergie équivalente</v>
      </c>
    </row>
    <row r="116" spans="2:12" ht="15" customHeight="1">
      <c r="B116" s="742">
        <f>Calculs!B116</f>
        <v>0</v>
      </c>
      <c r="C116" s="742" t="str">
        <f>Calculs!BY116</f>
        <v>CO2</v>
      </c>
      <c r="D116" s="742" t="str">
        <f>Calculs!BZ116</f>
        <v>CH4</v>
      </c>
      <c r="E116" s="742" t="str">
        <f>Calculs!CA116</f>
        <v>N2O</v>
      </c>
      <c r="F116" s="742">
        <f>Calculs!CB116</f>
        <v>0</v>
      </c>
      <c r="G116" s="742">
        <f>Calculs!CC116</f>
        <v>0</v>
      </c>
      <c r="H116" s="742"/>
      <c r="I116" s="742">
        <f>Calculs!CE116</f>
        <v>0</v>
      </c>
      <c r="J116" s="742">
        <f>Calculs!CF116</f>
        <v>0</v>
      </c>
      <c r="K116" s="742"/>
      <c r="L116" s="742">
        <f>Calculs!CH116</f>
        <v>0</v>
      </c>
    </row>
    <row r="117" spans="2:12">
      <c r="B117" s="742">
        <f>Calculs!B117</f>
        <v>0</v>
      </c>
      <c r="C117" s="742" t="str">
        <f>Calculs!BY117</f>
        <v>[gCO2e]</v>
      </c>
      <c r="D117" s="742" t="str">
        <f>Calculs!BZ117</f>
        <v>[gCO2e]</v>
      </c>
      <c r="E117" s="742" t="str">
        <f>Calculs!CA117</f>
        <v>[gCO2e]</v>
      </c>
      <c r="F117" s="742" t="str">
        <f>Calculs!CB117</f>
        <v>[gCO2e]</v>
      </c>
      <c r="G117" s="742" t="str">
        <f>Calculs!CC117</f>
        <v>[tCO2e]</v>
      </c>
      <c r="H117" s="742"/>
      <c r="I117" s="742" t="str">
        <f>Calculs!CE117</f>
        <v>[gCO2e]</v>
      </c>
      <c r="J117" s="742" t="str">
        <f>Calculs!CF117</f>
        <v>[tCO2e]</v>
      </c>
      <c r="K117" s="742"/>
      <c r="L117" s="742" t="str">
        <f>Calculs!CH117</f>
        <v>[kWh]</v>
      </c>
    </row>
    <row r="118" spans="2:12">
      <c r="B118" s="742" t="str">
        <f>Calculs!B118</f>
        <v>1.4A1</v>
      </c>
      <c r="C118" s="742">
        <f>Calculs!BY118</f>
        <v>0</v>
      </c>
      <c r="D118" s="742">
        <f>Calculs!BZ118</f>
        <v>0</v>
      </c>
      <c r="E118" s="742">
        <f>Calculs!CA118</f>
        <v>0</v>
      </c>
      <c r="F118" s="742">
        <f>Calculs!CB118</f>
        <v>0</v>
      </c>
      <c r="G118" s="742">
        <f>Calculs!CC118</f>
        <v>0</v>
      </c>
      <c r="H118" s="742"/>
      <c r="I118" s="742">
        <f>Calculs!CE118</f>
        <v>0</v>
      </c>
      <c r="J118" s="742">
        <f>Calculs!CF118</f>
        <v>0</v>
      </c>
      <c r="K118" s="742"/>
      <c r="L118" s="742">
        <f>Calculs!CH118</f>
        <v>0</v>
      </c>
    </row>
    <row r="119" spans="2:12">
      <c r="B119" s="742" t="str">
        <f>Calculs!B119</f>
        <v>1.4A1</v>
      </c>
      <c r="C119" s="742">
        <f>Calculs!BY119</f>
        <v>0</v>
      </c>
      <c r="D119" s="742">
        <f>Calculs!BZ119</f>
        <v>0</v>
      </c>
      <c r="E119" s="742">
        <f>Calculs!CA119</f>
        <v>0</v>
      </c>
      <c r="F119" s="742">
        <f>Calculs!CB119</f>
        <v>162662.75980929879</v>
      </c>
      <c r="G119" s="742">
        <f>Calculs!CC119</f>
        <v>0.16266275980929878</v>
      </c>
      <c r="H119" s="742"/>
      <c r="I119" s="742">
        <f>Calculs!CE119</f>
        <v>0</v>
      </c>
      <c r="J119" s="742">
        <f>Calculs!CF119</f>
        <v>0</v>
      </c>
      <c r="K119" s="742"/>
      <c r="L119" s="742">
        <f>Calculs!CH119</f>
        <v>0</v>
      </c>
    </row>
    <row r="120" spans="2:12">
      <c r="B120" s="742" t="str">
        <f>Calculs!B120</f>
        <v>1.4A1</v>
      </c>
      <c r="C120" s="742">
        <f>Calculs!BY120</f>
        <v>0</v>
      </c>
      <c r="D120" s="742">
        <f>Calculs!BZ120</f>
        <v>0</v>
      </c>
      <c r="E120" s="742">
        <f>Calculs!CA120</f>
        <v>0</v>
      </c>
      <c r="F120" s="742">
        <f>Calculs!CB120</f>
        <v>6494172.6799076786</v>
      </c>
      <c r="G120" s="742">
        <f>Calculs!CC120</f>
        <v>6.4941726799076784</v>
      </c>
      <c r="H120" s="742"/>
      <c r="I120" s="742">
        <f>Calculs!CE120</f>
        <v>0</v>
      </c>
      <c r="J120" s="742">
        <f>Calculs!CF120</f>
        <v>0</v>
      </c>
      <c r="K120" s="742"/>
      <c r="L120" s="742">
        <f>Calculs!CH120</f>
        <v>0</v>
      </c>
    </row>
    <row r="121" spans="2:12">
      <c r="B121" s="742" t="str">
        <f>Calculs!B121</f>
        <v>1.4A1</v>
      </c>
      <c r="C121" s="742">
        <f>Calculs!BY121</f>
        <v>0</v>
      </c>
      <c r="D121" s="742">
        <f>Calculs!BZ121</f>
        <v>0</v>
      </c>
      <c r="E121" s="742">
        <f>Calculs!CA121</f>
        <v>0</v>
      </c>
      <c r="F121" s="742">
        <f>Calculs!CB121</f>
        <v>0</v>
      </c>
      <c r="G121" s="742">
        <f>Calculs!CC121</f>
        <v>0</v>
      </c>
      <c r="H121" s="742"/>
      <c r="I121" s="742">
        <f>Calculs!CE121</f>
        <v>0</v>
      </c>
      <c r="J121" s="742">
        <f>Calculs!CF121</f>
        <v>0</v>
      </c>
      <c r="K121" s="742"/>
      <c r="L121" s="742">
        <f>Calculs!CH121</f>
        <v>0</v>
      </c>
    </row>
    <row r="122" spans="2:12">
      <c r="B122" s="742" t="str">
        <f>Calculs!B122</f>
        <v>1.4A1</v>
      </c>
      <c r="C122" s="742">
        <f>Calculs!BY122</f>
        <v>0</v>
      </c>
      <c r="D122" s="742">
        <f>Calculs!BZ122</f>
        <v>0</v>
      </c>
      <c r="E122" s="742">
        <f>Calculs!CA122</f>
        <v>0</v>
      </c>
      <c r="F122" s="742">
        <f>Calculs!CB122</f>
        <v>0</v>
      </c>
      <c r="G122" s="742">
        <f>Calculs!CC122</f>
        <v>0</v>
      </c>
      <c r="H122" s="742"/>
      <c r="I122" s="742">
        <f>Calculs!CE122</f>
        <v>0</v>
      </c>
      <c r="J122" s="742">
        <f>Calculs!CF122</f>
        <v>0</v>
      </c>
      <c r="K122" s="742"/>
      <c r="L122" s="742">
        <f>Calculs!CH122</f>
        <v>0</v>
      </c>
    </row>
    <row r="123" spans="2:12">
      <c r="B123" s="742" t="str">
        <f>Calculs!B123</f>
        <v>1.4A1</v>
      </c>
      <c r="C123" s="742">
        <f>Calculs!BY123</f>
        <v>0</v>
      </c>
      <c r="D123" s="742">
        <f>Calculs!BZ123</f>
        <v>0</v>
      </c>
      <c r="E123" s="742">
        <f>Calculs!CA123</f>
        <v>0</v>
      </c>
      <c r="F123" s="742">
        <f>Calculs!CB123</f>
        <v>0</v>
      </c>
      <c r="G123" s="742">
        <f>Calculs!CC123</f>
        <v>0</v>
      </c>
      <c r="H123" s="742"/>
      <c r="I123" s="742">
        <f>Calculs!CE123</f>
        <v>0</v>
      </c>
      <c r="J123" s="742">
        <f>Calculs!CF123</f>
        <v>0</v>
      </c>
      <c r="K123" s="742"/>
      <c r="L123" s="742">
        <f>Calculs!CH123</f>
        <v>0</v>
      </c>
    </row>
    <row r="124" spans="2:12">
      <c r="B124" s="742" t="str">
        <f>Calculs!B124</f>
        <v>1.4A1</v>
      </c>
      <c r="C124" s="742">
        <f>Calculs!BY124</f>
        <v>0</v>
      </c>
      <c r="D124" s="742">
        <f>Calculs!BZ124</f>
        <v>0</v>
      </c>
      <c r="E124" s="742">
        <f>Calculs!CA124</f>
        <v>0</v>
      </c>
      <c r="F124" s="742">
        <f>Calculs!CB124</f>
        <v>0</v>
      </c>
      <c r="G124" s="742">
        <f>Calculs!CC124</f>
        <v>0</v>
      </c>
      <c r="H124" s="742"/>
      <c r="I124" s="742">
        <f>Calculs!CE124</f>
        <v>0</v>
      </c>
      <c r="J124" s="742">
        <f>Calculs!CF124</f>
        <v>0</v>
      </c>
      <c r="K124" s="742"/>
      <c r="L124" s="742">
        <f>Calculs!CH124</f>
        <v>0</v>
      </c>
    </row>
    <row r="125" spans="2:12">
      <c r="B125" s="742" t="str">
        <f>Calculs!B125</f>
        <v>1.4A1</v>
      </c>
      <c r="C125" s="742">
        <f>Calculs!BY125</f>
        <v>0</v>
      </c>
      <c r="D125" s="742">
        <f>Calculs!BZ125</f>
        <v>0</v>
      </c>
      <c r="E125" s="742">
        <f>Calculs!CA125</f>
        <v>0</v>
      </c>
      <c r="F125" s="742">
        <f>Calculs!CB125</f>
        <v>0</v>
      </c>
      <c r="G125" s="742">
        <f>Calculs!CC125</f>
        <v>0</v>
      </c>
      <c r="H125" s="742"/>
      <c r="I125" s="742">
        <f>Calculs!CE125</f>
        <v>0</v>
      </c>
      <c r="J125" s="742">
        <f>Calculs!CF125</f>
        <v>0</v>
      </c>
      <c r="K125" s="742"/>
      <c r="L125" s="742">
        <f>Calculs!CH125</f>
        <v>0</v>
      </c>
    </row>
    <row r="126" spans="2:12">
      <c r="B126" s="742" t="str">
        <f>Calculs!B126</f>
        <v>1.4A1</v>
      </c>
      <c r="C126" s="742">
        <f>Calculs!BY126</f>
        <v>0</v>
      </c>
      <c r="D126" s="742">
        <f>Calculs!BZ126</f>
        <v>0</v>
      </c>
      <c r="E126" s="742">
        <f>Calculs!CA126</f>
        <v>0</v>
      </c>
      <c r="F126" s="742">
        <f>Calculs!CB126</f>
        <v>0</v>
      </c>
      <c r="G126" s="742">
        <f>Calculs!CC126</f>
        <v>0</v>
      </c>
      <c r="H126" s="742"/>
      <c r="I126" s="742">
        <f>Calculs!CE126</f>
        <v>0</v>
      </c>
      <c r="J126" s="742">
        <f>Calculs!CF126</f>
        <v>0</v>
      </c>
      <c r="K126" s="742"/>
      <c r="L126" s="742">
        <f>Calculs!CH126</f>
        <v>0</v>
      </c>
    </row>
    <row r="127" spans="2:12">
      <c r="B127" s="742" t="str">
        <f>Calculs!B127</f>
        <v>1.4A1</v>
      </c>
      <c r="C127" s="742">
        <f>Calculs!BY127</f>
        <v>0</v>
      </c>
      <c r="D127" s="742">
        <f>Calculs!BZ127</f>
        <v>0</v>
      </c>
      <c r="E127" s="742">
        <f>Calculs!CA127</f>
        <v>0</v>
      </c>
      <c r="F127" s="742">
        <f>Calculs!CB127</f>
        <v>0</v>
      </c>
      <c r="G127" s="742">
        <f>Calculs!CC127</f>
        <v>0</v>
      </c>
      <c r="H127" s="742"/>
      <c r="I127" s="742">
        <f>Calculs!CE127</f>
        <v>0</v>
      </c>
      <c r="J127" s="742">
        <f>Calculs!CF127</f>
        <v>0</v>
      </c>
      <c r="K127" s="742"/>
      <c r="L127" s="742">
        <f>Calculs!CH127</f>
        <v>0</v>
      </c>
    </row>
    <row r="128" spans="2:12">
      <c r="B128" s="742">
        <f>Calculs!B128</f>
        <v>0</v>
      </c>
      <c r="C128" s="742">
        <f>Calculs!BY128</f>
        <v>0</v>
      </c>
      <c r="D128" s="742">
        <f>Calculs!BZ128</f>
        <v>0</v>
      </c>
      <c r="E128" s="742">
        <f>Calculs!CA128</f>
        <v>0</v>
      </c>
      <c r="F128" s="742">
        <f>Calculs!CB128</f>
        <v>6656835.4397169771</v>
      </c>
      <c r="G128" s="742">
        <f>Calculs!CC128</f>
        <v>6.6568354397169776</v>
      </c>
      <c r="H128" s="742"/>
      <c r="I128" s="742">
        <f>Calculs!CE128</f>
        <v>0</v>
      </c>
      <c r="J128" s="742">
        <f>Calculs!CF128</f>
        <v>0</v>
      </c>
      <c r="K128" s="742"/>
      <c r="L128" s="742">
        <f>Calculs!CH128</f>
        <v>0</v>
      </c>
    </row>
    <row r="129" spans="2:12">
      <c r="B129" s="742">
        <f>Calculs!B129</f>
        <v>0</v>
      </c>
      <c r="C129" s="742">
        <f>Calculs!BY129</f>
        <v>0</v>
      </c>
      <c r="D129" s="742">
        <f>Calculs!BZ129</f>
        <v>0</v>
      </c>
      <c r="E129" s="742">
        <f>Calculs!CA129</f>
        <v>0</v>
      </c>
      <c r="F129" s="742">
        <f>Calculs!CB129</f>
        <v>0</v>
      </c>
      <c r="G129" s="742">
        <f>Calculs!CC129</f>
        <v>0</v>
      </c>
      <c r="H129" s="742"/>
      <c r="I129" s="742">
        <f>Calculs!CE129</f>
        <v>0</v>
      </c>
      <c r="J129" s="742">
        <f>Calculs!CF129</f>
        <v>0</v>
      </c>
      <c r="K129" s="742"/>
      <c r="L129" s="742">
        <f>Calculs!CH129</f>
        <v>0</v>
      </c>
    </row>
    <row r="130" spans="2:12">
      <c r="B130" s="742" t="str">
        <f>Calculs!B130</f>
        <v>1.4B1 - Climatisation du flotte de véhicules</v>
      </c>
      <c r="C130" s="742">
        <f>Calculs!BY130</f>
        <v>0</v>
      </c>
      <c r="D130" s="742">
        <f>Calculs!BZ130</f>
        <v>0</v>
      </c>
      <c r="E130" s="742">
        <f>Calculs!CA130</f>
        <v>0</v>
      </c>
      <c r="F130" s="742">
        <f>Calculs!CB130</f>
        <v>0</v>
      </c>
      <c r="G130" s="742">
        <f>Calculs!CC130</f>
        <v>0</v>
      </c>
      <c r="H130" s="742"/>
      <c r="I130" s="742">
        <f>Calculs!CE130</f>
        <v>0</v>
      </c>
      <c r="J130" s="742">
        <f>Calculs!CF130</f>
        <v>0</v>
      </c>
      <c r="K130" s="742"/>
      <c r="L130" s="742">
        <f>Calculs!CH130</f>
        <v>0</v>
      </c>
    </row>
    <row r="131" spans="2:12">
      <c r="B131" s="742">
        <f>Calculs!B131</f>
        <v>0</v>
      </c>
      <c r="C131" s="742">
        <f>Calculs!BY131</f>
        <v>0</v>
      </c>
      <c r="D131" s="742">
        <f>Calculs!BZ131</f>
        <v>0</v>
      </c>
      <c r="E131" s="742">
        <f>Calculs!CA131</f>
        <v>0</v>
      </c>
      <c r="F131" s="742">
        <f>Calculs!CB131</f>
        <v>0</v>
      </c>
      <c r="G131" s="742">
        <f>Calculs!CC131</f>
        <v>0</v>
      </c>
      <c r="H131" s="742"/>
      <c r="I131" s="742">
        <f>Calculs!CE131</f>
        <v>0</v>
      </c>
      <c r="J131" s="742">
        <f>Calculs!CF131</f>
        <v>0</v>
      </c>
      <c r="K131" s="742"/>
      <c r="L131" s="742">
        <f>Calculs!CH131</f>
        <v>0</v>
      </c>
    </row>
    <row r="132" spans="2:12">
      <c r="B132" s="742" t="str">
        <f>Calculs!B132</f>
        <v>Données d'activité</v>
      </c>
      <c r="C132" s="742">
        <f>Calculs!BY132</f>
        <v>0</v>
      </c>
      <c r="D132" s="742">
        <f>Calculs!BZ132</f>
        <v>0</v>
      </c>
      <c r="E132" s="742">
        <f>Calculs!CA132</f>
        <v>0</v>
      </c>
      <c r="F132" s="742">
        <f>Calculs!CB132</f>
        <v>0</v>
      </c>
      <c r="G132" s="742">
        <f>Calculs!CC132</f>
        <v>0</v>
      </c>
      <c r="H132" s="742"/>
      <c r="I132" s="742">
        <f>Calculs!CE132</f>
        <v>0</v>
      </c>
      <c r="J132" s="742">
        <f>Calculs!CF132</f>
        <v>0</v>
      </c>
      <c r="K132" s="742"/>
      <c r="L132" s="742">
        <f>Calculs!CH132</f>
        <v>0</v>
      </c>
    </row>
    <row r="133" spans="2:12">
      <c r="B133" s="742" t="str">
        <f>Calculs!B133</f>
        <v># méthode</v>
      </c>
      <c r="C133" s="742" t="str">
        <f>Calculs!BY133</f>
        <v>Émissions GES</v>
      </c>
      <c r="D133" s="742">
        <f>Calculs!BZ133</f>
        <v>0</v>
      </c>
      <c r="E133" s="742">
        <f>Calculs!CA133</f>
        <v>0</v>
      </c>
      <c r="F133" s="742" t="str">
        <f>Calculs!CB133</f>
        <v>Total GES :</v>
      </c>
      <c r="G133" s="742">
        <f>Calculs!CC133</f>
        <v>0</v>
      </c>
      <c r="H133" s="742"/>
      <c r="I133" s="742" t="str">
        <f>Calculs!CE133</f>
        <v>Total CO2 Biogénique :</v>
      </c>
      <c r="J133" s="742">
        <f>Calculs!CF133</f>
        <v>0</v>
      </c>
      <c r="K133" s="742"/>
      <c r="L133" s="742" t="str">
        <f>Calculs!CH133</f>
        <v>Énergie équivalente</v>
      </c>
    </row>
    <row r="134" spans="2:12" ht="15" customHeight="1">
      <c r="B134" s="742">
        <f>Calculs!B134</f>
        <v>0</v>
      </c>
      <c r="C134" s="742" t="str">
        <f>Calculs!BY134</f>
        <v>CO2</v>
      </c>
      <c r="D134" s="742" t="str">
        <f>Calculs!BZ134</f>
        <v>CH4</v>
      </c>
      <c r="E134" s="742" t="str">
        <f>Calculs!CA134</f>
        <v>N2O</v>
      </c>
      <c r="F134" s="742">
        <f>Calculs!CB134</f>
        <v>0</v>
      </c>
      <c r="G134" s="742">
        <f>Calculs!CC134</f>
        <v>0</v>
      </c>
      <c r="H134" s="742"/>
      <c r="I134" s="742">
        <f>Calculs!CE134</f>
        <v>0</v>
      </c>
      <c r="J134" s="742">
        <f>Calculs!CF134</f>
        <v>0</v>
      </c>
      <c r="K134" s="742"/>
      <c r="L134" s="742">
        <f>Calculs!CH134</f>
        <v>0</v>
      </c>
    </row>
    <row r="135" spans="2:12">
      <c r="B135" s="742">
        <f>Calculs!B135</f>
        <v>0</v>
      </c>
      <c r="C135" s="742" t="str">
        <f>Calculs!BY135</f>
        <v>[gCO2e]</v>
      </c>
      <c r="D135" s="742" t="str">
        <f>Calculs!BZ135</f>
        <v>[gCO2e]</v>
      </c>
      <c r="E135" s="742" t="str">
        <f>Calculs!CA135</f>
        <v>[gCO2e]</v>
      </c>
      <c r="F135" s="742" t="str">
        <f>Calculs!CB135</f>
        <v>[gCO2e]</v>
      </c>
      <c r="G135" s="742" t="str">
        <f>Calculs!CC135</f>
        <v>[tCO2e]</v>
      </c>
      <c r="H135" s="742"/>
      <c r="I135" s="742" t="str">
        <f>Calculs!CE135</f>
        <v>[gCO2e]</v>
      </c>
      <c r="J135" s="742" t="str">
        <f>Calculs!CF135</f>
        <v>[tCO2e]</v>
      </c>
      <c r="K135" s="742"/>
      <c r="L135" s="742" t="str">
        <f>Calculs!CH135</f>
        <v>[kWh]</v>
      </c>
    </row>
    <row r="136" spans="2:12">
      <c r="B136" s="742" t="str">
        <f>Calculs!B136</f>
        <v>1.4B1</v>
      </c>
      <c r="C136" s="742">
        <f>Calculs!BY136</f>
        <v>0</v>
      </c>
      <c r="D136" s="742">
        <f>Calculs!BZ136</f>
        <v>0</v>
      </c>
      <c r="E136" s="742">
        <f>Calculs!CA136</f>
        <v>0</v>
      </c>
      <c r="F136" s="742">
        <f>Calculs!CB136</f>
        <v>0</v>
      </c>
      <c r="G136" s="742">
        <f>Calculs!CC136</f>
        <v>0</v>
      </c>
      <c r="H136" s="742"/>
      <c r="I136" s="742">
        <f>Calculs!CE136</f>
        <v>0</v>
      </c>
      <c r="J136" s="742">
        <f>Calculs!CF136</f>
        <v>0</v>
      </c>
      <c r="K136" s="742"/>
      <c r="L136" s="742">
        <f>Calculs!CH136</f>
        <v>0</v>
      </c>
    </row>
    <row r="137" spans="2:12">
      <c r="B137" s="742">
        <f>Calculs!B137</f>
        <v>0</v>
      </c>
      <c r="C137" s="742">
        <f>Calculs!BY137</f>
        <v>0</v>
      </c>
      <c r="D137" s="742">
        <f>Calculs!BZ137</f>
        <v>0</v>
      </c>
      <c r="E137" s="742">
        <f>Calculs!CA137</f>
        <v>0</v>
      </c>
      <c r="F137" s="742">
        <f>Calculs!CB137</f>
        <v>0</v>
      </c>
      <c r="G137" s="742">
        <f>Calculs!CC137</f>
        <v>0</v>
      </c>
      <c r="H137" s="742"/>
      <c r="I137" s="742">
        <f>Calculs!CE137</f>
        <v>0</v>
      </c>
      <c r="J137" s="742">
        <f>Calculs!CF137</f>
        <v>0</v>
      </c>
      <c r="K137" s="742"/>
      <c r="L137" s="742">
        <f>Calculs!CH137</f>
        <v>0</v>
      </c>
    </row>
    <row r="138" spans="2:12">
      <c r="B138" s="742">
        <f>Calculs!B138</f>
        <v>0</v>
      </c>
      <c r="C138" s="742">
        <f>Calculs!BY138</f>
        <v>0</v>
      </c>
      <c r="D138" s="742">
        <f>Calculs!BZ138</f>
        <v>0</v>
      </c>
      <c r="E138" s="742">
        <f>Calculs!CA138</f>
        <v>0</v>
      </c>
      <c r="F138" s="742">
        <f>Calculs!CB138</f>
        <v>0</v>
      </c>
      <c r="G138" s="742">
        <f>Calculs!CC138</f>
        <v>0</v>
      </c>
      <c r="H138" s="742"/>
      <c r="I138" s="742">
        <f>Calculs!CE138</f>
        <v>0</v>
      </c>
      <c r="J138" s="742">
        <f>Calculs!CF138</f>
        <v>0</v>
      </c>
      <c r="K138" s="742"/>
      <c r="L138" s="742">
        <f>Calculs!CH138</f>
        <v>0</v>
      </c>
    </row>
    <row r="139" spans="2:12">
      <c r="B139" s="742" t="str">
        <f>Calculs!B139</f>
        <v>1.4B2 - Climatisation des véhicules</v>
      </c>
      <c r="C139" s="742">
        <f>Calculs!BY139</f>
        <v>0</v>
      </c>
      <c r="D139" s="742">
        <f>Calculs!BZ139</f>
        <v>0</v>
      </c>
      <c r="E139" s="742">
        <f>Calculs!CA139</f>
        <v>0</v>
      </c>
      <c r="F139" s="742">
        <f>Calculs!CB139</f>
        <v>0</v>
      </c>
      <c r="G139" s="742">
        <f>Calculs!CC139</f>
        <v>0</v>
      </c>
      <c r="H139" s="742"/>
      <c r="I139" s="742">
        <f>Calculs!CE139</f>
        <v>0</v>
      </c>
      <c r="J139" s="742">
        <f>Calculs!CF139</f>
        <v>0</v>
      </c>
      <c r="K139" s="742"/>
      <c r="L139" s="742">
        <f>Calculs!CH139</f>
        <v>0</v>
      </c>
    </row>
    <row r="140" spans="2:12">
      <c r="B140" s="742">
        <f>Calculs!B140</f>
        <v>0</v>
      </c>
      <c r="C140" s="742">
        <f>Calculs!BY140</f>
        <v>0</v>
      </c>
      <c r="D140" s="742">
        <f>Calculs!BZ140</f>
        <v>0</v>
      </c>
      <c r="E140" s="742">
        <f>Calculs!CA140</f>
        <v>0</v>
      </c>
      <c r="F140" s="742">
        <f>Calculs!CB140</f>
        <v>0</v>
      </c>
      <c r="G140" s="742">
        <f>Calculs!CC140</f>
        <v>0</v>
      </c>
      <c r="H140" s="742"/>
      <c r="I140" s="742">
        <f>Calculs!CE140</f>
        <v>0</v>
      </c>
      <c r="J140" s="742">
        <f>Calculs!CF140</f>
        <v>0</v>
      </c>
      <c r="K140" s="742"/>
      <c r="L140" s="742">
        <f>Calculs!CH140</f>
        <v>0</v>
      </c>
    </row>
    <row r="141" spans="2:12">
      <c r="B141" s="742" t="str">
        <f>Calculs!B141</f>
        <v>Données d'activité</v>
      </c>
      <c r="C141" s="742">
        <f>Calculs!BY141</f>
        <v>0</v>
      </c>
      <c r="D141" s="742">
        <f>Calculs!BZ141</f>
        <v>0</v>
      </c>
      <c r="E141" s="742">
        <f>Calculs!CA141</f>
        <v>0</v>
      </c>
      <c r="F141" s="742">
        <f>Calculs!CB141</f>
        <v>0</v>
      </c>
      <c r="G141" s="742">
        <f>Calculs!CC141</f>
        <v>0</v>
      </c>
      <c r="H141" s="742"/>
      <c r="I141" s="742">
        <f>Calculs!CE141</f>
        <v>0</v>
      </c>
      <c r="J141" s="742">
        <f>Calculs!CF141</f>
        <v>0</v>
      </c>
      <c r="K141" s="742"/>
      <c r="L141" s="742">
        <f>Calculs!CH141</f>
        <v>0</v>
      </c>
    </row>
    <row r="142" spans="2:12">
      <c r="B142" s="742" t="str">
        <f>Calculs!B142</f>
        <v># méthode</v>
      </c>
      <c r="C142" s="742" t="str">
        <f>Calculs!BY142</f>
        <v>Émissions GES</v>
      </c>
      <c r="D142" s="742">
        <f>Calculs!BZ142</f>
        <v>0</v>
      </c>
      <c r="E142" s="742">
        <f>Calculs!CA142</f>
        <v>0</v>
      </c>
      <c r="F142" s="742" t="str">
        <f>Calculs!CB142</f>
        <v>Total GES :</v>
      </c>
      <c r="G142" s="742">
        <f>Calculs!CC142</f>
        <v>0</v>
      </c>
      <c r="H142" s="742"/>
      <c r="I142" s="742" t="str">
        <f>Calculs!CE142</f>
        <v>Total CO2 Biogénique :</v>
      </c>
      <c r="J142" s="742">
        <f>Calculs!CF142</f>
        <v>0</v>
      </c>
      <c r="K142" s="742"/>
      <c r="L142" s="742" t="str">
        <f>Calculs!CH142</f>
        <v>Énergie équivalente</v>
      </c>
    </row>
    <row r="143" spans="2:12">
      <c r="B143" s="742">
        <f>Calculs!B143</f>
        <v>0</v>
      </c>
      <c r="C143" s="742" t="str">
        <f>Calculs!BY143</f>
        <v>CO2</v>
      </c>
      <c r="D143" s="742" t="str">
        <f>Calculs!BZ143</f>
        <v>CH4</v>
      </c>
      <c r="E143" s="742" t="str">
        <f>Calculs!CA143</f>
        <v>N2O</v>
      </c>
      <c r="F143" s="742">
        <f>Calculs!CB143</f>
        <v>0</v>
      </c>
      <c r="G143" s="742">
        <f>Calculs!CC143</f>
        <v>0</v>
      </c>
      <c r="H143" s="742"/>
      <c r="I143" s="742">
        <f>Calculs!CE143</f>
        <v>0</v>
      </c>
      <c r="J143" s="742">
        <f>Calculs!CF143</f>
        <v>0</v>
      </c>
      <c r="K143" s="742"/>
      <c r="L143" s="742">
        <f>Calculs!CH143</f>
        <v>0</v>
      </c>
    </row>
    <row r="144" spans="2:12">
      <c r="B144" s="742">
        <f>Calculs!B144</f>
        <v>0</v>
      </c>
      <c r="C144" s="742" t="str">
        <f>Calculs!BY144</f>
        <v>[gCO2e]</v>
      </c>
      <c r="D144" s="742" t="str">
        <f>Calculs!BZ144</f>
        <v>[gCO2e]</v>
      </c>
      <c r="E144" s="742" t="str">
        <f>Calculs!CA144</f>
        <v>[gCO2e]</v>
      </c>
      <c r="F144" s="742" t="str">
        <f>Calculs!CB144</f>
        <v>[gCO2e]</v>
      </c>
      <c r="G144" s="742" t="str">
        <f>Calculs!CC144</f>
        <v>[tCO2e]</v>
      </c>
      <c r="H144" s="742"/>
      <c r="I144" s="742" t="str">
        <f>Calculs!CE144</f>
        <v>[gCO2e]</v>
      </c>
      <c r="J144" s="742" t="str">
        <f>Calculs!CF144</f>
        <v>[tCO2e]</v>
      </c>
      <c r="K144" s="742"/>
      <c r="L144" s="742" t="str">
        <f>Calculs!CH144</f>
        <v>[kWh]</v>
      </c>
    </row>
    <row r="145" spans="2:12">
      <c r="B145" s="742" t="str">
        <f>Calculs!B145</f>
        <v>1.4B2</v>
      </c>
      <c r="C145" s="742">
        <f>Calculs!BY145</f>
        <v>0</v>
      </c>
      <c r="D145" s="742">
        <f>Calculs!BZ145</f>
        <v>0</v>
      </c>
      <c r="E145" s="742">
        <f>Calculs!CA145</f>
        <v>0</v>
      </c>
      <c r="F145" s="742">
        <f>Calculs!CB145</f>
        <v>138436.39132706283</v>
      </c>
      <c r="G145" s="742">
        <f>Calculs!CC145</f>
        <v>0.13843639132706281</v>
      </c>
      <c r="H145" s="742"/>
      <c r="I145" s="742">
        <f>Calculs!CE145</f>
        <v>0</v>
      </c>
      <c r="J145" s="742">
        <f>Calculs!CF145</f>
        <v>0</v>
      </c>
      <c r="K145" s="742"/>
      <c r="L145" s="742">
        <f>Calculs!CH145</f>
        <v>0</v>
      </c>
    </row>
    <row r="146" spans="2:12">
      <c r="B146" s="742" t="str">
        <f>Calculs!B146</f>
        <v>1.4B2</v>
      </c>
      <c r="C146" s="742">
        <f>Calculs!BY146</f>
        <v>0</v>
      </c>
      <c r="D146" s="742">
        <f>Calculs!BZ146</f>
        <v>0</v>
      </c>
      <c r="E146" s="742">
        <f>Calculs!CA146</f>
        <v>0</v>
      </c>
      <c r="F146" s="742">
        <f>Calculs!CB146</f>
        <v>138436.39132706283</v>
      </c>
      <c r="G146" s="742">
        <f>Calculs!CC146</f>
        <v>0.13843639132706281</v>
      </c>
      <c r="H146" s="742"/>
      <c r="I146" s="742">
        <f>Calculs!CE146</f>
        <v>0</v>
      </c>
      <c r="J146" s="742">
        <f>Calculs!CF146</f>
        <v>0</v>
      </c>
      <c r="K146" s="742"/>
      <c r="L146" s="742">
        <f>Calculs!CH146</f>
        <v>0</v>
      </c>
    </row>
    <row r="147" spans="2:12">
      <c r="B147" s="742" t="str">
        <f>Calculs!B147</f>
        <v>1.4B2</v>
      </c>
      <c r="C147" s="742">
        <f>Calculs!BY147</f>
        <v>0</v>
      </c>
      <c r="D147" s="742">
        <f>Calculs!BZ147</f>
        <v>0</v>
      </c>
      <c r="E147" s="742">
        <f>Calculs!CA147</f>
        <v>0</v>
      </c>
      <c r="F147" s="742">
        <f>Calculs!CB147</f>
        <v>0</v>
      </c>
      <c r="G147" s="742">
        <f>Calculs!CC147</f>
        <v>0</v>
      </c>
      <c r="H147" s="742"/>
      <c r="I147" s="742">
        <f>Calculs!CE147</f>
        <v>0</v>
      </c>
      <c r="J147" s="742">
        <f>Calculs!CF147</f>
        <v>0</v>
      </c>
      <c r="K147" s="742"/>
      <c r="L147" s="742">
        <f>Calculs!CH147</f>
        <v>0</v>
      </c>
    </row>
    <row r="148" spans="2:12">
      <c r="B148" s="742" t="str">
        <f>Calculs!B148</f>
        <v>1.4B2</v>
      </c>
      <c r="C148" s="742">
        <f>Calculs!BY148</f>
        <v>0</v>
      </c>
      <c r="D148" s="742">
        <f>Calculs!BZ148</f>
        <v>0</v>
      </c>
      <c r="E148" s="742">
        <f>Calculs!CA148</f>
        <v>0</v>
      </c>
      <c r="F148" s="742">
        <f>Calculs!CB148</f>
        <v>0</v>
      </c>
      <c r="G148" s="742">
        <f>Calculs!CC148</f>
        <v>0</v>
      </c>
      <c r="H148" s="742"/>
      <c r="I148" s="742">
        <f>Calculs!CE148</f>
        <v>0</v>
      </c>
      <c r="J148" s="742">
        <f>Calculs!CF148</f>
        <v>0</v>
      </c>
      <c r="K148" s="742"/>
      <c r="L148" s="742">
        <f>Calculs!CH148</f>
        <v>0</v>
      </c>
    </row>
    <row r="149" spans="2:12">
      <c r="B149" s="742" t="str">
        <f>Calculs!B149</f>
        <v>1.4B2</v>
      </c>
      <c r="C149" s="742">
        <f>Calculs!BY149</f>
        <v>0</v>
      </c>
      <c r="D149" s="742">
        <f>Calculs!BZ149</f>
        <v>0</v>
      </c>
      <c r="E149" s="742">
        <f>Calculs!CA149</f>
        <v>0</v>
      </c>
      <c r="F149" s="742">
        <f>Calculs!CB149</f>
        <v>0</v>
      </c>
      <c r="G149" s="742">
        <f>Calculs!CC149</f>
        <v>0</v>
      </c>
      <c r="H149" s="742"/>
      <c r="I149" s="742">
        <f>Calculs!CE149</f>
        <v>0</v>
      </c>
      <c r="J149" s="742">
        <f>Calculs!CF149</f>
        <v>0</v>
      </c>
      <c r="K149" s="742"/>
      <c r="L149" s="742">
        <f>Calculs!CH149</f>
        <v>0</v>
      </c>
    </row>
    <row r="150" spans="2:12">
      <c r="B150" s="742" t="str">
        <f>Calculs!B150</f>
        <v>1.4B2</v>
      </c>
      <c r="C150" s="742">
        <f>Calculs!BY150</f>
        <v>0</v>
      </c>
      <c r="D150" s="742">
        <f>Calculs!BZ150</f>
        <v>0</v>
      </c>
      <c r="E150" s="742">
        <f>Calculs!CA150</f>
        <v>0</v>
      </c>
      <c r="F150" s="742">
        <f>Calculs!CB150</f>
        <v>0</v>
      </c>
      <c r="G150" s="742">
        <f>Calculs!CC150</f>
        <v>0</v>
      </c>
      <c r="H150" s="742"/>
      <c r="I150" s="742">
        <f>Calculs!CE150</f>
        <v>0</v>
      </c>
      <c r="J150" s="742">
        <f>Calculs!CF150</f>
        <v>0</v>
      </c>
      <c r="K150" s="742"/>
      <c r="L150" s="742">
        <f>Calculs!CH150</f>
        <v>0</v>
      </c>
    </row>
    <row r="151" spans="2:12">
      <c r="B151" s="742" t="str">
        <f>Calculs!B151</f>
        <v>1.4B2</v>
      </c>
      <c r="C151" s="742">
        <f>Calculs!BY151</f>
        <v>0</v>
      </c>
      <c r="D151" s="742">
        <f>Calculs!BZ151</f>
        <v>0</v>
      </c>
      <c r="E151" s="742">
        <f>Calculs!CA151</f>
        <v>0</v>
      </c>
      <c r="F151" s="742">
        <f>Calculs!CB151</f>
        <v>0</v>
      </c>
      <c r="G151" s="742">
        <f>Calculs!CC151</f>
        <v>0</v>
      </c>
      <c r="H151" s="742"/>
      <c r="I151" s="742">
        <f>Calculs!CE151</f>
        <v>0</v>
      </c>
      <c r="J151" s="742">
        <f>Calculs!CF151</f>
        <v>0</v>
      </c>
      <c r="K151" s="742"/>
      <c r="L151" s="742">
        <f>Calculs!CH151</f>
        <v>0</v>
      </c>
    </row>
    <row r="152" spans="2:12">
      <c r="B152" s="742" t="str">
        <f>Calculs!B152</f>
        <v>1.4B2</v>
      </c>
      <c r="C152" s="742">
        <f>Calculs!BY152</f>
        <v>0</v>
      </c>
      <c r="D152" s="742">
        <f>Calculs!BZ152</f>
        <v>0</v>
      </c>
      <c r="E152" s="742">
        <f>Calculs!CA152</f>
        <v>0</v>
      </c>
      <c r="F152" s="742">
        <f>Calculs!CB152</f>
        <v>0</v>
      </c>
      <c r="G152" s="742">
        <f>Calculs!CC152</f>
        <v>0</v>
      </c>
      <c r="H152" s="742"/>
      <c r="I152" s="742">
        <f>Calculs!CE152</f>
        <v>0</v>
      </c>
      <c r="J152" s="742">
        <f>Calculs!CF152</f>
        <v>0</v>
      </c>
      <c r="K152" s="742"/>
      <c r="L152" s="742">
        <f>Calculs!CH152</f>
        <v>0</v>
      </c>
    </row>
    <row r="153" spans="2:12" ht="15" customHeight="1">
      <c r="B153" s="742" t="str">
        <f>Calculs!B153</f>
        <v>1.4B2</v>
      </c>
      <c r="C153" s="742">
        <f>Calculs!BY153</f>
        <v>0</v>
      </c>
      <c r="D153" s="742">
        <f>Calculs!BZ153</f>
        <v>0</v>
      </c>
      <c r="E153" s="742">
        <f>Calculs!CA153</f>
        <v>0</v>
      </c>
      <c r="F153" s="742">
        <f>Calculs!CB153</f>
        <v>0</v>
      </c>
      <c r="G153" s="742">
        <f>Calculs!CC153</f>
        <v>0</v>
      </c>
      <c r="H153" s="742"/>
      <c r="I153" s="742">
        <f>Calculs!CE153</f>
        <v>0</v>
      </c>
      <c r="J153" s="742">
        <f>Calculs!CF153</f>
        <v>0</v>
      </c>
      <c r="K153" s="742"/>
      <c r="L153" s="742">
        <f>Calculs!CH153</f>
        <v>0</v>
      </c>
    </row>
    <row r="154" spans="2:12">
      <c r="B154" s="742" t="str">
        <f>Calculs!B154</f>
        <v>1.4B2</v>
      </c>
      <c r="C154" s="742">
        <f>Calculs!BY154</f>
        <v>0</v>
      </c>
      <c r="D154" s="742">
        <f>Calculs!BZ154</f>
        <v>0</v>
      </c>
      <c r="E154" s="742">
        <f>Calculs!CA154</f>
        <v>0</v>
      </c>
      <c r="F154" s="742">
        <f>Calculs!CB154</f>
        <v>0</v>
      </c>
      <c r="G154" s="742">
        <f>Calculs!CC154</f>
        <v>0</v>
      </c>
      <c r="H154" s="742"/>
      <c r="I154" s="742">
        <f>Calculs!CE154</f>
        <v>0</v>
      </c>
      <c r="J154" s="742">
        <f>Calculs!CF154</f>
        <v>0</v>
      </c>
      <c r="K154" s="742"/>
      <c r="L154" s="742">
        <f>Calculs!CH154</f>
        <v>0</v>
      </c>
    </row>
    <row r="155" spans="2:12">
      <c r="B155" s="742">
        <f>Calculs!B155</f>
        <v>0</v>
      </c>
      <c r="C155" s="742">
        <f>Calculs!BY155</f>
        <v>0</v>
      </c>
      <c r="D155" s="742">
        <f>Calculs!BZ155</f>
        <v>0</v>
      </c>
      <c r="E155" s="742">
        <f>Calculs!CA155</f>
        <v>0</v>
      </c>
      <c r="F155" s="742">
        <f>Calculs!CB155</f>
        <v>276872.78265412565</v>
      </c>
      <c r="G155" s="742">
        <f>Calculs!CC155</f>
        <v>0.27687278265412563</v>
      </c>
      <c r="H155" s="742"/>
      <c r="I155" s="742">
        <f>Calculs!CE155</f>
        <v>0</v>
      </c>
      <c r="J155" s="742">
        <f>Calculs!CF155</f>
        <v>0</v>
      </c>
      <c r="K155" s="742"/>
      <c r="L155" s="742">
        <f>Calculs!CH155</f>
        <v>0</v>
      </c>
    </row>
    <row r="156" spans="2:12">
      <c r="B156" s="742">
        <f>Calculs!B156</f>
        <v>0</v>
      </c>
      <c r="C156" s="742">
        <f>Calculs!BY156</f>
        <v>0</v>
      </c>
      <c r="D156" s="742">
        <f>Calculs!BZ156</f>
        <v>0</v>
      </c>
      <c r="E156" s="742">
        <f>Calculs!CA156</f>
        <v>0</v>
      </c>
      <c r="F156" s="742">
        <f>Calculs!CB156</f>
        <v>0</v>
      </c>
      <c r="G156" s="742">
        <f>Calculs!CC156</f>
        <v>0</v>
      </c>
      <c r="H156" s="742"/>
      <c r="I156" s="742">
        <f>Calculs!CE156</f>
        <v>0</v>
      </c>
      <c r="J156" s="742">
        <f>Calculs!CF156</f>
        <v>0</v>
      </c>
      <c r="K156" s="742"/>
      <c r="L156" s="742">
        <f>Calculs!CH156</f>
        <v>0</v>
      </c>
    </row>
    <row r="157" spans="2:12">
      <c r="B157" s="742" t="str">
        <f>Calculs!B157</f>
        <v>2.1A1 - Électricité provenant du réseaux électrique (Location based)</v>
      </c>
      <c r="C157" s="742">
        <f>Calculs!BY157</f>
        <v>0</v>
      </c>
      <c r="D157" s="742">
        <f>Calculs!BZ157</f>
        <v>0</v>
      </c>
      <c r="E157" s="742">
        <f>Calculs!CA157</f>
        <v>0</v>
      </c>
      <c r="F157" s="742">
        <f>Calculs!CB157</f>
        <v>0</v>
      </c>
      <c r="G157" s="742">
        <f>Calculs!CC157</f>
        <v>0</v>
      </c>
      <c r="H157" s="742"/>
      <c r="I157" s="742">
        <f>Calculs!CE157</f>
        <v>0</v>
      </c>
      <c r="J157" s="742">
        <f>Calculs!CF157</f>
        <v>0</v>
      </c>
      <c r="K157" s="742"/>
      <c r="L157" s="742">
        <f>Calculs!CH157</f>
        <v>0</v>
      </c>
    </row>
    <row r="158" spans="2:12">
      <c r="B158" s="742">
        <f>Calculs!B158</f>
        <v>0</v>
      </c>
      <c r="C158" s="742">
        <f>Calculs!BY158</f>
        <v>0</v>
      </c>
      <c r="D158" s="742">
        <f>Calculs!BZ158</f>
        <v>0</v>
      </c>
      <c r="E158" s="742">
        <f>Calculs!CA158</f>
        <v>0</v>
      </c>
      <c r="F158" s="742">
        <f>Calculs!CB158</f>
        <v>0</v>
      </c>
      <c r="G158" s="742">
        <f>Calculs!CC158</f>
        <v>0</v>
      </c>
      <c r="H158" s="742"/>
      <c r="I158" s="742">
        <f>Calculs!CE158</f>
        <v>0</v>
      </c>
      <c r="J158" s="742">
        <f>Calculs!CF158</f>
        <v>0</v>
      </c>
      <c r="K158" s="742"/>
      <c r="L158" s="742">
        <f>Calculs!CH158</f>
        <v>0</v>
      </c>
    </row>
    <row r="159" spans="2:12">
      <c r="B159" s="742" t="str">
        <f>Calculs!B159</f>
        <v>Données d'activité</v>
      </c>
      <c r="C159" s="742">
        <f>Calculs!BY159</f>
        <v>0</v>
      </c>
      <c r="D159" s="742">
        <f>Calculs!BZ159</f>
        <v>0</v>
      </c>
      <c r="E159" s="742">
        <f>Calculs!CA159</f>
        <v>0</v>
      </c>
      <c r="F159" s="742">
        <f>Calculs!CB159</f>
        <v>0</v>
      </c>
      <c r="G159" s="742">
        <f>Calculs!CC159</f>
        <v>0</v>
      </c>
      <c r="H159" s="742"/>
      <c r="I159" s="742">
        <f>Calculs!CE159</f>
        <v>0</v>
      </c>
      <c r="J159" s="742">
        <f>Calculs!CF159</f>
        <v>0</v>
      </c>
      <c r="K159" s="742"/>
      <c r="L159" s="742">
        <f>Calculs!CH159</f>
        <v>0</v>
      </c>
    </row>
    <row r="160" spans="2:12">
      <c r="B160" s="742" t="str">
        <f>Calculs!B160</f>
        <v># méthode</v>
      </c>
      <c r="C160" s="742" t="str">
        <f>Calculs!BY160</f>
        <v>Émissions GES</v>
      </c>
      <c r="D160" s="742">
        <f>Calculs!BZ160</f>
        <v>0</v>
      </c>
      <c r="E160" s="742">
        <f>Calculs!CA160</f>
        <v>0</v>
      </c>
      <c r="F160" s="742" t="str">
        <f>Calculs!CB160</f>
        <v>Total GES :</v>
      </c>
      <c r="G160" s="742">
        <f>Calculs!CC160</f>
        <v>0</v>
      </c>
      <c r="H160" s="742"/>
      <c r="I160" s="742" t="str">
        <f>Calculs!CE160</f>
        <v>Total CO2 Biogénique :</v>
      </c>
      <c r="J160" s="742">
        <f>Calculs!CF160</f>
        <v>0</v>
      </c>
      <c r="K160" s="742"/>
      <c r="L160" s="742" t="str">
        <f>Calculs!CH160</f>
        <v>Énergie équivalente</v>
      </c>
    </row>
    <row r="161" spans="2:12">
      <c r="B161" s="742">
        <f>Calculs!B161</f>
        <v>0</v>
      </c>
      <c r="C161" s="742" t="str">
        <f>Calculs!BY161</f>
        <v>CO2</v>
      </c>
      <c r="D161" s="742" t="str">
        <f>Calculs!BZ161</f>
        <v>CH4</v>
      </c>
      <c r="E161" s="742" t="str">
        <f>Calculs!CA161</f>
        <v>N2O</v>
      </c>
      <c r="F161" s="742">
        <f>Calculs!CB161</f>
        <v>0</v>
      </c>
      <c r="G161" s="742">
        <f>Calculs!CC161</f>
        <v>0</v>
      </c>
      <c r="H161" s="742"/>
      <c r="I161" s="742">
        <f>Calculs!CE161</f>
        <v>0</v>
      </c>
      <c r="J161" s="742">
        <f>Calculs!CF161</f>
        <v>0</v>
      </c>
      <c r="K161" s="742"/>
      <c r="L161" s="742">
        <f>Calculs!CH161</f>
        <v>0</v>
      </c>
    </row>
    <row r="162" spans="2:12">
      <c r="B162" s="742">
        <f>Calculs!B162</f>
        <v>0</v>
      </c>
      <c r="C162" s="742" t="str">
        <f>Calculs!BY162</f>
        <v>[gCO2e]</v>
      </c>
      <c r="D162" s="742" t="str">
        <f>Calculs!BZ162</f>
        <v>[gCO2e]</v>
      </c>
      <c r="E162" s="742" t="str">
        <f>Calculs!CA162</f>
        <v>[gCO2e]</v>
      </c>
      <c r="F162" s="742" t="str">
        <f>Calculs!CB162</f>
        <v>[gCO2e]</v>
      </c>
      <c r="G162" s="742" t="str">
        <f>Calculs!CC162</f>
        <v>[tCO2e]</v>
      </c>
      <c r="H162" s="742"/>
      <c r="I162" s="742" t="str">
        <f>Calculs!CE162</f>
        <v>[gCO2e]</v>
      </c>
      <c r="J162" s="742" t="str">
        <f>Calculs!CF162</f>
        <v>[tCO2e]</v>
      </c>
      <c r="K162" s="742"/>
      <c r="L162" s="742" t="str">
        <f>Calculs!CH162</f>
        <v>[kWh]</v>
      </c>
    </row>
    <row r="163" spans="2:12">
      <c r="B163" s="742" t="str">
        <f>Calculs!B163</f>
        <v>2.1A1</v>
      </c>
      <c r="C163" s="742">
        <f>Calculs!BY163</f>
        <v>0</v>
      </c>
      <c r="D163" s="742">
        <f>Calculs!BZ163</f>
        <v>0</v>
      </c>
      <c r="E163" s="742">
        <f>Calculs!CA163</f>
        <v>0</v>
      </c>
      <c r="F163" s="742">
        <f>Calculs!CB163</f>
        <v>0</v>
      </c>
      <c r="G163" s="742">
        <f>Calculs!CC163</f>
        <v>0</v>
      </c>
      <c r="H163" s="742"/>
      <c r="I163" s="742">
        <f>Calculs!CE163</f>
        <v>0</v>
      </c>
      <c r="J163" s="742">
        <f>Calculs!CF163</f>
        <v>0</v>
      </c>
      <c r="K163" s="742"/>
      <c r="L163" s="742">
        <f>Calculs!CH163</f>
        <v>0</v>
      </c>
    </row>
    <row r="164" spans="2:12">
      <c r="B164" s="742" t="str">
        <f>Calculs!B164</f>
        <v>2.1A1</v>
      </c>
      <c r="C164" s="742">
        <f>Calculs!BY164</f>
        <v>0</v>
      </c>
      <c r="D164" s="742">
        <f>Calculs!BZ164</f>
        <v>0</v>
      </c>
      <c r="E164" s="742">
        <f>Calculs!CA164</f>
        <v>0</v>
      </c>
      <c r="F164" s="742">
        <f>Calculs!CB164</f>
        <v>0</v>
      </c>
      <c r="G164" s="742">
        <f>Calculs!CC164</f>
        <v>0</v>
      </c>
      <c r="H164" s="742"/>
      <c r="I164" s="742">
        <f>Calculs!CE164</f>
        <v>0</v>
      </c>
      <c r="J164" s="742">
        <f>Calculs!CF164</f>
        <v>0</v>
      </c>
      <c r="K164" s="742"/>
      <c r="L164" s="742">
        <f>Calculs!CH164</f>
        <v>0</v>
      </c>
    </row>
    <row r="165" spans="2:12">
      <c r="B165" s="742" t="str">
        <f>Calculs!B165</f>
        <v>2.1A1</v>
      </c>
      <c r="C165" s="742">
        <f>Calculs!BY165</f>
        <v>1080258.8336622412</v>
      </c>
      <c r="D165" s="742">
        <f>Calculs!BZ165</f>
        <v>0</v>
      </c>
      <c r="E165" s="742">
        <f>Calculs!CA165</f>
        <v>0</v>
      </c>
      <c r="F165" s="742">
        <f>Calculs!CB165</f>
        <v>1080258.8336622412</v>
      </c>
      <c r="G165" s="742">
        <f>Calculs!CC165</f>
        <v>1.0802588336622412</v>
      </c>
      <c r="H165" s="742"/>
      <c r="I165" s="742">
        <f>Calculs!CE165</f>
        <v>0</v>
      </c>
      <c r="J165" s="742">
        <f>Calculs!CF165</f>
        <v>0</v>
      </c>
      <c r="K165" s="742"/>
      <c r="L165" s="742">
        <f>Calculs!CH165</f>
        <v>1500</v>
      </c>
    </row>
    <row r="166" spans="2:12">
      <c r="B166" s="742" t="str">
        <f>Calculs!B166</f>
        <v>2.1A1</v>
      </c>
      <c r="C166" s="742">
        <f>Calculs!BY166</f>
        <v>1950</v>
      </c>
      <c r="D166" s="742">
        <f>Calculs!BZ166</f>
        <v>0</v>
      </c>
      <c r="E166" s="742">
        <f>Calculs!CA166</f>
        <v>0</v>
      </c>
      <c r="F166" s="742">
        <f>Calculs!CB166</f>
        <v>1950</v>
      </c>
      <c r="G166" s="742">
        <f>Calculs!CC166</f>
        <v>1.9499999999999999E-3</v>
      </c>
      <c r="H166" s="742"/>
      <c r="I166" s="742">
        <f>Calculs!CE166</f>
        <v>0</v>
      </c>
      <c r="J166" s="742">
        <f>Calculs!CF166</f>
        <v>0</v>
      </c>
      <c r="K166" s="742"/>
      <c r="L166" s="742">
        <f>Calculs!CH166</f>
        <v>1500</v>
      </c>
    </row>
    <row r="167" spans="2:12">
      <c r="B167" s="742" t="str">
        <f>Calculs!B167</f>
        <v>2.1A1</v>
      </c>
      <c r="C167" s="742">
        <f>Calculs!BY167</f>
        <v>1950</v>
      </c>
      <c r="D167" s="742">
        <f>Calculs!BZ167</f>
        <v>0</v>
      </c>
      <c r="E167" s="742">
        <f>Calculs!CA167</f>
        <v>0</v>
      </c>
      <c r="F167" s="742">
        <f>Calculs!CB167</f>
        <v>1950</v>
      </c>
      <c r="G167" s="742">
        <f>Calculs!CC167</f>
        <v>1.9499999999999999E-3</v>
      </c>
      <c r="H167" s="742"/>
      <c r="I167" s="742">
        <f>Calculs!CE167</f>
        <v>0</v>
      </c>
      <c r="J167" s="742">
        <f>Calculs!CF167</f>
        <v>0</v>
      </c>
      <c r="K167" s="742"/>
      <c r="L167" s="742">
        <f>Calculs!CH167</f>
        <v>1500</v>
      </c>
    </row>
    <row r="168" spans="2:12">
      <c r="B168" s="742" t="str">
        <f>Calculs!B168</f>
        <v>2.1A1</v>
      </c>
      <c r="C168" s="742">
        <f>Calculs!BY168</f>
        <v>423873.22472316289</v>
      </c>
      <c r="D168" s="742">
        <f>Calculs!BZ168</f>
        <v>952.95221015408345</v>
      </c>
      <c r="E168" s="742">
        <f>Calculs!CA168</f>
        <v>952.95221015408345</v>
      </c>
      <c r="F168" s="742">
        <f>Calculs!CB168</f>
        <v>425779.12914347107</v>
      </c>
      <c r="G168" s="742">
        <f>Calculs!CC168</f>
        <v>0.42577912914347105</v>
      </c>
      <c r="H168" s="742"/>
      <c r="I168" s="742">
        <f>Calculs!CE168</f>
        <v>0</v>
      </c>
      <c r="J168" s="742">
        <f>Calculs!CF168</f>
        <v>0</v>
      </c>
      <c r="K168" s="742"/>
      <c r="L168" s="742">
        <f>Calculs!CH168</f>
        <v>1500</v>
      </c>
    </row>
    <row r="169" spans="2:12">
      <c r="B169" s="742" t="str">
        <f>Calculs!B169</f>
        <v>2.1A1</v>
      </c>
      <c r="C169" s="742">
        <f>Calculs!BY169</f>
        <v>0</v>
      </c>
      <c r="D169" s="742">
        <f>Calculs!BZ169</f>
        <v>0</v>
      </c>
      <c r="E169" s="742">
        <f>Calculs!CA169</f>
        <v>0</v>
      </c>
      <c r="F169" s="742">
        <f>Calculs!CB169</f>
        <v>0</v>
      </c>
      <c r="G169" s="742">
        <f>Calculs!CC169</f>
        <v>0</v>
      </c>
      <c r="H169" s="742"/>
      <c r="I169" s="742">
        <f>Calculs!CE169</f>
        <v>0</v>
      </c>
      <c r="J169" s="742">
        <f>Calculs!CF169</f>
        <v>0</v>
      </c>
      <c r="K169" s="742"/>
      <c r="L169" s="742">
        <f>Calculs!CH169</f>
        <v>0</v>
      </c>
    </row>
    <row r="170" spans="2:12">
      <c r="B170" s="742" t="str">
        <f>Calculs!B170</f>
        <v>2.1A1</v>
      </c>
      <c r="C170" s="742">
        <f>Calculs!BY170</f>
        <v>0</v>
      </c>
      <c r="D170" s="742">
        <f>Calculs!BZ170</f>
        <v>0</v>
      </c>
      <c r="E170" s="742">
        <f>Calculs!CA170</f>
        <v>0</v>
      </c>
      <c r="F170" s="742">
        <f>Calculs!CB170</f>
        <v>0</v>
      </c>
      <c r="G170" s="742">
        <f>Calculs!CC170</f>
        <v>0</v>
      </c>
      <c r="H170" s="742"/>
      <c r="I170" s="742">
        <f>Calculs!CE170</f>
        <v>0</v>
      </c>
      <c r="J170" s="742">
        <f>Calculs!CF170</f>
        <v>0</v>
      </c>
      <c r="K170" s="742"/>
      <c r="L170" s="742">
        <f>Calculs!CH170</f>
        <v>0</v>
      </c>
    </row>
    <row r="171" spans="2:12">
      <c r="B171" s="742" t="str">
        <f>Calculs!B171</f>
        <v>2.1A1</v>
      </c>
      <c r="C171" s="742">
        <f>Calculs!BY171</f>
        <v>0</v>
      </c>
      <c r="D171" s="742">
        <f>Calculs!BZ171</f>
        <v>0</v>
      </c>
      <c r="E171" s="742">
        <f>Calculs!CA171</f>
        <v>0</v>
      </c>
      <c r="F171" s="742">
        <f>Calculs!CB171</f>
        <v>0</v>
      </c>
      <c r="G171" s="742">
        <f>Calculs!CC171</f>
        <v>0</v>
      </c>
      <c r="H171" s="742"/>
      <c r="I171" s="742">
        <f>Calculs!CE171</f>
        <v>0</v>
      </c>
      <c r="J171" s="742">
        <f>Calculs!CF171</f>
        <v>0</v>
      </c>
      <c r="K171" s="742"/>
      <c r="L171" s="742">
        <f>Calculs!CH171</f>
        <v>0</v>
      </c>
    </row>
    <row r="172" spans="2:12">
      <c r="B172" s="742" t="str">
        <f>Calculs!B172</f>
        <v>2.1A1</v>
      </c>
      <c r="C172" s="742">
        <f>Calculs!BY172</f>
        <v>0</v>
      </c>
      <c r="D172" s="742">
        <f>Calculs!BZ172</f>
        <v>0</v>
      </c>
      <c r="E172" s="742">
        <f>Calculs!CA172</f>
        <v>0</v>
      </c>
      <c r="F172" s="742">
        <f>Calculs!CB172</f>
        <v>0</v>
      </c>
      <c r="G172" s="742">
        <f>Calculs!CC172</f>
        <v>0</v>
      </c>
      <c r="H172" s="742"/>
      <c r="I172" s="742">
        <f>Calculs!CE172</f>
        <v>0</v>
      </c>
      <c r="J172" s="742">
        <f>Calculs!CF172</f>
        <v>0</v>
      </c>
      <c r="K172" s="742"/>
      <c r="L172" s="742">
        <f>Calculs!CH172</f>
        <v>0</v>
      </c>
    </row>
    <row r="173" spans="2:12">
      <c r="B173" s="742">
        <f>Calculs!B173</f>
        <v>0</v>
      </c>
      <c r="C173" s="742">
        <f>Calculs!BY173</f>
        <v>1508032.0583854041</v>
      </c>
      <c r="D173" s="742">
        <f>Calculs!BZ173</f>
        <v>952.95221015408345</v>
      </c>
      <c r="E173" s="742">
        <f>Calculs!CA173</f>
        <v>952.95221015408345</v>
      </c>
      <c r="F173" s="742">
        <f>Calculs!CB173</f>
        <v>1509937.9628057124</v>
      </c>
      <c r="G173" s="742">
        <f>Calculs!CC173</f>
        <v>1.5099379628057119</v>
      </c>
      <c r="H173" s="742"/>
      <c r="I173" s="742">
        <f>Calculs!CE173</f>
        <v>0</v>
      </c>
      <c r="J173" s="742">
        <f>Calculs!CF173</f>
        <v>0</v>
      </c>
      <c r="K173" s="742"/>
      <c r="L173" s="742">
        <f>Calculs!CH173</f>
        <v>6000</v>
      </c>
    </row>
    <row r="174" spans="2:12">
      <c r="B174" s="742">
        <f>Calculs!B174</f>
        <v>0</v>
      </c>
      <c r="C174" s="742">
        <f>Calculs!BY174</f>
        <v>0</v>
      </c>
      <c r="D174" s="742">
        <f>Calculs!BZ174</f>
        <v>0</v>
      </c>
      <c r="E174" s="742">
        <f>Calculs!CA174</f>
        <v>0</v>
      </c>
      <c r="F174" s="742">
        <f>Calculs!CB174</f>
        <v>0</v>
      </c>
      <c r="G174" s="742">
        <f>Calculs!CC174</f>
        <v>0</v>
      </c>
      <c r="H174" s="742"/>
      <c r="I174" s="742">
        <f>Calculs!CE174</f>
        <v>0</v>
      </c>
      <c r="J174" s="742">
        <f>Calculs!CF174</f>
        <v>0</v>
      </c>
      <c r="K174" s="742"/>
      <c r="L174" s="742">
        <f>Calculs!CH174</f>
        <v>0</v>
      </c>
    </row>
    <row r="175" spans="2:12">
      <c r="B175" s="742" t="str">
        <f>Calculs!B175</f>
        <v>2.1B1 - Électricité provenant du réseaux électrique (Market based)</v>
      </c>
      <c r="C175" s="742">
        <f>Calculs!BY175</f>
        <v>0</v>
      </c>
      <c r="D175" s="742">
        <f>Calculs!BZ175</f>
        <v>0</v>
      </c>
      <c r="E175" s="742">
        <f>Calculs!CA175</f>
        <v>0</v>
      </c>
      <c r="F175" s="742">
        <f>Calculs!CB175</f>
        <v>0</v>
      </c>
      <c r="G175" s="742">
        <f>Calculs!CC175</f>
        <v>0</v>
      </c>
      <c r="H175" s="742"/>
      <c r="I175" s="742">
        <f>Calculs!CE175</f>
        <v>0</v>
      </c>
      <c r="J175" s="742">
        <f>Calculs!CF175</f>
        <v>0</v>
      </c>
      <c r="K175" s="742"/>
      <c r="L175" s="742">
        <f>Calculs!CH175</f>
        <v>0</v>
      </c>
    </row>
    <row r="176" spans="2:12">
      <c r="B176" s="742">
        <f>Calculs!B176</f>
        <v>0</v>
      </c>
      <c r="C176" s="742">
        <f>Calculs!BY176</f>
        <v>0</v>
      </c>
      <c r="D176" s="742">
        <f>Calculs!BZ176</f>
        <v>0</v>
      </c>
      <c r="E176" s="742">
        <f>Calculs!CA176</f>
        <v>0</v>
      </c>
      <c r="F176" s="742">
        <f>Calculs!CB176</f>
        <v>0</v>
      </c>
      <c r="G176" s="742">
        <f>Calculs!CC176</f>
        <v>0</v>
      </c>
      <c r="H176" s="742"/>
      <c r="I176" s="742">
        <f>Calculs!CE176</f>
        <v>0</v>
      </c>
      <c r="J176" s="742">
        <f>Calculs!CF176</f>
        <v>0</v>
      </c>
      <c r="K176" s="742"/>
      <c r="L176" s="742">
        <f>Calculs!CH176</f>
        <v>0</v>
      </c>
    </row>
    <row r="177" spans="2:12">
      <c r="B177" s="742" t="str">
        <f>Calculs!B177</f>
        <v>Données d'activité</v>
      </c>
      <c r="C177" s="742">
        <f>Calculs!BY177</f>
        <v>0</v>
      </c>
      <c r="D177" s="742">
        <f>Calculs!BZ177</f>
        <v>0</v>
      </c>
      <c r="E177" s="742">
        <f>Calculs!CA177</f>
        <v>0</v>
      </c>
      <c r="F177" s="742">
        <f>Calculs!CB177</f>
        <v>0</v>
      </c>
      <c r="G177" s="742">
        <f>Calculs!CC177</f>
        <v>0</v>
      </c>
      <c r="H177" s="742"/>
      <c r="I177" s="742">
        <f>Calculs!CE177</f>
        <v>0</v>
      </c>
      <c r="J177" s="742">
        <f>Calculs!CF177</f>
        <v>0</v>
      </c>
      <c r="K177" s="742"/>
      <c r="L177" s="742">
        <f>Calculs!CH177</f>
        <v>0</v>
      </c>
    </row>
    <row r="178" spans="2:12">
      <c r="B178" s="742" t="str">
        <f>Calculs!B178</f>
        <v># méthode</v>
      </c>
      <c r="C178" s="742" t="str">
        <f>Calculs!BY178</f>
        <v>Émissions GES</v>
      </c>
      <c r="D178" s="742">
        <f>Calculs!BZ178</f>
        <v>0</v>
      </c>
      <c r="E178" s="742">
        <f>Calculs!CA178</f>
        <v>0</v>
      </c>
      <c r="F178" s="742" t="str">
        <f>Calculs!CB178</f>
        <v>Total GES :</v>
      </c>
      <c r="G178" s="742">
        <f>Calculs!CC178</f>
        <v>0</v>
      </c>
      <c r="H178" s="742"/>
      <c r="I178" s="742" t="str">
        <f>Calculs!CE178</f>
        <v>Total CO2 Biogénique :</v>
      </c>
      <c r="J178" s="742">
        <f>Calculs!CF178</f>
        <v>0</v>
      </c>
      <c r="K178" s="742"/>
      <c r="L178" s="742" t="str">
        <f>Calculs!CH178</f>
        <v>Énergie équivalente</v>
      </c>
    </row>
    <row r="179" spans="2:12">
      <c r="B179" s="742">
        <f>Calculs!B179</f>
        <v>0</v>
      </c>
      <c r="C179" s="742" t="str">
        <f>Calculs!BY179</f>
        <v>CO2</v>
      </c>
      <c r="D179" s="742" t="str">
        <f>Calculs!BZ179</f>
        <v>CH4</v>
      </c>
      <c r="E179" s="742" t="str">
        <f>Calculs!CA179</f>
        <v>N2O</v>
      </c>
      <c r="F179" s="742">
        <f>Calculs!CB179</f>
        <v>0</v>
      </c>
      <c r="G179" s="742">
        <f>Calculs!CC179</f>
        <v>0</v>
      </c>
      <c r="H179" s="742"/>
      <c r="I179" s="742">
        <f>Calculs!CE179</f>
        <v>0</v>
      </c>
      <c r="J179" s="742">
        <f>Calculs!CF179</f>
        <v>0</v>
      </c>
      <c r="K179" s="742"/>
      <c r="L179" s="742">
        <f>Calculs!CH179</f>
        <v>0</v>
      </c>
    </row>
    <row r="180" spans="2:12">
      <c r="B180" s="742">
        <f>Calculs!B180</f>
        <v>0</v>
      </c>
      <c r="C180" s="742" t="str">
        <f>Calculs!BY180</f>
        <v>[gCO2e]</v>
      </c>
      <c r="D180" s="742" t="str">
        <f>Calculs!BZ180</f>
        <v>[gCO2e]</v>
      </c>
      <c r="E180" s="742" t="str">
        <f>Calculs!CA180</f>
        <v>[gCO2e]</v>
      </c>
      <c r="F180" s="742" t="str">
        <f>Calculs!CB180</f>
        <v>[gCO2e]</v>
      </c>
      <c r="G180" s="742" t="str">
        <f>Calculs!CC180</f>
        <v>[tCO2e]</v>
      </c>
      <c r="H180" s="742"/>
      <c r="I180" s="742" t="str">
        <f>Calculs!CE180</f>
        <v>[gCO2e]</v>
      </c>
      <c r="J180" s="742" t="str">
        <f>Calculs!CF180</f>
        <v>[tCO2e]</v>
      </c>
      <c r="K180" s="742"/>
      <c r="L180" s="742" t="str">
        <f>Calculs!CH180</f>
        <v>[kWh]</v>
      </c>
    </row>
    <row r="181" spans="2:12">
      <c r="B181" s="742" t="str">
        <f>Calculs!B181</f>
        <v>2.1B1</v>
      </c>
      <c r="C181" s="742">
        <f>Calculs!BY181</f>
        <v>0</v>
      </c>
      <c r="D181" s="742">
        <f>Calculs!BZ181</f>
        <v>0</v>
      </c>
      <c r="E181" s="742">
        <f>Calculs!CA181</f>
        <v>0</v>
      </c>
      <c r="F181" s="742">
        <f>Calculs!CB181</f>
        <v>0</v>
      </c>
      <c r="G181" s="742">
        <f>Calculs!CC181</f>
        <v>0</v>
      </c>
      <c r="H181" s="742"/>
      <c r="I181" s="742">
        <f>Calculs!CE181</f>
        <v>0</v>
      </c>
      <c r="J181" s="742">
        <f>Calculs!CF181</f>
        <v>0</v>
      </c>
      <c r="K181" s="742"/>
      <c r="L181" s="742">
        <f>Calculs!CH181</f>
        <v>0</v>
      </c>
    </row>
    <row r="182" spans="2:12">
      <c r="B182" s="742" t="str">
        <f>Calculs!B182</f>
        <v>2.1B1</v>
      </c>
      <c r="C182" s="742">
        <f>Calculs!BY182</f>
        <v>0</v>
      </c>
      <c r="D182" s="742">
        <f>Calculs!BZ182</f>
        <v>0</v>
      </c>
      <c r="E182" s="742">
        <f>Calculs!CA182</f>
        <v>0</v>
      </c>
      <c r="F182" s="742">
        <f>Calculs!CB182</f>
        <v>0</v>
      </c>
      <c r="G182" s="742">
        <f>Calculs!CC182</f>
        <v>0</v>
      </c>
      <c r="H182" s="742"/>
      <c r="I182" s="742">
        <f>Calculs!CE182</f>
        <v>0</v>
      </c>
      <c r="J182" s="742">
        <f>Calculs!CF182</f>
        <v>0</v>
      </c>
      <c r="K182" s="742"/>
      <c r="L182" s="742">
        <f>Calculs!CH182</f>
        <v>0</v>
      </c>
    </row>
    <row r="183" spans="2:12">
      <c r="B183" s="742" t="str">
        <f>Calculs!B183</f>
        <v>2.1B1</v>
      </c>
      <c r="C183" s="742">
        <f>Calculs!BY183</f>
        <v>1950</v>
      </c>
      <c r="D183" s="742">
        <f>Calculs!BZ183</f>
        <v>0</v>
      </c>
      <c r="E183" s="742">
        <f>Calculs!CA183</f>
        <v>0</v>
      </c>
      <c r="F183" s="742">
        <f>Calculs!CB183</f>
        <v>1950</v>
      </c>
      <c r="G183" s="742">
        <f>Calculs!CC183</f>
        <v>1.9499999999999999E-3</v>
      </c>
      <c r="H183" s="742"/>
      <c r="I183" s="742">
        <f>Calculs!CE183</f>
        <v>0</v>
      </c>
      <c r="J183" s="742">
        <f>Calculs!CF183</f>
        <v>0</v>
      </c>
      <c r="K183" s="742"/>
      <c r="L183" s="742">
        <f>Calculs!CH183</f>
        <v>1500</v>
      </c>
    </row>
    <row r="184" spans="2:12">
      <c r="B184" s="742" t="str">
        <f>Calculs!B184</f>
        <v>2.1B1</v>
      </c>
      <c r="C184" s="742">
        <f>Calculs!BY184</f>
        <v>1950</v>
      </c>
      <c r="D184" s="742">
        <f>Calculs!BZ184</f>
        <v>0</v>
      </c>
      <c r="E184" s="742">
        <f>Calculs!CA184</f>
        <v>0</v>
      </c>
      <c r="F184" s="742">
        <f>Calculs!CB184</f>
        <v>1950</v>
      </c>
      <c r="G184" s="742">
        <f>Calculs!CC184</f>
        <v>1.9499999999999999E-3</v>
      </c>
      <c r="H184" s="742"/>
      <c r="I184" s="742">
        <f>Calculs!CE184</f>
        <v>0</v>
      </c>
      <c r="J184" s="742">
        <f>Calculs!CF184</f>
        <v>0</v>
      </c>
      <c r="K184" s="742"/>
      <c r="L184" s="742">
        <f>Calculs!CH184</f>
        <v>1500</v>
      </c>
    </row>
    <row r="185" spans="2:12">
      <c r="B185" s="742" t="str">
        <f>Calculs!B185</f>
        <v>2.1B1</v>
      </c>
      <c r="C185" s="742">
        <f>Calculs!BY185</f>
        <v>1950</v>
      </c>
      <c r="D185" s="742">
        <f>Calculs!BZ185</f>
        <v>0</v>
      </c>
      <c r="E185" s="742">
        <f>Calculs!CA185</f>
        <v>0</v>
      </c>
      <c r="F185" s="742">
        <f>Calculs!CB185</f>
        <v>1950</v>
      </c>
      <c r="G185" s="742">
        <f>Calculs!CC185</f>
        <v>1.9499999999999999E-3</v>
      </c>
      <c r="H185" s="742"/>
      <c r="I185" s="742">
        <f>Calculs!CE185</f>
        <v>0</v>
      </c>
      <c r="J185" s="742">
        <f>Calculs!CF185</f>
        <v>0</v>
      </c>
      <c r="K185" s="742"/>
      <c r="L185" s="742">
        <f>Calculs!CH185</f>
        <v>1500</v>
      </c>
    </row>
    <row r="186" spans="2:12">
      <c r="B186" s="742" t="str">
        <f>Calculs!B186</f>
        <v>2.1B1</v>
      </c>
      <c r="C186" s="742">
        <f>Calculs!BY186</f>
        <v>75000</v>
      </c>
      <c r="D186" s="742">
        <f>Calculs!BZ186</f>
        <v>0</v>
      </c>
      <c r="E186" s="742">
        <f>Calculs!CA186</f>
        <v>0</v>
      </c>
      <c r="F186" s="742">
        <f>Calculs!CB186</f>
        <v>75000</v>
      </c>
      <c r="G186" s="742">
        <f>Calculs!CC186</f>
        <v>7.4999999999999997E-2</v>
      </c>
      <c r="H186" s="742"/>
      <c r="I186" s="742">
        <f>Calculs!CE186</f>
        <v>0</v>
      </c>
      <c r="J186" s="742">
        <f>Calculs!CF186</f>
        <v>0</v>
      </c>
      <c r="K186" s="742"/>
      <c r="L186" s="742">
        <f>Calculs!CH186</f>
        <v>1500</v>
      </c>
    </row>
    <row r="187" spans="2:12">
      <c r="B187" s="742" t="str">
        <f>Calculs!B187</f>
        <v>2.1B1</v>
      </c>
      <c r="C187" s="742">
        <f>Calculs!BY187</f>
        <v>0</v>
      </c>
      <c r="D187" s="742">
        <f>Calculs!BZ187</f>
        <v>0</v>
      </c>
      <c r="E187" s="742">
        <f>Calculs!CA187</f>
        <v>0</v>
      </c>
      <c r="F187" s="742">
        <f>Calculs!CB187</f>
        <v>0</v>
      </c>
      <c r="G187" s="742">
        <f>Calculs!CC187</f>
        <v>0</v>
      </c>
      <c r="H187" s="742"/>
      <c r="I187" s="742">
        <f>Calculs!CE187</f>
        <v>0</v>
      </c>
      <c r="J187" s="742">
        <f>Calculs!CF187</f>
        <v>0</v>
      </c>
      <c r="K187" s="742"/>
      <c r="L187" s="742">
        <f>Calculs!CH187</f>
        <v>0</v>
      </c>
    </row>
    <row r="188" spans="2:12">
      <c r="B188" s="742" t="str">
        <f>Calculs!B188</f>
        <v>2.1B1</v>
      </c>
      <c r="C188" s="742">
        <f>Calculs!BY188</f>
        <v>0</v>
      </c>
      <c r="D188" s="742">
        <f>Calculs!BZ188</f>
        <v>0</v>
      </c>
      <c r="E188" s="742">
        <f>Calculs!CA188</f>
        <v>0</v>
      </c>
      <c r="F188" s="742">
        <f>Calculs!CB188</f>
        <v>0</v>
      </c>
      <c r="G188" s="742">
        <f>Calculs!CC188</f>
        <v>0</v>
      </c>
      <c r="H188" s="742"/>
      <c r="I188" s="742">
        <f>Calculs!CE188</f>
        <v>0</v>
      </c>
      <c r="J188" s="742">
        <f>Calculs!CF188</f>
        <v>0</v>
      </c>
      <c r="K188" s="742"/>
      <c r="L188" s="742">
        <f>Calculs!CH188</f>
        <v>0</v>
      </c>
    </row>
    <row r="189" spans="2:12">
      <c r="B189" s="742" t="str">
        <f>Calculs!B189</f>
        <v>2.1B1</v>
      </c>
      <c r="C189" s="742">
        <f>Calculs!BY189</f>
        <v>0</v>
      </c>
      <c r="D189" s="742">
        <f>Calculs!BZ189</f>
        <v>0</v>
      </c>
      <c r="E189" s="742">
        <f>Calculs!CA189</f>
        <v>0</v>
      </c>
      <c r="F189" s="742">
        <f>Calculs!CB189</f>
        <v>0</v>
      </c>
      <c r="G189" s="742">
        <f>Calculs!CC189</f>
        <v>0</v>
      </c>
      <c r="H189" s="742"/>
      <c r="I189" s="742">
        <f>Calculs!CE189</f>
        <v>0</v>
      </c>
      <c r="J189" s="742">
        <f>Calculs!CF189</f>
        <v>0</v>
      </c>
      <c r="K189" s="742"/>
      <c r="L189" s="742">
        <f>Calculs!CH189</f>
        <v>0</v>
      </c>
    </row>
    <row r="190" spans="2:12">
      <c r="B190" s="742" t="str">
        <f>Calculs!B190</f>
        <v>2.1B1</v>
      </c>
      <c r="C190" s="742">
        <f>Calculs!BY190</f>
        <v>0</v>
      </c>
      <c r="D190" s="742">
        <f>Calculs!BZ190</f>
        <v>0</v>
      </c>
      <c r="E190" s="742">
        <f>Calculs!CA190</f>
        <v>0</v>
      </c>
      <c r="F190" s="742">
        <f>Calculs!CB190</f>
        <v>0</v>
      </c>
      <c r="G190" s="742">
        <f>Calculs!CC190</f>
        <v>0</v>
      </c>
      <c r="H190" s="742"/>
      <c r="I190" s="742">
        <f>Calculs!CE190</f>
        <v>0</v>
      </c>
      <c r="J190" s="742">
        <f>Calculs!CF190</f>
        <v>0</v>
      </c>
      <c r="K190" s="742"/>
      <c r="L190" s="742">
        <f>Calculs!CH190</f>
        <v>0</v>
      </c>
    </row>
    <row r="191" spans="2:12">
      <c r="B191" s="742">
        <f>Calculs!B191</f>
        <v>0</v>
      </c>
      <c r="C191" s="742">
        <f>Calculs!BY191</f>
        <v>80850</v>
      </c>
      <c r="D191" s="742">
        <f>Calculs!BZ191</f>
        <v>0</v>
      </c>
      <c r="E191" s="742">
        <f>Calculs!CA191</f>
        <v>0</v>
      </c>
      <c r="F191" s="742">
        <f>Calculs!CB191</f>
        <v>80850</v>
      </c>
      <c r="G191" s="742">
        <f>Calculs!CC191</f>
        <v>8.0849999999999991E-2</v>
      </c>
      <c r="H191" s="742"/>
      <c r="I191" s="742">
        <f>Calculs!CE191</f>
        <v>0</v>
      </c>
      <c r="J191" s="742">
        <f>Calculs!CF191</f>
        <v>0</v>
      </c>
      <c r="K191" s="742"/>
      <c r="L191" s="742">
        <f>Calculs!CH191</f>
        <v>6000</v>
      </c>
    </row>
    <row r="192" spans="2:12">
      <c r="B192" s="742">
        <f>Calculs!B192</f>
        <v>0</v>
      </c>
      <c r="C192" s="742">
        <f>Calculs!BY192</f>
        <v>0</v>
      </c>
      <c r="D192" s="742">
        <f>Calculs!BZ192</f>
        <v>0</v>
      </c>
      <c r="E192" s="742">
        <f>Calculs!CA192</f>
        <v>0</v>
      </c>
      <c r="F192" s="742">
        <f>Calculs!CB192</f>
        <v>0</v>
      </c>
      <c r="G192" s="742">
        <f>Calculs!CC192</f>
        <v>0</v>
      </c>
      <c r="H192" s="742"/>
      <c r="I192" s="742">
        <f>Calculs!CE192</f>
        <v>0</v>
      </c>
      <c r="J192" s="742">
        <f>Calculs!CF192</f>
        <v>0</v>
      </c>
      <c r="K192" s="742"/>
      <c r="L192" s="742">
        <f>Calculs!CH192</f>
        <v>0</v>
      </c>
    </row>
    <row r="193" spans="2:12">
      <c r="B193" s="742" t="str">
        <f>Calculs!B193</f>
        <v>2.2A2 -Importation d'énergie (Chaleur) en équivalent de combustible</v>
      </c>
      <c r="C193" s="742">
        <f>Calculs!BY193</f>
        <v>0</v>
      </c>
      <c r="D193" s="742">
        <f>Calculs!BZ193</f>
        <v>0</v>
      </c>
      <c r="E193" s="742">
        <f>Calculs!CA193</f>
        <v>0</v>
      </c>
      <c r="F193" s="742">
        <f>Calculs!CB193</f>
        <v>0</v>
      </c>
      <c r="G193" s="742">
        <f>Calculs!CC193</f>
        <v>0</v>
      </c>
      <c r="H193" s="742"/>
      <c r="I193" s="742">
        <f>Calculs!CE193</f>
        <v>0</v>
      </c>
      <c r="J193" s="742">
        <f>Calculs!CF193</f>
        <v>0</v>
      </c>
      <c r="K193" s="742"/>
      <c r="L193" s="742">
        <f>Calculs!CH193</f>
        <v>0</v>
      </c>
    </row>
    <row r="194" spans="2:12">
      <c r="B194" s="742">
        <f>Calculs!B194</f>
        <v>0</v>
      </c>
      <c r="C194" s="742">
        <f>Calculs!BY194</f>
        <v>0</v>
      </c>
      <c r="D194" s="742">
        <f>Calculs!BZ194</f>
        <v>0</v>
      </c>
      <c r="E194" s="742">
        <f>Calculs!CA194</f>
        <v>0</v>
      </c>
      <c r="F194" s="742">
        <f>Calculs!CB194</f>
        <v>0</v>
      </c>
      <c r="G194" s="742">
        <f>Calculs!CC194</f>
        <v>0</v>
      </c>
      <c r="H194" s="742"/>
      <c r="I194" s="742">
        <f>Calculs!CE194</f>
        <v>0</v>
      </c>
      <c r="J194" s="742">
        <f>Calculs!CF194</f>
        <v>0</v>
      </c>
      <c r="K194" s="742"/>
      <c r="L194" s="742">
        <f>Calculs!CH194</f>
        <v>0</v>
      </c>
    </row>
    <row r="195" spans="2:12">
      <c r="B195" s="742" t="str">
        <f>Calculs!B195</f>
        <v>Données d'activité</v>
      </c>
      <c r="C195" s="742">
        <f>Calculs!BY195</f>
        <v>0</v>
      </c>
      <c r="D195" s="742">
        <f>Calculs!BZ195</f>
        <v>0</v>
      </c>
      <c r="E195" s="742">
        <f>Calculs!CA195</f>
        <v>0</v>
      </c>
      <c r="F195" s="742">
        <f>Calculs!CB195</f>
        <v>0</v>
      </c>
      <c r="G195" s="742">
        <f>Calculs!CC195</f>
        <v>0</v>
      </c>
      <c r="H195" s="742"/>
      <c r="I195" s="742">
        <f>Calculs!CE195</f>
        <v>0</v>
      </c>
      <c r="J195" s="742">
        <f>Calculs!CF195</f>
        <v>0</v>
      </c>
      <c r="K195" s="742"/>
      <c r="L195" s="742">
        <f>Calculs!CH195</f>
        <v>0</v>
      </c>
    </row>
    <row r="196" spans="2:12">
      <c r="B196" s="742" t="str">
        <f>Calculs!B196</f>
        <v># méthode</v>
      </c>
      <c r="C196" s="742" t="str">
        <f>Calculs!BY196</f>
        <v>Émissions GES</v>
      </c>
      <c r="D196" s="742">
        <f>Calculs!BZ196</f>
        <v>0</v>
      </c>
      <c r="E196" s="742">
        <f>Calculs!CA196</f>
        <v>0</v>
      </c>
      <c r="F196" s="742" t="str">
        <f>Calculs!CB196</f>
        <v>Total GES :</v>
      </c>
      <c r="G196" s="742">
        <f>Calculs!CC196</f>
        <v>0</v>
      </c>
      <c r="H196" s="742"/>
      <c r="I196" s="742" t="str">
        <f>Calculs!CE196</f>
        <v>Total CO2 Biogénique :</v>
      </c>
      <c r="J196" s="742">
        <f>Calculs!CF196</f>
        <v>0</v>
      </c>
      <c r="K196" s="742"/>
      <c r="L196" s="742" t="str">
        <f>Calculs!CH196</f>
        <v>Énergie équivalente</v>
      </c>
    </row>
    <row r="197" spans="2:12">
      <c r="B197" s="742">
        <f>Calculs!B197</f>
        <v>0</v>
      </c>
      <c r="C197" s="742" t="str">
        <f>Calculs!BY197</f>
        <v>CO2</v>
      </c>
      <c r="D197" s="742" t="str">
        <f>Calculs!BZ197</f>
        <v>CH4</v>
      </c>
      <c r="E197" s="742" t="str">
        <f>Calculs!CA197</f>
        <v>N2O</v>
      </c>
      <c r="F197" s="742">
        <f>Calculs!CB197</f>
        <v>0</v>
      </c>
      <c r="G197" s="742">
        <f>Calculs!CC197</f>
        <v>0</v>
      </c>
      <c r="H197" s="742"/>
      <c r="I197" s="742">
        <f>Calculs!CE197</f>
        <v>0</v>
      </c>
      <c r="J197" s="742">
        <f>Calculs!CF197</f>
        <v>0</v>
      </c>
      <c r="K197" s="742"/>
      <c r="L197" s="742">
        <f>Calculs!CH197</f>
        <v>0</v>
      </c>
    </row>
    <row r="198" spans="2:12">
      <c r="B198" s="742">
        <f>Calculs!B198</f>
        <v>0</v>
      </c>
      <c r="C198" s="742" t="str">
        <f>Calculs!BY198</f>
        <v>[gCO2e]</v>
      </c>
      <c r="D198" s="742" t="str">
        <f>Calculs!BZ198</f>
        <v>[gCO2e]</v>
      </c>
      <c r="E198" s="742" t="str">
        <f>Calculs!CA198</f>
        <v>[gCO2e]</v>
      </c>
      <c r="F198" s="742" t="str">
        <f>Calculs!CB198</f>
        <v>[gCO2e]</v>
      </c>
      <c r="G198" s="742" t="str">
        <f>Calculs!CC198</f>
        <v>[tCO2e]</v>
      </c>
      <c r="H198" s="742"/>
      <c r="I198" s="742" t="str">
        <f>Calculs!CE198</f>
        <v>[gCO2e]</v>
      </c>
      <c r="J198" s="742" t="str">
        <f>Calculs!CF198</f>
        <v>[tCO2e]</v>
      </c>
      <c r="K198" s="742"/>
      <c r="L198" s="742" t="str">
        <f>Calculs!CH198</f>
        <v>[kWh]</v>
      </c>
    </row>
    <row r="199" spans="2:12">
      <c r="B199" s="742" t="str">
        <f>Calculs!B199</f>
        <v>2.2A2</v>
      </c>
      <c r="C199" s="742">
        <f>Calculs!BY199</f>
        <v>0</v>
      </c>
      <c r="D199" s="742">
        <f>Calculs!BZ199</f>
        <v>0</v>
      </c>
      <c r="E199" s="742">
        <f>Calculs!CA199</f>
        <v>0</v>
      </c>
      <c r="F199" s="742">
        <f>Calculs!CB199</f>
        <v>0</v>
      </c>
      <c r="G199" s="742">
        <f>Calculs!CC199</f>
        <v>0</v>
      </c>
      <c r="H199" s="742"/>
      <c r="I199" s="742">
        <f>Calculs!CE199</f>
        <v>0</v>
      </c>
      <c r="J199" s="742">
        <f>Calculs!CF199</f>
        <v>0</v>
      </c>
      <c r="K199" s="742"/>
      <c r="L199" s="742">
        <f>Calculs!CH199</f>
        <v>0</v>
      </c>
    </row>
    <row r="200" spans="2:12">
      <c r="B200" s="742" t="str">
        <f>Calculs!B200</f>
        <v>2.2A2</v>
      </c>
      <c r="C200" s="742">
        <f>Calculs!BY200</f>
        <v>26292000</v>
      </c>
      <c r="D200" s="742">
        <f>Calculs!BZ200</f>
        <v>15436.4</v>
      </c>
      <c r="E200" s="742">
        <f>Calculs!CA200</f>
        <v>129948.00000000001</v>
      </c>
      <c r="F200" s="742">
        <f>Calculs!CB200</f>
        <v>26437384.399999999</v>
      </c>
      <c r="G200" s="742">
        <f>Calculs!CC200</f>
        <v>26.437384399999999</v>
      </c>
      <c r="H200" s="742"/>
      <c r="I200" s="742">
        <f>Calculs!CE200</f>
        <v>0</v>
      </c>
      <c r="J200" s="742">
        <f>Calculs!CF200</f>
        <v>0</v>
      </c>
      <c r="K200" s="742"/>
      <c r="L200" s="742">
        <f>Calculs!CH200</f>
        <v>147420</v>
      </c>
    </row>
    <row r="201" spans="2:12">
      <c r="B201" s="742" t="str">
        <f>Calculs!B201</f>
        <v>2.2A2</v>
      </c>
      <c r="C201" s="742">
        <f>Calculs!BY201</f>
        <v>0</v>
      </c>
      <c r="D201" s="742">
        <f>Calculs!BZ201</f>
        <v>0</v>
      </c>
      <c r="E201" s="742">
        <f>Calculs!CA201</f>
        <v>0</v>
      </c>
      <c r="F201" s="742">
        <f>Calculs!CB201</f>
        <v>0</v>
      </c>
      <c r="G201" s="742">
        <f>Calculs!CC201</f>
        <v>0</v>
      </c>
      <c r="H201" s="742"/>
      <c r="I201" s="742">
        <f>Calculs!CE201</f>
        <v>0</v>
      </c>
      <c r="J201" s="742">
        <f>Calculs!CF201</f>
        <v>0</v>
      </c>
      <c r="K201" s="742"/>
      <c r="L201" s="742">
        <f>Calculs!CH201</f>
        <v>0</v>
      </c>
    </row>
    <row r="202" spans="2:12">
      <c r="B202" s="742" t="str">
        <f>Calculs!B202</f>
        <v>2.2A2</v>
      </c>
      <c r="C202" s="742">
        <f>Calculs!BY202</f>
        <v>0</v>
      </c>
      <c r="D202" s="742">
        <f>Calculs!BZ202</f>
        <v>0</v>
      </c>
      <c r="E202" s="742">
        <f>Calculs!CA202</f>
        <v>0</v>
      </c>
      <c r="F202" s="742">
        <f>Calculs!CB202</f>
        <v>0</v>
      </c>
      <c r="G202" s="742">
        <f>Calculs!CC202</f>
        <v>0</v>
      </c>
      <c r="H202" s="742"/>
      <c r="I202" s="742">
        <f>Calculs!CE202</f>
        <v>0</v>
      </c>
      <c r="J202" s="742">
        <f>Calculs!CF202</f>
        <v>0</v>
      </c>
      <c r="K202" s="742"/>
      <c r="L202" s="742">
        <f>Calculs!CH202</f>
        <v>0</v>
      </c>
    </row>
    <row r="203" spans="2:12">
      <c r="B203" s="742" t="str">
        <f>Calculs!B203</f>
        <v>2.2A2</v>
      </c>
      <c r="C203" s="742">
        <f>Calculs!BY203</f>
        <v>0</v>
      </c>
      <c r="D203" s="742">
        <f>Calculs!BZ203</f>
        <v>0</v>
      </c>
      <c r="E203" s="742">
        <f>Calculs!CA203</f>
        <v>0</v>
      </c>
      <c r="F203" s="742">
        <f>Calculs!CB203</f>
        <v>0</v>
      </c>
      <c r="G203" s="742">
        <f>Calculs!CC203</f>
        <v>0</v>
      </c>
      <c r="H203" s="742"/>
      <c r="I203" s="742">
        <f>Calculs!CE203</f>
        <v>0</v>
      </c>
      <c r="J203" s="742">
        <f>Calculs!CF203</f>
        <v>0</v>
      </c>
      <c r="K203" s="742"/>
      <c r="L203" s="742">
        <f>Calculs!CH203</f>
        <v>0</v>
      </c>
    </row>
    <row r="204" spans="2:12">
      <c r="B204" s="742" t="str">
        <f>Calculs!B204</f>
        <v>2.2A2</v>
      </c>
      <c r="C204" s="742">
        <f>Calculs!BY204</f>
        <v>0</v>
      </c>
      <c r="D204" s="742">
        <f>Calculs!BZ204</f>
        <v>0</v>
      </c>
      <c r="E204" s="742">
        <f>Calculs!CA204</f>
        <v>0</v>
      </c>
      <c r="F204" s="742">
        <f>Calculs!CB204</f>
        <v>0</v>
      </c>
      <c r="G204" s="742">
        <f>Calculs!CC204</f>
        <v>0</v>
      </c>
      <c r="H204" s="742"/>
      <c r="I204" s="742">
        <f>Calculs!CE204</f>
        <v>0</v>
      </c>
      <c r="J204" s="742">
        <f>Calculs!CF204</f>
        <v>0</v>
      </c>
      <c r="K204" s="742"/>
      <c r="L204" s="742">
        <f>Calculs!CH204</f>
        <v>0</v>
      </c>
    </row>
    <row r="205" spans="2:12">
      <c r="B205" s="742" t="str">
        <f>Calculs!B205</f>
        <v>2.2A2</v>
      </c>
      <c r="C205" s="742">
        <f>Calculs!BY205</f>
        <v>0</v>
      </c>
      <c r="D205" s="742">
        <f>Calculs!BZ205</f>
        <v>0</v>
      </c>
      <c r="E205" s="742">
        <f>Calculs!CA205</f>
        <v>0</v>
      </c>
      <c r="F205" s="742">
        <f>Calculs!CB205</f>
        <v>0</v>
      </c>
      <c r="G205" s="742">
        <f>Calculs!CC205</f>
        <v>0</v>
      </c>
      <c r="H205" s="742"/>
      <c r="I205" s="742">
        <f>Calculs!CE205</f>
        <v>0</v>
      </c>
      <c r="J205" s="742">
        <f>Calculs!CF205</f>
        <v>0</v>
      </c>
      <c r="K205" s="742"/>
      <c r="L205" s="742">
        <f>Calculs!CH205</f>
        <v>0</v>
      </c>
    </row>
    <row r="206" spans="2:12">
      <c r="B206" s="742" t="str">
        <f>Calculs!B206</f>
        <v>2.2A2</v>
      </c>
      <c r="C206" s="742">
        <f>Calculs!BY206</f>
        <v>0</v>
      </c>
      <c r="D206" s="742">
        <f>Calculs!BZ206</f>
        <v>0</v>
      </c>
      <c r="E206" s="742">
        <f>Calculs!CA206</f>
        <v>0</v>
      </c>
      <c r="F206" s="742">
        <f>Calculs!CB206</f>
        <v>0</v>
      </c>
      <c r="G206" s="742">
        <f>Calculs!CC206</f>
        <v>0</v>
      </c>
      <c r="H206" s="742"/>
      <c r="I206" s="742">
        <f>Calculs!CE206</f>
        <v>0</v>
      </c>
      <c r="J206" s="742">
        <f>Calculs!CF206</f>
        <v>0</v>
      </c>
      <c r="K206" s="742"/>
      <c r="L206" s="742">
        <f>Calculs!CH206</f>
        <v>0</v>
      </c>
    </row>
    <row r="207" spans="2:12">
      <c r="B207" s="742" t="str">
        <f>Calculs!B207</f>
        <v>2.2A2</v>
      </c>
      <c r="C207" s="742">
        <f>Calculs!BY207</f>
        <v>0</v>
      </c>
      <c r="D207" s="742">
        <f>Calculs!BZ207</f>
        <v>0</v>
      </c>
      <c r="E207" s="742">
        <f>Calculs!CA207</f>
        <v>0</v>
      </c>
      <c r="F207" s="742">
        <f>Calculs!CB207</f>
        <v>0</v>
      </c>
      <c r="G207" s="742">
        <f>Calculs!CC207</f>
        <v>0</v>
      </c>
      <c r="H207" s="742"/>
      <c r="I207" s="742">
        <f>Calculs!CE207</f>
        <v>0</v>
      </c>
      <c r="J207" s="742">
        <f>Calculs!CF207</f>
        <v>0</v>
      </c>
      <c r="K207" s="742"/>
      <c r="L207" s="742">
        <f>Calculs!CH207</f>
        <v>0</v>
      </c>
    </row>
    <row r="208" spans="2:12">
      <c r="B208" s="742" t="str">
        <f>Calculs!B208</f>
        <v>2.2A2</v>
      </c>
      <c r="C208" s="742">
        <f>Calculs!BY208</f>
        <v>0</v>
      </c>
      <c r="D208" s="742">
        <f>Calculs!BZ208</f>
        <v>0</v>
      </c>
      <c r="E208" s="742">
        <f>Calculs!CA208</f>
        <v>0</v>
      </c>
      <c r="F208" s="742">
        <f>Calculs!CB208</f>
        <v>0</v>
      </c>
      <c r="G208" s="742">
        <f>Calculs!CC208</f>
        <v>0</v>
      </c>
      <c r="H208" s="742"/>
      <c r="I208" s="742">
        <f>Calculs!CE208</f>
        <v>0</v>
      </c>
      <c r="J208" s="742">
        <f>Calculs!CF208</f>
        <v>0</v>
      </c>
      <c r="K208" s="742"/>
      <c r="L208" s="742">
        <f>Calculs!CH208</f>
        <v>0</v>
      </c>
    </row>
    <row r="209" spans="2:12">
      <c r="B209" s="742">
        <f>Calculs!B209</f>
        <v>0</v>
      </c>
      <c r="C209" s="742">
        <f>Calculs!BY209</f>
        <v>26292000</v>
      </c>
      <c r="D209" s="742">
        <f>Calculs!BZ209</f>
        <v>15436.4</v>
      </c>
      <c r="E209" s="742">
        <f>Calculs!CA209</f>
        <v>129948.00000000001</v>
      </c>
      <c r="F209" s="742">
        <f>Calculs!CB209</f>
        <v>26437384.399999999</v>
      </c>
      <c r="G209" s="742">
        <f>Calculs!CC209</f>
        <v>26.437384399999999</v>
      </c>
      <c r="H209" s="742"/>
      <c r="I209" s="742">
        <f>Calculs!CE209</f>
        <v>0</v>
      </c>
      <c r="J209" s="742">
        <f>Calculs!CF209</f>
        <v>0</v>
      </c>
      <c r="K209" s="742"/>
      <c r="L209" s="742">
        <f>Calculs!CH209</f>
        <v>147420</v>
      </c>
    </row>
    <row r="210" spans="2:12">
      <c r="B210" s="742">
        <f>Calculs!B210</f>
        <v>0</v>
      </c>
      <c r="C210" s="742">
        <f>Calculs!BY210</f>
        <v>0</v>
      </c>
      <c r="D210" s="742">
        <f>Calculs!BZ210</f>
        <v>0</v>
      </c>
      <c r="E210" s="742">
        <f>Calculs!CA210</f>
        <v>0</v>
      </c>
      <c r="F210" s="742">
        <f>Calculs!CB210</f>
        <v>0</v>
      </c>
      <c r="G210" s="742">
        <f>Calculs!CC210</f>
        <v>0</v>
      </c>
      <c r="H210" s="742"/>
      <c r="I210" s="742">
        <f>Calculs!CE210</f>
        <v>0</v>
      </c>
      <c r="J210" s="742">
        <f>Calculs!CF210</f>
        <v>0</v>
      </c>
      <c r="K210" s="742"/>
      <c r="L210" s="742">
        <f>Calculs!CH210</f>
        <v>0</v>
      </c>
    </row>
    <row r="211" spans="2:12">
      <c r="B211" s="742" t="e">
        <f>Calculs!#REF!</f>
        <v>#REF!</v>
      </c>
      <c r="C211" s="742" t="e">
        <f>Calculs!#REF!</f>
        <v>#REF!</v>
      </c>
      <c r="D211" s="742" t="e">
        <f>Calculs!#REF!</f>
        <v>#REF!</v>
      </c>
      <c r="E211" s="742" t="e">
        <f>Calculs!#REF!</f>
        <v>#REF!</v>
      </c>
      <c r="F211" s="742" t="e">
        <f>Calculs!#REF!</f>
        <v>#REF!</v>
      </c>
      <c r="G211" s="742" t="e">
        <f>Calculs!#REF!</f>
        <v>#REF!</v>
      </c>
      <c r="H211" s="742"/>
      <c r="I211" s="742" t="e">
        <f>Calculs!#REF!</f>
        <v>#REF!</v>
      </c>
      <c r="J211" s="742" t="e">
        <f>Calculs!#REF!</f>
        <v>#REF!</v>
      </c>
      <c r="K211" s="742"/>
      <c r="L211" s="742" t="e">
        <f>Calculs!#REF!</f>
        <v>#REF!</v>
      </c>
    </row>
    <row r="212" spans="2:12">
      <c r="B212" s="742" t="e">
        <f>Calculs!#REF!</f>
        <v>#REF!</v>
      </c>
      <c r="C212" s="742" t="e">
        <f>Calculs!#REF!</f>
        <v>#REF!</v>
      </c>
      <c r="D212" s="742" t="e">
        <f>Calculs!#REF!</f>
        <v>#REF!</v>
      </c>
      <c r="E212" s="742" t="e">
        <f>Calculs!#REF!</f>
        <v>#REF!</v>
      </c>
      <c r="F212" s="742" t="e">
        <f>Calculs!#REF!</f>
        <v>#REF!</v>
      </c>
      <c r="G212" s="742" t="e">
        <f>Calculs!#REF!</f>
        <v>#REF!</v>
      </c>
      <c r="H212" s="742"/>
      <c r="I212" s="742" t="e">
        <f>Calculs!#REF!</f>
        <v>#REF!</v>
      </c>
      <c r="J212" s="742" t="e">
        <f>Calculs!#REF!</f>
        <v>#REF!</v>
      </c>
      <c r="K212" s="742"/>
      <c r="L212" s="742" t="e">
        <f>Calculs!#REF!</f>
        <v>#REF!</v>
      </c>
    </row>
    <row r="213" spans="2:12">
      <c r="B213" s="742" t="e">
        <f>Calculs!#REF!</f>
        <v>#REF!</v>
      </c>
      <c r="C213" s="742" t="e">
        <f>Calculs!#REF!</f>
        <v>#REF!</v>
      </c>
      <c r="D213" s="742" t="e">
        <f>Calculs!#REF!</f>
        <v>#REF!</v>
      </c>
      <c r="E213" s="742" t="e">
        <f>Calculs!#REF!</f>
        <v>#REF!</v>
      </c>
      <c r="F213" s="742" t="e">
        <f>Calculs!#REF!</f>
        <v>#REF!</v>
      </c>
      <c r="G213" s="742" t="e">
        <f>Calculs!#REF!</f>
        <v>#REF!</v>
      </c>
      <c r="H213" s="742"/>
      <c r="I213" s="742" t="e">
        <f>Calculs!#REF!</f>
        <v>#REF!</v>
      </c>
      <c r="J213" s="742" t="e">
        <f>Calculs!#REF!</f>
        <v>#REF!</v>
      </c>
      <c r="K213" s="742"/>
      <c r="L213" s="742" t="e">
        <f>Calculs!#REF!</f>
        <v>#REF!</v>
      </c>
    </row>
    <row r="214" spans="2:12">
      <c r="B214" s="742" t="e">
        <f>Calculs!#REF!</f>
        <v>#REF!</v>
      </c>
      <c r="C214" s="742" t="e">
        <f>Calculs!#REF!</f>
        <v>#REF!</v>
      </c>
      <c r="D214" s="742" t="e">
        <f>Calculs!#REF!</f>
        <v>#REF!</v>
      </c>
      <c r="E214" s="742" t="e">
        <f>Calculs!#REF!</f>
        <v>#REF!</v>
      </c>
      <c r="F214" s="742" t="e">
        <f>Calculs!#REF!</f>
        <v>#REF!</v>
      </c>
      <c r="G214" s="742" t="e">
        <f>Calculs!#REF!</f>
        <v>#REF!</v>
      </c>
      <c r="H214" s="742"/>
      <c r="I214" s="742" t="e">
        <f>Calculs!#REF!</f>
        <v>#REF!</v>
      </c>
      <c r="J214" s="742" t="e">
        <f>Calculs!#REF!</f>
        <v>#REF!</v>
      </c>
      <c r="K214" s="742"/>
      <c r="L214" s="742" t="e">
        <f>Calculs!#REF!</f>
        <v>#REF!</v>
      </c>
    </row>
    <row r="215" spans="2:12">
      <c r="B215" s="742" t="e">
        <f>Calculs!#REF!</f>
        <v>#REF!</v>
      </c>
      <c r="C215" s="742" t="e">
        <f>Calculs!#REF!</f>
        <v>#REF!</v>
      </c>
      <c r="D215" s="742" t="e">
        <f>Calculs!#REF!</f>
        <v>#REF!</v>
      </c>
      <c r="E215" s="742" t="e">
        <f>Calculs!#REF!</f>
        <v>#REF!</v>
      </c>
      <c r="F215" s="742" t="e">
        <f>Calculs!#REF!</f>
        <v>#REF!</v>
      </c>
      <c r="G215" s="742" t="e">
        <f>Calculs!#REF!</f>
        <v>#REF!</v>
      </c>
      <c r="H215" s="742"/>
      <c r="I215" s="742" t="e">
        <f>Calculs!#REF!</f>
        <v>#REF!</v>
      </c>
      <c r="J215" s="742" t="e">
        <f>Calculs!#REF!</f>
        <v>#REF!</v>
      </c>
      <c r="K215" s="742"/>
      <c r="L215" s="742" t="e">
        <f>Calculs!#REF!</f>
        <v>#REF!</v>
      </c>
    </row>
    <row r="216" spans="2:12">
      <c r="B216" s="742" t="e">
        <f>Calculs!#REF!</f>
        <v>#REF!</v>
      </c>
      <c r="C216" s="742" t="e">
        <f>Calculs!#REF!</f>
        <v>#REF!</v>
      </c>
      <c r="D216" s="742" t="e">
        <f>Calculs!#REF!</f>
        <v>#REF!</v>
      </c>
      <c r="E216" s="742" t="e">
        <f>Calculs!#REF!</f>
        <v>#REF!</v>
      </c>
      <c r="F216" s="742" t="e">
        <f>Calculs!#REF!</f>
        <v>#REF!</v>
      </c>
      <c r="G216" s="742" t="e">
        <f>Calculs!#REF!</f>
        <v>#REF!</v>
      </c>
      <c r="H216" s="742"/>
      <c r="I216" s="742" t="e">
        <f>Calculs!#REF!</f>
        <v>#REF!</v>
      </c>
      <c r="J216" s="742" t="e">
        <f>Calculs!#REF!</f>
        <v>#REF!</v>
      </c>
      <c r="K216" s="742"/>
      <c r="L216" s="742" t="e">
        <f>Calculs!#REF!</f>
        <v>#REF!</v>
      </c>
    </row>
    <row r="217" spans="2:12">
      <c r="B217" s="742" t="e">
        <f>Calculs!#REF!</f>
        <v>#REF!</v>
      </c>
      <c r="C217" s="742" t="e">
        <f>Calculs!#REF!</f>
        <v>#REF!</v>
      </c>
      <c r="D217" s="742" t="e">
        <f>Calculs!#REF!</f>
        <v>#REF!</v>
      </c>
      <c r="E217" s="742" t="e">
        <f>Calculs!#REF!</f>
        <v>#REF!</v>
      </c>
      <c r="F217" s="742" t="e">
        <f>Calculs!#REF!</f>
        <v>#REF!</v>
      </c>
      <c r="G217" s="742" t="e">
        <f>Calculs!#REF!</f>
        <v>#REF!</v>
      </c>
      <c r="H217" s="742"/>
      <c r="I217" s="742" t="e">
        <f>Calculs!#REF!</f>
        <v>#REF!</v>
      </c>
      <c r="J217" s="742" t="e">
        <f>Calculs!#REF!</f>
        <v>#REF!</v>
      </c>
      <c r="K217" s="742"/>
      <c r="L217" s="742" t="e">
        <f>Calculs!#REF!</f>
        <v>#REF!</v>
      </c>
    </row>
    <row r="218" spans="2:12">
      <c r="B218" s="742" t="e">
        <f>Calculs!#REF!</f>
        <v>#REF!</v>
      </c>
      <c r="C218" s="742" t="e">
        <f>Calculs!#REF!</f>
        <v>#REF!</v>
      </c>
      <c r="D218" s="742" t="e">
        <f>Calculs!#REF!</f>
        <v>#REF!</v>
      </c>
      <c r="E218" s="742" t="e">
        <f>Calculs!#REF!</f>
        <v>#REF!</v>
      </c>
      <c r="F218" s="742" t="e">
        <f>Calculs!#REF!</f>
        <v>#REF!</v>
      </c>
      <c r="G218" s="742" t="e">
        <f>Calculs!#REF!</f>
        <v>#REF!</v>
      </c>
      <c r="H218" s="742"/>
      <c r="I218" s="742" t="e">
        <f>Calculs!#REF!</f>
        <v>#REF!</v>
      </c>
      <c r="J218" s="742" t="e">
        <f>Calculs!#REF!</f>
        <v>#REF!</v>
      </c>
      <c r="K218" s="742"/>
      <c r="L218" s="742" t="e">
        <f>Calculs!#REF!</f>
        <v>#REF!</v>
      </c>
    </row>
    <row r="219" spans="2:12">
      <c r="B219" s="742" t="e">
        <f>Calculs!#REF!</f>
        <v>#REF!</v>
      </c>
      <c r="C219" s="742" t="e">
        <f>Calculs!#REF!</f>
        <v>#REF!</v>
      </c>
      <c r="D219" s="742" t="e">
        <f>Calculs!#REF!</f>
        <v>#REF!</v>
      </c>
      <c r="E219" s="742" t="e">
        <f>Calculs!#REF!</f>
        <v>#REF!</v>
      </c>
      <c r="F219" s="742" t="e">
        <f>Calculs!#REF!</f>
        <v>#REF!</v>
      </c>
      <c r="G219" s="742" t="e">
        <f>Calculs!#REF!</f>
        <v>#REF!</v>
      </c>
      <c r="H219" s="742"/>
      <c r="I219" s="742" t="e">
        <f>Calculs!#REF!</f>
        <v>#REF!</v>
      </c>
      <c r="J219" s="742" t="e">
        <f>Calculs!#REF!</f>
        <v>#REF!</v>
      </c>
      <c r="K219" s="742"/>
      <c r="L219" s="742" t="e">
        <f>Calculs!#REF!</f>
        <v>#REF!</v>
      </c>
    </row>
    <row r="220" spans="2:12">
      <c r="B220" s="742" t="e">
        <f>Calculs!#REF!</f>
        <v>#REF!</v>
      </c>
      <c r="C220" s="742" t="e">
        <f>Calculs!#REF!</f>
        <v>#REF!</v>
      </c>
      <c r="D220" s="742" t="e">
        <f>Calculs!#REF!</f>
        <v>#REF!</v>
      </c>
      <c r="E220" s="742" t="e">
        <f>Calculs!#REF!</f>
        <v>#REF!</v>
      </c>
      <c r="F220" s="742" t="e">
        <f>Calculs!#REF!</f>
        <v>#REF!</v>
      </c>
      <c r="G220" s="742" t="e">
        <f>Calculs!#REF!</f>
        <v>#REF!</v>
      </c>
      <c r="H220" s="742"/>
      <c r="I220" s="742" t="e">
        <f>Calculs!#REF!</f>
        <v>#REF!</v>
      </c>
      <c r="J220" s="742" t="e">
        <f>Calculs!#REF!</f>
        <v>#REF!</v>
      </c>
      <c r="K220" s="742"/>
      <c r="L220" s="742" t="e">
        <f>Calculs!#REF!</f>
        <v>#REF!</v>
      </c>
    </row>
    <row r="221" spans="2:12">
      <c r="B221" s="742" t="e">
        <f>Calculs!#REF!</f>
        <v>#REF!</v>
      </c>
      <c r="C221" s="742" t="e">
        <f>Calculs!#REF!</f>
        <v>#REF!</v>
      </c>
      <c r="D221" s="742" t="e">
        <f>Calculs!#REF!</f>
        <v>#REF!</v>
      </c>
      <c r="E221" s="742" t="e">
        <f>Calculs!#REF!</f>
        <v>#REF!</v>
      </c>
      <c r="F221" s="742" t="e">
        <f>Calculs!#REF!</f>
        <v>#REF!</v>
      </c>
      <c r="G221" s="742" t="e">
        <f>Calculs!#REF!</f>
        <v>#REF!</v>
      </c>
      <c r="H221" s="742"/>
      <c r="I221" s="742" t="e">
        <f>Calculs!#REF!</f>
        <v>#REF!</v>
      </c>
      <c r="J221" s="742" t="e">
        <f>Calculs!#REF!</f>
        <v>#REF!</v>
      </c>
      <c r="K221" s="742"/>
      <c r="L221" s="742" t="e">
        <f>Calculs!#REF!</f>
        <v>#REF!</v>
      </c>
    </row>
    <row r="222" spans="2:12">
      <c r="B222" s="742" t="e">
        <f>Calculs!#REF!</f>
        <v>#REF!</v>
      </c>
      <c r="C222" s="742" t="e">
        <f>Calculs!#REF!</f>
        <v>#REF!</v>
      </c>
      <c r="D222" s="742" t="e">
        <f>Calculs!#REF!</f>
        <v>#REF!</v>
      </c>
      <c r="E222" s="742" t="e">
        <f>Calculs!#REF!</f>
        <v>#REF!</v>
      </c>
      <c r="F222" s="742" t="e">
        <f>Calculs!#REF!</f>
        <v>#REF!</v>
      </c>
      <c r="G222" s="742" t="e">
        <f>Calculs!#REF!</f>
        <v>#REF!</v>
      </c>
      <c r="H222" s="742"/>
      <c r="I222" s="742" t="e">
        <f>Calculs!#REF!</f>
        <v>#REF!</v>
      </c>
      <c r="J222" s="742" t="e">
        <f>Calculs!#REF!</f>
        <v>#REF!</v>
      </c>
      <c r="K222" s="742"/>
      <c r="L222" s="742" t="e">
        <f>Calculs!#REF!</f>
        <v>#REF!</v>
      </c>
    </row>
    <row r="223" spans="2:12">
      <c r="B223" s="742" t="e">
        <f>Calculs!#REF!</f>
        <v>#REF!</v>
      </c>
      <c r="C223" s="742" t="e">
        <f>Calculs!#REF!</f>
        <v>#REF!</v>
      </c>
      <c r="D223" s="742" t="e">
        <f>Calculs!#REF!</f>
        <v>#REF!</v>
      </c>
      <c r="E223" s="742" t="e">
        <f>Calculs!#REF!</f>
        <v>#REF!</v>
      </c>
      <c r="F223" s="742" t="e">
        <f>Calculs!#REF!</f>
        <v>#REF!</v>
      </c>
      <c r="G223" s="742" t="e">
        <f>Calculs!#REF!</f>
        <v>#REF!</v>
      </c>
      <c r="H223" s="742"/>
      <c r="I223" s="742" t="e">
        <f>Calculs!#REF!</f>
        <v>#REF!</v>
      </c>
      <c r="J223" s="742" t="e">
        <f>Calculs!#REF!</f>
        <v>#REF!</v>
      </c>
      <c r="K223" s="742"/>
      <c r="L223" s="742" t="e">
        <f>Calculs!#REF!</f>
        <v>#REF!</v>
      </c>
    </row>
    <row r="224" spans="2:12">
      <c r="B224" s="742" t="e">
        <f>Calculs!#REF!</f>
        <v>#REF!</v>
      </c>
      <c r="C224" s="742" t="e">
        <f>Calculs!#REF!</f>
        <v>#REF!</v>
      </c>
      <c r="D224" s="742" t="e">
        <f>Calculs!#REF!</f>
        <v>#REF!</v>
      </c>
      <c r="E224" s="742" t="e">
        <f>Calculs!#REF!</f>
        <v>#REF!</v>
      </c>
      <c r="F224" s="742" t="e">
        <f>Calculs!#REF!</f>
        <v>#REF!</v>
      </c>
      <c r="G224" s="742" t="e">
        <f>Calculs!#REF!</f>
        <v>#REF!</v>
      </c>
      <c r="H224" s="742"/>
      <c r="I224" s="742" t="e">
        <f>Calculs!#REF!</f>
        <v>#REF!</v>
      </c>
      <c r="J224" s="742" t="e">
        <f>Calculs!#REF!</f>
        <v>#REF!</v>
      </c>
      <c r="K224" s="742"/>
      <c r="L224" s="742" t="e">
        <f>Calculs!#REF!</f>
        <v>#REF!</v>
      </c>
    </row>
    <row r="225" spans="2:12">
      <c r="B225" s="742" t="e">
        <f>Calculs!#REF!</f>
        <v>#REF!</v>
      </c>
      <c r="C225" s="742" t="e">
        <f>Calculs!#REF!</f>
        <v>#REF!</v>
      </c>
      <c r="D225" s="742" t="e">
        <f>Calculs!#REF!</f>
        <v>#REF!</v>
      </c>
      <c r="E225" s="742" t="e">
        <f>Calculs!#REF!</f>
        <v>#REF!</v>
      </c>
      <c r="F225" s="742" t="e">
        <f>Calculs!#REF!</f>
        <v>#REF!</v>
      </c>
      <c r="G225" s="742" t="e">
        <f>Calculs!#REF!</f>
        <v>#REF!</v>
      </c>
      <c r="H225" s="742"/>
      <c r="I225" s="742" t="e">
        <f>Calculs!#REF!</f>
        <v>#REF!</v>
      </c>
      <c r="J225" s="742" t="e">
        <f>Calculs!#REF!</f>
        <v>#REF!</v>
      </c>
      <c r="K225" s="742"/>
      <c r="L225" s="742" t="e">
        <f>Calculs!#REF!</f>
        <v>#REF!</v>
      </c>
    </row>
    <row r="226" spans="2:12">
      <c r="B226" s="742" t="e">
        <f>Calculs!#REF!</f>
        <v>#REF!</v>
      </c>
      <c r="C226" s="742" t="e">
        <f>Calculs!#REF!</f>
        <v>#REF!</v>
      </c>
      <c r="D226" s="742" t="e">
        <f>Calculs!#REF!</f>
        <v>#REF!</v>
      </c>
      <c r="E226" s="742" t="e">
        <f>Calculs!#REF!</f>
        <v>#REF!</v>
      </c>
      <c r="F226" s="742" t="e">
        <f>Calculs!#REF!</f>
        <v>#REF!</v>
      </c>
      <c r="G226" s="742" t="e">
        <f>Calculs!#REF!</f>
        <v>#REF!</v>
      </c>
      <c r="H226" s="742"/>
      <c r="I226" s="742" t="e">
        <f>Calculs!#REF!</f>
        <v>#REF!</v>
      </c>
      <c r="J226" s="742" t="e">
        <f>Calculs!#REF!</f>
        <v>#REF!</v>
      </c>
      <c r="K226" s="742"/>
      <c r="L226" s="742" t="e">
        <f>Calculs!#REF!</f>
        <v>#REF!</v>
      </c>
    </row>
    <row r="227" spans="2:12">
      <c r="B227" s="742" t="e">
        <f>Calculs!#REF!</f>
        <v>#REF!</v>
      </c>
      <c r="C227" s="742" t="e">
        <f>Calculs!#REF!</f>
        <v>#REF!</v>
      </c>
      <c r="D227" s="742" t="e">
        <f>Calculs!#REF!</f>
        <v>#REF!</v>
      </c>
      <c r="E227" s="742" t="e">
        <f>Calculs!#REF!</f>
        <v>#REF!</v>
      </c>
      <c r="F227" s="742" t="e">
        <f>Calculs!#REF!</f>
        <v>#REF!</v>
      </c>
      <c r="G227" s="742" t="e">
        <f>Calculs!#REF!</f>
        <v>#REF!</v>
      </c>
      <c r="H227" s="742"/>
      <c r="I227" s="742" t="e">
        <f>Calculs!#REF!</f>
        <v>#REF!</v>
      </c>
      <c r="J227" s="742" t="e">
        <f>Calculs!#REF!</f>
        <v>#REF!</v>
      </c>
      <c r="K227" s="742"/>
      <c r="L227" s="742" t="e">
        <f>Calculs!#REF!</f>
        <v>#REF!</v>
      </c>
    </row>
    <row r="228" spans="2:12">
      <c r="B228" s="742" t="e">
        <f>Calculs!#REF!</f>
        <v>#REF!</v>
      </c>
      <c r="C228" s="742" t="e">
        <f>Calculs!#REF!</f>
        <v>#REF!</v>
      </c>
      <c r="D228" s="742" t="e">
        <f>Calculs!#REF!</f>
        <v>#REF!</v>
      </c>
      <c r="E228" s="742" t="e">
        <f>Calculs!#REF!</f>
        <v>#REF!</v>
      </c>
      <c r="F228" s="742" t="e">
        <f>Calculs!#REF!</f>
        <v>#REF!</v>
      </c>
      <c r="G228" s="742" t="e">
        <f>Calculs!#REF!</f>
        <v>#REF!</v>
      </c>
      <c r="H228" s="742"/>
      <c r="I228" s="742" t="e">
        <f>Calculs!#REF!</f>
        <v>#REF!</v>
      </c>
      <c r="J228" s="742" t="e">
        <f>Calculs!#REF!</f>
        <v>#REF!</v>
      </c>
      <c r="K228" s="742"/>
      <c r="L228" s="742" t="e">
        <f>Calculs!#REF!</f>
        <v>#REF!</v>
      </c>
    </row>
    <row r="229" spans="2:12">
      <c r="B229" s="742" t="str">
        <f>Calculs!B265</f>
        <v>3.5A1 - Déplacements d'affaires en voiture</v>
      </c>
      <c r="C229" s="742">
        <f>Calculs!BY265</f>
        <v>0</v>
      </c>
      <c r="D229" s="742">
        <f>Calculs!BZ265</f>
        <v>0</v>
      </c>
      <c r="E229" s="742">
        <f>Calculs!CA265</f>
        <v>0</v>
      </c>
      <c r="F229" s="742">
        <f>Calculs!CB265</f>
        <v>0</v>
      </c>
      <c r="G229" s="742">
        <f>Calculs!CC265</f>
        <v>0</v>
      </c>
      <c r="H229" s="742"/>
      <c r="I229" s="742">
        <f>Calculs!CE265</f>
        <v>0</v>
      </c>
      <c r="J229" s="742">
        <f>Calculs!CF265</f>
        <v>0</v>
      </c>
      <c r="K229" s="742"/>
      <c r="L229" s="742">
        <f>Calculs!CH265</f>
        <v>0</v>
      </c>
    </row>
    <row r="230" spans="2:12">
      <c r="B230" s="742">
        <f>Calculs!B266</f>
        <v>0</v>
      </c>
      <c r="C230" s="742">
        <f>Calculs!BY266</f>
        <v>0</v>
      </c>
      <c r="D230" s="742">
        <f>Calculs!BZ266</f>
        <v>0</v>
      </c>
      <c r="E230" s="742">
        <f>Calculs!CA266</f>
        <v>0</v>
      </c>
      <c r="F230" s="742">
        <f>Calculs!CB266</f>
        <v>0</v>
      </c>
      <c r="G230" s="742">
        <f>Calculs!CC266</f>
        <v>0</v>
      </c>
      <c r="H230" s="742"/>
      <c r="I230" s="742">
        <f>Calculs!CE266</f>
        <v>0</v>
      </c>
      <c r="J230" s="742">
        <f>Calculs!CF266</f>
        <v>0</v>
      </c>
      <c r="K230" s="742"/>
      <c r="L230" s="742">
        <f>Calculs!CH266</f>
        <v>0</v>
      </c>
    </row>
    <row r="231" spans="2:12">
      <c r="B231" s="742" t="str">
        <f>Calculs!B267</f>
        <v>Données d'activité</v>
      </c>
      <c r="C231" s="742">
        <f>Calculs!BY267</f>
        <v>0</v>
      </c>
      <c r="D231" s="742">
        <f>Calculs!BZ267</f>
        <v>0</v>
      </c>
      <c r="E231" s="742">
        <f>Calculs!CA267</f>
        <v>0</v>
      </c>
      <c r="F231" s="742">
        <f>Calculs!CB267</f>
        <v>0</v>
      </c>
      <c r="G231" s="742">
        <f>Calculs!CC267</f>
        <v>0</v>
      </c>
      <c r="H231" s="742"/>
      <c r="I231" s="742">
        <f>Calculs!CE267</f>
        <v>0</v>
      </c>
      <c r="J231" s="742">
        <f>Calculs!CF267</f>
        <v>0</v>
      </c>
      <c r="K231" s="742"/>
      <c r="L231" s="742">
        <f>Calculs!CH267</f>
        <v>0</v>
      </c>
    </row>
    <row r="232" spans="2:12">
      <c r="B232" s="742" t="str">
        <f>Calculs!B268</f>
        <v># méthode</v>
      </c>
      <c r="C232" s="742" t="str">
        <f>Calculs!BY268</f>
        <v>Émissions GES</v>
      </c>
      <c r="D232" s="742">
        <f>Calculs!BZ268</f>
        <v>0</v>
      </c>
      <c r="E232" s="742">
        <f>Calculs!CA268</f>
        <v>0</v>
      </c>
      <c r="F232" s="742" t="str">
        <f>Calculs!CB268</f>
        <v>Total GES :</v>
      </c>
      <c r="G232" s="742">
        <f>Calculs!CC268</f>
        <v>0</v>
      </c>
      <c r="H232" s="742"/>
      <c r="I232" s="742" t="str">
        <f>Calculs!CE268</f>
        <v>Total CO2 Biogénique :</v>
      </c>
      <c r="J232" s="742">
        <f>Calculs!CF268</f>
        <v>0</v>
      </c>
      <c r="K232" s="742"/>
      <c r="L232" s="742" t="str">
        <f>Calculs!CH268</f>
        <v>Énergie équivalente</v>
      </c>
    </row>
    <row r="233" spans="2:12">
      <c r="B233" s="742">
        <f>Calculs!B269</f>
        <v>0</v>
      </c>
      <c r="C233" s="742" t="str">
        <f>Calculs!BY269</f>
        <v>CO2</v>
      </c>
      <c r="D233" s="742" t="str">
        <f>Calculs!BZ269</f>
        <v>CH4</v>
      </c>
      <c r="E233" s="742" t="str">
        <f>Calculs!CA269</f>
        <v>N2O</v>
      </c>
      <c r="F233" s="742">
        <f>Calculs!CB269</f>
        <v>0</v>
      </c>
      <c r="G233" s="742">
        <f>Calculs!CC269</f>
        <v>0</v>
      </c>
      <c r="H233" s="742"/>
      <c r="I233" s="742">
        <f>Calculs!CE269</f>
        <v>0</v>
      </c>
      <c r="J233" s="742">
        <f>Calculs!CF269</f>
        <v>0</v>
      </c>
      <c r="K233" s="742"/>
      <c r="L233" s="742">
        <f>Calculs!CH269</f>
        <v>0</v>
      </c>
    </row>
    <row r="234" spans="2:12">
      <c r="B234" s="742">
        <f>Calculs!B270</f>
        <v>0</v>
      </c>
      <c r="C234" s="742" t="str">
        <f>Calculs!BY270</f>
        <v>[gCO2e]</v>
      </c>
      <c r="D234" s="742" t="str">
        <f>Calculs!BZ270</f>
        <v>[gCO2e]</v>
      </c>
      <c r="E234" s="742" t="str">
        <f>Calculs!CA270</f>
        <v>[gCO2e]</v>
      </c>
      <c r="F234" s="742" t="str">
        <f>Calculs!CB270</f>
        <v>[gCO2e]</v>
      </c>
      <c r="G234" s="742" t="str">
        <f>Calculs!CC270</f>
        <v>[tCO2e]</v>
      </c>
      <c r="H234" s="742"/>
      <c r="I234" s="742" t="str">
        <f>Calculs!CE270</f>
        <v>[gCO2e]</v>
      </c>
      <c r="J234" s="742" t="str">
        <f>Calculs!CF270</f>
        <v>[tCO2e]</v>
      </c>
      <c r="K234" s="742"/>
      <c r="L234" s="742" t="str">
        <f>Calculs!CH270</f>
        <v>[kWh]</v>
      </c>
    </row>
    <row r="235" spans="2:12">
      <c r="B235" s="742" t="str">
        <f>Calculs!B271</f>
        <v>3.5A1</v>
      </c>
      <c r="C235" s="742">
        <f>Calculs!BY271</f>
        <v>0</v>
      </c>
      <c r="D235" s="742">
        <f>Calculs!BZ271</f>
        <v>0</v>
      </c>
      <c r="E235" s="742">
        <f>Calculs!CA271</f>
        <v>0</v>
      </c>
      <c r="F235" s="742">
        <f>Calculs!CB271</f>
        <v>0</v>
      </c>
      <c r="G235" s="742">
        <f>Calculs!CC271</f>
        <v>0</v>
      </c>
      <c r="H235" s="742"/>
      <c r="I235" s="742">
        <f>Calculs!CE271</f>
        <v>0</v>
      </c>
      <c r="J235" s="742">
        <f>Calculs!CF271</f>
        <v>0</v>
      </c>
      <c r="K235" s="742"/>
      <c r="L235" s="742">
        <f>Calculs!CH271</f>
        <v>0</v>
      </c>
    </row>
    <row r="236" spans="2:12">
      <c r="B236" s="742" t="str">
        <f>Calculs!B272</f>
        <v>3.5A1</v>
      </c>
      <c r="C236" s="742">
        <f>Calculs!BY272</f>
        <v>576825</v>
      </c>
      <c r="D236" s="742">
        <f>Calculs!BZ272</f>
        <v>506.6</v>
      </c>
      <c r="E236" s="742">
        <f>Calculs!CA272</f>
        <v>13650</v>
      </c>
      <c r="F236" s="742">
        <f>Calculs!CB272</f>
        <v>590981.6</v>
      </c>
      <c r="G236" s="742">
        <f>Calculs!CC272</f>
        <v>0.5909816</v>
      </c>
      <c r="H236" s="742"/>
      <c r="I236" s="742">
        <f>Calculs!CE272</f>
        <v>0</v>
      </c>
      <c r="J236" s="742">
        <f>Calculs!CF272</f>
        <v>0</v>
      </c>
      <c r="K236" s="742"/>
      <c r="L236" s="742">
        <f>Calculs!CH272</f>
        <v>2422.5</v>
      </c>
    </row>
    <row r="237" spans="2:12">
      <c r="B237" s="742" t="str">
        <f>Calculs!B273</f>
        <v>3.5A1</v>
      </c>
      <c r="C237" s="742">
        <f>Calculs!BY273</f>
        <v>1340250</v>
      </c>
      <c r="D237" s="742">
        <f>Calculs!BZ273</f>
        <v>759.9</v>
      </c>
      <c r="E237" s="742">
        <f>Calculs!CA273</f>
        <v>30030</v>
      </c>
      <c r="F237" s="742">
        <f>Calculs!CB273</f>
        <v>1371039.9</v>
      </c>
      <c r="G237" s="742">
        <f>Calculs!CC273</f>
        <v>1.3710399</v>
      </c>
      <c r="H237" s="742"/>
      <c r="I237" s="742">
        <f>Calculs!CE273</f>
        <v>0</v>
      </c>
      <c r="J237" s="742">
        <f>Calculs!CF273</f>
        <v>0</v>
      </c>
      <c r="K237" s="742"/>
      <c r="L237" s="742">
        <f>Calculs!CH273</f>
        <v>5320</v>
      </c>
    </row>
    <row r="238" spans="2:12">
      <c r="B238" s="742" t="str">
        <f>Calculs!B274</f>
        <v>3.5A1</v>
      </c>
      <c r="C238" s="742">
        <f>Calculs!BY274</f>
        <v>0</v>
      </c>
      <c r="D238" s="742">
        <f>Calculs!BZ274</f>
        <v>0</v>
      </c>
      <c r="E238" s="742">
        <f>Calculs!CA274</f>
        <v>0</v>
      </c>
      <c r="F238" s="742">
        <f>Calculs!CB274</f>
        <v>0</v>
      </c>
      <c r="G238" s="742">
        <f>Calculs!CC274</f>
        <v>0</v>
      </c>
      <c r="H238" s="742"/>
      <c r="I238" s="742">
        <f>Calculs!CE274</f>
        <v>0</v>
      </c>
      <c r="J238" s="742">
        <f>Calculs!CF274</f>
        <v>0</v>
      </c>
      <c r="K238" s="742"/>
      <c r="L238" s="742">
        <f>Calculs!CH274</f>
        <v>0</v>
      </c>
    </row>
    <row r="239" spans="2:12">
      <c r="B239" s="742" t="str">
        <f>Calculs!B275</f>
        <v>3.5A1</v>
      </c>
      <c r="C239" s="742">
        <f>Calculs!BY275</f>
        <v>0</v>
      </c>
      <c r="D239" s="742">
        <f>Calculs!BZ275</f>
        <v>0</v>
      </c>
      <c r="E239" s="742">
        <f>Calculs!CA275</f>
        <v>0</v>
      </c>
      <c r="F239" s="742">
        <f>Calculs!CB275</f>
        <v>0</v>
      </c>
      <c r="G239" s="742">
        <f>Calculs!CC275</f>
        <v>0</v>
      </c>
      <c r="H239" s="742"/>
      <c r="I239" s="742">
        <f>Calculs!CE275</f>
        <v>0</v>
      </c>
      <c r="J239" s="742">
        <f>Calculs!CF275</f>
        <v>0</v>
      </c>
      <c r="K239" s="742"/>
      <c r="L239" s="742">
        <f>Calculs!CH275</f>
        <v>0</v>
      </c>
    </row>
    <row r="240" spans="2:12">
      <c r="B240" s="742" t="str">
        <f>Calculs!B276</f>
        <v>3.5A1</v>
      </c>
      <c r="C240" s="742">
        <f>Calculs!BY276</f>
        <v>0</v>
      </c>
      <c r="D240" s="742">
        <f>Calculs!BZ276</f>
        <v>0</v>
      </c>
      <c r="E240" s="742">
        <f>Calculs!CA276</f>
        <v>0</v>
      </c>
      <c r="F240" s="742">
        <f>Calculs!CB276</f>
        <v>0</v>
      </c>
      <c r="G240" s="742">
        <f>Calculs!CC276</f>
        <v>0</v>
      </c>
      <c r="H240" s="742"/>
      <c r="I240" s="742">
        <f>Calculs!CE276</f>
        <v>0</v>
      </c>
      <c r="J240" s="742">
        <f>Calculs!CF276</f>
        <v>0</v>
      </c>
      <c r="K240" s="742"/>
      <c r="L240" s="742">
        <f>Calculs!CH276</f>
        <v>0</v>
      </c>
    </row>
    <row r="241" spans="2:12">
      <c r="B241" s="742" t="str">
        <f>Calculs!B277</f>
        <v>3.5A1</v>
      </c>
      <c r="C241" s="742">
        <f>Calculs!BY277</f>
        <v>0</v>
      </c>
      <c r="D241" s="742">
        <f>Calculs!BZ277</f>
        <v>0</v>
      </c>
      <c r="E241" s="742">
        <f>Calculs!CA277</f>
        <v>0</v>
      </c>
      <c r="F241" s="742">
        <f>Calculs!CB277</f>
        <v>0</v>
      </c>
      <c r="G241" s="742">
        <f>Calculs!CC277</f>
        <v>0</v>
      </c>
      <c r="H241" s="742"/>
      <c r="I241" s="742">
        <f>Calculs!CE277</f>
        <v>0</v>
      </c>
      <c r="J241" s="742">
        <f>Calculs!CF277</f>
        <v>0</v>
      </c>
      <c r="K241" s="742"/>
      <c r="L241" s="742">
        <f>Calculs!CH277</f>
        <v>0</v>
      </c>
    </row>
    <row r="242" spans="2:12">
      <c r="B242" s="742" t="str">
        <f>Calculs!B278</f>
        <v>3.5A1</v>
      </c>
      <c r="C242" s="742">
        <f>Calculs!BY278</f>
        <v>0</v>
      </c>
      <c r="D242" s="742">
        <f>Calculs!BZ278</f>
        <v>0</v>
      </c>
      <c r="E242" s="742">
        <f>Calculs!CA278</f>
        <v>0</v>
      </c>
      <c r="F242" s="742">
        <f>Calculs!CB278</f>
        <v>0</v>
      </c>
      <c r="G242" s="742">
        <f>Calculs!CC278</f>
        <v>0</v>
      </c>
      <c r="H242" s="742"/>
      <c r="I242" s="742">
        <f>Calculs!CE278</f>
        <v>0</v>
      </c>
      <c r="J242" s="742">
        <f>Calculs!CF278</f>
        <v>0</v>
      </c>
      <c r="K242" s="742"/>
      <c r="L242" s="742">
        <f>Calculs!CH278</f>
        <v>0</v>
      </c>
    </row>
    <row r="243" spans="2:12">
      <c r="B243" s="742" t="str">
        <f>Calculs!B279</f>
        <v>3.5A1</v>
      </c>
      <c r="C243" s="742">
        <f>Calculs!BY279</f>
        <v>0</v>
      </c>
      <c r="D243" s="742">
        <f>Calculs!BZ279</f>
        <v>0</v>
      </c>
      <c r="E243" s="742">
        <f>Calculs!CA279</f>
        <v>0</v>
      </c>
      <c r="F243" s="742">
        <f>Calculs!CB279</f>
        <v>0</v>
      </c>
      <c r="G243" s="742">
        <f>Calculs!CC279</f>
        <v>0</v>
      </c>
      <c r="H243" s="742"/>
      <c r="I243" s="742">
        <f>Calculs!CE279</f>
        <v>0</v>
      </c>
      <c r="J243" s="742">
        <f>Calculs!CF279</f>
        <v>0</v>
      </c>
      <c r="K243" s="742"/>
      <c r="L243" s="742">
        <f>Calculs!CH279</f>
        <v>0</v>
      </c>
    </row>
    <row r="244" spans="2:12">
      <c r="B244" s="742" t="str">
        <f>Calculs!B280</f>
        <v>3.5A1</v>
      </c>
      <c r="C244" s="742">
        <f>Calculs!BY280</f>
        <v>0</v>
      </c>
      <c r="D244" s="742">
        <f>Calculs!BZ280</f>
        <v>0</v>
      </c>
      <c r="E244" s="742">
        <f>Calculs!CA280</f>
        <v>0</v>
      </c>
      <c r="F244" s="742">
        <f>Calculs!CB280</f>
        <v>0</v>
      </c>
      <c r="G244" s="742">
        <f>Calculs!CC280</f>
        <v>0</v>
      </c>
      <c r="H244" s="742"/>
      <c r="I244" s="742">
        <f>Calculs!CE280</f>
        <v>0</v>
      </c>
      <c r="J244" s="742">
        <f>Calculs!CF280</f>
        <v>0</v>
      </c>
      <c r="K244" s="742"/>
      <c r="L244" s="742">
        <f>Calculs!CH280</f>
        <v>0</v>
      </c>
    </row>
    <row r="245" spans="2:12">
      <c r="B245" s="742">
        <f>Calculs!B281</f>
        <v>0</v>
      </c>
      <c r="C245" s="742">
        <f>Calculs!BY281</f>
        <v>1917075</v>
      </c>
      <c r="D245" s="742">
        <f>Calculs!BZ281</f>
        <v>1266.5</v>
      </c>
      <c r="E245" s="742">
        <f>Calculs!CA281</f>
        <v>43680</v>
      </c>
      <c r="F245" s="742">
        <f>Calculs!CB281</f>
        <v>1962021.5</v>
      </c>
      <c r="G245" s="742">
        <f>Calculs!CC281</f>
        <v>1.9620215000000001</v>
      </c>
      <c r="H245" s="742"/>
      <c r="I245" s="742">
        <f>Calculs!CE281</f>
        <v>0</v>
      </c>
      <c r="J245" s="742">
        <f>Calculs!CF281</f>
        <v>0</v>
      </c>
      <c r="K245" s="742"/>
      <c r="L245" s="742">
        <f>Calculs!CH281</f>
        <v>7742.5</v>
      </c>
    </row>
    <row r="246" spans="2:12">
      <c r="B246" s="742">
        <f>Calculs!B282</f>
        <v>0</v>
      </c>
      <c r="C246" s="742">
        <f>Calculs!BY282</f>
        <v>0</v>
      </c>
      <c r="D246" s="742">
        <f>Calculs!BZ282</f>
        <v>0</v>
      </c>
      <c r="E246" s="742">
        <f>Calculs!CA282</f>
        <v>0</v>
      </c>
      <c r="F246" s="742">
        <f>Calculs!CB282</f>
        <v>0</v>
      </c>
      <c r="G246" s="742">
        <f>Calculs!CC282</f>
        <v>0</v>
      </c>
      <c r="H246" s="742"/>
      <c r="I246" s="742">
        <f>Calculs!CE282</f>
        <v>0</v>
      </c>
      <c r="J246" s="742">
        <f>Calculs!CF282</f>
        <v>0</v>
      </c>
      <c r="K246" s="742"/>
      <c r="L246" s="742">
        <f>Calculs!CH282</f>
        <v>0</v>
      </c>
    </row>
    <row r="247" spans="2:12">
      <c r="B247" s="742" t="str">
        <f>Calculs!B319</f>
        <v>4.1A2 - Appareils numérique (non-amortie)</v>
      </c>
      <c r="C247" s="742">
        <f>Calculs!BY319</f>
        <v>0</v>
      </c>
      <c r="D247" s="742">
        <f>Calculs!BZ319</f>
        <v>0</v>
      </c>
      <c r="E247" s="742">
        <f>Calculs!CA319</f>
        <v>0</v>
      </c>
      <c r="F247" s="742">
        <f>Calculs!CB319</f>
        <v>0</v>
      </c>
      <c r="G247" s="742">
        <f>Calculs!CC319</f>
        <v>0</v>
      </c>
      <c r="H247" s="742"/>
      <c r="I247" s="742">
        <f>Calculs!CE319</f>
        <v>0</v>
      </c>
      <c r="J247" s="742">
        <f>Calculs!CF319</f>
        <v>0</v>
      </c>
      <c r="K247" s="742"/>
      <c r="L247" s="742">
        <f>Calculs!CH319</f>
        <v>0</v>
      </c>
    </row>
    <row r="248" spans="2:12">
      <c r="B248" s="742">
        <f>Calculs!B320</f>
        <v>0</v>
      </c>
      <c r="C248" s="742">
        <f>Calculs!BY320</f>
        <v>0</v>
      </c>
      <c r="D248" s="742">
        <f>Calculs!BZ320</f>
        <v>0</v>
      </c>
      <c r="E248" s="742">
        <f>Calculs!CA320</f>
        <v>0</v>
      </c>
      <c r="F248" s="742">
        <f>Calculs!CB320</f>
        <v>0</v>
      </c>
      <c r="G248" s="742">
        <f>Calculs!CC320</f>
        <v>0</v>
      </c>
      <c r="H248" s="742"/>
      <c r="I248" s="742">
        <f>Calculs!CE320</f>
        <v>0</v>
      </c>
      <c r="J248" s="742">
        <f>Calculs!CF320</f>
        <v>0</v>
      </c>
      <c r="K248" s="742"/>
      <c r="L248" s="742">
        <f>Calculs!CH320</f>
        <v>0</v>
      </c>
    </row>
    <row r="249" spans="2:12">
      <c r="B249" s="742" t="str">
        <f>Calculs!B321</f>
        <v>Données d'activité</v>
      </c>
      <c r="C249" s="742">
        <f>Calculs!BY321</f>
        <v>0</v>
      </c>
      <c r="D249" s="742">
        <f>Calculs!BZ321</f>
        <v>0</v>
      </c>
      <c r="E249" s="742">
        <f>Calculs!CA321</f>
        <v>0</v>
      </c>
      <c r="F249" s="742">
        <f>Calculs!CB321</f>
        <v>0</v>
      </c>
      <c r="G249" s="742">
        <f>Calculs!CC321</f>
        <v>0</v>
      </c>
      <c r="H249" s="742"/>
      <c r="I249" s="742">
        <f>Calculs!CE321</f>
        <v>0</v>
      </c>
      <c r="J249" s="742">
        <f>Calculs!CF321</f>
        <v>0</v>
      </c>
      <c r="K249" s="742"/>
      <c r="L249" s="742">
        <f>Calculs!CH321</f>
        <v>0</v>
      </c>
    </row>
    <row r="250" spans="2:12">
      <c r="B250" s="742" t="str">
        <f>Calculs!B322</f>
        <v># méthode</v>
      </c>
      <c r="C250" s="742" t="str">
        <f>Calculs!BY322</f>
        <v>Émissions GES</v>
      </c>
      <c r="D250" s="742">
        <f>Calculs!BZ322</f>
        <v>0</v>
      </c>
      <c r="E250" s="742">
        <f>Calculs!CA322</f>
        <v>0</v>
      </c>
      <c r="F250" s="742" t="str">
        <f>Calculs!CB322</f>
        <v>Total GES :</v>
      </c>
      <c r="G250" s="742">
        <f>Calculs!CC322</f>
        <v>0</v>
      </c>
      <c r="H250" s="742"/>
      <c r="I250" s="742" t="str">
        <f>Calculs!CE322</f>
        <v>Total CO2 Biogénique :</v>
      </c>
      <c r="J250" s="742">
        <f>Calculs!CF322</f>
        <v>0</v>
      </c>
      <c r="K250" s="742"/>
      <c r="L250" s="742" t="str">
        <f>Calculs!CH322</f>
        <v>Énergie équivalente</v>
      </c>
    </row>
    <row r="251" spans="2:12">
      <c r="B251" s="742">
        <f>Calculs!B323</f>
        <v>0</v>
      </c>
      <c r="C251" s="742" t="str">
        <f>Calculs!BY323</f>
        <v>CO2</v>
      </c>
      <c r="D251" s="742" t="str">
        <f>Calculs!BZ323</f>
        <v>CH4</v>
      </c>
      <c r="E251" s="742" t="str">
        <f>Calculs!CA323</f>
        <v>N2O</v>
      </c>
      <c r="F251" s="742">
        <f>Calculs!CB323</f>
        <v>0</v>
      </c>
      <c r="G251" s="742">
        <f>Calculs!CC323</f>
        <v>0</v>
      </c>
      <c r="H251" s="742"/>
      <c r="I251" s="742">
        <f>Calculs!CE323</f>
        <v>0</v>
      </c>
      <c r="J251" s="742">
        <f>Calculs!CF323</f>
        <v>0</v>
      </c>
      <c r="K251" s="742"/>
      <c r="L251" s="742">
        <f>Calculs!CH323</f>
        <v>0</v>
      </c>
    </row>
    <row r="252" spans="2:12">
      <c r="B252" s="742">
        <f>Calculs!B324</f>
        <v>0</v>
      </c>
      <c r="C252" s="742" t="str">
        <f>Calculs!BY324</f>
        <v>[gCO2e]</v>
      </c>
      <c r="D252" s="742" t="str">
        <f>Calculs!BZ324</f>
        <v>[gCO2e]</v>
      </c>
      <c r="E252" s="742" t="str">
        <f>Calculs!CA324</f>
        <v>[gCO2e]</v>
      </c>
      <c r="F252" s="742" t="str">
        <f>Calculs!CB324</f>
        <v>[gCO2e]</v>
      </c>
      <c r="G252" s="742" t="str">
        <f>Calculs!CC324</f>
        <v>[tCO2e]</v>
      </c>
      <c r="H252" s="742"/>
      <c r="I252" s="742" t="str">
        <f>Calculs!CE324</f>
        <v>[gCO2e]</v>
      </c>
      <c r="J252" s="742" t="str">
        <f>Calculs!CF324</f>
        <v>[tCO2e]</v>
      </c>
      <c r="K252" s="742"/>
      <c r="L252" s="742" t="str">
        <f>Calculs!CH324</f>
        <v>[kWh]</v>
      </c>
    </row>
    <row r="253" spans="2:12">
      <c r="B253" s="742" t="str">
        <f>Calculs!B325</f>
        <v>4.1A2</v>
      </c>
      <c r="C253" s="742">
        <f>Calculs!BY325</f>
        <v>619.5</v>
      </c>
      <c r="D253" s="742">
        <f>Calculs!BZ325</f>
        <v>0</v>
      </c>
      <c r="E253" s="742">
        <f>Calculs!CA325</f>
        <v>0</v>
      </c>
      <c r="F253" s="742">
        <f>Calculs!CB325</f>
        <v>619.5</v>
      </c>
      <c r="G253" s="742">
        <f>Calculs!CC325</f>
        <v>6.1950000000000004E-4</v>
      </c>
      <c r="H253" s="742"/>
      <c r="I253" s="742">
        <f>Calculs!CE325</f>
        <v>0</v>
      </c>
      <c r="J253" s="742">
        <f>Calculs!CF325</f>
        <v>0</v>
      </c>
      <c r="K253" s="742"/>
      <c r="L253" s="742">
        <f>Calculs!CH325</f>
        <v>0</v>
      </c>
    </row>
    <row r="254" spans="2:12">
      <c r="B254" s="742" t="str">
        <f>Calculs!B326</f>
        <v>4.1A2</v>
      </c>
      <c r="C254" s="742">
        <f>Calculs!BY326</f>
        <v>3097</v>
      </c>
      <c r="D254" s="742">
        <f>Calculs!BZ326</f>
        <v>0</v>
      </c>
      <c r="E254" s="742">
        <f>Calculs!CA326</f>
        <v>0</v>
      </c>
      <c r="F254" s="742">
        <f>Calculs!CB326</f>
        <v>3097</v>
      </c>
      <c r="G254" s="742">
        <f>Calculs!CC326</f>
        <v>3.0969999999999999E-3</v>
      </c>
      <c r="H254" s="742"/>
      <c r="I254" s="742">
        <f>Calculs!CE326</f>
        <v>0</v>
      </c>
      <c r="J254" s="742">
        <f>Calculs!CF326</f>
        <v>0</v>
      </c>
      <c r="K254" s="742"/>
      <c r="L254" s="742">
        <f>Calculs!CH326</f>
        <v>0</v>
      </c>
    </row>
    <row r="255" spans="2:12">
      <c r="B255" s="742" t="str">
        <f>Calculs!B327</f>
        <v>4.1A2</v>
      </c>
      <c r="C255" s="742">
        <f>Calculs!BY327</f>
        <v>1474.5</v>
      </c>
      <c r="D255" s="742">
        <f>Calculs!BZ327</f>
        <v>0</v>
      </c>
      <c r="E255" s="742">
        <f>Calculs!CA327</f>
        <v>0</v>
      </c>
      <c r="F255" s="742">
        <f>Calculs!CB327</f>
        <v>1474.5</v>
      </c>
      <c r="G255" s="742">
        <f>Calculs!CC327</f>
        <v>1.4744999999999999E-3</v>
      </c>
      <c r="H255" s="742"/>
      <c r="I255" s="742">
        <f>Calculs!CE327</f>
        <v>0</v>
      </c>
      <c r="J255" s="742">
        <f>Calculs!CF327</f>
        <v>0</v>
      </c>
      <c r="K255" s="742"/>
      <c r="L255" s="742">
        <f>Calculs!CH327</f>
        <v>0</v>
      </c>
    </row>
    <row r="256" spans="2:12">
      <c r="B256" s="742" t="str">
        <f>Calculs!B328</f>
        <v>4.1A2</v>
      </c>
      <c r="C256" s="742">
        <f>Calculs!BY328</f>
        <v>17760</v>
      </c>
      <c r="D256" s="742">
        <f>Calculs!BZ328</f>
        <v>0</v>
      </c>
      <c r="E256" s="742">
        <f>Calculs!CA328</f>
        <v>0</v>
      </c>
      <c r="F256" s="742">
        <f>Calculs!CB328</f>
        <v>17760</v>
      </c>
      <c r="G256" s="742">
        <f>Calculs!CC328</f>
        <v>1.7760000000000001E-2</v>
      </c>
      <c r="H256" s="742"/>
      <c r="I256" s="742">
        <f>Calculs!CE328</f>
        <v>0</v>
      </c>
      <c r="J256" s="742">
        <f>Calculs!CF328</f>
        <v>0</v>
      </c>
      <c r="K256" s="742"/>
      <c r="L256" s="742">
        <f>Calculs!CH328</f>
        <v>0</v>
      </c>
    </row>
    <row r="257" spans="2:12">
      <c r="B257" s="742" t="str">
        <f>Calculs!B329</f>
        <v>4.1A2</v>
      </c>
      <c r="C257" s="742">
        <f>Calculs!BY329</f>
        <v>2853.6000000000004</v>
      </c>
      <c r="D257" s="742">
        <f>Calculs!BZ329</f>
        <v>0</v>
      </c>
      <c r="E257" s="742">
        <f>Calculs!CA329</f>
        <v>0</v>
      </c>
      <c r="F257" s="742">
        <f>Calculs!CB329</f>
        <v>2853.6000000000004</v>
      </c>
      <c r="G257" s="742">
        <f>Calculs!CC329</f>
        <v>2.8536000000000004E-3</v>
      </c>
      <c r="H257" s="742"/>
      <c r="I257" s="742">
        <f>Calculs!CE329</f>
        <v>0</v>
      </c>
      <c r="J257" s="742">
        <f>Calculs!CF329</f>
        <v>0</v>
      </c>
      <c r="K257" s="742"/>
      <c r="L257" s="742">
        <f>Calculs!CH329</f>
        <v>0</v>
      </c>
    </row>
    <row r="258" spans="2:12">
      <c r="B258" s="742" t="str">
        <f>Calculs!B330</f>
        <v>4.1A2</v>
      </c>
      <c r="C258" s="742">
        <f>Calculs!BY330</f>
        <v>9360</v>
      </c>
      <c r="D258" s="742">
        <f>Calculs!BZ330</f>
        <v>0</v>
      </c>
      <c r="E258" s="742">
        <f>Calculs!CA330</f>
        <v>0</v>
      </c>
      <c r="F258" s="742">
        <f>Calculs!CB330</f>
        <v>9360</v>
      </c>
      <c r="G258" s="742">
        <f>Calculs!CC330</f>
        <v>9.3600000000000003E-3</v>
      </c>
      <c r="H258" s="742"/>
      <c r="I258" s="742">
        <f>Calculs!CE330</f>
        <v>0</v>
      </c>
      <c r="J258" s="742">
        <f>Calculs!CF330</f>
        <v>0</v>
      </c>
      <c r="K258" s="742"/>
      <c r="L258" s="742">
        <f>Calculs!CH330</f>
        <v>0</v>
      </c>
    </row>
    <row r="259" spans="2:12">
      <c r="B259" s="742" t="str">
        <f>Calculs!B331</f>
        <v>4.1A2</v>
      </c>
      <c r="C259" s="742">
        <f>Calculs!BY331</f>
        <v>1048</v>
      </c>
      <c r="D259" s="742">
        <f>Calculs!BZ331</f>
        <v>0</v>
      </c>
      <c r="E259" s="742">
        <f>Calculs!CA331</f>
        <v>0</v>
      </c>
      <c r="F259" s="742">
        <f>Calculs!CB331</f>
        <v>1048</v>
      </c>
      <c r="G259" s="742">
        <f>Calculs!CC331</f>
        <v>1.0480000000000001E-3</v>
      </c>
      <c r="H259" s="742"/>
      <c r="I259" s="742">
        <f>Calculs!CE331</f>
        <v>0</v>
      </c>
      <c r="J259" s="742">
        <f>Calculs!CF331</f>
        <v>0</v>
      </c>
      <c r="K259" s="742"/>
      <c r="L259" s="742">
        <f>Calculs!CH331</f>
        <v>0</v>
      </c>
    </row>
    <row r="260" spans="2:12">
      <c r="B260" s="742" t="str">
        <f>Calculs!B332</f>
        <v>4.1A2</v>
      </c>
      <c r="C260" s="742">
        <f>Calculs!BY332</f>
        <v>1049.6000000000001</v>
      </c>
      <c r="D260" s="742">
        <f>Calculs!BZ332</f>
        <v>0</v>
      </c>
      <c r="E260" s="742">
        <f>Calculs!CA332</f>
        <v>0</v>
      </c>
      <c r="F260" s="742">
        <f>Calculs!CB332</f>
        <v>1049.6000000000001</v>
      </c>
      <c r="G260" s="742">
        <f>Calculs!CC332</f>
        <v>1.0496000000000001E-3</v>
      </c>
      <c r="H260" s="742"/>
      <c r="I260" s="742">
        <f>Calculs!CE332</f>
        <v>0</v>
      </c>
      <c r="J260" s="742">
        <f>Calculs!CF332</f>
        <v>0</v>
      </c>
      <c r="K260" s="742"/>
      <c r="L260" s="742">
        <f>Calculs!CH332</f>
        <v>0</v>
      </c>
    </row>
    <row r="261" spans="2:12">
      <c r="B261" s="742" t="str">
        <f>Calculs!B333</f>
        <v>4.1A2</v>
      </c>
      <c r="C261" s="742">
        <f>Calculs!BY333</f>
        <v>565</v>
      </c>
      <c r="D261" s="742">
        <f>Calculs!BZ333</f>
        <v>0</v>
      </c>
      <c r="E261" s="742">
        <f>Calculs!CA333</f>
        <v>0</v>
      </c>
      <c r="F261" s="742">
        <f>Calculs!CB333</f>
        <v>565</v>
      </c>
      <c r="G261" s="742">
        <f>Calculs!CC333</f>
        <v>5.6499999999999996E-4</v>
      </c>
      <c r="H261" s="742"/>
      <c r="I261" s="742">
        <f>Calculs!CE333</f>
        <v>0</v>
      </c>
      <c r="J261" s="742">
        <f>Calculs!CF333</f>
        <v>0</v>
      </c>
      <c r="K261" s="742"/>
      <c r="L261" s="742">
        <f>Calculs!CH333</f>
        <v>0</v>
      </c>
    </row>
    <row r="262" spans="2:12">
      <c r="B262" s="742" t="str">
        <f>Calculs!B334</f>
        <v>4.1A2</v>
      </c>
      <c r="C262" s="742">
        <f>Calculs!BY334</f>
        <v>0</v>
      </c>
      <c r="D262" s="742">
        <f>Calculs!BZ334</f>
        <v>0</v>
      </c>
      <c r="E262" s="742">
        <f>Calculs!CA334</f>
        <v>0</v>
      </c>
      <c r="F262" s="742">
        <f>Calculs!CB334</f>
        <v>0</v>
      </c>
      <c r="G262" s="742">
        <f>Calculs!CC334</f>
        <v>0</v>
      </c>
      <c r="H262" s="742"/>
      <c r="I262" s="742">
        <f>Calculs!CE334</f>
        <v>0</v>
      </c>
      <c r="J262" s="742">
        <f>Calculs!CF334</f>
        <v>0</v>
      </c>
      <c r="K262" s="742"/>
      <c r="L262" s="742">
        <f>Calculs!CH334</f>
        <v>0</v>
      </c>
    </row>
    <row r="263" spans="2:12">
      <c r="B263" s="742">
        <f>Calculs!B335</f>
        <v>0</v>
      </c>
      <c r="C263" s="742">
        <f>Calculs!BY335</f>
        <v>37827.199999999997</v>
      </c>
      <c r="D263" s="742">
        <f>Calculs!BZ335</f>
        <v>0</v>
      </c>
      <c r="E263" s="742">
        <f>Calculs!CA335</f>
        <v>0</v>
      </c>
      <c r="F263" s="742">
        <f>Calculs!CB335</f>
        <v>37827.199999999997</v>
      </c>
      <c r="G263" s="742">
        <f>Calculs!CC335</f>
        <v>3.7827200000000005E-2</v>
      </c>
      <c r="H263" s="742"/>
      <c r="I263" s="742">
        <f>Calculs!CE335</f>
        <v>0</v>
      </c>
      <c r="J263" s="742">
        <f>Calculs!CF335</f>
        <v>0</v>
      </c>
      <c r="K263" s="742"/>
      <c r="L263" s="742">
        <f>Calculs!CH335</f>
        <v>0</v>
      </c>
    </row>
    <row r="264" spans="2:12">
      <c r="B264" s="742">
        <f>Calculs!B336</f>
        <v>0</v>
      </c>
      <c r="C264" s="742">
        <f>Calculs!BY336</f>
        <v>0</v>
      </c>
      <c r="D264" s="742">
        <f>Calculs!BZ336</f>
        <v>0</v>
      </c>
      <c r="E264" s="742">
        <f>Calculs!CA336</f>
        <v>0</v>
      </c>
      <c r="F264" s="742">
        <f>Calculs!CB336</f>
        <v>0</v>
      </c>
      <c r="G264" s="742">
        <f>Calculs!CC336</f>
        <v>0</v>
      </c>
      <c r="H264" s="742"/>
      <c r="I264" s="742">
        <f>Calculs!CE336</f>
        <v>0</v>
      </c>
      <c r="J264" s="742">
        <f>Calculs!CF336</f>
        <v>0</v>
      </c>
      <c r="K264" s="742"/>
      <c r="L264" s="742">
        <f>Calculs!CH336</f>
        <v>0</v>
      </c>
    </row>
    <row r="265" spans="2:12">
      <c r="B265" s="742" t="str">
        <f>Calculs!B337</f>
        <v>4.1B1 - Réseaux et transfert de données</v>
      </c>
      <c r="C265" s="742">
        <f>Calculs!BY337</f>
        <v>0</v>
      </c>
      <c r="D265" s="742">
        <f>Calculs!BZ337</f>
        <v>0</v>
      </c>
      <c r="E265" s="742">
        <f>Calculs!CA337</f>
        <v>0</v>
      </c>
      <c r="F265" s="742">
        <f>Calculs!CB337</f>
        <v>0</v>
      </c>
      <c r="G265" s="742">
        <f>Calculs!CC337</f>
        <v>0</v>
      </c>
      <c r="H265" s="742"/>
      <c r="I265" s="742">
        <f>Calculs!CE337</f>
        <v>0</v>
      </c>
      <c r="J265" s="742">
        <f>Calculs!CF337</f>
        <v>0</v>
      </c>
      <c r="K265" s="742"/>
      <c r="L265" s="742">
        <f>Calculs!CH337</f>
        <v>0</v>
      </c>
    </row>
    <row r="266" spans="2:12">
      <c r="B266" s="742">
        <f>Calculs!B338</f>
        <v>0</v>
      </c>
      <c r="C266" s="742">
        <f>Calculs!BY338</f>
        <v>0</v>
      </c>
      <c r="D266" s="742">
        <f>Calculs!BZ338</f>
        <v>0</v>
      </c>
      <c r="E266" s="742">
        <f>Calculs!CA338</f>
        <v>0</v>
      </c>
      <c r="F266" s="742">
        <f>Calculs!CB338</f>
        <v>0</v>
      </c>
      <c r="G266" s="742">
        <f>Calculs!CC338</f>
        <v>0</v>
      </c>
      <c r="H266" s="742"/>
      <c r="I266" s="742">
        <f>Calculs!CE338</f>
        <v>0</v>
      </c>
      <c r="J266" s="742">
        <f>Calculs!CF338</f>
        <v>0</v>
      </c>
      <c r="K266" s="742"/>
      <c r="L266" s="742">
        <f>Calculs!CH338</f>
        <v>0</v>
      </c>
    </row>
    <row r="267" spans="2:12">
      <c r="B267" s="742" t="str">
        <f>Calculs!B339</f>
        <v>Données d'activité</v>
      </c>
      <c r="C267" s="742">
        <f>Calculs!BY339</f>
        <v>0</v>
      </c>
      <c r="D267" s="742">
        <f>Calculs!BZ339</f>
        <v>0</v>
      </c>
      <c r="E267" s="742">
        <f>Calculs!CA339</f>
        <v>0</v>
      </c>
      <c r="F267" s="742">
        <f>Calculs!CB339</f>
        <v>0</v>
      </c>
      <c r="G267" s="742">
        <f>Calculs!CC339</f>
        <v>0</v>
      </c>
      <c r="H267" s="742"/>
      <c r="I267" s="742">
        <f>Calculs!CE339</f>
        <v>0</v>
      </c>
      <c r="J267" s="742">
        <f>Calculs!CF339</f>
        <v>0</v>
      </c>
      <c r="K267" s="742"/>
      <c r="L267" s="742">
        <f>Calculs!CH339</f>
        <v>0</v>
      </c>
    </row>
    <row r="268" spans="2:12">
      <c r="B268" s="742" t="str">
        <f>Calculs!B340</f>
        <v># méthode</v>
      </c>
      <c r="C268" s="742" t="str">
        <f>Calculs!BY340</f>
        <v>Émissions GES</v>
      </c>
      <c r="D268" s="742">
        <f>Calculs!BZ340</f>
        <v>0</v>
      </c>
      <c r="E268" s="742">
        <f>Calculs!CA340</f>
        <v>0</v>
      </c>
      <c r="F268" s="742" t="str">
        <f>Calculs!CB340</f>
        <v>Total GES :</v>
      </c>
      <c r="G268" s="742">
        <f>Calculs!CC340</f>
        <v>0</v>
      </c>
      <c r="H268" s="742"/>
      <c r="I268" s="742" t="str">
        <f>Calculs!CE340</f>
        <v>Total CO2 Biogénique :</v>
      </c>
      <c r="J268" s="742">
        <f>Calculs!CF340</f>
        <v>0</v>
      </c>
      <c r="K268" s="742"/>
      <c r="L268" s="742" t="str">
        <f>Calculs!CH340</f>
        <v>Énergie équivalente</v>
      </c>
    </row>
    <row r="269" spans="2:12">
      <c r="B269" s="742">
        <f>Calculs!B341</f>
        <v>0</v>
      </c>
      <c r="C269" s="742" t="str">
        <f>Calculs!BY341</f>
        <v>CO2</v>
      </c>
      <c r="D269" s="742" t="str">
        <f>Calculs!BZ341</f>
        <v>CH4</v>
      </c>
      <c r="E269" s="742" t="str">
        <f>Calculs!CA341</f>
        <v>N2O</v>
      </c>
      <c r="F269" s="742">
        <f>Calculs!CB341</f>
        <v>0</v>
      </c>
      <c r="G269" s="742">
        <f>Calculs!CC341</f>
        <v>0</v>
      </c>
      <c r="H269" s="742"/>
      <c r="I269" s="742">
        <f>Calculs!CE341</f>
        <v>0</v>
      </c>
      <c r="J269" s="742">
        <f>Calculs!CF341</f>
        <v>0</v>
      </c>
      <c r="K269" s="742"/>
      <c r="L269" s="742">
        <f>Calculs!CH341</f>
        <v>0</v>
      </c>
    </row>
    <row r="270" spans="2:12">
      <c r="B270" s="742">
        <f>Calculs!B342</f>
        <v>0</v>
      </c>
      <c r="C270" s="742" t="str">
        <f>Calculs!BY342</f>
        <v>[gCO2e]</v>
      </c>
      <c r="D270" s="742" t="str">
        <f>Calculs!BZ342</f>
        <v>[gCO2e]</v>
      </c>
      <c r="E270" s="742" t="str">
        <f>Calculs!CA342</f>
        <v>[gCO2e]</v>
      </c>
      <c r="F270" s="742" t="str">
        <f>Calculs!CB342</f>
        <v>[gCO2e]</v>
      </c>
      <c r="G270" s="742" t="str">
        <f>Calculs!CC342</f>
        <v>[tCO2e]</v>
      </c>
      <c r="H270" s="742"/>
      <c r="I270" s="742" t="str">
        <f>Calculs!CE342</f>
        <v>[gCO2e]</v>
      </c>
      <c r="J270" s="742" t="str">
        <f>Calculs!CF342</f>
        <v>[tCO2e]</v>
      </c>
      <c r="K270" s="742"/>
      <c r="L270" s="742" t="str">
        <f>Calculs!CH342</f>
        <v>[kWh]</v>
      </c>
    </row>
    <row r="271" spans="2:12">
      <c r="B271" s="742" t="str">
        <f>Calculs!B343</f>
        <v>4.1B1</v>
      </c>
      <c r="C271" s="742">
        <f>Calculs!BY343</f>
        <v>139050</v>
      </c>
      <c r="D271" s="742">
        <f>Calculs!BZ343</f>
        <v>0</v>
      </c>
      <c r="E271" s="742">
        <f>Calculs!CA343</f>
        <v>0</v>
      </c>
      <c r="F271" s="742">
        <f>Calculs!CB343</f>
        <v>139050</v>
      </c>
      <c r="G271" s="742">
        <f>Calculs!CC343</f>
        <v>0.13905000000000001</v>
      </c>
      <c r="H271" s="742"/>
      <c r="I271" s="742">
        <f>Calculs!CE343</f>
        <v>0</v>
      </c>
      <c r="J271" s="742">
        <f>Calculs!CF343</f>
        <v>0</v>
      </c>
      <c r="K271" s="742"/>
      <c r="L271" s="742">
        <f>Calculs!CH343</f>
        <v>0</v>
      </c>
    </row>
    <row r="272" spans="2:12">
      <c r="B272" s="742" t="str">
        <f>Calculs!B344</f>
        <v>4.1B1</v>
      </c>
      <c r="C272" s="742">
        <f>Calculs!BY344</f>
        <v>0</v>
      </c>
      <c r="D272" s="742">
        <f>Calculs!BZ344</f>
        <v>0</v>
      </c>
      <c r="E272" s="742">
        <f>Calculs!CA344</f>
        <v>0</v>
      </c>
      <c r="F272" s="742">
        <f>Calculs!CB344</f>
        <v>0</v>
      </c>
      <c r="G272" s="742">
        <f>Calculs!CC344</f>
        <v>0</v>
      </c>
      <c r="H272" s="742"/>
      <c r="I272" s="742">
        <f>Calculs!CE344</f>
        <v>0</v>
      </c>
      <c r="J272" s="742">
        <f>Calculs!CF344</f>
        <v>0</v>
      </c>
      <c r="K272" s="742"/>
      <c r="L272" s="742">
        <f>Calculs!CH344</f>
        <v>0</v>
      </c>
    </row>
    <row r="273" spans="2:12">
      <c r="B273" s="742" t="str">
        <f>Calculs!B345</f>
        <v>4.1B1</v>
      </c>
      <c r="C273" s="742">
        <f>Calculs!BY345</f>
        <v>0</v>
      </c>
      <c r="D273" s="742">
        <f>Calculs!BZ345</f>
        <v>0</v>
      </c>
      <c r="E273" s="742">
        <f>Calculs!CA345</f>
        <v>0</v>
      </c>
      <c r="F273" s="742">
        <f>Calculs!CB345</f>
        <v>0</v>
      </c>
      <c r="G273" s="742">
        <f>Calculs!CC345</f>
        <v>0</v>
      </c>
      <c r="H273" s="742"/>
      <c r="I273" s="742">
        <f>Calculs!CE345</f>
        <v>0</v>
      </c>
      <c r="J273" s="742">
        <f>Calculs!CF345</f>
        <v>0</v>
      </c>
      <c r="K273" s="742"/>
      <c r="L273" s="742">
        <f>Calculs!CH345</f>
        <v>0</v>
      </c>
    </row>
    <row r="274" spans="2:12">
      <c r="B274" s="742" t="str">
        <f>Calculs!B346</f>
        <v>4.1B1</v>
      </c>
      <c r="C274" s="742">
        <f>Calculs!BY346</f>
        <v>0</v>
      </c>
      <c r="D274" s="742">
        <f>Calculs!BZ346</f>
        <v>0</v>
      </c>
      <c r="E274" s="742">
        <f>Calculs!CA346</f>
        <v>0</v>
      </c>
      <c r="F274" s="742">
        <f>Calculs!CB346</f>
        <v>0</v>
      </c>
      <c r="G274" s="742">
        <f>Calculs!CC346</f>
        <v>0</v>
      </c>
      <c r="H274" s="742"/>
      <c r="I274" s="742">
        <f>Calculs!CE346</f>
        <v>0</v>
      </c>
      <c r="J274" s="742">
        <f>Calculs!CF346</f>
        <v>0</v>
      </c>
      <c r="K274" s="742"/>
      <c r="L274" s="742">
        <f>Calculs!CH346</f>
        <v>0</v>
      </c>
    </row>
    <row r="275" spans="2:12">
      <c r="B275" s="742" t="str">
        <f>Calculs!B347</f>
        <v>4.1B1</v>
      </c>
      <c r="C275" s="742">
        <f>Calculs!BY347</f>
        <v>0</v>
      </c>
      <c r="D275" s="742">
        <f>Calculs!BZ347</f>
        <v>0</v>
      </c>
      <c r="E275" s="742">
        <f>Calculs!CA347</f>
        <v>0</v>
      </c>
      <c r="F275" s="742">
        <f>Calculs!CB347</f>
        <v>0</v>
      </c>
      <c r="G275" s="742">
        <f>Calculs!CC347</f>
        <v>0</v>
      </c>
      <c r="H275" s="742"/>
      <c r="I275" s="742">
        <f>Calculs!CE347</f>
        <v>0</v>
      </c>
      <c r="J275" s="742">
        <f>Calculs!CF347</f>
        <v>0</v>
      </c>
      <c r="K275" s="742"/>
      <c r="L275" s="742">
        <f>Calculs!CH347</f>
        <v>0</v>
      </c>
    </row>
    <row r="276" spans="2:12">
      <c r="B276" s="742" t="str">
        <f>Calculs!B348</f>
        <v>4.1B1</v>
      </c>
      <c r="C276" s="742">
        <f>Calculs!BY348</f>
        <v>0</v>
      </c>
      <c r="D276" s="742">
        <f>Calculs!BZ348</f>
        <v>0</v>
      </c>
      <c r="E276" s="742">
        <f>Calculs!CA348</f>
        <v>0</v>
      </c>
      <c r="F276" s="742">
        <f>Calculs!CB348</f>
        <v>0</v>
      </c>
      <c r="G276" s="742">
        <f>Calculs!CC348</f>
        <v>0</v>
      </c>
      <c r="H276" s="742"/>
      <c r="I276" s="742">
        <f>Calculs!CE348</f>
        <v>0</v>
      </c>
      <c r="J276" s="742">
        <f>Calculs!CF348</f>
        <v>0</v>
      </c>
      <c r="K276" s="742"/>
      <c r="L276" s="742">
        <f>Calculs!CH348</f>
        <v>0</v>
      </c>
    </row>
    <row r="277" spans="2:12">
      <c r="B277" s="742" t="str">
        <f>Calculs!B349</f>
        <v>4.1B1</v>
      </c>
      <c r="C277" s="742">
        <f>Calculs!BY349</f>
        <v>0</v>
      </c>
      <c r="D277" s="742">
        <f>Calculs!BZ349</f>
        <v>0</v>
      </c>
      <c r="E277" s="742">
        <f>Calculs!CA349</f>
        <v>0</v>
      </c>
      <c r="F277" s="742">
        <f>Calculs!CB349</f>
        <v>0</v>
      </c>
      <c r="G277" s="742">
        <f>Calculs!CC349</f>
        <v>0</v>
      </c>
      <c r="H277" s="742"/>
      <c r="I277" s="742">
        <f>Calculs!CE349</f>
        <v>0</v>
      </c>
      <c r="J277" s="742">
        <f>Calculs!CF349</f>
        <v>0</v>
      </c>
      <c r="K277" s="742"/>
      <c r="L277" s="742">
        <f>Calculs!CH349</f>
        <v>0</v>
      </c>
    </row>
    <row r="278" spans="2:12">
      <c r="B278" s="742" t="str">
        <f>Calculs!B350</f>
        <v>4.1B1</v>
      </c>
      <c r="C278" s="742">
        <f>Calculs!BY350</f>
        <v>0</v>
      </c>
      <c r="D278" s="742">
        <f>Calculs!BZ350</f>
        <v>0</v>
      </c>
      <c r="E278" s="742">
        <f>Calculs!CA350</f>
        <v>0</v>
      </c>
      <c r="F278" s="742">
        <f>Calculs!CB350</f>
        <v>0</v>
      </c>
      <c r="G278" s="742">
        <f>Calculs!CC350</f>
        <v>0</v>
      </c>
      <c r="H278" s="742"/>
      <c r="I278" s="742">
        <f>Calculs!CE350</f>
        <v>0</v>
      </c>
      <c r="J278" s="742">
        <f>Calculs!CF350</f>
        <v>0</v>
      </c>
      <c r="K278" s="742"/>
      <c r="L278" s="742">
        <f>Calculs!CH350</f>
        <v>0</v>
      </c>
    </row>
    <row r="279" spans="2:12">
      <c r="B279" s="742" t="str">
        <f>Calculs!B351</f>
        <v>4.1B1</v>
      </c>
      <c r="C279" s="742">
        <f>Calculs!BY351</f>
        <v>0</v>
      </c>
      <c r="D279" s="742">
        <f>Calculs!BZ351</f>
        <v>0</v>
      </c>
      <c r="E279" s="742">
        <f>Calculs!CA351</f>
        <v>0</v>
      </c>
      <c r="F279" s="742">
        <f>Calculs!CB351</f>
        <v>0</v>
      </c>
      <c r="G279" s="742">
        <f>Calculs!CC351</f>
        <v>0</v>
      </c>
      <c r="H279" s="742"/>
      <c r="I279" s="742">
        <f>Calculs!CE351</f>
        <v>0</v>
      </c>
      <c r="J279" s="742">
        <f>Calculs!CF351</f>
        <v>0</v>
      </c>
      <c r="K279" s="742"/>
      <c r="L279" s="742">
        <f>Calculs!CH351</f>
        <v>0</v>
      </c>
    </row>
    <row r="280" spans="2:12">
      <c r="B280" s="742" t="str">
        <f>Calculs!B352</f>
        <v>4.1B1</v>
      </c>
      <c r="C280" s="742">
        <f>Calculs!BY352</f>
        <v>0</v>
      </c>
      <c r="D280" s="742">
        <f>Calculs!BZ352</f>
        <v>0</v>
      </c>
      <c r="E280" s="742">
        <f>Calculs!CA352</f>
        <v>0</v>
      </c>
      <c r="F280" s="742">
        <f>Calculs!CB352</f>
        <v>0</v>
      </c>
      <c r="G280" s="742">
        <f>Calculs!CC352</f>
        <v>0</v>
      </c>
      <c r="H280" s="742"/>
      <c r="I280" s="742">
        <f>Calculs!CE352</f>
        <v>0</v>
      </c>
      <c r="J280" s="742">
        <f>Calculs!CF352</f>
        <v>0</v>
      </c>
      <c r="K280" s="742"/>
      <c r="L280" s="742">
        <f>Calculs!CH352</f>
        <v>0</v>
      </c>
    </row>
    <row r="281" spans="2:12">
      <c r="B281" s="742">
        <f>Calculs!B353</f>
        <v>0</v>
      </c>
      <c r="C281" s="742">
        <f>Calculs!BY353</f>
        <v>139050</v>
      </c>
      <c r="D281" s="742">
        <f>Calculs!BZ353</f>
        <v>0</v>
      </c>
      <c r="E281" s="742">
        <f>Calculs!CA353</f>
        <v>0</v>
      </c>
      <c r="F281" s="742">
        <f>Calculs!CB353</f>
        <v>139050</v>
      </c>
      <c r="G281" s="742">
        <f>Calculs!CC353</f>
        <v>0.13905000000000001</v>
      </c>
      <c r="H281" s="742"/>
      <c r="I281" s="742">
        <f>Calculs!CE353</f>
        <v>0</v>
      </c>
      <c r="J281" s="742">
        <f>Calculs!CF353</f>
        <v>0</v>
      </c>
      <c r="K281" s="742"/>
      <c r="L281" s="742">
        <f>Calculs!CH353</f>
        <v>0</v>
      </c>
    </row>
    <row r="282" spans="2:12">
      <c r="B282" s="742">
        <f>Calculs!B354</f>
        <v>0</v>
      </c>
      <c r="C282" s="742">
        <f>Calculs!BY354</f>
        <v>0</v>
      </c>
      <c r="D282" s="742">
        <f>Calculs!BZ354</f>
        <v>0</v>
      </c>
      <c r="E282" s="742">
        <f>Calculs!CA354</f>
        <v>0</v>
      </c>
      <c r="F282" s="742">
        <f>Calculs!CB354</f>
        <v>0</v>
      </c>
      <c r="G282" s="742">
        <f>Calculs!CC354</f>
        <v>0</v>
      </c>
      <c r="H282" s="742"/>
      <c r="I282" s="742">
        <f>Calculs!CE354</f>
        <v>0</v>
      </c>
      <c r="J282" s="742">
        <f>Calculs!CF354</f>
        <v>0</v>
      </c>
      <c r="K282" s="742"/>
      <c r="L282" s="742">
        <f>Calculs!CH354</f>
        <v>0</v>
      </c>
    </row>
    <row r="283" spans="2:12">
      <c r="B283" s="742" t="str">
        <f>Calculs!B355</f>
        <v>4.1C1 - Salles de serveurs</v>
      </c>
      <c r="C283" s="742">
        <f>Calculs!BY355</f>
        <v>0</v>
      </c>
      <c r="D283" s="742">
        <f>Calculs!BZ355</f>
        <v>0</v>
      </c>
      <c r="E283" s="742">
        <f>Calculs!CA355</f>
        <v>0</v>
      </c>
      <c r="F283" s="742">
        <f>Calculs!CB355</f>
        <v>0</v>
      </c>
      <c r="G283" s="742">
        <f>Calculs!CC355</f>
        <v>0</v>
      </c>
      <c r="H283" s="742"/>
      <c r="I283" s="742">
        <f>Calculs!CE355</f>
        <v>0</v>
      </c>
      <c r="J283" s="742">
        <f>Calculs!CF355</f>
        <v>0</v>
      </c>
      <c r="K283" s="742"/>
      <c r="L283" s="742">
        <f>Calculs!CH355</f>
        <v>0</v>
      </c>
    </row>
    <row r="284" spans="2:12">
      <c r="B284" s="742">
        <f>Calculs!B356</f>
        <v>0</v>
      </c>
      <c r="C284" s="742">
        <f>Calculs!BY356</f>
        <v>0</v>
      </c>
      <c r="D284" s="742">
        <f>Calculs!BZ356</f>
        <v>0</v>
      </c>
      <c r="E284" s="742">
        <f>Calculs!CA356</f>
        <v>0</v>
      </c>
      <c r="F284" s="742">
        <f>Calculs!CB356</f>
        <v>0</v>
      </c>
      <c r="G284" s="742">
        <f>Calculs!CC356</f>
        <v>0</v>
      </c>
      <c r="H284" s="742"/>
      <c r="I284" s="742">
        <f>Calculs!CE356</f>
        <v>0</v>
      </c>
      <c r="J284" s="742">
        <f>Calculs!CF356</f>
        <v>0</v>
      </c>
      <c r="K284" s="742"/>
      <c r="L284" s="742">
        <f>Calculs!CH356</f>
        <v>0</v>
      </c>
    </row>
    <row r="285" spans="2:12">
      <c r="B285" s="742" t="str">
        <f>Calculs!B357</f>
        <v>Données d'activité</v>
      </c>
      <c r="C285" s="742">
        <f>Calculs!BY357</f>
        <v>0</v>
      </c>
      <c r="D285" s="742">
        <f>Calculs!BZ357</f>
        <v>0</v>
      </c>
      <c r="E285" s="742">
        <f>Calculs!CA357</f>
        <v>0</v>
      </c>
      <c r="F285" s="742">
        <f>Calculs!CB357</f>
        <v>0</v>
      </c>
      <c r="G285" s="742">
        <f>Calculs!CC357</f>
        <v>0</v>
      </c>
      <c r="H285" s="742"/>
      <c r="I285" s="742">
        <f>Calculs!CE357</f>
        <v>0</v>
      </c>
      <c r="J285" s="742">
        <f>Calculs!CF357</f>
        <v>0</v>
      </c>
      <c r="K285" s="742"/>
      <c r="L285" s="742">
        <f>Calculs!CH357</f>
        <v>0</v>
      </c>
    </row>
    <row r="286" spans="2:12">
      <c r="B286" s="742" t="str">
        <f>Calculs!B358</f>
        <v># méthode</v>
      </c>
      <c r="C286" s="742" t="str">
        <f>Calculs!BY358</f>
        <v>Émissions GES</v>
      </c>
      <c r="D286" s="742">
        <f>Calculs!BZ358</f>
        <v>0</v>
      </c>
      <c r="E286" s="742">
        <f>Calculs!CA358</f>
        <v>0</v>
      </c>
      <c r="F286" s="742" t="str">
        <f>Calculs!CB358</f>
        <v>Total GES :</v>
      </c>
      <c r="G286" s="742">
        <f>Calculs!CC358</f>
        <v>0</v>
      </c>
      <c r="H286" s="742"/>
      <c r="I286" s="742" t="str">
        <f>Calculs!CE358</f>
        <v>Total CO2 Biogénique :</v>
      </c>
      <c r="J286" s="742">
        <f>Calculs!CF358</f>
        <v>0</v>
      </c>
      <c r="K286" s="742"/>
      <c r="L286" s="742" t="str">
        <f>Calculs!CH358</f>
        <v>Énergie équivalente</v>
      </c>
    </row>
    <row r="287" spans="2:12">
      <c r="B287" s="742">
        <f>Calculs!B359</f>
        <v>0</v>
      </c>
      <c r="C287" s="742" t="str">
        <f>Calculs!BY359</f>
        <v>CO2</v>
      </c>
      <c r="D287" s="742" t="str">
        <f>Calculs!BZ359</f>
        <v>CH4</v>
      </c>
      <c r="E287" s="742" t="str">
        <f>Calculs!CA359</f>
        <v>N2O</v>
      </c>
      <c r="F287" s="742">
        <f>Calculs!CB359</f>
        <v>0</v>
      </c>
      <c r="G287" s="742">
        <f>Calculs!CC359</f>
        <v>0</v>
      </c>
      <c r="H287" s="742"/>
      <c r="I287" s="742">
        <f>Calculs!CE359</f>
        <v>0</v>
      </c>
      <c r="J287" s="742">
        <f>Calculs!CF359</f>
        <v>0</v>
      </c>
      <c r="K287" s="742"/>
      <c r="L287" s="742">
        <f>Calculs!CH359</f>
        <v>0</v>
      </c>
    </row>
    <row r="288" spans="2:12">
      <c r="B288" s="742">
        <f>Calculs!B360</f>
        <v>0</v>
      </c>
      <c r="C288" s="742" t="str">
        <f>Calculs!BY360</f>
        <v>[gCO2e]</v>
      </c>
      <c r="D288" s="742" t="str">
        <f>Calculs!BZ360</f>
        <v>[gCO2e]</v>
      </c>
      <c r="E288" s="742" t="str">
        <f>Calculs!CA360</f>
        <v>[gCO2e]</v>
      </c>
      <c r="F288" s="742" t="str">
        <f>Calculs!CB360</f>
        <v>[gCO2e]</v>
      </c>
      <c r="G288" s="742" t="str">
        <f>Calculs!CC360</f>
        <v>[tCO2e]</v>
      </c>
      <c r="H288" s="742"/>
      <c r="I288" s="742" t="str">
        <f>Calculs!CE360</f>
        <v>[gCO2e]</v>
      </c>
      <c r="J288" s="742" t="str">
        <f>Calculs!CF360</f>
        <v>[tCO2e]</v>
      </c>
      <c r="K288" s="742"/>
      <c r="L288" s="742" t="str">
        <f>Calculs!CH360</f>
        <v>[kWh]</v>
      </c>
    </row>
    <row r="289" spans="2:12">
      <c r="B289" s="742" t="str">
        <f>Calculs!B361</f>
        <v>4.1C1</v>
      </c>
      <c r="C289" s="742">
        <f>Calculs!BY361</f>
        <v>47247902.000000007</v>
      </c>
      <c r="D289" s="742">
        <f>Calculs!BZ361</f>
        <v>0</v>
      </c>
      <c r="E289" s="742">
        <f>Calculs!CA361</f>
        <v>0</v>
      </c>
      <c r="F289" s="742">
        <f>Calculs!CB361</f>
        <v>47247902.000000007</v>
      </c>
      <c r="G289" s="742">
        <f>Calculs!CC361</f>
        <v>47.247902000000011</v>
      </c>
      <c r="H289" s="742"/>
      <c r="I289" s="742">
        <f>Calculs!CE361</f>
        <v>0</v>
      </c>
      <c r="J289" s="742">
        <f>Calculs!CF361</f>
        <v>0</v>
      </c>
      <c r="K289" s="742"/>
      <c r="L289" s="742">
        <f>Calculs!CH361</f>
        <v>0</v>
      </c>
    </row>
    <row r="290" spans="2:12">
      <c r="B290" s="742" t="str">
        <f>Calculs!B362</f>
        <v>4.1C1</v>
      </c>
      <c r="C290" s="742">
        <f>Calculs!BY362</f>
        <v>19005097.800000004</v>
      </c>
      <c r="D290" s="742">
        <f>Calculs!BZ362</f>
        <v>0</v>
      </c>
      <c r="E290" s="742">
        <f>Calculs!CA362</f>
        <v>0</v>
      </c>
      <c r="F290" s="742">
        <f>Calculs!CB362</f>
        <v>19005097.800000004</v>
      </c>
      <c r="G290" s="742">
        <f>Calculs!CC362</f>
        <v>19.005097800000005</v>
      </c>
      <c r="H290" s="742"/>
      <c r="I290" s="742">
        <f>Calculs!CE362</f>
        <v>0</v>
      </c>
      <c r="J290" s="742">
        <f>Calculs!CF362</f>
        <v>0</v>
      </c>
      <c r="K290" s="742"/>
      <c r="L290" s="742">
        <f>Calculs!CH362</f>
        <v>0</v>
      </c>
    </row>
    <row r="291" spans="2:12">
      <c r="B291" s="742" t="str">
        <f>Calculs!B363</f>
        <v>4.1C1</v>
      </c>
      <c r="C291" s="742">
        <f>Calculs!BY363</f>
        <v>19089847.400000002</v>
      </c>
      <c r="D291" s="742">
        <f>Calculs!BZ363</f>
        <v>0</v>
      </c>
      <c r="E291" s="742">
        <f>Calculs!CA363</f>
        <v>0</v>
      </c>
      <c r="F291" s="742">
        <f>Calculs!CB363</f>
        <v>19089847.400000002</v>
      </c>
      <c r="G291" s="742">
        <f>Calculs!CC363</f>
        <v>19.089847400000004</v>
      </c>
      <c r="H291" s="742"/>
      <c r="I291" s="742">
        <f>Calculs!CE363</f>
        <v>0</v>
      </c>
      <c r="J291" s="742">
        <f>Calculs!CF363</f>
        <v>0</v>
      </c>
      <c r="K291" s="742"/>
      <c r="L291" s="742">
        <f>Calculs!CH363</f>
        <v>0</v>
      </c>
    </row>
    <row r="292" spans="2:12">
      <c r="B292" s="742" t="str">
        <f>Calculs!B364</f>
        <v>4.1C1</v>
      </c>
      <c r="C292" s="742">
        <f>Calculs!BY364</f>
        <v>12606503.000000002</v>
      </c>
      <c r="D292" s="742">
        <f>Calculs!BZ364</f>
        <v>0</v>
      </c>
      <c r="E292" s="742">
        <f>Calculs!CA364</f>
        <v>0</v>
      </c>
      <c r="F292" s="742">
        <f>Calculs!CB364</f>
        <v>12606503.000000002</v>
      </c>
      <c r="G292" s="742">
        <f>Calculs!CC364</f>
        <v>12.606503000000002</v>
      </c>
      <c r="H292" s="742"/>
      <c r="I292" s="742">
        <f>Calculs!CE364</f>
        <v>0</v>
      </c>
      <c r="J292" s="742">
        <f>Calculs!CF364</f>
        <v>0</v>
      </c>
      <c r="K292" s="742"/>
      <c r="L292" s="742">
        <f>Calculs!CH364</f>
        <v>0</v>
      </c>
    </row>
    <row r="293" spans="2:12">
      <c r="B293" s="742" t="str">
        <f>Calculs!B365</f>
        <v>4.1C1</v>
      </c>
      <c r="C293" s="742">
        <f>Calculs!BY365</f>
        <v>0</v>
      </c>
      <c r="D293" s="742">
        <f>Calculs!BZ365</f>
        <v>0</v>
      </c>
      <c r="E293" s="742">
        <f>Calculs!CA365</f>
        <v>0</v>
      </c>
      <c r="F293" s="742">
        <f>Calculs!CB365</f>
        <v>0</v>
      </c>
      <c r="G293" s="742">
        <f>Calculs!CC365</f>
        <v>0</v>
      </c>
      <c r="H293" s="742"/>
      <c r="I293" s="742">
        <f>Calculs!CE365</f>
        <v>0</v>
      </c>
      <c r="J293" s="742">
        <f>Calculs!CF365</f>
        <v>0</v>
      </c>
      <c r="K293" s="742"/>
      <c r="L293" s="742">
        <f>Calculs!CH365</f>
        <v>0</v>
      </c>
    </row>
    <row r="294" spans="2:12">
      <c r="B294" s="742" t="str">
        <f>Calculs!B366</f>
        <v>4.1C1</v>
      </c>
      <c r="C294" s="742">
        <f>Calculs!BY366</f>
        <v>0</v>
      </c>
      <c r="D294" s="742">
        <f>Calculs!BZ366</f>
        <v>0</v>
      </c>
      <c r="E294" s="742">
        <f>Calculs!CA366</f>
        <v>0</v>
      </c>
      <c r="F294" s="742">
        <f>Calculs!CB366</f>
        <v>0</v>
      </c>
      <c r="G294" s="742">
        <f>Calculs!CC366</f>
        <v>0</v>
      </c>
      <c r="H294" s="742"/>
      <c r="I294" s="742">
        <f>Calculs!CE366</f>
        <v>0</v>
      </c>
      <c r="J294" s="742">
        <f>Calculs!CF366</f>
        <v>0</v>
      </c>
      <c r="K294" s="742"/>
      <c r="L294" s="742">
        <f>Calculs!CH366</f>
        <v>0</v>
      </c>
    </row>
    <row r="295" spans="2:12">
      <c r="B295" s="742" t="str">
        <f>Calculs!B367</f>
        <v>4.1C1</v>
      </c>
      <c r="C295" s="742">
        <f>Calculs!BY367</f>
        <v>0</v>
      </c>
      <c r="D295" s="742">
        <f>Calculs!BZ367</f>
        <v>0</v>
      </c>
      <c r="E295" s="742">
        <f>Calculs!CA367</f>
        <v>0</v>
      </c>
      <c r="F295" s="742">
        <f>Calculs!CB367</f>
        <v>0</v>
      </c>
      <c r="G295" s="742">
        <f>Calculs!CC367</f>
        <v>0</v>
      </c>
      <c r="H295" s="742"/>
      <c r="I295" s="742">
        <f>Calculs!CE367</f>
        <v>0</v>
      </c>
      <c r="J295" s="742">
        <f>Calculs!CF367</f>
        <v>0</v>
      </c>
      <c r="K295" s="742"/>
      <c r="L295" s="742">
        <f>Calculs!CH367</f>
        <v>0</v>
      </c>
    </row>
    <row r="296" spans="2:12">
      <c r="B296" s="742" t="str">
        <f>Calculs!B368</f>
        <v>4.1C1</v>
      </c>
      <c r="C296" s="742">
        <f>Calculs!BY368</f>
        <v>0</v>
      </c>
      <c r="D296" s="742">
        <f>Calculs!BZ368</f>
        <v>0</v>
      </c>
      <c r="E296" s="742">
        <f>Calculs!CA368</f>
        <v>0</v>
      </c>
      <c r="F296" s="742">
        <f>Calculs!CB368</f>
        <v>0</v>
      </c>
      <c r="G296" s="742">
        <f>Calculs!CC368</f>
        <v>0</v>
      </c>
      <c r="H296" s="742"/>
      <c r="I296" s="742">
        <f>Calculs!CE368</f>
        <v>0</v>
      </c>
      <c r="J296" s="742">
        <f>Calculs!CF368</f>
        <v>0</v>
      </c>
      <c r="K296" s="742"/>
      <c r="L296" s="742">
        <f>Calculs!CH368</f>
        <v>0</v>
      </c>
    </row>
    <row r="297" spans="2:12">
      <c r="B297" s="742" t="str">
        <f>Calculs!B369</f>
        <v>4.1C1</v>
      </c>
      <c r="C297" s="742">
        <f>Calculs!BY369</f>
        <v>0</v>
      </c>
      <c r="D297" s="742">
        <f>Calculs!BZ369</f>
        <v>0</v>
      </c>
      <c r="E297" s="742">
        <f>Calculs!CA369</f>
        <v>0</v>
      </c>
      <c r="F297" s="742">
        <f>Calculs!CB369</f>
        <v>0</v>
      </c>
      <c r="G297" s="742">
        <f>Calculs!CC369</f>
        <v>0</v>
      </c>
      <c r="H297" s="742"/>
      <c r="I297" s="742">
        <f>Calculs!CE369</f>
        <v>0</v>
      </c>
      <c r="J297" s="742">
        <f>Calculs!CF369</f>
        <v>0</v>
      </c>
      <c r="K297" s="742"/>
      <c r="L297" s="742">
        <f>Calculs!CH369</f>
        <v>0</v>
      </c>
    </row>
    <row r="298" spans="2:12">
      <c r="B298" s="742" t="str">
        <f>Calculs!B370</f>
        <v>4.1C1</v>
      </c>
      <c r="C298" s="742">
        <f>Calculs!BY370</f>
        <v>0</v>
      </c>
      <c r="D298" s="742">
        <f>Calculs!BZ370</f>
        <v>0</v>
      </c>
      <c r="E298" s="742">
        <f>Calculs!CA370</f>
        <v>0</v>
      </c>
      <c r="F298" s="742">
        <f>Calculs!CB370</f>
        <v>0</v>
      </c>
      <c r="G298" s="742">
        <f>Calculs!CC370</f>
        <v>0</v>
      </c>
      <c r="H298" s="742"/>
      <c r="I298" s="742">
        <f>Calculs!CE370</f>
        <v>0</v>
      </c>
      <c r="J298" s="742">
        <f>Calculs!CF370</f>
        <v>0</v>
      </c>
      <c r="K298" s="742"/>
      <c r="L298" s="742">
        <f>Calculs!CH370</f>
        <v>0</v>
      </c>
    </row>
    <row r="299" spans="2:12">
      <c r="B299" s="742">
        <f>Calculs!B371</f>
        <v>0</v>
      </c>
      <c r="C299" s="742">
        <f>Calculs!BY371</f>
        <v>97949350.200000018</v>
      </c>
      <c r="D299" s="742">
        <f>Calculs!BZ371</f>
        <v>0</v>
      </c>
      <c r="E299" s="742">
        <f>Calculs!CA371</f>
        <v>0</v>
      </c>
      <c r="F299" s="742">
        <f>Calculs!CB371</f>
        <v>97949350.200000018</v>
      </c>
      <c r="G299" s="742">
        <f>Calculs!CC371</f>
        <v>97.949350200000026</v>
      </c>
      <c r="H299" s="742"/>
      <c r="I299" s="742">
        <f>Calculs!CE371</f>
        <v>0</v>
      </c>
      <c r="J299" s="742">
        <f>Calculs!CF371</f>
        <v>0</v>
      </c>
      <c r="K299" s="742"/>
      <c r="L299" s="742">
        <f>Calculs!CH371</f>
        <v>0</v>
      </c>
    </row>
    <row r="300" spans="2:12">
      <c r="B300" s="742">
        <f>Calculs!B372</f>
        <v>0</v>
      </c>
      <c r="C300" s="742">
        <f>Calculs!BY372</f>
        <v>0</v>
      </c>
      <c r="D300" s="742">
        <f>Calculs!BZ372</f>
        <v>0</v>
      </c>
      <c r="E300" s="742">
        <f>Calculs!CA372</f>
        <v>0</v>
      </c>
      <c r="F300" s="742">
        <f>Calculs!CB372</f>
        <v>0</v>
      </c>
      <c r="G300" s="742">
        <f>Calculs!CC372</f>
        <v>0</v>
      </c>
      <c r="H300" s="742"/>
      <c r="I300" s="742">
        <f>Calculs!CE372</f>
        <v>0</v>
      </c>
      <c r="J300" s="742">
        <f>Calculs!CF372</f>
        <v>0</v>
      </c>
      <c r="K300" s="742"/>
      <c r="L300" s="742">
        <f>Calculs!CH372</f>
        <v>0</v>
      </c>
    </row>
    <row r="301" spans="2:12">
      <c r="B301" s="742" t="str">
        <f>Calculs!B373</f>
        <v>4.1D1 - Émissions liées à la production de papier d'imprimante</v>
      </c>
      <c r="C301" s="742">
        <f>Calculs!BY373</f>
        <v>0</v>
      </c>
      <c r="D301" s="742">
        <f>Calculs!BZ373</f>
        <v>0</v>
      </c>
      <c r="E301" s="742">
        <f>Calculs!CA373</f>
        <v>0</v>
      </c>
      <c r="F301" s="742">
        <f>Calculs!CB373</f>
        <v>0</v>
      </c>
      <c r="G301" s="742">
        <f>Calculs!CC373</f>
        <v>0</v>
      </c>
      <c r="H301" s="742"/>
      <c r="I301" s="742">
        <f>Calculs!CE373</f>
        <v>0</v>
      </c>
      <c r="J301" s="742">
        <f>Calculs!CF373</f>
        <v>0</v>
      </c>
      <c r="K301" s="742"/>
      <c r="L301" s="742">
        <f>Calculs!CH373</f>
        <v>0</v>
      </c>
    </row>
    <row r="302" spans="2:12">
      <c r="B302" s="742">
        <f>Calculs!B374</f>
        <v>0</v>
      </c>
      <c r="C302" s="742">
        <f>Calculs!BY374</f>
        <v>0</v>
      </c>
      <c r="D302" s="742">
        <f>Calculs!BZ374</f>
        <v>0</v>
      </c>
      <c r="E302" s="742">
        <f>Calculs!CA374</f>
        <v>0</v>
      </c>
      <c r="F302" s="742">
        <f>Calculs!CB374</f>
        <v>0</v>
      </c>
      <c r="G302" s="742">
        <f>Calculs!CC374</f>
        <v>0</v>
      </c>
      <c r="H302" s="742"/>
      <c r="I302" s="742">
        <f>Calculs!CE374</f>
        <v>0</v>
      </c>
      <c r="J302" s="742">
        <f>Calculs!CF374</f>
        <v>0</v>
      </c>
      <c r="K302" s="742"/>
      <c r="L302" s="742">
        <f>Calculs!CH374</f>
        <v>0</v>
      </c>
    </row>
    <row r="303" spans="2:12">
      <c r="B303" s="742" t="str">
        <f>Calculs!B375</f>
        <v>Données d'activité</v>
      </c>
      <c r="C303" s="742">
        <f>Calculs!BY375</f>
        <v>0</v>
      </c>
      <c r="D303" s="742">
        <f>Calculs!BZ375</f>
        <v>0</v>
      </c>
      <c r="E303" s="742">
        <f>Calculs!CA375</f>
        <v>0</v>
      </c>
      <c r="F303" s="742">
        <f>Calculs!CB375</f>
        <v>0</v>
      </c>
      <c r="G303" s="742">
        <f>Calculs!CC375</f>
        <v>0</v>
      </c>
      <c r="H303" s="742"/>
      <c r="I303" s="742">
        <f>Calculs!CE375</f>
        <v>0</v>
      </c>
      <c r="J303" s="742">
        <f>Calculs!CF375</f>
        <v>0</v>
      </c>
      <c r="K303" s="742"/>
      <c r="L303" s="742">
        <f>Calculs!CH375</f>
        <v>0</v>
      </c>
    </row>
    <row r="304" spans="2:12">
      <c r="B304" s="742" t="str">
        <f>Calculs!B376</f>
        <v># méthode</v>
      </c>
      <c r="C304" s="742" t="str">
        <f>Calculs!BY376</f>
        <v>Émissions GES</v>
      </c>
      <c r="D304" s="742">
        <f>Calculs!BZ376</f>
        <v>0</v>
      </c>
      <c r="E304" s="742">
        <f>Calculs!CA376</f>
        <v>0</v>
      </c>
      <c r="F304" s="742" t="str">
        <f>Calculs!CB376</f>
        <v>Total GES :</v>
      </c>
      <c r="G304" s="742">
        <f>Calculs!CC376</f>
        <v>0</v>
      </c>
      <c r="H304" s="742"/>
      <c r="I304" s="742" t="str">
        <f>Calculs!CE376</f>
        <v>Total CO2 Biogénique :</v>
      </c>
      <c r="J304" s="742">
        <f>Calculs!CF376</f>
        <v>0</v>
      </c>
      <c r="K304" s="742"/>
      <c r="L304" s="742" t="str">
        <f>Calculs!CH376</f>
        <v>Énergie équivalente</v>
      </c>
    </row>
    <row r="305" spans="2:12">
      <c r="B305" s="742">
        <f>Calculs!B377</f>
        <v>0</v>
      </c>
      <c r="C305" s="742" t="str">
        <f>Calculs!BY377</f>
        <v>CO2</v>
      </c>
      <c r="D305" s="742" t="str">
        <f>Calculs!BZ377</f>
        <v>CH4</v>
      </c>
      <c r="E305" s="742" t="str">
        <f>Calculs!CA377</f>
        <v>N2O</v>
      </c>
      <c r="F305" s="742">
        <f>Calculs!CB377</f>
        <v>0</v>
      </c>
      <c r="G305" s="742">
        <f>Calculs!CC377</f>
        <v>0</v>
      </c>
      <c r="H305" s="742"/>
      <c r="I305" s="742">
        <f>Calculs!CE377</f>
        <v>0</v>
      </c>
      <c r="J305" s="742">
        <f>Calculs!CF377</f>
        <v>0</v>
      </c>
      <c r="K305" s="742"/>
      <c r="L305" s="742">
        <f>Calculs!CH377</f>
        <v>0</v>
      </c>
    </row>
    <row r="306" spans="2:12">
      <c r="B306" s="742">
        <f>Calculs!B378</f>
        <v>0</v>
      </c>
      <c r="C306" s="742" t="str">
        <f>Calculs!BY378</f>
        <v>[gCO2e]</v>
      </c>
      <c r="D306" s="742" t="str">
        <f>Calculs!BZ378</f>
        <v>[gCO2e]</v>
      </c>
      <c r="E306" s="742" t="str">
        <f>Calculs!CA378</f>
        <v>[gCO2e]</v>
      </c>
      <c r="F306" s="742" t="str">
        <f>Calculs!CB378</f>
        <v>[gCO2e]</v>
      </c>
      <c r="G306" s="742" t="str">
        <f>Calculs!CC378</f>
        <v>[tCO2e]</v>
      </c>
      <c r="H306" s="742"/>
      <c r="I306" s="742" t="str">
        <f>Calculs!CE378</f>
        <v>[gCO2e]</v>
      </c>
      <c r="J306" s="742" t="str">
        <f>Calculs!CF378</f>
        <v>[tCO2e]</v>
      </c>
      <c r="K306" s="742"/>
      <c r="L306" s="742" t="str">
        <f>Calculs!CH378</f>
        <v>[kWh]</v>
      </c>
    </row>
    <row r="307" spans="2:12">
      <c r="B307" s="742" t="str">
        <f>Calculs!B379</f>
        <v>4.1D1</v>
      </c>
      <c r="C307" s="742">
        <f>Calculs!BY379</f>
        <v>2331</v>
      </c>
      <c r="D307" s="742">
        <f>Calculs!BZ379</f>
        <v>0</v>
      </c>
      <c r="E307" s="742">
        <f>Calculs!CA379</f>
        <v>0</v>
      </c>
      <c r="F307" s="742">
        <f>Calculs!CB379</f>
        <v>2331</v>
      </c>
      <c r="G307" s="742">
        <f>Calculs!CC379</f>
        <v>2.3310000000000002E-3</v>
      </c>
      <c r="H307" s="742"/>
      <c r="I307" s="742">
        <f>Calculs!CE379</f>
        <v>0</v>
      </c>
      <c r="J307" s="742">
        <f>Calculs!CF379</f>
        <v>0</v>
      </c>
      <c r="K307" s="742"/>
      <c r="L307" s="742">
        <f>Calculs!CH379</f>
        <v>0</v>
      </c>
    </row>
    <row r="308" spans="2:12">
      <c r="B308" s="742" t="str">
        <f>Calculs!B380</f>
        <v>4.1D1</v>
      </c>
      <c r="C308" s="742">
        <f>Calculs!BY380</f>
        <v>80.399999999999991</v>
      </c>
      <c r="D308" s="742">
        <f>Calculs!BZ380</f>
        <v>0</v>
      </c>
      <c r="E308" s="742">
        <f>Calculs!CA380</f>
        <v>0</v>
      </c>
      <c r="F308" s="742">
        <f>Calculs!CB380</f>
        <v>80.399999999999991</v>
      </c>
      <c r="G308" s="742">
        <f>Calculs!CC380</f>
        <v>8.0399999999999989E-5</v>
      </c>
      <c r="H308" s="742"/>
      <c r="I308" s="742">
        <f>Calculs!CE380</f>
        <v>0</v>
      </c>
      <c r="J308" s="742">
        <f>Calculs!CF380</f>
        <v>0</v>
      </c>
      <c r="K308" s="742"/>
      <c r="L308" s="742">
        <f>Calculs!CH380</f>
        <v>0</v>
      </c>
    </row>
    <row r="309" spans="2:12">
      <c r="B309" s="742" t="str">
        <f>Calculs!B381</f>
        <v>4.1D1</v>
      </c>
      <c r="C309" s="742">
        <f>Calculs!BY381</f>
        <v>0</v>
      </c>
      <c r="D309" s="742">
        <f>Calculs!BZ381</f>
        <v>0</v>
      </c>
      <c r="E309" s="742">
        <f>Calculs!CA381</f>
        <v>0</v>
      </c>
      <c r="F309" s="742">
        <f>Calculs!CB381</f>
        <v>0</v>
      </c>
      <c r="G309" s="742">
        <f>Calculs!CC381</f>
        <v>0</v>
      </c>
      <c r="H309" s="742"/>
      <c r="I309" s="742">
        <f>Calculs!CE381</f>
        <v>0</v>
      </c>
      <c r="J309" s="742">
        <f>Calculs!CF381</f>
        <v>0</v>
      </c>
      <c r="K309" s="742"/>
      <c r="L309" s="742">
        <f>Calculs!CH381</f>
        <v>0</v>
      </c>
    </row>
    <row r="310" spans="2:12">
      <c r="B310" s="742" t="str">
        <f>Calculs!B382</f>
        <v>4.1D1</v>
      </c>
      <c r="C310" s="742">
        <f>Calculs!BY382</f>
        <v>3498</v>
      </c>
      <c r="D310" s="742">
        <f>Calculs!BZ382</f>
        <v>0</v>
      </c>
      <c r="E310" s="742">
        <f>Calculs!CA382</f>
        <v>0</v>
      </c>
      <c r="F310" s="742">
        <f>Calculs!CB382</f>
        <v>3498</v>
      </c>
      <c r="G310" s="742">
        <f>Calculs!CC382</f>
        <v>3.4979999999999998E-3</v>
      </c>
      <c r="H310" s="742"/>
      <c r="I310" s="742">
        <f>Calculs!CE382</f>
        <v>0</v>
      </c>
      <c r="J310" s="742">
        <f>Calculs!CF382</f>
        <v>0</v>
      </c>
      <c r="K310" s="742"/>
      <c r="L310" s="742">
        <f>Calculs!CH382</f>
        <v>0</v>
      </c>
    </row>
    <row r="311" spans="2:12">
      <c r="B311" s="742" t="str">
        <f>Calculs!B383</f>
        <v>4.1D1</v>
      </c>
      <c r="C311" s="742">
        <f>Calculs!BY383</f>
        <v>0</v>
      </c>
      <c r="D311" s="742">
        <f>Calculs!BZ383</f>
        <v>0</v>
      </c>
      <c r="E311" s="742">
        <f>Calculs!CA383</f>
        <v>0</v>
      </c>
      <c r="F311" s="742">
        <f>Calculs!CB383</f>
        <v>0</v>
      </c>
      <c r="G311" s="742">
        <f>Calculs!CC383</f>
        <v>0</v>
      </c>
      <c r="H311" s="742"/>
      <c r="I311" s="742">
        <f>Calculs!CE383</f>
        <v>0</v>
      </c>
      <c r="J311" s="742">
        <f>Calculs!CF383</f>
        <v>0</v>
      </c>
      <c r="K311" s="742"/>
      <c r="L311" s="742">
        <f>Calculs!CH383</f>
        <v>0</v>
      </c>
    </row>
    <row r="312" spans="2:12">
      <c r="B312" s="742" t="str">
        <f>Calculs!B384</f>
        <v>4.1D1</v>
      </c>
      <c r="C312" s="742">
        <f>Calculs!BY384</f>
        <v>0</v>
      </c>
      <c r="D312" s="742">
        <f>Calculs!BZ384</f>
        <v>0</v>
      </c>
      <c r="E312" s="742">
        <f>Calculs!CA384</f>
        <v>0</v>
      </c>
      <c r="F312" s="742">
        <f>Calculs!CB384</f>
        <v>0</v>
      </c>
      <c r="G312" s="742">
        <f>Calculs!CC384</f>
        <v>0</v>
      </c>
      <c r="H312" s="742"/>
      <c r="I312" s="742">
        <f>Calculs!CE384</f>
        <v>0</v>
      </c>
      <c r="J312" s="742">
        <f>Calculs!CF384</f>
        <v>0</v>
      </c>
      <c r="K312" s="742"/>
      <c r="L312" s="742">
        <f>Calculs!CH384</f>
        <v>0</v>
      </c>
    </row>
    <row r="313" spans="2:12">
      <c r="B313" s="742" t="str">
        <f>Calculs!B385</f>
        <v>4.1D1</v>
      </c>
      <c r="C313" s="742">
        <f>Calculs!BY385</f>
        <v>0</v>
      </c>
      <c r="D313" s="742">
        <f>Calculs!BZ385</f>
        <v>0</v>
      </c>
      <c r="E313" s="742">
        <f>Calculs!CA385</f>
        <v>0</v>
      </c>
      <c r="F313" s="742">
        <f>Calculs!CB385</f>
        <v>0</v>
      </c>
      <c r="G313" s="742">
        <f>Calculs!CC385</f>
        <v>0</v>
      </c>
      <c r="H313" s="742"/>
      <c r="I313" s="742">
        <f>Calculs!CE385</f>
        <v>0</v>
      </c>
      <c r="J313" s="742">
        <f>Calculs!CF385</f>
        <v>0</v>
      </c>
      <c r="K313" s="742"/>
      <c r="L313" s="742">
        <f>Calculs!CH385</f>
        <v>0</v>
      </c>
    </row>
    <row r="314" spans="2:12">
      <c r="B314" s="742" t="str">
        <f>Calculs!B386</f>
        <v>4.1D1</v>
      </c>
      <c r="C314" s="742">
        <f>Calculs!BY386</f>
        <v>0</v>
      </c>
      <c r="D314" s="742">
        <f>Calculs!BZ386</f>
        <v>0</v>
      </c>
      <c r="E314" s="742">
        <f>Calculs!CA386</f>
        <v>0</v>
      </c>
      <c r="F314" s="742">
        <f>Calculs!CB386</f>
        <v>0</v>
      </c>
      <c r="G314" s="742">
        <f>Calculs!CC386</f>
        <v>0</v>
      </c>
      <c r="H314" s="742"/>
      <c r="I314" s="742">
        <f>Calculs!CE386</f>
        <v>0</v>
      </c>
      <c r="J314" s="742">
        <f>Calculs!CF386</f>
        <v>0</v>
      </c>
      <c r="K314" s="742"/>
      <c r="L314" s="742">
        <f>Calculs!CH386</f>
        <v>0</v>
      </c>
    </row>
    <row r="315" spans="2:12">
      <c r="B315" s="742" t="str">
        <f>Calculs!B387</f>
        <v>4.1D1</v>
      </c>
      <c r="C315" s="742">
        <f>Calculs!BY387</f>
        <v>0</v>
      </c>
      <c r="D315" s="742">
        <f>Calculs!BZ387</f>
        <v>0</v>
      </c>
      <c r="E315" s="742">
        <f>Calculs!CA387</f>
        <v>0</v>
      </c>
      <c r="F315" s="742">
        <f>Calculs!CB387</f>
        <v>0</v>
      </c>
      <c r="G315" s="742">
        <f>Calculs!CC387</f>
        <v>0</v>
      </c>
      <c r="H315" s="742"/>
      <c r="I315" s="742">
        <f>Calculs!CE387</f>
        <v>0</v>
      </c>
      <c r="J315" s="742">
        <f>Calculs!CF387</f>
        <v>0</v>
      </c>
      <c r="K315" s="742"/>
      <c r="L315" s="742">
        <f>Calculs!CH387</f>
        <v>0</v>
      </c>
    </row>
    <row r="316" spans="2:12">
      <c r="B316" s="742" t="str">
        <f>Calculs!B388</f>
        <v>4.1D1</v>
      </c>
      <c r="C316" s="742">
        <f>Calculs!BY388</f>
        <v>0</v>
      </c>
      <c r="D316" s="742">
        <f>Calculs!BZ388</f>
        <v>0</v>
      </c>
      <c r="E316" s="742">
        <f>Calculs!CA388</f>
        <v>0</v>
      </c>
      <c r="F316" s="742">
        <f>Calculs!CB388</f>
        <v>0</v>
      </c>
      <c r="G316" s="742">
        <f>Calculs!CC388</f>
        <v>0</v>
      </c>
      <c r="H316" s="742"/>
      <c r="I316" s="742">
        <f>Calculs!CE388</f>
        <v>0</v>
      </c>
      <c r="J316" s="742">
        <f>Calculs!CF388</f>
        <v>0</v>
      </c>
      <c r="K316" s="742"/>
      <c r="L316" s="742">
        <f>Calculs!CH388</f>
        <v>0</v>
      </c>
    </row>
    <row r="317" spans="2:12">
      <c r="B317" s="742">
        <f>Calculs!B389</f>
        <v>0</v>
      </c>
      <c r="C317" s="742">
        <f>Calculs!BY389</f>
        <v>5909.4</v>
      </c>
      <c r="D317" s="742">
        <f>Calculs!BZ389</f>
        <v>0</v>
      </c>
      <c r="E317" s="742">
        <f>Calculs!CA389</f>
        <v>0</v>
      </c>
      <c r="F317" s="742">
        <f>Calculs!CB389</f>
        <v>5909.4</v>
      </c>
      <c r="G317" s="742">
        <f>Calculs!CC389</f>
        <v>5.9094000000000004E-3</v>
      </c>
      <c r="H317" s="742"/>
      <c r="I317" s="742">
        <f>Calculs!CE389</f>
        <v>0</v>
      </c>
      <c r="J317" s="742">
        <f>Calculs!CF389</f>
        <v>0</v>
      </c>
      <c r="K317" s="742"/>
      <c r="L317" s="742">
        <f>Calculs!CH389</f>
        <v>0</v>
      </c>
    </row>
    <row r="318" spans="2:12">
      <c r="B318" s="742">
        <f>Calculs!B390</f>
        <v>0</v>
      </c>
      <c r="C318" s="742">
        <f>Calculs!BY390</f>
        <v>0</v>
      </c>
      <c r="D318" s="742">
        <f>Calculs!BZ390</f>
        <v>0</v>
      </c>
      <c r="E318" s="742">
        <f>Calculs!CA390</f>
        <v>0</v>
      </c>
      <c r="F318" s="742">
        <f>Calculs!CB390</f>
        <v>0</v>
      </c>
      <c r="G318" s="742">
        <f>Calculs!CC390</f>
        <v>0</v>
      </c>
      <c r="H318" s="742"/>
      <c r="I318" s="742">
        <f>Calculs!CE390</f>
        <v>0</v>
      </c>
      <c r="J318" s="742">
        <f>Calculs!CF390</f>
        <v>0</v>
      </c>
      <c r="K318" s="742"/>
      <c r="L318" s="742">
        <f>Calculs!CH390</f>
        <v>0</v>
      </c>
    </row>
    <row r="319" spans="2:12">
      <c r="B319" s="742" t="str">
        <f>Calculs!B391</f>
        <v>4.1E1 - Production des aliments</v>
      </c>
      <c r="C319" s="742">
        <f>Calculs!BY391</f>
        <v>0</v>
      </c>
      <c r="D319" s="742">
        <f>Calculs!BZ391</f>
        <v>0</v>
      </c>
      <c r="E319" s="742">
        <f>Calculs!CA391</f>
        <v>0</v>
      </c>
      <c r="F319" s="742">
        <f>Calculs!CB391</f>
        <v>0</v>
      </c>
      <c r="G319" s="742">
        <f>Calculs!CC391</f>
        <v>0</v>
      </c>
      <c r="H319" s="742"/>
      <c r="I319" s="742">
        <f>Calculs!CE391</f>
        <v>0</v>
      </c>
      <c r="J319" s="742">
        <f>Calculs!CF391</f>
        <v>0</v>
      </c>
      <c r="K319" s="742"/>
      <c r="L319" s="742">
        <f>Calculs!CH391</f>
        <v>0</v>
      </c>
    </row>
    <row r="320" spans="2:12">
      <c r="B320" s="742">
        <f>Calculs!B392</f>
        <v>0</v>
      </c>
      <c r="C320" s="742">
        <f>Calculs!BY392</f>
        <v>0</v>
      </c>
      <c r="D320" s="742">
        <f>Calculs!BZ392</f>
        <v>0</v>
      </c>
      <c r="E320" s="742">
        <f>Calculs!CA392</f>
        <v>0</v>
      </c>
      <c r="F320" s="742">
        <f>Calculs!CB392</f>
        <v>0</v>
      </c>
      <c r="G320" s="742">
        <f>Calculs!CC392</f>
        <v>0</v>
      </c>
      <c r="H320" s="742"/>
      <c r="I320" s="742">
        <f>Calculs!CE392</f>
        <v>0</v>
      </c>
      <c r="J320" s="742">
        <f>Calculs!CF392</f>
        <v>0</v>
      </c>
      <c r="K320" s="742"/>
      <c r="L320" s="742">
        <f>Calculs!CH392</f>
        <v>0</v>
      </c>
    </row>
    <row r="321" spans="2:12">
      <c r="B321" s="742" t="str">
        <f>Calculs!B393</f>
        <v>Données d'activité</v>
      </c>
      <c r="C321" s="742">
        <f>Calculs!BY393</f>
        <v>0</v>
      </c>
      <c r="D321" s="742">
        <f>Calculs!BZ393</f>
        <v>0</v>
      </c>
      <c r="E321" s="742">
        <f>Calculs!CA393</f>
        <v>0</v>
      </c>
      <c r="F321" s="742">
        <f>Calculs!CB393</f>
        <v>0</v>
      </c>
      <c r="G321" s="742">
        <f>Calculs!CC393</f>
        <v>0</v>
      </c>
      <c r="H321" s="742"/>
      <c r="I321" s="742">
        <f>Calculs!CE393</f>
        <v>0</v>
      </c>
      <c r="J321" s="742">
        <f>Calculs!CF393</f>
        <v>0</v>
      </c>
      <c r="K321" s="742"/>
      <c r="L321" s="742">
        <f>Calculs!CH393</f>
        <v>0</v>
      </c>
    </row>
    <row r="322" spans="2:12">
      <c r="B322" s="742" t="str">
        <f>Calculs!B394</f>
        <v># méthode</v>
      </c>
      <c r="C322" s="742" t="str">
        <f>Calculs!BY394</f>
        <v>Émissions GES</v>
      </c>
      <c r="D322" s="742">
        <f>Calculs!BZ394</f>
        <v>0</v>
      </c>
      <c r="E322" s="742">
        <f>Calculs!CA394</f>
        <v>0</v>
      </c>
      <c r="F322" s="742" t="str">
        <f>Calculs!CB394</f>
        <v>Total GES :</v>
      </c>
      <c r="G322" s="742">
        <f>Calculs!CC394</f>
        <v>0</v>
      </c>
      <c r="H322" s="742"/>
      <c r="I322" s="742" t="str">
        <f>Calculs!CE394</f>
        <v>Total CO2 Biogénique :</v>
      </c>
      <c r="J322" s="742">
        <f>Calculs!CF394</f>
        <v>0</v>
      </c>
      <c r="K322" s="742"/>
      <c r="L322" s="742" t="str">
        <f>Calculs!CH394</f>
        <v>Énergie équivalente</v>
      </c>
    </row>
    <row r="323" spans="2:12">
      <c r="B323" s="742">
        <f>Calculs!B395</f>
        <v>0</v>
      </c>
      <c r="C323" s="742" t="str">
        <f>Calculs!BY395</f>
        <v>CO2</v>
      </c>
      <c r="D323" s="742" t="str">
        <f>Calculs!BZ395</f>
        <v>CH4</v>
      </c>
      <c r="E323" s="742" t="str">
        <f>Calculs!CA395</f>
        <v>N2O</v>
      </c>
      <c r="F323" s="742">
        <f>Calculs!CB395</f>
        <v>0</v>
      </c>
      <c r="G323" s="742">
        <f>Calculs!CC395</f>
        <v>0</v>
      </c>
      <c r="H323" s="742"/>
      <c r="I323" s="742">
        <f>Calculs!CE395</f>
        <v>0</v>
      </c>
      <c r="J323" s="742">
        <f>Calculs!CF395</f>
        <v>0</v>
      </c>
      <c r="K323" s="742"/>
      <c r="L323" s="742">
        <f>Calculs!CH395</f>
        <v>0</v>
      </c>
    </row>
    <row r="324" spans="2:12">
      <c r="B324" s="742">
        <f>Calculs!B396</f>
        <v>0</v>
      </c>
      <c r="C324" s="742" t="str">
        <f>Calculs!BY396</f>
        <v>[gCO2e]</v>
      </c>
      <c r="D324" s="742" t="str">
        <f>Calculs!BZ396</f>
        <v>[gCO2e]</v>
      </c>
      <c r="E324" s="742" t="str">
        <f>Calculs!CA396</f>
        <v>[gCO2e]</v>
      </c>
      <c r="F324" s="742" t="str">
        <f>Calculs!CB396</f>
        <v>[gCO2e]</v>
      </c>
      <c r="G324" s="742" t="str">
        <f>Calculs!CC396</f>
        <v>[tCO2e]</v>
      </c>
      <c r="H324" s="742"/>
      <c r="I324" s="742" t="str">
        <f>Calculs!CE396</f>
        <v>[gCO2e]</v>
      </c>
      <c r="J324" s="742" t="str">
        <f>Calculs!CF396</f>
        <v>[tCO2e]</v>
      </c>
      <c r="K324" s="742"/>
      <c r="L324" s="742" t="str">
        <f>Calculs!CH396</f>
        <v>[kWh]</v>
      </c>
    </row>
    <row r="325" spans="2:12">
      <c r="B325" s="742" t="str">
        <f>Calculs!B397</f>
        <v>4.1E1</v>
      </c>
      <c r="C325" s="742">
        <f>Calculs!BY397</f>
        <v>0</v>
      </c>
      <c r="D325" s="742">
        <f>Calculs!BZ397</f>
        <v>0</v>
      </c>
      <c r="E325" s="742">
        <f>Calculs!CA397</f>
        <v>0</v>
      </c>
      <c r="F325" s="742">
        <f>Calculs!CB397</f>
        <v>0</v>
      </c>
      <c r="G325" s="742">
        <f>Calculs!CC397</f>
        <v>0</v>
      </c>
      <c r="H325" s="742"/>
      <c r="I325" s="742">
        <f>Calculs!CE397</f>
        <v>0</v>
      </c>
      <c r="J325" s="742">
        <f>Calculs!CF397</f>
        <v>0</v>
      </c>
      <c r="K325" s="742"/>
      <c r="L325" s="742">
        <f>Calculs!CH397</f>
        <v>0</v>
      </c>
    </row>
    <row r="326" spans="2:12">
      <c r="B326" s="742" t="str">
        <f>Calculs!B398</f>
        <v>4.1E1</v>
      </c>
      <c r="C326" s="742">
        <f>Calculs!BY398</f>
        <v>9948000</v>
      </c>
      <c r="D326" s="742">
        <f>Calculs!BZ398</f>
        <v>0</v>
      </c>
      <c r="E326" s="742">
        <f>Calculs!CA398</f>
        <v>0</v>
      </c>
      <c r="F326" s="742">
        <f>Calculs!CB398</f>
        <v>9948000</v>
      </c>
      <c r="G326" s="742">
        <f>Calculs!CC398</f>
        <v>9.9480000000000004</v>
      </c>
      <c r="H326" s="742"/>
      <c r="I326" s="742">
        <f>Calculs!CE398</f>
        <v>0</v>
      </c>
      <c r="J326" s="742">
        <f>Calculs!CF398</f>
        <v>0</v>
      </c>
      <c r="K326" s="742"/>
      <c r="L326" s="742">
        <f>Calculs!CH398</f>
        <v>0</v>
      </c>
    </row>
    <row r="327" spans="2:12">
      <c r="B327" s="742" t="str">
        <f>Calculs!B399</f>
        <v>4.1E1</v>
      </c>
      <c r="C327" s="742">
        <f>Calculs!BY399</f>
        <v>316000</v>
      </c>
      <c r="D327" s="742">
        <f>Calculs!BZ399</f>
        <v>0</v>
      </c>
      <c r="E327" s="742">
        <f>Calculs!CA399</f>
        <v>0</v>
      </c>
      <c r="F327" s="742">
        <f>Calculs!CB399</f>
        <v>316000</v>
      </c>
      <c r="G327" s="742">
        <f>Calculs!CC399</f>
        <v>0.316</v>
      </c>
      <c r="H327" s="742"/>
      <c r="I327" s="742">
        <f>Calculs!CE399</f>
        <v>0</v>
      </c>
      <c r="J327" s="742">
        <f>Calculs!CF399</f>
        <v>0</v>
      </c>
      <c r="K327" s="742"/>
      <c r="L327" s="742">
        <f>Calculs!CH399</f>
        <v>0</v>
      </c>
    </row>
    <row r="328" spans="2:12">
      <c r="B328" s="742" t="str">
        <f>Calculs!B400</f>
        <v>4.1E1</v>
      </c>
      <c r="C328" s="742">
        <f>Calculs!BY400</f>
        <v>0</v>
      </c>
      <c r="D328" s="742">
        <f>Calculs!BZ400</f>
        <v>0</v>
      </c>
      <c r="E328" s="742">
        <f>Calculs!CA400</f>
        <v>0</v>
      </c>
      <c r="F328" s="742">
        <f>Calculs!CB400</f>
        <v>0</v>
      </c>
      <c r="G328" s="742">
        <f>Calculs!CC400</f>
        <v>0</v>
      </c>
      <c r="H328" s="742"/>
      <c r="I328" s="742">
        <f>Calculs!CE400</f>
        <v>0</v>
      </c>
      <c r="J328" s="742">
        <f>Calculs!CF400</f>
        <v>0</v>
      </c>
      <c r="K328" s="742"/>
      <c r="L328" s="742">
        <f>Calculs!CH400</f>
        <v>0</v>
      </c>
    </row>
    <row r="329" spans="2:12">
      <c r="B329" s="742" t="str">
        <f>Calculs!B401</f>
        <v>4.1E1</v>
      </c>
      <c r="C329" s="742">
        <f>Calculs!BY401</f>
        <v>0</v>
      </c>
      <c r="D329" s="742">
        <f>Calculs!BZ401</f>
        <v>0</v>
      </c>
      <c r="E329" s="742">
        <f>Calculs!CA401</f>
        <v>0</v>
      </c>
      <c r="F329" s="742">
        <f>Calculs!CB401</f>
        <v>0</v>
      </c>
      <c r="G329" s="742">
        <f>Calculs!CC401</f>
        <v>0</v>
      </c>
      <c r="H329" s="742"/>
      <c r="I329" s="742">
        <f>Calculs!CE401</f>
        <v>0</v>
      </c>
      <c r="J329" s="742">
        <f>Calculs!CF401</f>
        <v>0</v>
      </c>
      <c r="K329" s="742"/>
      <c r="L329" s="742">
        <f>Calculs!CH401</f>
        <v>0</v>
      </c>
    </row>
    <row r="330" spans="2:12">
      <c r="B330" s="742" t="str">
        <f>Calculs!B402</f>
        <v>4.1E1</v>
      </c>
      <c r="C330" s="742">
        <f>Calculs!BY402</f>
        <v>0</v>
      </c>
      <c r="D330" s="742">
        <f>Calculs!BZ402</f>
        <v>0</v>
      </c>
      <c r="E330" s="742">
        <f>Calculs!CA402</f>
        <v>0</v>
      </c>
      <c r="F330" s="742">
        <f>Calculs!CB402</f>
        <v>0</v>
      </c>
      <c r="G330" s="742">
        <f>Calculs!CC402</f>
        <v>0</v>
      </c>
      <c r="H330" s="742"/>
      <c r="I330" s="742">
        <f>Calculs!CE402</f>
        <v>0</v>
      </c>
      <c r="J330" s="742">
        <f>Calculs!CF402</f>
        <v>0</v>
      </c>
      <c r="K330" s="742"/>
      <c r="L330" s="742">
        <f>Calculs!CH402</f>
        <v>0</v>
      </c>
    </row>
    <row r="331" spans="2:12">
      <c r="B331" s="742" t="str">
        <f>Calculs!B403</f>
        <v>4.1E1</v>
      </c>
      <c r="C331" s="742">
        <f>Calculs!BY403</f>
        <v>0</v>
      </c>
      <c r="D331" s="742">
        <f>Calculs!BZ403</f>
        <v>0</v>
      </c>
      <c r="E331" s="742">
        <f>Calculs!CA403</f>
        <v>0</v>
      </c>
      <c r="F331" s="742">
        <f>Calculs!CB403</f>
        <v>0</v>
      </c>
      <c r="G331" s="742">
        <f>Calculs!CC403</f>
        <v>0</v>
      </c>
      <c r="H331" s="742"/>
      <c r="I331" s="742">
        <f>Calculs!CE403</f>
        <v>0</v>
      </c>
      <c r="J331" s="742">
        <f>Calculs!CF403</f>
        <v>0</v>
      </c>
      <c r="K331" s="742"/>
      <c r="L331" s="742">
        <f>Calculs!CH403</f>
        <v>0</v>
      </c>
    </row>
    <row r="332" spans="2:12">
      <c r="B332" s="742" t="str">
        <f>Calculs!B404</f>
        <v>4.1E1</v>
      </c>
      <c r="C332" s="742">
        <f>Calculs!BY404</f>
        <v>0</v>
      </c>
      <c r="D332" s="742">
        <f>Calculs!BZ404</f>
        <v>0</v>
      </c>
      <c r="E332" s="742">
        <f>Calculs!CA404</f>
        <v>0</v>
      </c>
      <c r="F332" s="742">
        <f>Calculs!CB404</f>
        <v>0</v>
      </c>
      <c r="G332" s="742">
        <f>Calculs!CC404</f>
        <v>0</v>
      </c>
      <c r="H332" s="742"/>
      <c r="I332" s="742">
        <f>Calculs!CE404</f>
        <v>0</v>
      </c>
      <c r="J332" s="742">
        <f>Calculs!CF404</f>
        <v>0</v>
      </c>
      <c r="K332" s="742"/>
      <c r="L332" s="742">
        <f>Calculs!CH404</f>
        <v>0</v>
      </c>
    </row>
    <row r="333" spans="2:12">
      <c r="B333" s="742" t="str">
        <f>Calculs!B405</f>
        <v>4.1E1</v>
      </c>
      <c r="C333" s="742">
        <f>Calculs!BY405</f>
        <v>0</v>
      </c>
      <c r="D333" s="742">
        <f>Calculs!BZ405</f>
        <v>0</v>
      </c>
      <c r="E333" s="742">
        <f>Calculs!CA405</f>
        <v>0</v>
      </c>
      <c r="F333" s="742">
        <f>Calculs!CB405</f>
        <v>0</v>
      </c>
      <c r="G333" s="742">
        <f>Calculs!CC405</f>
        <v>0</v>
      </c>
      <c r="H333" s="742"/>
      <c r="I333" s="742">
        <f>Calculs!CE405</f>
        <v>0</v>
      </c>
      <c r="J333" s="742">
        <f>Calculs!CF405</f>
        <v>0</v>
      </c>
      <c r="K333" s="742"/>
      <c r="L333" s="742">
        <f>Calculs!CH405</f>
        <v>0</v>
      </c>
    </row>
    <row r="334" spans="2:12">
      <c r="B334" s="742" t="str">
        <f>Calculs!B406</f>
        <v>4.1E1</v>
      </c>
      <c r="C334" s="742">
        <f>Calculs!BY406</f>
        <v>0</v>
      </c>
      <c r="D334" s="742">
        <f>Calculs!BZ406</f>
        <v>0</v>
      </c>
      <c r="E334" s="742">
        <f>Calculs!CA406</f>
        <v>0</v>
      </c>
      <c r="F334" s="742">
        <f>Calculs!CB406</f>
        <v>0</v>
      </c>
      <c r="G334" s="742">
        <f>Calculs!CC406</f>
        <v>0</v>
      </c>
      <c r="H334" s="742"/>
      <c r="I334" s="742">
        <f>Calculs!CE406</f>
        <v>0</v>
      </c>
      <c r="J334" s="742">
        <f>Calculs!CF406</f>
        <v>0</v>
      </c>
      <c r="K334" s="742"/>
      <c r="L334" s="742">
        <f>Calculs!CH406</f>
        <v>0</v>
      </c>
    </row>
    <row r="335" spans="2:12">
      <c r="B335" s="742">
        <f>Calculs!B407</f>
        <v>0</v>
      </c>
      <c r="C335" s="742">
        <f>Calculs!BY407</f>
        <v>10264000</v>
      </c>
      <c r="D335" s="742">
        <f>Calculs!BZ407</f>
        <v>0</v>
      </c>
      <c r="E335" s="742">
        <f>Calculs!CA407</f>
        <v>0</v>
      </c>
      <c r="F335" s="742">
        <f>Calculs!CB407</f>
        <v>10264000</v>
      </c>
      <c r="G335" s="742">
        <f>Calculs!CC407</f>
        <v>10.264000000000001</v>
      </c>
      <c r="H335" s="742"/>
      <c r="I335" s="742">
        <f>Calculs!CE407</f>
        <v>0</v>
      </c>
      <c r="J335" s="742">
        <f>Calculs!CF407</f>
        <v>0</v>
      </c>
      <c r="K335" s="742"/>
      <c r="L335" s="742">
        <f>Calculs!CH407</f>
        <v>0</v>
      </c>
    </row>
    <row r="336" spans="2:12">
      <c r="B336" s="742">
        <f>Calculs!B408</f>
        <v>0</v>
      </c>
      <c r="C336" s="742">
        <f>Calculs!BY408</f>
        <v>0</v>
      </c>
      <c r="D336" s="742">
        <f>Calculs!BZ408</f>
        <v>0</v>
      </c>
      <c r="E336" s="742">
        <f>Calculs!CA408</f>
        <v>0</v>
      </c>
      <c r="F336" s="742">
        <f>Calculs!CB408</f>
        <v>0</v>
      </c>
      <c r="G336" s="742">
        <f>Calculs!CC408</f>
        <v>0</v>
      </c>
      <c r="H336" s="742"/>
      <c r="I336" s="742">
        <f>Calculs!CE408</f>
        <v>0</v>
      </c>
      <c r="J336" s="742">
        <f>Calculs!CF408</f>
        <v>0</v>
      </c>
      <c r="K336" s="742"/>
      <c r="L336" s="742">
        <f>Calculs!CH408</f>
        <v>0</v>
      </c>
    </row>
    <row r="337" spans="2:12">
      <c r="B337" s="742" t="str">
        <f>Calculs!B409</f>
        <v>4.1E2 - Production des repas et des boissons</v>
      </c>
      <c r="C337" s="742">
        <f>Calculs!BY409</f>
        <v>0</v>
      </c>
      <c r="D337" s="742">
        <f>Calculs!BZ409</f>
        <v>0</v>
      </c>
      <c r="E337" s="742">
        <f>Calculs!CA409</f>
        <v>0</v>
      </c>
      <c r="F337" s="742">
        <f>Calculs!CB409</f>
        <v>0</v>
      </c>
      <c r="G337" s="742">
        <f>Calculs!CC409</f>
        <v>0</v>
      </c>
      <c r="H337" s="742"/>
      <c r="I337" s="742">
        <f>Calculs!CE409</f>
        <v>0</v>
      </c>
      <c r="J337" s="742">
        <f>Calculs!CF409</f>
        <v>0</v>
      </c>
      <c r="K337" s="742"/>
      <c r="L337" s="742">
        <f>Calculs!CH409</f>
        <v>0</v>
      </c>
    </row>
    <row r="338" spans="2:12">
      <c r="B338" s="742">
        <f>Calculs!B410</f>
        <v>0</v>
      </c>
      <c r="C338" s="742">
        <f>Calculs!BY410</f>
        <v>0</v>
      </c>
      <c r="D338" s="742">
        <f>Calculs!BZ410</f>
        <v>0</v>
      </c>
      <c r="E338" s="742">
        <f>Calculs!CA410</f>
        <v>0</v>
      </c>
      <c r="F338" s="742">
        <f>Calculs!CB410</f>
        <v>0</v>
      </c>
      <c r="G338" s="742">
        <f>Calculs!CC410</f>
        <v>0</v>
      </c>
      <c r="H338" s="742"/>
      <c r="I338" s="742">
        <f>Calculs!CE410</f>
        <v>0</v>
      </c>
      <c r="J338" s="742">
        <f>Calculs!CF410</f>
        <v>0</v>
      </c>
      <c r="K338" s="742"/>
      <c r="L338" s="742">
        <f>Calculs!CH410</f>
        <v>0</v>
      </c>
    </row>
    <row r="339" spans="2:12">
      <c r="B339" s="742" t="str">
        <f>Calculs!B411</f>
        <v>Données d'activité</v>
      </c>
      <c r="C339" s="742">
        <f>Calculs!BY411</f>
        <v>0</v>
      </c>
      <c r="D339" s="742">
        <f>Calculs!BZ411</f>
        <v>0</v>
      </c>
      <c r="E339" s="742">
        <f>Calculs!CA411</f>
        <v>0</v>
      </c>
      <c r="F339" s="742">
        <f>Calculs!CB411</f>
        <v>0</v>
      </c>
      <c r="G339" s="742">
        <f>Calculs!CC411</f>
        <v>0</v>
      </c>
      <c r="H339" s="742"/>
      <c r="I339" s="742">
        <f>Calculs!CE411</f>
        <v>0</v>
      </c>
      <c r="J339" s="742">
        <f>Calculs!CF411</f>
        <v>0</v>
      </c>
      <c r="K339" s="742"/>
      <c r="L339" s="742">
        <f>Calculs!CH411</f>
        <v>0</v>
      </c>
    </row>
    <row r="340" spans="2:12">
      <c r="B340" s="742" t="str">
        <f>Calculs!B412</f>
        <v># méthode</v>
      </c>
      <c r="C340" s="742" t="str">
        <f>Calculs!BY412</f>
        <v>Émissions GES</v>
      </c>
      <c r="D340" s="742">
        <f>Calculs!BZ412</f>
        <v>0</v>
      </c>
      <c r="E340" s="742">
        <f>Calculs!CA412</f>
        <v>0</v>
      </c>
      <c r="F340" s="742" t="str">
        <f>Calculs!CB412</f>
        <v>Total GES :</v>
      </c>
      <c r="G340" s="742">
        <f>Calculs!CC412</f>
        <v>0</v>
      </c>
      <c r="H340" s="742"/>
      <c r="I340" s="742" t="str">
        <f>Calculs!CE412</f>
        <v>Total CO2 Biogénique :</v>
      </c>
      <c r="J340" s="742">
        <f>Calculs!CF412</f>
        <v>0</v>
      </c>
      <c r="K340" s="742"/>
      <c r="L340" s="742" t="str">
        <f>Calculs!CH412</f>
        <v>Énergie équivalente</v>
      </c>
    </row>
    <row r="341" spans="2:12">
      <c r="B341" s="742">
        <f>Calculs!B413</f>
        <v>0</v>
      </c>
      <c r="C341" s="742" t="str">
        <f>Calculs!BY413</f>
        <v>CO2</v>
      </c>
      <c r="D341" s="742" t="str">
        <f>Calculs!BZ413</f>
        <v>CH4</v>
      </c>
      <c r="E341" s="742" t="str">
        <f>Calculs!CA413</f>
        <v>N2O</v>
      </c>
      <c r="F341" s="742">
        <f>Calculs!CB413</f>
        <v>0</v>
      </c>
      <c r="G341" s="742">
        <f>Calculs!CC413</f>
        <v>0</v>
      </c>
      <c r="H341" s="742"/>
      <c r="I341" s="742">
        <f>Calculs!CE413</f>
        <v>0</v>
      </c>
      <c r="J341" s="742">
        <f>Calculs!CF413</f>
        <v>0</v>
      </c>
      <c r="K341" s="742"/>
      <c r="L341" s="742">
        <f>Calculs!CH413</f>
        <v>0</v>
      </c>
    </row>
    <row r="342" spans="2:12">
      <c r="B342" s="742">
        <f>Calculs!B414</f>
        <v>0</v>
      </c>
      <c r="C342" s="742" t="str">
        <f>Calculs!BY414</f>
        <v>[gCO2e]</v>
      </c>
      <c r="D342" s="742" t="str">
        <f>Calculs!BZ414</f>
        <v>[gCO2e]</v>
      </c>
      <c r="E342" s="742" t="str">
        <f>Calculs!CA414</f>
        <v>[gCO2e]</v>
      </c>
      <c r="F342" s="742" t="str">
        <f>Calculs!CB414</f>
        <v>[gCO2e]</v>
      </c>
      <c r="G342" s="742" t="str">
        <f>Calculs!CC414</f>
        <v>[tCO2e]</v>
      </c>
      <c r="H342" s="742"/>
      <c r="I342" s="742" t="str">
        <f>Calculs!CE414</f>
        <v>[gCO2e]</v>
      </c>
      <c r="J342" s="742" t="str">
        <f>Calculs!CF414</f>
        <v>[tCO2e]</v>
      </c>
      <c r="K342" s="742"/>
      <c r="L342" s="742" t="str">
        <f>Calculs!CH414</f>
        <v>[kWh]</v>
      </c>
    </row>
    <row r="343" spans="2:12">
      <c r="B343" s="742" t="str">
        <f>Calculs!B415</f>
        <v>4.1E2</v>
      </c>
      <c r="C343" s="742">
        <f>Calculs!BY415</f>
        <v>0</v>
      </c>
      <c r="D343" s="742">
        <f>Calculs!BZ415</f>
        <v>0</v>
      </c>
      <c r="E343" s="742">
        <f>Calculs!CA415</f>
        <v>0</v>
      </c>
      <c r="F343" s="742">
        <f>Calculs!CB415</f>
        <v>0</v>
      </c>
      <c r="G343" s="742">
        <f>Calculs!CC415</f>
        <v>0</v>
      </c>
      <c r="H343" s="742"/>
      <c r="I343" s="742">
        <f>Calculs!CE415</f>
        <v>0</v>
      </c>
      <c r="J343" s="742">
        <f>Calculs!CF415</f>
        <v>0</v>
      </c>
      <c r="K343" s="742"/>
      <c r="L343" s="742">
        <f>Calculs!CH415</f>
        <v>0</v>
      </c>
    </row>
    <row r="344" spans="2:12">
      <c r="B344" s="742" t="str">
        <f>Calculs!B416</f>
        <v>4.1E2</v>
      </c>
      <c r="C344" s="742">
        <f>Calculs!BY416</f>
        <v>726000</v>
      </c>
      <c r="D344" s="742">
        <f>Calculs!BZ416</f>
        <v>0</v>
      </c>
      <c r="E344" s="742">
        <f>Calculs!CA416</f>
        <v>0</v>
      </c>
      <c r="F344" s="742">
        <f>Calculs!CB416</f>
        <v>726000</v>
      </c>
      <c r="G344" s="742">
        <f>Calculs!CC416</f>
        <v>0.72599999999999998</v>
      </c>
      <c r="H344" s="742"/>
      <c r="I344" s="742">
        <f>Calculs!CE416</f>
        <v>0</v>
      </c>
      <c r="J344" s="742">
        <f>Calculs!CF416</f>
        <v>0</v>
      </c>
      <c r="K344" s="742"/>
      <c r="L344" s="742">
        <f>Calculs!CH416</f>
        <v>0</v>
      </c>
    </row>
    <row r="345" spans="2:12">
      <c r="B345" s="742" t="str">
        <f>Calculs!B417</f>
        <v>4.1E2</v>
      </c>
      <c r="C345" s="742">
        <f>Calculs!BY417</f>
        <v>39000</v>
      </c>
      <c r="D345" s="742">
        <f>Calculs!BZ417</f>
        <v>0</v>
      </c>
      <c r="E345" s="742">
        <f>Calculs!CA417</f>
        <v>0</v>
      </c>
      <c r="F345" s="742">
        <f>Calculs!CB417</f>
        <v>39000</v>
      </c>
      <c r="G345" s="742">
        <f>Calculs!CC417</f>
        <v>3.9E-2</v>
      </c>
      <c r="H345" s="742"/>
      <c r="I345" s="742">
        <f>Calculs!CE417</f>
        <v>0</v>
      </c>
      <c r="J345" s="742">
        <f>Calculs!CF417</f>
        <v>0</v>
      </c>
      <c r="K345" s="742"/>
      <c r="L345" s="742">
        <f>Calculs!CH417</f>
        <v>0</v>
      </c>
    </row>
    <row r="346" spans="2:12">
      <c r="B346" s="742" t="str">
        <f>Calculs!B418</f>
        <v>4.1E2</v>
      </c>
      <c r="C346" s="742">
        <f>Calculs!BY418</f>
        <v>0</v>
      </c>
      <c r="D346" s="742">
        <f>Calculs!BZ418</f>
        <v>0</v>
      </c>
      <c r="E346" s="742">
        <f>Calculs!CA418</f>
        <v>0</v>
      </c>
      <c r="F346" s="742">
        <f>Calculs!CB418</f>
        <v>0</v>
      </c>
      <c r="G346" s="742">
        <f>Calculs!CC418</f>
        <v>0</v>
      </c>
      <c r="H346" s="742"/>
      <c r="I346" s="742">
        <f>Calculs!CE418</f>
        <v>0</v>
      </c>
      <c r="J346" s="742">
        <f>Calculs!CF418</f>
        <v>0</v>
      </c>
      <c r="K346" s="742"/>
      <c r="L346" s="742">
        <f>Calculs!CH418</f>
        <v>0</v>
      </c>
    </row>
    <row r="347" spans="2:12">
      <c r="B347" s="742" t="str">
        <f>Calculs!B419</f>
        <v>4.1E2</v>
      </c>
      <c r="C347" s="742">
        <f>Calculs!BY419</f>
        <v>0</v>
      </c>
      <c r="D347" s="742">
        <f>Calculs!BZ419</f>
        <v>0</v>
      </c>
      <c r="E347" s="742">
        <f>Calculs!CA419</f>
        <v>0</v>
      </c>
      <c r="F347" s="742">
        <f>Calculs!CB419</f>
        <v>0</v>
      </c>
      <c r="G347" s="742">
        <f>Calculs!CC419</f>
        <v>0</v>
      </c>
      <c r="H347" s="742"/>
      <c r="I347" s="742">
        <f>Calculs!CE419</f>
        <v>0</v>
      </c>
      <c r="J347" s="742">
        <f>Calculs!CF419</f>
        <v>0</v>
      </c>
      <c r="K347" s="742"/>
      <c r="L347" s="742">
        <f>Calculs!CH419</f>
        <v>0</v>
      </c>
    </row>
    <row r="348" spans="2:12">
      <c r="B348" s="742" t="str">
        <f>Calculs!B420</f>
        <v>4.1E2</v>
      </c>
      <c r="C348" s="742">
        <f>Calculs!BY420</f>
        <v>0</v>
      </c>
      <c r="D348" s="742">
        <f>Calculs!BZ420</f>
        <v>0</v>
      </c>
      <c r="E348" s="742">
        <f>Calculs!CA420</f>
        <v>0</v>
      </c>
      <c r="F348" s="742">
        <f>Calculs!CB420</f>
        <v>0</v>
      </c>
      <c r="G348" s="742">
        <f>Calculs!CC420</f>
        <v>0</v>
      </c>
      <c r="H348" s="742"/>
      <c r="I348" s="742">
        <f>Calculs!CE420</f>
        <v>0</v>
      </c>
      <c r="J348" s="742">
        <f>Calculs!CF420</f>
        <v>0</v>
      </c>
      <c r="K348" s="742"/>
      <c r="L348" s="742">
        <f>Calculs!CH420</f>
        <v>0</v>
      </c>
    </row>
    <row r="349" spans="2:12">
      <c r="B349" s="742" t="str">
        <f>Calculs!B421</f>
        <v>4.1E2</v>
      </c>
      <c r="C349" s="742">
        <f>Calculs!BY421</f>
        <v>0</v>
      </c>
      <c r="D349" s="742">
        <f>Calculs!BZ421</f>
        <v>0</v>
      </c>
      <c r="E349" s="742">
        <f>Calculs!CA421</f>
        <v>0</v>
      </c>
      <c r="F349" s="742">
        <f>Calculs!CB421</f>
        <v>0</v>
      </c>
      <c r="G349" s="742">
        <f>Calculs!CC421</f>
        <v>0</v>
      </c>
      <c r="H349" s="742"/>
      <c r="I349" s="742">
        <f>Calculs!CE421</f>
        <v>0</v>
      </c>
      <c r="J349" s="742">
        <f>Calculs!CF421</f>
        <v>0</v>
      </c>
      <c r="K349" s="742"/>
      <c r="L349" s="742">
        <f>Calculs!CH421</f>
        <v>0</v>
      </c>
    </row>
    <row r="350" spans="2:12">
      <c r="B350" s="742" t="str">
        <f>Calculs!B422</f>
        <v>4.1E2</v>
      </c>
      <c r="C350" s="742">
        <f>Calculs!BY422</f>
        <v>0</v>
      </c>
      <c r="D350" s="742">
        <f>Calculs!BZ422</f>
        <v>0</v>
      </c>
      <c r="E350" s="742">
        <f>Calculs!CA422</f>
        <v>0</v>
      </c>
      <c r="F350" s="742">
        <f>Calculs!CB422</f>
        <v>0</v>
      </c>
      <c r="G350" s="742">
        <f>Calculs!CC422</f>
        <v>0</v>
      </c>
      <c r="H350" s="742"/>
      <c r="I350" s="742">
        <f>Calculs!CE422</f>
        <v>0</v>
      </c>
      <c r="J350" s="742">
        <f>Calculs!CF422</f>
        <v>0</v>
      </c>
      <c r="K350" s="742"/>
      <c r="L350" s="742">
        <f>Calculs!CH422</f>
        <v>0</v>
      </c>
    </row>
    <row r="351" spans="2:12">
      <c r="B351" s="742" t="str">
        <f>Calculs!B423</f>
        <v>4.1E2</v>
      </c>
      <c r="C351" s="742">
        <f>Calculs!BY423</f>
        <v>0</v>
      </c>
      <c r="D351" s="742">
        <f>Calculs!BZ423</f>
        <v>0</v>
      </c>
      <c r="E351" s="742">
        <f>Calculs!CA423</f>
        <v>0</v>
      </c>
      <c r="F351" s="742">
        <f>Calculs!CB423</f>
        <v>0</v>
      </c>
      <c r="G351" s="742">
        <f>Calculs!CC423</f>
        <v>0</v>
      </c>
      <c r="H351" s="742"/>
      <c r="I351" s="742">
        <f>Calculs!CE423</f>
        <v>0</v>
      </c>
      <c r="J351" s="742">
        <f>Calculs!CF423</f>
        <v>0</v>
      </c>
      <c r="K351" s="742"/>
      <c r="L351" s="742">
        <f>Calculs!CH423</f>
        <v>0</v>
      </c>
    </row>
    <row r="352" spans="2:12">
      <c r="B352" s="742" t="str">
        <f>Calculs!B424</f>
        <v>4.1E2</v>
      </c>
      <c r="C352" s="742">
        <f>Calculs!BY424</f>
        <v>0</v>
      </c>
      <c r="D352" s="742">
        <f>Calculs!BZ424</f>
        <v>0</v>
      </c>
      <c r="E352" s="742">
        <f>Calculs!CA424</f>
        <v>0</v>
      </c>
      <c r="F352" s="742">
        <f>Calculs!CB424</f>
        <v>0</v>
      </c>
      <c r="G352" s="742">
        <f>Calculs!CC424</f>
        <v>0</v>
      </c>
      <c r="H352" s="742"/>
      <c r="I352" s="742">
        <f>Calculs!CE424</f>
        <v>0</v>
      </c>
      <c r="J352" s="742">
        <f>Calculs!CF424</f>
        <v>0</v>
      </c>
      <c r="K352" s="742"/>
      <c r="L352" s="742">
        <f>Calculs!CH424</f>
        <v>0</v>
      </c>
    </row>
    <row r="353" spans="2:12">
      <c r="B353" s="742">
        <f>Calculs!B425</f>
        <v>0</v>
      </c>
      <c r="C353" s="742">
        <f>Calculs!BY425</f>
        <v>765000</v>
      </c>
      <c r="D353" s="742">
        <f>Calculs!BZ425</f>
        <v>0</v>
      </c>
      <c r="E353" s="742">
        <f>Calculs!CA425</f>
        <v>0</v>
      </c>
      <c r="F353" s="742">
        <f>Calculs!CB425</f>
        <v>765000</v>
      </c>
      <c r="G353" s="742">
        <f>Calculs!CC425</f>
        <v>0.76500000000000001</v>
      </c>
      <c r="H353" s="742"/>
      <c r="I353" s="742">
        <f>Calculs!CE425</f>
        <v>0</v>
      </c>
      <c r="J353" s="742">
        <f>Calculs!CF425</f>
        <v>0</v>
      </c>
      <c r="K353" s="742"/>
      <c r="L353" s="742">
        <f>Calculs!CH425</f>
        <v>0</v>
      </c>
    </row>
    <row r="354" spans="2:12">
      <c r="B354" s="742">
        <f>Calculs!B426</f>
        <v>0</v>
      </c>
      <c r="C354" s="742">
        <f>Calculs!BY426</f>
        <v>0</v>
      </c>
      <c r="D354" s="742">
        <f>Calculs!BZ426</f>
        <v>0</v>
      </c>
      <c r="E354" s="742">
        <f>Calculs!CA426</f>
        <v>0</v>
      </c>
      <c r="F354" s="742">
        <f>Calculs!CB426</f>
        <v>0</v>
      </c>
      <c r="G354" s="742">
        <f>Calculs!CC426</f>
        <v>0</v>
      </c>
      <c r="H354" s="742"/>
      <c r="I354" s="742">
        <f>Calculs!CE426</f>
        <v>0</v>
      </c>
      <c r="J354" s="742">
        <f>Calculs!CF426</f>
        <v>0</v>
      </c>
      <c r="K354" s="742"/>
      <c r="L354" s="742">
        <f>Calculs!CH426</f>
        <v>0</v>
      </c>
    </row>
    <row r="355" spans="2:12">
      <c r="B355" s="742" t="str">
        <f>Calculs!B427</f>
        <v>4.3A1 - Traitement des eaux usées</v>
      </c>
      <c r="C355" s="742">
        <f>Calculs!BY427</f>
        <v>0</v>
      </c>
      <c r="D355" s="742">
        <f>Calculs!BZ427</f>
        <v>0</v>
      </c>
      <c r="E355" s="742">
        <f>Calculs!CA427</f>
        <v>0</v>
      </c>
      <c r="F355" s="742">
        <f>Calculs!CB427</f>
        <v>0</v>
      </c>
      <c r="G355" s="742">
        <f>Calculs!CC427</f>
        <v>0</v>
      </c>
      <c r="H355" s="742"/>
      <c r="I355" s="742">
        <f>Calculs!CE427</f>
        <v>0</v>
      </c>
      <c r="J355" s="742">
        <f>Calculs!CF427</f>
        <v>0</v>
      </c>
      <c r="K355" s="742"/>
      <c r="L355" s="742">
        <f>Calculs!CH427</f>
        <v>0</v>
      </c>
    </row>
    <row r="356" spans="2:12">
      <c r="B356" s="742">
        <f>Calculs!B428</f>
        <v>0</v>
      </c>
      <c r="C356" s="742">
        <f>Calculs!BY428</f>
        <v>0</v>
      </c>
      <c r="D356" s="742">
        <f>Calculs!BZ428</f>
        <v>0</v>
      </c>
      <c r="E356" s="742">
        <f>Calculs!CA428</f>
        <v>0</v>
      </c>
      <c r="F356" s="742">
        <f>Calculs!CB428</f>
        <v>0</v>
      </c>
      <c r="G356" s="742">
        <f>Calculs!CC428</f>
        <v>0</v>
      </c>
      <c r="H356" s="742"/>
      <c r="I356" s="742">
        <f>Calculs!CE428</f>
        <v>0</v>
      </c>
      <c r="J356" s="742">
        <f>Calculs!CF428</f>
        <v>0</v>
      </c>
      <c r="K356" s="742"/>
      <c r="L356" s="742">
        <f>Calculs!CH428</f>
        <v>0</v>
      </c>
    </row>
    <row r="357" spans="2:12">
      <c r="B357" s="742" t="str">
        <f>Calculs!B429</f>
        <v>Données d'activité</v>
      </c>
      <c r="C357" s="742">
        <f>Calculs!BY429</f>
        <v>0</v>
      </c>
      <c r="D357" s="742">
        <f>Calculs!BZ429</f>
        <v>0</v>
      </c>
      <c r="E357" s="742">
        <f>Calculs!CA429</f>
        <v>0</v>
      </c>
      <c r="F357" s="742">
        <f>Calculs!CB429</f>
        <v>0</v>
      </c>
      <c r="G357" s="742">
        <f>Calculs!CC429</f>
        <v>0</v>
      </c>
      <c r="H357" s="742"/>
      <c r="I357" s="742">
        <f>Calculs!CE429</f>
        <v>0</v>
      </c>
      <c r="J357" s="742">
        <f>Calculs!CF429</f>
        <v>0</v>
      </c>
      <c r="K357" s="742"/>
      <c r="L357" s="742">
        <f>Calculs!CH429</f>
        <v>0</v>
      </c>
    </row>
    <row r="358" spans="2:12">
      <c r="B358" s="742" t="str">
        <f>Calculs!B430</f>
        <v># méthode</v>
      </c>
      <c r="C358" s="742" t="str">
        <f>Calculs!BY430</f>
        <v>Émissions GES</v>
      </c>
      <c r="D358" s="742">
        <f>Calculs!BZ430</f>
        <v>0</v>
      </c>
      <c r="E358" s="742">
        <f>Calculs!CA430</f>
        <v>0</v>
      </c>
      <c r="F358" s="742" t="str">
        <f>Calculs!CB430</f>
        <v>Total GES :</v>
      </c>
      <c r="G358" s="742">
        <f>Calculs!CC430</f>
        <v>0</v>
      </c>
      <c r="H358" s="742"/>
      <c r="I358" s="742" t="str">
        <f>Calculs!CE430</f>
        <v>Total CO2 Biogénique :</v>
      </c>
      <c r="J358" s="742">
        <f>Calculs!CF430</f>
        <v>0</v>
      </c>
      <c r="K358" s="742"/>
      <c r="L358" s="742" t="str">
        <f>Calculs!CH430</f>
        <v>Énergie équivalente</v>
      </c>
    </row>
    <row r="359" spans="2:12">
      <c r="B359" s="742">
        <f>Calculs!B431</f>
        <v>0</v>
      </c>
      <c r="C359" s="742" t="str">
        <f>Calculs!BY431</f>
        <v>CO2</v>
      </c>
      <c r="D359" s="742" t="str">
        <f>Calculs!BZ431</f>
        <v>CH4</v>
      </c>
      <c r="E359" s="742" t="str">
        <f>Calculs!CA431</f>
        <v>N2O</v>
      </c>
      <c r="F359" s="742">
        <f>Calculs!CB431</f>
        <v>0</v>
      </c>
      <c r="G359" s="742">
        <f>Calculs!CC431</f>
        <v>0</v>
      </c>
      <c r="H359" s="742"/>
      <c r="I359" s="742">
        <f>Calculs!CE431</f>
        <v>0</v>
      </c>
      <c r="J359" s="742">
        <f>Calculs!CF431</f>
        <v>0</v>
      </c>
      <c r="K359" s="742"/>
      <c r="L359" s="742">
        <f>Calculs!CH431</f>
        <v>0</v>
      </c>
    </row>
    <row r="360" spans="2:12">
      <c r="B360" s="742">
        <f>Calculs!B432</f>
        <v>0</v>
      </c>
      <c r="C360" s="742" t="str">
        <f>Calculs!BY432</f>
        <v>[gCO2e]</v>
      </c>
      <c r="D360" s="742" t="str">
        <f>Calculs!BZ432</f>
        <v>[gCO2e]</v>
      </c>
      <c r="E360" s="742" t="str">
        <f>Calculs!CA432</f>
        <v>[gCO2e]</v>
      </c>
      <c r="F360" s="742" t="str">
        <f>Calculs!CB432</f>
        <v>[gCO2e]</v>
      </c>
      <c r="G360" s="742" t="str">
        <f>Calculs!CC432</f>
        <v>[tCO2e]</v>
      </c>
      <c r="H360" s="742"/>
      <c r="I360" s="742" t="str">
        <f>Calculs!CE432</f>
        <v>[gCO2e]</v>
      </c>
      <c r="J360" s="742" t="str">
        <f>Calculs!CF432</f>
        <v>[tCO2e]</v>
      </c>
      <c r="K360" s="742"/>
      <c r="L360" s="742" t="str">
        <f>Calculs!CH432</f>
        <v>[kWh]</v>
      </c>
    </row>
    <row r="361" spans="2:12">
      <c r="B361" s="742" t="str">
        <f>Calculs!B433</f>
        <v>4.3A1</v>
      </c>
      <c r="C361" s="742">
        <f>Calculs!BY433</f>
        <v>0</v>
      </c>
      <c r="D361" s="742">
        <f>Calculs!BZ433</f>
        <v>0</v>
      </c>
      <c r="E361" s="742">
        <f>Calculs!CA433</f>
        <v>0</v>
      </c>
      <c r="F361" s="742">
        <f>Calculs!CB433</f>
        <v>0</v>
      </c>
      <c r="G361" s="742">
        <f>Calculs!CC433</f>
        <v>0</v>
      </c>
      <c r="H361" s="742"/>
      <c r="I361" s="742">
        <f>Calculs!CE433</f>
        <v>0</v>
      </c>
      <c r="J361" s="742">
        <f>Calculs!CF433</f>
        <v>0</v>
      </c>
      <c r="K361" s="742"/>
      <c r="L361" s="742">
        <f>Calculs!CH433</f>
        <v>0</v>
      </c>
    </row>
    <row r="362" spans="2:12">
      <c r="B362" s="742" t="str">
        <f>Calculs!B434</f>
        <v>4.3A1</v>
      </c>
      <c r="C362" s="742">
        <f>Calculs!BY434</f>
        <v>0</v>
      </c>
      <c r="D362" s="742">
        <f>Calculs!BZ434</f>
        <v>1172.5140852</v>
      </c>
      <c r="E362" s="742">
        <f>Calculs!CA434</f>
        <v>0</v>
      </c>
      <c r="F362" s="742">
        <f>Calculs!CB434</f>
        <v>1172.5140852</v>
      </c>
      <c r="G362" s="742">
        <f>Calculs!CC434</f>
        <v>1.1725140852E-3</v>
      </c>
      <c r="H362" s="742"/>
      <c r="I362" s="742">
        <f>Calculs!CE434</f>
        <v>0</v>
      </c>
      <c r="J362" s="742">
        <f>Calculs!CF434</f>
        <v>0</v>
      </c>
      <c r="K362" s="742"/>
      <c r="L362" s="742">
        <f>Calculs!CH434</f>
        <v>0</v>
      </c>
    </row>
    <row r="363" spans="2:12">
      <c r="B363" s="742" t="str">
        <f>Calculs!B435</f>
        <v>4.3A1</v>
      </c>
      <c r="C363" s="742">
        <f>Calculs!BY435</f>
        <v>0</v>
      </c>
      <c r="D363" s="742">
        <f>Calculs!BZ435</f>
        <v>22225.448044800003</v>
      </c>
      <c r="E363" s="742">
        <f>Calculs!CA435</f>
        <v>0</v>
      </c>
      <c r="F363" s="742">
        <f>Calculs!CB435</f>
        <v>22225.448044800003</v>
      </c>
      <c r="G363" s="742">
        <f>Calculs!CC435</f>
        <v>2.2225448044800002E-2</v>
      </c>
      <c r="H363" s="742"/>
      <c r="I363" s="742">
        <f>Calculs!CE435</f>
        <v>0</v>
      </c>
      <c r="J363" s="742">
        <f>Calculs!CF435</f>
        <v>0</v>
      </c>
      <c r="K363" s="742"/>
      <c r="L363" s="742">
        <f>Calculs!CH435</f>
        <v>0</v>
      </c>
    </row>
    <row r="364" spans="2:12">
      <c r="B364" s="742" t="str">
        <f>Calculs!B436</f>
        <v>4.3A1</v>
      </c>
      <c r="C364" s="742">
        <f>Calculs!BY436</f>
        <v>0</v>
      </c>
      <c r="D364" s="742">
        <f>Calculs!BZ436</f>
        <v>0</v>
      </c>
      <c r="E364" s="742">
        <f>Calculs!CA436</f>
        <v>0</v>
      </c>
      <c r="F364" s="742">
        <f>Calculs!CB436</f>
        <v>0</v>
      </c>
      <c r="G364" s="742">
        <f>Calculs!CC436</f>
        <v>0</v>
      </c>
      <c r="H364" s="742"/>
      <c r="I364" s="742">
        <f>Calculs!CE436</f>
        <v>0</v>
      </c>
      <c r="J364" s="742">
        <f>Calculs!CF436</f>
        <v>0</v>
      </c>
      <c r="K364" s="742"/>
      <c r="L364" s="742">
        <f>Calculs!CH436</f>
        <v>0</v>
      </c>
    </row>
    <row r="365" spans="2:12">
      <c r="B365" s="742" t="str">
        <f>Calculs!B437</f>
        <v>4.3A1</v>
      </c>
      <c r="C365" s="742">
        <f>Calculs!BY437</f>
        <v>0</v>
      </c>
      <c r="D365" s="742">
        <f>Calculs!BZ437</f>
        <v>0</v>
      </c>
      <c r="E365" s="742">
        <f>Calculs!CA437</f>
        <v>0</v>
      </c>
      <c r="F365" s="742">
        <f>Calculs!CB437</f>
        <v>0</v>
      </c>
      <c r="G365" s="742">
        <f>Calculs!CC437</f>
        <v>0</v>
      </c>
      <c r="H365" s="742"/>
      <c r="I365" s="742">
        <f>Calculs!CE437</f>
        <v>0</v>
      </c>
      <c r="J365" s="742">
        <f>Calculs!CF437</f>
        <v>0</v>
      </c>
      <c r="K365" s="742"/>
      <c r="L365" s="742">
        <f>Calculs!CH437</f>
        <v>0</v>
      </c>
    </row>
    <row r="366" spans="2:12">
      <c r="B366" s="742" t="str">
        <f>Calculs!B438</f>
        <v>4.3A1</v>
      </c>
      <c r="C366" s="742">
        <f>Calculs!BY438</f>
        <v>0</v>
      </c>
      <c r="D366" s="742">
        <f>Calculs!BZ438</f>
        <v>0</v>
      </c>
      <c r="E366" s="742">
        <f>Calculs!CA438</f>
        <v>0</v>
      </c>
      <c r="F366" s="742">
        <f>Calculs!CB438</f>
        <v>0</v>
      </c>
      <c r="G366" s="742">
        <f>Calculs!CC438</f>
        <v>0</v>
      </c>
      <c r="H366" s="742"/>
      <c r="I366" s="742">
        <f>Calculs!CE438</f>
        <v>0</v>
      </c>
      <c r="J366" s="742">
        <f>Calculs!CF438</f>
        <v>0</v>
      </c>
      <c r="K366" s="742"/>
      <c r="L366" s="742">
        <f>Calculs!CH438</f>
        <v>0</v>
      </c>
    </row>
    <row r="367" spans="2:12">
      <c r="B367" s="742" t="str">
        <f>Calculs!B439</f>
        <v>4.3A1</v>
      </c>
      <c r="C367" s="742">
        <f>Calculs!BY439</f>
        <v>0</v>
      </c>
      <c r="D367" s="742">
        <f>Calculs!BZ439</f>
        <v>0</v>
      </c>
      <c r="E367" s="742">
        <f>Calculs!CA439</f>
        <v>0</v>
      </c>
      <c r="F367" s="742">
        <f>Calculs!CB439</f>
        <v>0</v>
      </c>
      <c r="G367" s="742">
        <f>Calculs!CC439</f>
        <v>0</v>
      </c>
      <c r="H367" s="742"/>
      <c r="I367" s="742">
        <f>Calculs!CE439</f>
        <v>0</v>
      </c>
      <c r="J367" s="742">
        <f>Calculs!CF439</f>
        <v>0</v>
      </c>
      <c r="K367" s="742"/>
      <c r="L367" s="742">
        <f>Calculs!CH439</f>
        <v>0</v>
      </c>
    </row>
    <row r="368" spans="2:12">
      <c r="B368" s="742" t="str">
        <f>Calculs!B440</f>
        <v>4.3A1</v>
      </c>
      <c r="C368" s="742">
        <f>Calculs!BY440</f>
        <v>0</v>
      </c>
      <c r="D368" s="742">
        <f>Calculs!BZ440</f>
        <v>0</v>
      </c>
      <c r="E368" s="742">
        <f>Calculs!CA440</f>
        <v>0</v>
      </c>
      <c r="F368" s="742">
        <f>Calculs!CB440</f>
        <v>0</v>
      </c>
      <c r="G368" s="742">
        <f>Calculs!CC440</f>
        <v>0</v>
      </c>
      <c r="H368" s="742"/>
      <c r="I368" s="742">
        <f>Calculs!CE440</f>
        <v>0</v>
      </c>
      <c r="J368" s="742">
        <f>Calculs!CF440</f>
        <v>0</v>
      </c>
      <c r="K368" s="742"/>
      <c r="L368" s="742">
        <f>Calculs!CH440</f>
        <v>0</v>
      </c>
    </row>
    <row r="369" spans="2:12">
      <c r="B369" s="742" t="str">
        <f>Calculs!B441</f>
        <v>4.3A1</v>
      </c>
      <c r="C369" s="742">
        <f>Calculs!BY441</f>
        <v>0</v>
      </c>
      <c r="D369" s="742">
        <f>Calculs!BZ441</f>
        <v>0</v>
      </c>
      <c r="E369" s="742">
        <f>Calculs!CA441</f>
        <v>0</v>
      </c>
      <c r="F369" s="742">
        <f>Calculs!CB441</f>
        <v>0</v>
      </c>
      <c r="G369" s="742">
        <f>Calculs!CC441</f>
        <v>0</v>
      </c>
      <c r="H369" s="742"/>
      <c r="I369" s="742">
        <f>Calculs!CE441</f>
        <v>0</v>
      </c>
      <c r="J369" s="742">
        <f>Calculs!CF441</f>
        <v>0</v>
      </c>
      <c r="K369" s="742"/>
      <c r="L369" s="742">
        <f>Calculs!CH441</f>
        <v>0</v>
      </c>
    </row>
    <row r="370" spans="2:12">
      <c r="B370" s="742" t="str">
        <f>Calculs!B442</f>
        <v>4.3A1</v>
      </c>
      <c r="C370" s="742">
        <f>Calculs!BY442</f>
        <v>0</v>
      </c>
      <c r="D370" s="742">
        <f>Calculs!BZ442</f>
        <v>0</v>
      </c>
      <c r="E370" s="742">
        <f>Calculs!CA442</f>
        <v>0</v>
      </c>
      <c r="F370" s="742">
        <f>Calculs!CB442</f>
        <v>0</v>
      </c>
      <c r="G370" s="742">
        <f>Calculs!CC442</f>
        <v>0</v>
      </c>
      <c r="H370" s="742"/>
      <c r="I370" s="742">
        <f>Calculs!CE442</f>
        <v>0</v>
      </c>
      <c r="J370" s="742">
        <f>Calculs!CF442</f>
        <v>0</v>
      </c>
      <c r="K370" s="742"/>
      <c r="L370" s="742">
        <f>Calculs!CH442</f>
        <v>0</v>
      </c>
    </row>
    <row r="371" spans="2:12">
      <c r="B371" s="742">
        <f>Calculs!B443</f>
        <v>0</v>
      </c>
      <c r="C371" s="742">
        <f>Calculs!BY443</f>
        <v>0</v>
      </c>
      <c r="D371" s="742">
        <f>Calculs!BZ443</f>
        <v>23397.962130000004</v>
      </c>
      <c r="E371" s="742">
        <f>Calculs!CA443</f>
        <v>0</v>
      </c>
      <c r="F371" s="742">
        <f>Calculs!CB443</f>
        <v>23397.962130000004</v>
      </c>
      <c r="G371" s="742">
        <f>Calculs!CC443</f>
        <v>2.3397962130000002E-2</v>
      </c>
      <c r="H371" s="742"/>
      <c r="I371" s="742">
        <f>Calculs!CE443</f>
        <v>0</v>
      </c>
      <c r="J371" s="742">
        <f>Calculs!CF443</f>
        <v>0</v>
      </c>
      <c r="K371" s="742"/>
      <c r="L371" s="742">
        <f>Calculs!CH443</f>
        <v>0</v>
      </c>
    </row>
    <row r="372" spans="2:12">
      <c r="B372" s="742">
        <f>Calculs!B444</f>
        <v>0</v>
      </c>
      <c r="C372" s="742">
        <f>Calculs!BY444</f>
        <v>0</v>
      </c>
      <c r="D372" s="742">
        <f>Calculs!BZ444</f>
        <v>0</v>
      </c>
      <c r="E372" s="742">
        <f>Calculs!CA444</f>
        <v>0</v>
      </c>
      <c r="F372" s="742">
        <f>Calculs!CB444</f>
        <v>0</v>
      </c>
      <c r="G372" s="742">
        <f>Calculs!CC444</f>
        <v>0</v>
      </c>
      <c r="H372" s="742"/>
      <c r="I372" s="742">
        <f>Calculs!CE444</f>
        <v>0</v>
      </c>
      <c r="J372" s="742">
        <f>Calculs!CF444</f>
        <v>0</v>
      </c>
      <c r="K372" s="742"/>
      <c r="L372" s="742">
        <f>Calculs!CH444</f>
        <v>0</v>
      </c>
    </row>
    <row r="373" spans="2:12">
      <c r="B373" s="742">
        <f>Calculs!B445</f>
        <v>0</v>
      </c>
      <c r="C373" s="742">
        <f>Calculs!BY445</f>
        <v>0</v>
      </c>
      <c r="D373" s="742">
        <f>Calculs!BZ445</f>
        <v>0</v>
      </c>
      <c r="E373" s="742">
        <f>Calculs!CA445</f>
        <v>0</v>
      </c>
      <c r="F373" s="742">
        <f>Calculs!CB445</f>
        <v>0</v>
      </c>
      <c r="G373" s="742">
        <f>Calculs!CC445</f>
        <v>0</v>
      </c>
      <c r="H373" s="742"/>
      <c r="I373" s="742">
        <f>Calculs!CE445</f>
        <v>0</v>
      </c>
      <c r="J373" s="742">
        <f>Calculs!CF445</f>
        <v>0</v>
      </c>
      <c r="K373" s="742"/>
      <c r="L373" s="742">
        <f>Calculs!CH445</f>
        <v>0</v>
      </c>
    </row>
    <row r="374" spans="2:12">
      <c r="B374" s="742">
        <f>Calculs!B446</f>
        <v>0</v>
      </c>
      <c r="C374" s="742">
        <f>Calculs!BY446</f>
        <v>0</v>
      </c>
      <c r="D374" s="742">
        <f>Calculs!BZ446</f>
        <v>0</v>
      </c>
      <c r="E374" s="742">
        <f>Calculs!CA446</f>
        <v>0</v>
      </c>
      <c r="F374" s="742">
        <f>Calculs!CB446</f>
        <v>0</v>
      </c>
      <c r="G374" s="742">
        <f>Calculs!CC446</f>
        <v>0</v>
      </c>
      <c r="H374" s="742"/>
      <c r="I374" s="742">
        <f>Calculs!CE446</f>
        <v>0</v>
      </c>
      <c r="J374" s="742">
        <f>Calculs!CF446</f>
        <v>0</v>
      </c>
      <c r="K374" s="742"/>
      <c r="L374" s="742">
        <f>Calculs!CH446</f>
        <v>0</v>
      </c>
    </row>
    <row r="375" spans="2:12">
      <c r="B375" s="742">
        <f>Calculs!B447</f>
        <v>0</v>
      </c>
      <c r="C375" s="742">
        <f>Calculs!BY447</f>
        <v>0</v>
      </c>
      <c r="D375" s="742">
        <f>Calculs!BZ447</f>
        <v>0</v>
      </c>
      <c r="E375" s="742">
        <f>Calculs!CA447</f>
        <v>0</v>
      </c>
      <c r="F375" s="742">
        <f>Calculs!CB447</f>
        <v>0</v>
      </c>
      <c r="G375" s="742">
        <f>Calculs!CC447</f>
        <v>0</v>
      </c>
      <c r="H375" s="742"/>
      <c r="I375" s="742">
        <f>Calculs!CE447</f>
        <v>0</v>
      </c>
      <c r="J375" s="742">
        <f>Calculs!CF447</f>
        <v>0</v>
      </c>
      <c r="K375" s="742"/>
      <c r="L375" s="742">
        <f>Calculs!CH447</f>
        <v>0</v>
      </c>
    </row>
    <row r="376" spans="2:12">
      <c r="B376" s="742">
        <f>Calculs!B448</f>
        <v>0</v>
      </c>
      <c r="C376" s="742">
        <f>Calculs!BY448</f>
        <v>0</v>
      </c>
      <c r="D376" s="742">
        <f>Calculs!BZ448</f>
        <v>0</v>
      </c>
      <c r="E376" s="742">
        <f>Calculs!CA448</f>
        <v>0</v>
      </c>
      <c r="F376" s="742">
        <f>Calculs!CB448</f>
        <v>0</v>
      </c>
      <c r="G376" s="742">
        <f>Calculs!CC448</f>
        <v>0</v>
      </c>
      <c r="H376" s="742"/>
      <c r="I376" s="742">
        <f>Calculs!CE448</f>
        <v>0</v>
      </c>
      <c r="J376" s="742">
        <f>Calculs!CF448</f>
        <v>0</v>
      </c>
      <c r="K376" s="742"/>
      <c r="L376" s="742">
        <f>Calculs!CH448</f>
        <v>0</v>
      </c>
    </row>
    <row r="377" spans="2:12">
      <c r="B377" s="742">
        <f>Calculs!B449</f>
        <v>0</v>
      </c>
      <c r="C377" s="742">
        <f>Calculs!BY449</f>
        <v>0</v>
      </c>
      <c r="D377" s="742">
        <f>Calculs!BZ449</f>
        <v>0</v>
      </c>
      <c r="E377" s="742">
        <f>Calculs!CA449</f>
        <v>0</v>
      </c>
      <c r="F377" s="742">
        <f>Calculs!CB449</f>
        <v>0</v>
      </c>
      <c r="G377" s="742">
        <f>Calculs!CC449</f>
        <v>0</v>
      </c>
      <c r="H377" s="742"/>
      <c r="I377" s="742">
        <f>Calculs!CE449</f>
        <v>0</v>
      </c>
      <c r="J377" s="742">
        <f>Calculs!CF449</f>
        <v>0</v>
      </c>
      <c r="K377" s="742"/>
      <c r="L377" s="742">
        <f>Calculs!CH449</f>
        <v>0</v>
      </c>
    </row>
    <row r="378" spans="2:12">
      <c r="B378" s="742" t="str">
        <f>Calculs!B450</f>
        <v>Modèle</v>
      </c>
      <c r="C378" s="742">
        <f>Calculs!BY450</f>
        <v>0</v>
      </c>
      <c r="D378" s="742">
        <f>Calculs!BZ450</f>
        <v>0</v>
      </c>
      <c r="E378" s="742">
        <f>Calculs!CA450</f>
        <v>0</v>
      </c>
      <c r="F378" s="742">
        <f>Calculs!CB450</f>
        <v>0</v>
      </c>
      <c r="G378" s="742">
        <f>Calculs!CC450</f>
        <v>0</v>
      </c>
      <c r="H378" s="742"/>
      <c r="I378" s="742">
        <f>Calculs!CE450</f>
        <v>0</v>
      </c>
      <c r="J378" s="742">
        <f>Calculs!CF450</f>
        <v>0</v>
      </c>
      <c r="K378" s="742"/>
      <c r="L378" s="742">
        <f>Calculs!CH450</f>
        <v>0</v>
      </c>
    </row>
    <row r="379" spans="2:12">
      <c r="B379" s="742">
        <f>Calculs!B451</f>
        <v>0</v>
      </c>
      <c r="C379" s="742">
        <f>Calculs!BY451</f>
        <v>0</v>
      </c>
      <c r="D379" s="742">
        <f>Calculs!BZ451</f>
        <v>0</v>
      </c>
      <c r="E379" s="742">
        <f>Calculs!CA451</f>
        <v>0</v>
      </c>
      <c r="F379" s="742">
        <f>Calculs!CB451</f>
        <v>0</v>
      </c>
      <c r="G379" s="742">
        <f>Calculs!CC451</f>
        <v>0</v>
      </c>
      <c r="H379" s="742"/>
      <c r="I379" s="742">
        <f>Calculs!CE451</f>
        <v>0</v>
      </c>
      <c r="J379" s="742">
        <f>Calculs!CF451</f>
        <v>0</v>
      </c>
      <c r="K379" s="742"/>
      <c r="L379" s="742">
        <f>Calculs!CH451</f>
        <v>0</v>
      </c>
    </row>
    <row r="380" spans="2:12">
      <c r="B380" s="742" t="str">
        <f>Calculs!B452</f>
        <v>Données d'activité</v>
      </c>
      <c r="C380" s="742">
        <f>Calculs!BY452</f>
        <v>0</v>
      </c>
      <c r="D380" s="742">
        <f>Calculs!BZ452</f>
        <v>0</v>
      </c>
      <c r="E380" s="742">
        <f>Calculs!CA452</f>
        <v>0</v>
      </c>
      <c r="F380" s="742">
        <f>Calculs!CB452</f>
        <v>0</v>
      </c>
      <c r="G380" s="742">
        <f>Calculs!CC452</f>
        <v>0</v>
      </c>
      <c r="H380" s="742"/>
      <c r="I380" s="742">
        <f>Calculs!CE452</f>
        <v>0</v>
      </c>
      <c r="J380" s="742">
        <f>Calculs!CF452</f>
        <v>0</v>
      </c>
      <c r="K380" s="742"/>
      <c r="L380" s="742">
        <f>Calculs!CH452</f>
        <v>0</v>
      </c>
    </row>
    <row r="381" spans="2:12">
      <c r="B381" s="742" t="str">
        <f>Calculs!B453</f>
        <v># méthode</v>
      </c>
      <c r="C381" s="742" t="str">
        <f>Calculs!BY453</f>
        <v>Émissions GES</v>
      </c>
      <c r="D381" s="742">
        <f>Calculs!BZ453</f>
        <v>0</v>
      </c>
      <c r="E381" s="742">
        <f>Calculs!CA453</f>
        <v>0</v>
      </c>
      <c r="F381" s="742" t="str">
        <f>Calculs!CB453</f>
        <v>Total GES :</v>
      </c>
      <c r="G381" s="742">
        <f>Calculs!CC453</f>
        <v>0</v>
      </c>
      <c r="H381" s="742"/>
      <c r="I381" s="742" t="str">
        <f>Calculs!CE453</f>
        <v>Total CO2 Biogénique :</v>
      </c>
      <c r="J381" s="742">
        <f>Calculs!CF453</f>
        <v>0</v>
      </c>
      <c r="K381" s="742"/>
      <c r="L381" s="742" t="str">
        <f>Calculs!CH453</f>
        <v>Énergie équivalente</v>
      </c>
    </row>
    <row r="382" spans="2:12">
      <c r="B382" s="742">
        <f>Calculs!B454</f>
        <v>0</v>
      </c>
      <c r="C382" s="742" t="str">
        <f>Calculs!BY454</f>
        <v>CO2</v>
      </c>
      <c r="D382" s="742" t="str">
        <f>Calculs!BZ454</f>
        <v>CH4</v>
      </c>
      <c r="E382" s="742" t="str">
        <f>Calculs!CA454</f>
        <v>N2O</v>
      </c>
      <c r="F382" s="742">
        <f>Calculs!CB454</f>
        <v>0</v>
      </c>
      <c r="G382" s="742">
        <f>Calculs!CC454</f>
        <v>0</v>
      </c>
      <c r="H382" s="742"/>
      <c r="I382" s="742">
        <f>Calculs!CE454</f>
        <v>0</v>
      </c>
      <c r="J382" s="742">
        <f>Calculs!CF454</f>
        <v>0</v>
      </c>
      <c r="K382" s="742"/>
      <c r="L382" s="742">
        <f>Calculs!CH454</f>
        <v>0</v>
      </c>
    </row>
    <row r="383" spans="2:12">
      <c r="B383" s="742">
        <f>Calculs!B455</f>
        <v>0</v>
      </c>
      <c r="C383" s="742" t="str">
        <f>Calculs!BY455</f>
        <v>[gCO2e]</v>
      </c>
      <c r="D383" s="742" t="str">
        <f>Calculs!BZ455</f>
        <v>[gCO2e]</v>
      </c>
      <c r="E383" s="742" t="str">
        <f>Calculs!CA455</f>
        <v>[gCO2e]</v>
      </c>
      <c r="F383" s="742" t="str">
        <f>Calculs!CB455</f>
        <v>[gCO2e]</v>
      </c>
      <c r="G383" s="742" t="str">
        <f>Calculs!CC455</f>
        <v>[tCO2e]</v>
      </c>
      <c r="H383" s="742"/>
      <c r="I383" s="742" t="str">
        <f>Calculs!CE455</f>
        <v>[gCO2e]</v>
      </c>
      <c r="J383" s="742" t="str">
        <f>Calculs!CF455</f>
        <v>[tCO2e]</v>
      </c>
      <c r="K383" s="742"/>
      <c r="L383" s="742" t="str">
        <f>Calculs!CH455</f>
        <v>[kWh]</v>
      </c>
    </row>
    <row r="384" spans="2:12">
      <c r="B384" s="742" t="str">
        <f>Calculs!B456</f>
        <v>23X1</v>
      </c>
      <c r="C384" s="742">
        <f>Calculs!BY456</f>
        <v>0</v>
      </c>
      <c r="D384" s="742">
        <f>Calculs!BZ456</f>
        <v>0</v>
      </c>
      <c r="E384" s="742">
        <f>Calculs!CA456</f>
        <v>0</v>
      </c>
      <c r="F384" s="742">
        <f>Calculs!CB456</f>
        <v>0</v>
      </c>
      <c r="G384" s="742">
        <f>Calculs!CC456</f>
        <v>0</v>
      </c>
      <c r="H384" s="742"/>
      <c r="I384" s="742">
        <f>Calculs!CE456</f>
        <v>0</v>
      </c>
      <c r="J384" s="742">
        <f>Calculs!CF456</f>
        <v>0</v>
      </c>
      <c r="K384" s="742"/>
      <c r="L384" s="742">
        <f>Calculs!CH456</f>
        <v>0</v>
      </c>
    </row>
    <row r="385" spans="2:12">
      <c r="B385" s="742" t="str">
        <f>Calculs!B457</f>
        <v>23X1</v>
      </c>
      <c r="C385" s="742">
        <f>Calculs!BY457</f>
        <v>0</v>
      </c>
      <c r="D385" s="742">
        <f>Calculs!BZ457</f>
        <v>0</v>
      </c>
      <c r="E385" s="742">
        <f>Calculs!CA457</f>
        <v>0</v>
      </c>
      <c r="F385" s="742">
        <f>Calculs!CB457</f>
        <v>0</v>
      </c>
      <c r="G385" s="742">
        <f>Calculs!CC457</f>
        <v>0</v>
      </c>
      <c r="H385" s="742"/>
      <c r="I385" s="742">
        <f>Calculs!CE457</f>
        <v>0</v>
      </c>
      <c r="J385" s="742">
        <f>Calculs!CF457</f>
        <v>0</v>
      </c>
      <c r="K385" s="742"/>
      <c r="L385" s="742">
        <f>Calculs!CH457</f>
        <v>0</v>
      </c>
    </row>
    <row r="386" spans="2:12">
      <c r="B386" s="742" t="str">
        <f>Calculs!B458</f>
        <v>23X1</v>
      </c>
      <c r="C386" s="742">
        <f>Calculs!BY458</f>
        <v>0</v>
      </c>
      <c r="D386" s="742">
        <f>Calculs!BZ458</f>
        <v>0</v>
      </c>
      <c r="E386" s="742">
        <f>Calculs!CA458</f>
        <v>0</v>
      </c>
      <c r="F386" s="742">
        <f>Calculs!CB458</f>
        <v>0</v>
      </c>
      <c r="G386" s="742">
        <f>Calculs!CC458</f>
        <v>0</v>
      </c>
      <c r="H386" s="742"/>
      <c r="I386" s="742">
        <f>Calculs!CE458</f>
        <v>0</v>
      </c>
      <c r="J386" s="742">
        <f>Calculs!CF458</f>
        <v>0</v>
      </c>
      <c r="K386" s="742"/>
      <c r="L386" s="742">
        <f>Calculs!CH458</f>
        <v>0</v>
      </c>
    </row>
    <row r="387" spans="2:12">
      <c r="B387" s="742" t="str">
        <f>Calculs!B459</f>
        <v>23X1</v>
      </c>
      <c r="C387" s="742">
        <f>Calculs!BY459</f>
        <v>0</v>
      </c>
      <c r="D387" s="742">
        <f>Calculs!BZ459</f>
        <v>0</v>
      </c>
      <c r="E387" s="742">
        <f>Calculs!CA459</f>
        <v>0</v>
      </c>
      <c r="F387" s="742">
        <f>Calculs!CB459</f>
        <v>0</v>
      </c>
      <c r="G387" s="742">
        <f>Calculs!CC459</f>
        <v>0</v>
      </c>
      <c r="H387" s="742"/>
      <c r="I387" s="742">
        <f>Calculs!CE459</f>
        <v>0</v>
      </c>
      <c r="J387" s="742">
        <f>Calculs!CF459</f>
        <v>0</v>
      </c>
      <c r="K387" s="742"/>
      <c r="L387" s="742">
        <f>Calculs!CH459</f>
        <v>0</v>
      </c>
    </row>
    <row r="388" spans="2:12">
      <c r="B388" s="742" t="str">
        <f>Calculs!B460</f>
        <v>23X1</v>
      </c>
      <c r="C388" s="742">
        <f>Calculs!BY460</f>
        <v>0</v>
      </c>
      <c r="D388" s="742">
        <f>Calculs!BZ460</f>
        <v>0</v>
      </c>
      <c r="E388" s="742">
        <f>Calculs!CA460</f>
        <v>0</v>
      </c>
      <c r="F388" s="742">
        <f>Calculs!CB460</f>
        <v>0</v>
      </c>
      <c r="G388" s="742">
        <f>Calculs!CC460</f>
        <v>0</v>
      </c>
      <c r="H388" s="742"/>
      <c r="I388" s="742">
        <f>Calculs!CE460</f>
        <v>0</v>
      </c>
      <c r="J388" s="742">
        <f>Calculs!CF460</f>
        <v>0</v>
      </c>
      <c r="K388" s="742"/>
      <c r="L388" s="742">
        <f>Calculs!CH460</f>
        <v>0</v>
      </c>
    </row>
    <row r="389" spans="2:12">
      <c r="B389" s="742" t="str">
        <f>Calculs!B461</f>
        <v>23X1</v>
      </c>
      <c r="C389" s="742">
        <f>Calculs!BY461</f>
        <v>0</v>
      </c>
      <c r="D389" s="742">
        <f>Calculs!BZ461</f>
        <v>0</v>
      </c>
      <c r="E389" s="742">
        <f>Calculs!CA461</f>
        <v>0</v>
      </c>
      <c r="F389" s="742">
        <f>Calculs!CB461</f>
        <v>0</v>
      </c>
      <c r="G389" s="742">
        <f>Calculs!CC461</f>
        <v>0</v>
      </c>
      <c r="H389" s="742"/>
      <c r="I389" s="742">
        <f>Calculs!CE461</f>
        <v>0</v>
      </c>
      <c r="J389" s="742">
        <f>Calculs!CF461</f>
        <v>0</v>
      </c>
      <c r="K389" s="742"/>
      <c r="L389" s="742">
        <f>Calculs!CH461</f>
        <v>0</v>
      </c>
    </row>
    <row r="390" spans="2:12">
      <c r="B390" s="742" t="str">
        <f>Calculs!B462</f>
        <v>23X1</v>
      </c>
      <c r="C390" s="742">
        <f>Calculs!BY462</f>
        <v>0</v>
      </c>
      <c r="D390" s="742">
        <f>Calculs!BZ462</f>
        <v>0</v>
      </c>
      <c r="E390" s="742">
        <f>Calculs!CA462</f>
        <v>0</v>
      </c>
      <c r="F390" s="742">
        <f>Calculs!CB462</f>
        <v>0</v>
      </c>
      <c r="G390" s="742">
        <f>Calculs!CC462</f>
        <v>0</v>
      </c>
      <c r="H390" s="742"/>
      <c r="I390" s="742">
        <f>Calculs!CE462</f>
        <v>0</v>
      </c>
      <c r="J390" s="742">
        <f>Calculs!CF462</f>
        <v>0</v>
      </c>
      <c r="K390" s="742"/>
      <c r="L390" s="742">
        <f>Calculs!CH462</f>
        <v>0</v>
      </c>
    </row>
    <row r="391" spans="2:12">
      <c r="B391" s="742" t="str">
        <f>Calculs!B463</f>
        <v>23X1</v>
      </c>
      <c r="C391" s="742">
        <f>Calculs!BY463</f>
        <v>0</v>
      </c>
      <c r="D391" s="742">
        <f>Calculs!BZ463</f>
        <v>0</v>
      </c>
      <c r="E391" s="742">
        <f>Calculs!CA463</f>
        <v>0</v>
      </c>
      <c r="F391" s="742">
        <f>Calculs!CB463</f>
        <v>0</v>
      </c>
      <c r="G391" s="742">
        <f>Calculs!CC463</f>
        <v>0</v>
      </c>
      <c r="H391" s="742"/>
      <c r="I391" s="742">
        <f>Calculs!CE463</f>
        <v>0</v>
      </c>
      <c r="J391" s="742">
        <f>Calculs!CF463</f>
        <v>0</v>
      </c>
      <c r="K391" s="742"/>
      <c r="L391" s="742">
        <f>Calculs!CH463</f>
        <v>0</v>
      </c>
    </row>
    <row r="392" spans="2:12">
      <c r="B392" s="742" t="str">
        <f>Calculs!B464</f>
        <v>23X1</v>
      </c>
      <c r="C392" s="742">
        <f>Calculs!BY464</f>
        <v>0</v>
      </c>
      <c r="D392" s="742">
        <f>Calculs!BZ464</f>
        <v>0</v>
      </c>
      <c r="E392" s="742">
        <f>Calculs!CA464</f>
        <v>0</v>
      </c>
      <c r="F392" s="742">
        <f>Calculs!CB464</f>
        <v>0</v>
      </c>
      <c r="G392" s="742">
        <f>Calculs!CC464</f>
        <v>0</v>
      </c>
      <c r="H392" s="742"/>
      <c r="I392" s="742">
        <f>Calculs!CE464</f>
        <v>0</v>
      </c>
      <c r="J392" s="742">
        <f>Calculs!CF464</f>
        <v>0</v>
      </c>
      <c r="K392" s="742"/>
      <c r="L392" s="742">
        <f>Calculs!CH464</f>
        <v>0</v>
      </c>
    </row>
    <row r="393" spans="2:12">
      <c r="B393" s="742" t="str">
        <f>Calculs!B465</f>
        <v>23X1</v>
      </c>
      <c r="C393" s="742">
        <f>Calculs!BY465</f>
        <v>0</v>
      </c>
      <c r="D393" s="742">
        <f>Calculs!BZ465</f>
        <v>0</v>
      </c>
      <c r="E393" s="742">
        <f>Calculs!CA465</f>
        <v>0</v>
      </c>
      <c r="F393" s="742">
        <f>Calculs!CB465</f>
        <v>0</v>
      </c>
      <c r="G393" s="742">
        <f>Calculs!CC465</f>
        <v>0</v>
      </c>
      <c r="H393" s="742"/>
      <c r="I393" s="742">
        <f>Calculs!CE465</f>
        <v>0</v>
      </c>
      <c r="J393" s="742">
        <f>Calculs!CF465</f>
        <v>0</v>
      </c>
      <c r="K393" s="742"/>
      <c r="L393" s="742">
        <f>Calculs!CH465</f>
        <v>0</v>
      </c>
    </row>
    <row r="394" spans="2:12">
      <c r="B394" s="742">
        <f>Calculs!B466</f>
        <v>0</v>
      </c>
      <c r="C394" s="742">
        <f>Calculs!BY466</f>
        <v>0</v>
      </c>
      <c r="D394" s="742">
        <f>Calculs!BZ466</f>
        <v>0</v>
      </c>
      <c r="E394" s="742">
        <f>Calculs!CA466</f>
        <v>0</v>
      </c>
      <c r="F394" s="742">
        <f>Calculs!CB466</f>
        <v>0</v>
      </c>
      <c r="G394" s="742">
        <f>Calculs!CC466</f>
        <v>0</v>
      </c>
      <c r="H394" s="742"/>
      <c r="I394" s="742">
        <f>Calculs!CE466</f>
        <v>0</v>
      </c>
      <c r="J394" s="742">
        <f>Calculs!CF466</f>
        <v>0</v>
      </c>
      <c r="K394" s="742"/>
      <c r="L394" s="742">
        <f>Calculs!CH466</f>
        <v>0</v>
      </c>
    </row>
    <row r="395" spans="2:12">
      <c r="B395" s="742">
        <f>Calculs!B467</f>
        <v>0</v>
      </c>
      <c r="C395" s="742">
        <f>Calculs!BY467</f>
        <v>0</v>
      </c>
      <c r="D395" s="742">
        <f>Calculs!BZ467</f>
        <v>0</v>
      </c>
      <c r="E395" s="742">
        <f>Calculs!CA467</f>
        <v>0</v>
      </c>
      <c r="F395" s="742">
        <f>Calculs!CB467</f>
        <v>0</v>
      </c>
      <c r="G395" s="742">
        <f>Calculs!CC467</f>
        <v>0</v>
      </c>
      <c r="H395" s="742"/>
      <c r="I395" s="742">
        <f>Calculs!CE467</f>
        <v>0</v>
      </c>
      <c r="J395" s="742">
        <f>Calculs!CF467</f>
        <v>0</v>
      </c>
      <c r="K395" s="742"/>
      <c r="L395" s="742">
        <f>Calculs!CH467</f>
        <v>0</v>
      </c>
    </row>
    <row r="396" spans="2:12">
      <c r="B396" s="742">
        <f>Calculs!B468</f>
        <v>0</v>
      </c>
      <c r="C396" s="742">
        <f>Calculs!BY468</f>
        <v>0</v>
      </c>
      <c r="D396" s="742">
        <f>Calculs!BZ468</f>
        <v>0</v>
      </c>
      <c r="E396" s="742">
        <f>Calculs!CA468</f>
        <v>0</v>
      </c>
      <c r="F396" s="742">
        <f>Calculs!CB468</f>
        <v>0</v>
      </c>
      <c r="G396" s="742">
        <f>Calculs!CC468</f>
        <v>0</v>
      </c>
      <c r="H396" s="742"/>
      <c r="I396" s="742">
        <f>Calculs!CE468</f>
        <v>0</v>
      </c>
      <c r="J396" s="742">
        <f>Calculs!CF468</f>
        <v>0</v>
      </c>
      <c r="K396" s="742"/>
      <c r="L396" s="742">
        <f>Calculs!CH468</f>
        <v>0</v>
      </c>
    </row>
    <row r="397" spans="2:12">
      <c r="B397" s="742">
        <f>Calculs!B469</f>
        <v>0</v>
      </c>
      <c r="C397" s="742">
        <f>Calculs!BY469</f>
        <v>0</v>
      </c>
      <c r="D397" s="742">
        <f>Calculs!BZ469</f>
        <v>0</v>
      </c>
      <c r="E397" s="742">
        <f>Calculs!CA469</f>
        <v>0</v>
      </c>
      <c r="F397" s="742">
        <f>Calculs!CB469</f>
        <v>0</v>
      </c>
      <c r="G397" s="742">
        <f>Calculs!CC469</f>
        <v>0</v>
      </c>
      <c r="H397" s="742"/>
      <c r="I397" s="742">
        <f>Calculs!CE469</f>
        <v>0</v>
      </c>
      <c r="J397" s="742">
        <f>Calculs!CF469</f>
        <v>0</v>
      </c>
      <c r="K397" s="742"/>
      <c r="L397" s="742">
        <f>Calculs!CH469</f>
        <v>0</v>
      </c>
    </row>
    <row r="398" spans="2:12">
      <c r="B398" s="742">
        <f>Calculs!B470</f>
        <v>0</v>
      </c>
      <c r="C398" s="742">
        <f>Calculs!BY470</f>
        <v>0</v>
      </c>
      <c r="D398" s="742">
        <f>Calculs!BZ470</f>
        <v>0</v>
      </c>
      <c r="E398" s="742">
        <f>Calculs!CA470</f>
        <v>0</v>
      </c>
      <c r="F398" s="742">
        <f>Calculs!CB470</f>
        <v>0</v>
      </c>
      <c r="G398" s="742">
        <f>Calculs!CC470</f>
        <v>0</v>
      </c>
      <c r="H398" s="742"/>
      <c r="I398" s="742">
        <f>Calculs!CE470</f>
        <v>0</v>
      </c>
      <c r="J398" s="742">
        <f>Calculs!CF470</f>
        <v>0</v>
      </c>
      <c r="K398" s="742"/>
      <c r="L398" s="742">
        <f>Calculs!CH470</f>
        <v>0</v>
      </c>
    </row>
    <row r="399" spans="2:12">
      <c r="B399" s="742">
        <f>Calculs!B471</f>
        <v>0</v>
      </c>
      <c r="C399" s="742">
        <f>Calculs!BY471</f>
        <v>0</v>
      </c>
      <c r="D399" s="742">
        <f>Calculs!BZ471</f>
        <v>0</v>
      </c>
      <c r="E399" s="742">
        <f>Calculs!CA471</f>
        <v>0</v>
      </c>
      <c r="F399" s="742">
        <f>Calculs!CB471</f>
        <v>0</v>
      </c>
      <c r="G399" s="742">
        <f>Calculs!CC471</f>
        <v>0</v>
      </c>
      <c r="H399" s="742"/>
      <c r="I399" s="742">
        <f>Calculs!CE471</f>
        <v>0</v>
      </c>
      <c r="J399" s="742">
        <f>Calculs!CF471</f>
        <v>0</v>
      </c>
      <c r="K399" s="742"/>
      <c r="L399" s="742">
        <f>Calculs!CH471</f>
        <v>0</v>
      </c>
    </row>
    <row r="400" spans="2:12">
      <c r="B400" s="742">
        <f>Calculs!B472</f>
        <v>0</v>
      </c>
      <c r="C400" s="742">
        <f>Calculs!BY472</f>
        <v>0</v>
      </c>
      <c r="D400" s="742">
        <f>Calculs!BZ472</f>
        <v>0</v>
      </c>
      <c r="E400" s="742">
        <f>Calculs!CA472</f>
        <v>0</v>
      </c>
      <c r="F400" s="742">
        <f>Calculs!CB472</f>
        <v>0</v>
      </c>
      <c r="G400" s="742">
        <f>Calculs!CC472</f>
        <v>0</v>
      </c>
      <c r="H400" s="742"/>
      <c r="I400" s="742">
        <f>Calculs!CE472</f>
        <v>0</v>
      </c>
      <c r="J400" s="742">
        <f>Calculs!CF472</f>
        <v>0</v>
      </c>
      <c r="K400" s="742"/>
      <c r="L400" s="742">
        <f>Calculs!CH472</f>
        <v>0</v>
      </c>
    </row>
    <row r="401" spans="2:12">
      <c r="B401" s="742">
        <f>Calculs!B473</f>
        <v>0</v>
      </c>
      <c r="C401" s="742">
        <f>Calculs!BY473</f>
        <v>0</v>
      </c>
      <c r="D401" s="742">
        <f>Calculs!BZ473</f>
        <v>0</v>
      </c>
      <c r="E401" s="742">
        <f>Calculs!CA473</f>
        <v>0</v>
      </c>
      <c r="F401" s="742">
        <f>Calculs!CB473</f>
        <v>0</v>
      </c>
      <c r="G401" s="742">
        <f>Calculs!CC473</f>
        <v>0</v>
      </c>
      <c r="H401" s="742"/>
      <c r="I401" s="742">
        <f>Calculs!CE473</f>
        <v>0</v>
      </c>
      <c r="J401" s="742">
        <f>Calculs!CF473</f>
        <v>0</v>
      </c>
      <c r="K401" s="742"/>
      <c r="L401" s="742">
        <f>Calculs!CH473</f>
        <v>0</v>
      </c>
    </row>
    <row r="402" spans="2:12">
      <c r="B402" s="742">
        <f>Calculs!B474</f>
        <v>0</v>
      </c>
      <c r="C402" s="742">
        <f>Calculs!BY474</f>
        <v>0</v>
      </c>
      <c r="D402" s="742">
        <f>Calculs!BZ474</f>
        <v>0</v>
      </c>
      <c r="E402" s="742">
        <f>Calculs!CA474</f>
        <v>0</v>
      </c>
      <c r="F402" s="742">
        <f>Calculs!CB474</f>
        <v>0</v>
      </c>
      <c r="G402" s="742">
        <f>Calculs!CC474</f>
        <v>0</v>
      </c>
      <c r="H402" s="742"/>
      <c r="I402" s="742">
        <f>Calculs!CE474</f>
        <v>0</v>
      </c>
      <c r="J402" s="742">
        <f>Calculs!CF474</f>
        <v>0</v>
      </c>
      <c r="K402" s="742"/>
      <c r="L402" s="742">
        <f>Calculs!CH474</f>
        <v>0</v>
      </c>
    </row>
    <row r="403" spans="2:12">
      <c r="B403" s="742">
        <f>Calculs!B475</f>
        <v>0</v>
      </c>
      <c r="C403" s="742">
        <f>Calculs!BY475</f>
        <v>0</v>
      </c>
      <c r="D403" s="742">
        <f>Calculs!BZ475</f>
        <v>0</v>
      </c>
      <c r="E403" s="742">
        <f>Calculs!CA475</f>
        <v>0</v>
      </c>
      <c r="F403" s="742">
        <f>Calculs!CB475</f>
        <v>0</v>
      </c>
      <c r="G403" s="742">
        <f>Calculs!CC475</f>
        <v>0</v>
      </c>
      <c r="H403" s="742"/>
      <c r="I403" s="742">
        <f>Calculs!CE475</f>
        <v>0</v>
      </c>
      <c r="J403" s="742">
        <f>Calculs!CF475</f>
        <v>0</v>
      </c>
      <c r="K403" s="742"/>
      <c r="L403" s="742">
        <f>Calculs!CH475</f>
        <v>0</v>
      </c>
    </row>
    <row r="404" spans="2:12">
      <c r="B404" s="742">
        <f>Calculs!B476</f>
        <v>0</v>
      </c>
      <c r="C404" s="742">
        <f>Calculs!BY476</f>
        <v>0</v>
      </c>
      <c r="D404" s="742">
        <f>Calculs!BZ476</f>
        <v>0</v>
      </c>
      <c r="E404" s="742">
        <f>Calculs!CA476</f>
        <v>0</v>
      </c>
      <c r="F404" s="742">
        <f>Calculs!CB476</f>
        <v>0</v>
      </c>
      <c r="G404" s="742">
        <f>Calculs!CC476</f>
        <v>0</v>
      </c>
      <c r="H404" s="742"/>
      <c r="I404" s="742">
        <f>Calculs!CE476</f>
        <v>0</v>
      </c>
      <c r="J404" s="742">
        <f>Calculs!CF476</f>
        <v>0</v>
      </c>
      <c r="K404" s="742"/>
      <c r="L404" s="742">
        <f>Calculs!CH476</f>
        <v>0</v>
      </c>
    </row>
    <row r="405" spans="2:12">
      <c r="B405" s="742">
        <f>Calculs!B477</f>
        <v>0</v>
      </c>
      <c r="C405" s="742">
        <f>Calculs!BY477</f>
        <v>0</v>
      </c>
      <c r="D405" s="742">
        <f>Calculs!BZ477</f>
        <v>0</v>
      </c>
      <c r="E405" s="742">
        <f>Calculs!CA477</f>
        <v>0</v>
      </c>
      <c r="F405" s="742">
        <f>Calculs!CB477</f>
        <v>0</v>
      </c>
      <c r="G405" s="742">
        <f>Calculs!CC477</f>
        <v>0</v>
      </c>
      <c r="H405" s="742"/>
      <c r="I405" s="742">
        <f>Calculs!CE477</f>
        <v>0</v>
      </c>
      <c r="J405" s="742">
        <f>Calculs!CF477</f>
        <v>0</v>
      </c>
      <c r="K405" s="742"/>
      <c r="L405" s="742">
        <f>Calculs!CH477</f>
        <v>0</v>
      </c>
    </row>
    <row r="406" spans="2:12">
      <c r="B406" s="742">
        <f>Calculs!B478</f>
        <v>0</v>
      </c>
      <c r="C406" s="742">
        <f>Calculs!BY478</f>
        <v>0</v>
      </c>
      <c r="D406" s="742">
        <f>Calculs!BZ478</f>
        <v>0</v>
      </c>
      <c r="E406" s="742">
        <f>Calculs!CA478</f>
        <v>0</v>
      </c>
      <c r="F406" s="742">
        <f>Calculs!CB478</f>
        <v>0</v>
      </c>
      <c r="G406" s="742">
        <f>Calculs!CC478</f>
        <v>0</v>
      </c>
      <c r="H406" s="742"/>
      <c r="I406" s="742">
        <f>Calculs!CE478</f>
        <v>0</v>
      </c>
      <c r="J406" s="742">
        <f>Calculs!CF478</f>
        <v>0</v>
      </c>
      <c r="K406" s="742"/>
      <c r="L406" s="742">
        <f>Calculs!CH478</f>
        <v>0</v>
      </c>
    </row>
    <row r="407" spans="2:12">
      <c r="B407" s="742">
        <f>Calculs!B479</f>
        <v>0</v>
      </c>
      <c r="C407" s="742">
        <f>Calculs!BY479</f>
        <v>0</v>
      </c>
      <c r="D407" s="742">
        <f>Calculs!BZ479</f>
        <v>0</v>
      </c>
      <c r="E407" s="742">
        <f>Calculs!CA479</f>
        <v>0</v>
      </c>
      <c r="F407" s="742">
        <f>Calculs!CB479</f>
        <v>0</v>
      </c>
      <c r="G407" s="742">
        <f>Calculs!CC479</f>
        <v>0</v>
      </c>
      <c r="H407" s="742"/>
      <c r="I407" s="742">
        <f>Calculs!CE479</f>
        <v>0</v>
      </c>
      <c r="J407" s="742">
        <f>Calculs!CF479</f>
        <v>0</v>
      </c>
      <c r="K407" s="742"/>
      <c r="L407" s="742">
        <f>Calculs!CH479</f>
        <v>0</v>
      </c>
    </row>
    <row r="408" spans="2:12">
      <c r="B408" s="742">
        <f>Calculs!B480</f>
        <v>0</v>
      </c>
      <c r="C408" s="742">
        <f>Calculs!BY480</f>
        <v>0</v>
      </c>
      <c r="D408" s="742">
        <f>Calculs!BZ480</f>
        <v>0</v>
      </c>
      <c r="E408" s="742">
        <f>Calculs!CA480</f>
        <v>0</v>
      </c>
      <c r="F408" s="742">
        <f>Calculs!CB480</f>
        <v>0</v>
      </c>
      <c r="G408" s="742">
        <f>Calculs!CC480</f>
        <v>0</v>
      </c>
      <c r="H408" s="742"/>
      <c r="I408" s="742">
        <f>Calculs!CE480</f>
        <v>0</v>
      </c>
      <c r="J408" s="742">
        <f>Calculs!CF480</f>
        <v>0</v>
      </c>
      <c r="K408" s="742"/>
      <c r="L408" s="742">
        <f>Calculs!CH480</f>
        <v>0</v>
      </c>
    </row>
    <row r="409" spans="2:12">
      <c r="B409" s="742">
        <f>Calculs!B481</f>
        <v>0</v>
      </c>
      <c r="C409" s="742">
        <f>Calculs!BY481</f>
        <v>0</v>
      </c>
      <c r="D409" s="742">
        <f>Calculs!BZ481</f>
        <v>0</v>
      </c>
      <c r="E409" s="742">
        <f>Calculs!CA481</f>
        <v>0</v>
      </c>
      <c r="F409" s="742">
        <f>Calculs!CB481</f>
        <v>0</v>
      </c>
      <c r="G409" s="742">
        <f>Calculs!CC481</f>
        <v>0</v>
      </c>
      <c r="H409" s="742"/>
      <c r="I409" s="742">
        <f>Calculs!CE481</f>
        <v>0</v>
      </c>
      <c r="J409" s="742">
        <f>Calculs!CF481</f>
        <v>0</v>
      </c>
      <c r="K409" s="742"/>
      <c r="L409" s="742">
        <f>Calculs!CH481</f>
        <v>0</v>
      </c>
    </row>
    <row r="410" spans="2:12">
      <c r="B410" s="742">
        <f>Calculs!B482</f>
        <v>0</v>
      </c>
      <c r="C410" s="742">
        <f>Calculs!BY482</f>
        <v>0</v>
      </c>
      <c r="D410" s="742">
        <f>Calculs!BZ482</f>
        <v>0</v>
      </c>
      <c r="E410" s="742">
        <f>Calculs!CA482</f>
        <v>0</v>
      </c>
      <c r="F410" s="742">
        <f>Calculs!CB482</f>
        <v>0</v>
      </c>
      <c r="G410" s="742">
        <f>Calculs!CC482</f>
        <v>0</v>
      </c>
      <c r="H410" s="742"/>
      <c r="I410" s="742">
        <f>Calculs!CE482</f>
        <v>0</v>
      </c>
      <c r="J410" s="742">
        <f>Calculs!CF482</f>
        <v>0</v>
      </c>
      <c r="K410" s="742"/>
      <c r="L410" s="742">
        <f>Calculs!CH482</f>
        <v>0</v>
      </c>
    </row>
    <row r="411" spans="2:12">
      <c r="B411" s="742">
        <f>Calculs!B483</f>
        <v>0</v>
      </c>
      <c r="C411" s="742">
        <f>Calculs!BY483</f>
        <v>0</v>
      </c>
      <c r="D411" s="742">
        <f>Calculs!BZ483</f>
        <v>0</v>
      </c>
      <c r="E411" s="742">
        <f>Calculs!CA483</f>
        <v>0</v>
      </c>
      <c r="F411" s="742">
        <f>Calculs!CB483</f>
        <v>0</v>
      </c>
      <c r="G411" s="742">
        <f>Calculs!CC483</f>
        <v>0</v>
      </c>
      <c r="H411" s="742"/>
      <c r="I411" s="742">
        <f>Calculs!CE483</f>
        <v>0</v>
      </c>
      <c r="J411" s="742">
        <f>Calculs!CF483</f>
        <v>0</v>
      </c>
      <c r="K411" s="742"/>
      <c r="L411" s="742">
        <f>Calculs!CH483</f>
        <v>0</v>
      </c>
    </row>
    <row r="412" spans="2:12">
      <c r="B412" s="742">
        <f>Calculs!B484</f>
        <v>0</v>
      </c>
      <c r="C412" s="742">
        <f>Calculs!BY484</f>
        <v>0</v>
      </c>
      <c r="D412" s="742">
        <f>Calculs!BZ484</f>
        <v>0</v>
      </c>
      <c r="E412" s="742">
        <f>Calculs!CA484</f>
        <v>0</v>
      </c>
      <c r="F412" s="742">
        <f>Calculs!CB484</f>
        <v>0</v>
      </c>
      <c r="G412" s="742">
        <f>Calculs!CC484</f>
        <v>0</v>
      </c>
      <c r="H412" s="742"/>
      <c r="I412" s="742">
        <f>Calculs!CE484</f>
        <v>0</v>
      </c>
      <c r="J412" s="742">
        <f>Calculs!CF484</f>
        <v>0</v>
      </c>
      <c r="K412" s="742"/>
      <c r="L412" s="742">
        <f>Calculs!CH484</f>
        <v>0</v>
      </c>
    </row>
    <row r="413" spans="2:12">
      <c r="B413" s="742">
        <f>Calculs!B485</f>
        <v>0</v>
      </c>
      <c r="C413" s="742">
        <f>Calculs!BY485</f>
        <v>0</v>
      </c>
      <c r="D413" s="742">
        <f>Calculs!BZ485</f>
        <v>0</v>
      </c>
      <c r="E413" s="742">
        <f>Calculs!CA485</f>
        <v>0</v>
      </c>
      <c r="F413" s="742">
        <f>Calculs!CB485</f>
        <v>0</v>
      </c>
      <c r="G413" s="742">
        <f>Calculs!CC485</f>
        <v>0</v>
      </c>
      <c r="H413" s="742"/>
      <c r="I413" s="742">
        <f>Calculs!CE485</f>
        <v>0</v>
      </c>
      <c r="J413" s="742">
        <f>Calculs!CF485</f>
        <v>0</v>
      </c>
      <c r="K413" s="742"/>
      <c r="L413" s="742">
        <f>Calculs!CH485</f>
        <v>0</v>
      </c>
    </row>
    <row r="414" spans="2:12">
      <c r="B414" s="742">
        <f>Calculs!B486</f>
        <v>0</v>
      </c>
      <c r="C414" s="742">
        <f>Calculs!BY486</f>
        <v>0</v>
      </c>
      <c r="D414" s="742">
        <f>Calculs!BZ486</f>
        <v>0</v>
      </c>
      <c r="E414" s="742">
        <f>Calculs!CA486</f>
        <v>0</v>
      </c>
      <c r="F414" s="742">
        <f>Calculs!CB486</f>
        <v>0</v>
      </c>
      <c r="G414" s="742">
        <f>Calculs!CC486</f>
        <v>0</v>
      </c>
      <c r="H414" s="742"/>
      <c r="I414" s="742">
        <f>Calculs!CE486</f>
        <v>0</v>
      </c>
      <c r="J414" s="742">
        <f>Calculs!CF486</f>
        <v>0</v>
      </c>
      <c r="K414" s="742"/>
      <c r="L414" s="742">
        <f>Calculs!CH486</f>
        <v>0</v>
      </c>
    </row>
    <row r="415" spans="2:12">
      <c r="B415" s="742">
        <f>Calculs!B487</f>
        <v>0</v>
      </c>
      <c r="C415" s="742">
        <f>Calculs!BY487</f>
        <v>0</v>
      </c>
      <c r="D415" s="742">
        <f>Calculs!BZ487</f>
        <v>0</v>
      </c>
      <c r="E415" s="742">
        <f>Calculs!CA487</f>
        <v>0</v>
      </c>
      <c r="F415" s="742">
        <f>Calculs!CB487</f>
        <v>0</v>
      </c>
      <c r="G415" s="742">
        <f>Calculs!CC487</f>
        <v>0</v>
      </c>
      <c r="H415" s="742"/>
      <c r="I415" s="742">
        <f>Calculs!CE487</f>
        <v>0</v>
      </c>
      <c r="J415" s="742">
        <f>Calculs!CF487</f>
        <v>0</v>
      </c>
      <c r="K415" s="742"/>
      <c r="L415" s="742">
        <f>Calculs!CH487</f>
        <v>0</v>
      </c>
    </row>
    <row r="416" spans="2:12">
      <c r="B416" s="742">
        <f>Calculs!B488</f>
        <v>0</v>
      </c>
      <c r="C416" s="742">
        <f>Calculs!BY488</f>
        <v>0</v>
      </c>
      <c r="D416" s="742">
        <f>Calculs!BZ488</f>
        <v>0</v>
      </c>
      <c r="E416" s="742">
        <f>Calculs!CA488</f>
        <v>0</v>
      </c>
      <c r="F416" s="742">
        <f>Calculs!CB488</f>
        <v>0</v>
      </c>
      <c r="G416" s="742">
        <f>Calculs!CC488</f>
        <v>0</v>
      </c>
      <c r="H416" s="742"/>
      <c r="I416" s="742">
        <f>Calculs!CE488</f>
        <v>0</v>
      </c>
      <c r="J416" s="742">
        <f>Calculs!CF488</f>
        <v>0</v>
      </c>
      <c r="K416" s="742"/>
      <c r="L416" s="742">
        <f>Calculs!CH488</f>
        <v>0</v>
      </c>
    </row>
    <row r="417" spans="2:12">
      <c r="B417" s="742">
        <f>Calculs!B489</f>
        <v>0</v>
      </c>
      <c r="C417" s="742">
        <f>Calculs!BY489</f>
        <v>0</v>
      </c>
      <c r="D417" s="742">
        <f>Calculs!BZ489</f>
        <v>0</v>
      </c>
      <c r="E417" s="742">
        <f>Calculs!CA489</f>
        <v>0</v>
      </c>
      <c r="F417" s="742">
        <f>Calculs!CB489</f>
        <v>0</v>
      </c>
      <c r="G417" s="742">
        <f>Calculs!CC489</f>
        <v>0</v>
      </c>
      <c r="H417" s="742"/>
      <c r="I417" s="742">
        <f>Calculs!CE489</f>
        <v>0</v>
      </c>
      <c r="J417" s="742">
        <f>Calculs!CF489</f>
        <v>0</v>
      </c>
      <c r="K417" s="742"/>
      <c r="L417" s="742">
        <f>Calculs!CH489</f>
        <v>0</v>
      </c>
    </row>
    <row r="418" spans="2:12">
      <c r="B418" s="742">
        <f>Calculs!B490</f>
        <v>0</v>
      </c>
      <c r="C418" s="742">
        <f>Calculs!BY490</f>
        <v>0</v>
      </c>
      <c r="D418" s="742">
        <f>Calculs!BZ490</f>
        <v>0</v>
      </c>
      <c r="E418" s="742">
        <f>Calculs!CA490</f>
        <v>0</v>
      </c>
      <c r="F418" s="742">
        <f>Calculs!CB490</f>
        <v>0</v>
      </c>
      <c r="G418" s="742">
        <f>Calculs!CC490</f>
        <v>0</v>
      </c>
      <c r="H418" s="742"/>
      <c r="I418" s="742">
        <f>Calculs!CE490</f>
        <v>0</v>
      </c>
      <c r="J418" s="742">
        <f>Calculs!CF490</f>
        <v>0</v>
      </c>
      <c r="K418" s="742"/>
      <c r="L418" s="742">
        <f>Calculs!CH490</f>
        <v>0</v>
      </c>
    </row>
    <row r="419" spans="2:12">
      <c r="B419" s="742">
        <f>Calculs!B491</f>
        <v>0</v>
      </c>
      <c r="C419" s="742">
        <f>Calculs!BY491</f>
        <v>0</v>
      </c>
      <c r="D419" s="742">
        <f>Calculs!BZ491</f>
        <v>0</v>
      </c>
      <c r="E419" s="742">
        <f>Calculs!CA491</f>
        <v>0</v>
      </c>
      <c r="F419" s="742">
        <f>Calculs!CB491</f>
        <v>0</v>
      </c>
      <c r="G419" s="742">
        <f>Calculs!CC491</f>
        <v>0</v>
      </c>
      <c r="H419" s="742"/>
      <c r="I419" s="742">
        <f>Calculs!CE491</f>
        <v>0</v>
      </c>
      <c r="J419" s="742">
        <f>Calculs!CF491</f>
        <v>0</v>
      </c>
      <c r="K419" s="742"/>
      <c r="L419" s="742">
        <f>Calculs!CH491</f>
        <v>0</v>
      </c>
    </row>
    <row r="420" spans="2:12">
      <c r="B420" s="742">
        <f>Calculs!B492</f>
        <v>0</v>
      </c>
      <c r="C420" s="742">
        <f>Calculs!BY492</f>
        <v>0</v>
      </c>
      <c r="D420" s="742">
        <f>Calculs!BZ492</f>
        <v>0</v>
      </c>
      <c r="E420" s="742">
        <f>Calculs!CA492</f>
        <v>0</v>
      </c>
      <c r="F420" s="742">
        <f>Calculs!CB492</f>
        <v>0</v>
      </c>
      <c r="G420" s="742">
        <f>Calculs!CC492</f>
        <v>0</v>
      </c>
      <c r="H420" s="742"/>
      <c r="I420" s="742">
        <f>Calculs!CE492</f>
        <v>0</v>
      </c>
      <c r="J420" s="742">
        <f>Calculs!CF492</f>
        <v>0</v>
      </c>
      <c r="K420" s="742"/>
      <c r="L420" s="742">
        <f>Calculs!CH492</f>
        <v>0</v>
      </c>
    </row>
    <row r="421" spans="2:12">
      <c r="B421" s="742">
        <f>Calculs!B493</f>
        <v>0</v>
      </c>
      <c r="C421" s="742">
        <f>Calculs!BY493</f>
        <v>0</v>
      </c>
      <c r="D421" s="742">
        <f>Calculs!BZ493</f>
        <v>0</v>
      </c>
      <c r="E421" s="742">
        <f>Calculs!CA493</f>
        <v>0</v>
      </c>
      <c r="F421" s="742">
        <f>Calculs!CB493</f>
        <v>0</v>
      </c>
      <c r="G421" s="742">
        <f>Calculs!CC493</f>
        <v>0</v>
      </c>
      <c r="H421" s="742"/>
      <c r="I421" s="742">
        <f>Calculs!CE493</f>
        <v>0</v>
      </c>
      <c r="J421" s="742">
        <f>Calculs!CF493</f>
        <v>0</v>
      </c>
      <c r="K421" s="742"/>
      <c r="L421" s="742">
        <f>Calculs!CH493</f>
        <v>0</v>
      </c>
    </row>
    <row r="422" spans="2:12">
      <c r="B422" s="742">
        <f>Calculs!B494</f>
        <v>0</v>
      </c>
      <c r="C422" s="742">
        <f>Calculs!BY494</f>
        <v>0</v>
      </c>
      <c r="D422" s="742">
        <f>Calculs!BZ494</f>
        <v>0</v>
      </c>
      <c r="E422" s="742">
        <f>Calculs!CA494</f>
        <v>0</v>
      </c>
      <c r="F422" s="742">
        <f>Calculs!CB494</f>
        <v>0</v>
      </c>
      <c r="G422" s="742">
        <f>Calculs!CC494</f>
        <v>0</v>
      </c>
      <c r="H422" s="742"/>
      <c r="I422" s="742">
        <f>Calculs!CE494</f>
        <v>0</v>
      </c>
      <c r="J422" s="742">
        <f>Calculs!CF494</f>
        <v>0</v>
      </c>
      <c r="K422" s="742"/>
      <c r="L422" s="742">
        <f>Calculs!CH494</f>
        <v>0</v>
      </c>
    </row>
    <row r="423" spans="2:12">
      <c r="B423" s="742">
        <f>Calculs!B495</f>
        <v>0</v>
      </c>
      <c r="C423" s="742">
        <f>Calculs!BY495</f>
        <v>0</v>
      </c>
      <c r="D423" s="742">
        <f>Calculs!BZ495</f>
        <v>0</v>
      </c>
      <c r="E423" s="742">
        <f>Calculs!CA495</f>
        <v>0</v>
      </c>
      <c r="F423" s="742">
        <f>Calculs!CB495</f>
        <v>0</v>
      </c>
      <c r="G423" s="742">
        <f>Calculs!CC495</f>
        <v>0</v>
      </c>
      <c r="H423" s="742"/>
      <c r="I423" s="742">
        <f>Calculs!CE495</f>
        <v>0</v>
      </c>
      <c r="J423" s="742">
        <f>Calculs!CF495</f>
        <v>0</v>
      </c>
      <c r="K423" s="742"/>
      <c r="L423" s="742">
        <f>Calculs!CH495</f>
        <v>0</v>
      </c>
    </row>
    <row r="424" spans="2:12">
      <c r="B424" s="742">
        <f>Calculs!B496</f>
        <v>0</v>
      </c>
      <c r="C424" s="742">
        <f>Calculs!BY496</f>
        <v>0</v>
      </c>
      <c r="D424" s="742">
        <f>Calculs!BZ496</f>
        <v>0</v>
      </c>
      <c r="E424" s="742">
        <f>Calculs!CA496</f>
        <v>0</v>
      </c>
      <c r="F424" s="742">
        <f>Calculs!CB496</f>
        <v>0</v>
      </c>
      <c r="G424" s="742">
        <f>Calculs!CC496</f>
        <v>0</v>
      </c>
      <c r="H424" s="742"/>
      <c r="I424" s="742">
        <f>Calculs!CE496</f>
        <v>0</v>
      </c>
      <c r="J424" s="742">
        <f>Calculs!CF496</f>
        <v>0</v>
      </c>
      <c r="K424" s="742"/>
      <c r="L424" s="742">
        <f>Calculs!CH496</f>
        <v>0</v>
      </c>
    </row>
    <row r="425" spans="2:12">
      <c r="B425" s="742">
        <f>Calculs!B497</f>
        <v>0</v>
      </c>
      <c r="C425" s="742">
        <f>Calculs!BY497</f>
        <v>0</v>
      </c>
      <c r="D425" s="742">
        <f>Calculs!BZ497</f>
        <v>0</v>
      </c>
      <c r="E425" s="742">
        <f>Calculs!CA497</f>
        <v>0</v>
      </c>
      <c r="F425" s="742">
        <f>Calculs!CB497</f>
        <v>0</v>
      </c>
      <c r="G425" s="742">
        <f>Calculs!CC497</f>
        <v>0</v>
      </c>
      <c r="H425" s="742"/>
      <c r="I425" s="742">
        <f>Calculs!CE497</f>
        <v>0</v>
      </c>
      <c r="J425" s="742">
        <f>Calculs!CF497</f>
        <v>0</v>
      </c>
      <c r="K425" s="742"/>
      <c r="L425" s="742">
        <f>Calculs!CH497</f>
        <v>0</v>
      </c>
    </row>
    <row r="426" spans="2:12">
      <c r="B426" s="742">
        <f>Calculs!B498</f>
        <v>0</v>
      </c>
      <c r="C426" s="742">
        <f>Calculs!BY498</f>
        <v>0</v>
      </c>
      <c r="D426" s="742">
        <f>Calculs!BZ498</f>
        <v>0</v>
      </c>
      <c r="E426" s="742">
        <f>Calculs!CA498</f>
        <v>0</v>
      </c>
      <c r="F426" s="742">
        <f>Calculs!CB498</f>
        <v>0</v>
      </c>
      <c r="G426" s="742">
        <f>Calculs!CC498</f>
        <v>0</v>
      </c>
      <c r="H426" s="742"/>
      <c r="I426" s="742">
        <f>Calculs!CE498</f>
        <v>0</v>
      </c>
      <c r="J426" s="742">
        <f>Calculs!CF498</f>
        <v>0</v>
      </c>
      <c r="K426" s="742"/>
      <c r="L426" s="742">
        <f>Calculs!CH498</f>
        <v>0</v>
      </c>
    </row>
    <row r="427" spans="2:12">
      <c r="B427" s="742">
        <f>Calculs!B499</f>
        <v>0</v>
      </c>
      <c r="C427" s="742">
        <f>Calculs!BY499</f>
        <v>0</v>
      </c>
      <c r="D427" s="742">
        <f>Calculs!BZ499</f>
        <v>0</v>
      </c>
      <c r="E427" s="742">
        <f>Calculs!CA499</f>
        <v>0</v>
      </c>
      <c r="F427" s="742">
        <f>Calculs!CB499</f>
        <v>0</v>
      </c>
      <c r="G427" s="742">
        <f>Calculs!CC499</f>
        <v>0</v>
      </c>
      <c r="H427" s="742"/>
      <c r="I427" s="742">
        <f>Calculs!CE499</f>
        <v>0</v>
      </c>
      <c r="J427" s="742">
        <f>Calculs!CF499</f>
        <v>0</v>
      </c>
      <c r="K427" s="742"/>
      <c r="L427" s="742">
        <f>Calculs!CH499</f>
        <v>0</v>
      </c>
    </row>
    <row r="428" spans="2:12">
      <c r="B428" s="742">
        <f>Calculs!B500</f>
        <v>0</v>
      </c>
      <c r="C428" s="742">
        <f>Calculs!BY500</f>
        <v>0</v>
      </c>
      <c r="D428" s="742">
        <f>Calculs!BZ500</f>
        <v>0</v>
      </c>
      <c r="E428" s="742">
        <f>Calculs!CA500</f>
        <v>0</v>
      </c>
      <c r="F428" s="742">
        <f>Calculs!CB500</f>
        <v>0</v>
      </c>
      <c r="G428" s="742">
        <f>Calculs!CC500</f>
        <v>0</v>
      </c>
      <c r="H428" s="742"/>
      <c r="I428" s="742">
        <f>Calculs!CE500</f>
        <v>0</v>
      </c>
      <c r="J428" s="742">
        <f>Calculs!CF500</f>
        <v>0</v>
      </c>
      <c r="K428" s="742"/>
      <c r="L428" s="742">
        <f>Calculs!CH500</f>
        <v>0</v>
      </c>
    </row>
    <row r="429" spans="2:12">
      <c r="B429" s="742">
        <f>Calculs!B501</f>
        <v>0</v>
      </c>
      <c r="C429" s="742">
        <f>Calculs!BY501</f>
        <v>0</v>
      </c>
      <c r="D429" s="742">
        <f>Calculs!BZ501</f>
        <v>0</v>
      </c>
      <c r="E429" s="742">
        <f>Calculs!CA501</f>
        <v>0</v>
      </c>
      <c r="F429" s="742">
        <f>Calculs!CB501</f>
        <v>0</v>
      </c>
      <c r="G429" s="742">
        <f>Calculs!CC501</f>
        <v>0</v>
      </c>
      <c r="H429" s="742"/>
      <c r="I429" s="742">
        <f>Calculs!CE501</f>
        <v>0</v>
      </c>
      <c r="J429" s="742">
        <f>Calculs!CF501</f>
        <v>0</v>
      </c>
      <c r="K429" s="742"/>
      <c r="L429" s="742">
        <f>Calculs!CH501</f>
        <v>0</v>
      </c>
    </row>
    <row r="430" spans="2:12">
      <c r="B430" s="742">
        <f>Calculs!B502</f>
        <v>0</v>
      </c>
      <c r="C430" s="742">
        <f>Calculs!BY502</f>
        <v>0</v>
      </c>
      <c r="D430" s="742">
        <f>Calculs!BZ502</f>
        <v>0</v>
      </c>
      <c r="E430" s="742">
        <f>Calculs!CA502</f>
        <v>0</v>
      </c>
      <c r="F430" s="742">
        <f>Calculs!CB502</f>
        <v>0</v>
      </c>
      <c r="G430" s="742">
        <f>Calculs!CC502</f>
        <v>0</v>
      </c>
      <c r="H430" s="742"/>
      <c r="I430" s="742">
        <f>Calculs!CE502</f>
        <v>0</v>
      </c>
      <c r="J430" s="742">
        <f>Calculs!CF502</f>
        <v>0</v>
      </c>
      <c r="K430" s="742"/>
      <c r="L430" s="742">
        <f>Calculs!CH502</f>
        <v>0</v>
      </c>
    </row>
    <row r="431" spans="2:12">
      <c r="B431" s="742">
        <f>Calculs!B503</f>
        <v>0</v>
      </c>
      <c r="C431" s="742">
        <f>Calculs!BY503</f>
        <v>0</v>
      </c>
      <c r="D431" s="742">
        <f>Calculs!BZ503</f>
        <v>0</v>
      </c>
      <c r="E431" s="742">
        <f>Calculs!CA503</f>
        <v>0</v>
      </c>
      <c r="F431" s="742">
        <f>Calculs!CB503</f>
        <v>0</v>
      </c>
      <c r="G431" s="742">
        <f>Calculs!CC503</f>
        <v>0</v>
      </c>
      <c r="H431" s="742"/>
      <c r="I431" s="742">
        <f>Calculs!CE503</f>
        <v>0</v>
      </c>
      <c r="J431" s="742">
        <f>Calculs!CF503</f>
        <v>0</v>
      </c>
      <c r="K431" s="742"/>
      <c r="L431" s="742">
        <f>Calculs!CH503</f>
        <v>0</v>
      </c>
    </row>
    <row r="432" spans="2:12">
      <c r="B432" s="742">
        <f>Calculs!B504</f>
        <v>0</v>
      </c>
      <c r="C432" s="742">
        <f>Calculs!BY504</f>
        <v>0</v>
      </c>
      <c r="D432" s="742">
        <f>Calculs!BZ504</f>
        <v>0</v>
      </c>
      <c r="E432" s="742">
        <f>Calculs!CA504</f>
        <v>0</v>
      </c>
      <c r="F432" s="742">
        <f>Calculs!CB504</f>
        <v>0</v>
      </c>
      <c r="G432" s="742">
        <f>Calculs!CC504</f>
        <v>0</v>
      </c>
      <c r="H432" s="742"/>
      <c r="I432" s="742">
        <f>Calculs!CE504</f>
        <v>0</v>
      </c>
      <c r="J432" s="742">
        <f>Calculs!CF504</f>
        <v>0</v>
      </c>
      <c r="K432" s="742"/>
      <c r="L432" s="742">
        <f>Calculs!CH504</f>
        <v>0</v>
      </c>
    </row>
    <row r="433" spans="2:12">
      <c r="B433" s="742">
        <f>Calculs!B505</f>
        <v>0</v>
      </c>
      <c r="C433" s="742">
        <f>Calculs!BY505</f>
        <v>0</v>
      </c>
      <c r="D433" s="742">
        <f>Calculs!BZ505</f>
        <v>0</v>
      </c>
      <c r="E433" s="742">
        <f>Calculs!CA505</f>
        <v>0</v>
      </c>
      <c r="F433" s="742">
        <f>Calculs!CB505</f>
        <v>0</v>
      </c>
      <c r="G433" s="742">
        <f>Calculs!CC505</f>
        <v>0</v>
      </c>
      <c r="H433" s="742"/>
      <c r="I433" s="742">
        <f>Calculs!CE505</f>
        <v>0</v>
      </c>
      <c r="J433" s="742">
        <f>Calculs!CF505</f>
        <v>0</v>
      </c>
      <c r="K433" s="742"/>
      <c r="L433" s="742">
        <f>Calculs!CH505</f>
        <v>0</v>
      </c>
    </row>
    <row r="434" spans="2:12">
      <c r="B434" s="742">
        <f>Calculs!B506</f>
        <v>0</v>
      </c>
      <c r="C434" s="742">
        <f>Calculs!BY506</f>
        <v>0</v>
      </c>
      <c r="D434" s="742">
        <f>Calculs!BZ506</f>
        <v>0</v>
      </c>
      <c r="E434" s="742">
        <f>Calculs!CA506</f>
        <v>0</v>
      </c>
      <c r="F434" s="742">
        <f>Calculs!CB506</f>
        <v>0</v>
      </c>
      <c r="G434" s="742">
        <f>Calculs!CC506</f>
        <v>0</v>
      </c>
      <c r="H434" s="742"/>
      <c r="I434" s="742">
        <f>Calculs!CE506</f>
        <v>0</v>
      </c>
      <c r="J434" s="742">
        <f>Calculs!CF506</f>
        <v>0</v>
      </c>
      <c r="K434" s="742"/>
      <c r="L434" s="742">
        <f>Calculs!CH506</f>
        <v>0</v>
      </c>
    </row>
    <row r="435" spans="2:12">
      <c r="B435" s="742">
        <f>Calculs!B507</f>
        <v>0</v>
      </c>
      <c r="C435" s="742">
        <f>Calculs!BY507</f>
        <v>0</v>
      </c>
      <c r="D435" s="742">
        <f>Calculs!BZ507</f>
        <v>0</v>
      </c>
      <c r="E435" s="742">
        <f>Calculs!CA507</f>
        <v>0</v>
      </c>
      <c r="F435" s="742">
        <f>Calculs!CB507</f>
        <v>0</v>
      </c>
      <c r="G435" s="742">
        <f>Calculs!CC507</f>
        <v>0</v>
      </c>
      <c r="H435" s="742"/>
      <c r="I435" s="742">
        <f>Calculs!CE507</f>
        <v>0</v>
      </c>
      <c r="J435" s="742">
        <f>Calculs!CF507</f>
        <v>0</v>
      </c>
      <c r="K435" s="742"/>
      <c r="L435" s="742">
        <f>Calculs!CH507</f>
        <v>0</v>
      </c>
    </row>
    <row r="436" spans="2:12">
      <c r="B436" s="742">
        <f>Calculs!B508</f>
        <v>0</v>
      </c>
      <c r="C436" s="742">
        <f>Calculs!BY508</f>
        <v>0</v>
      </c>
      <c r="D436" s="742">
        <f>Calculs!BZ508</f>
        <v>0</v>
      </c>
      <c r="E436" s="742">
        <f>Calculs!CA508</f>
        <v>0</v>
      </c>
      <c r="F436" s="742">
        <f>Calculs!CB508</f>
        <v>0</v>
      </c>
      <c r="G436" s="742">
        <f>Calculs!CC508</f>
        <v>0</v>
      </c>
      <c r="H436" s="742"/>
      <c r="I436" s="742">
        <f>Calculs!CE508</f>
        <v>0</v>
      </c>
      <c r="J436" s="742">
        <f>Calculs!CF508</f>
        <v>0</v>
      </c>
      <c r="K436" s="742"/>
      <c r="L436" s="742">
        <f>Calculs!CH508</f>
        <v>0</v>
      </c>
    </row>
    <row r="437" spans="2:12">
      <c r="B437" s="742">
        <f>Calculs!B509</f>
        <v>0</v>
      </c>
      <c r="C437" s="742">
        <f>Calculs!BY509</f>
        <v>0</v>
      </c>
      <c r="D437" s="742">
        <f>Calculs!BZ509</f>
        <v>0</v>
      </c>
      <c r="E437" s="742">
        <f>Calculs!CA509</f>
        <v>0</v>
      </c>
      <c r="F437" s="742">
        <f>Calculs!CB509</f>
        <v>0</v>
      </c>
      <c r="G437" s="742">
        <f>Calculs!CC509</f>
        <v>0</v>
      </c>
      <c r="H437" s="742"/>
      <c r="I437" s="742">
        <f>Calculs!CE509</f>
        <v>0</v>
      </c>
      <c r="J437" s="742">
        <f>Calculs!CF509</f>
        <v>0</v>
      </c>
      <c r="K437" s="742"/>
      <c r="L437" s="742">
        <f>Calculs!CH509</f>
        <v>0</v>
      </c>
    </row>
    <row r="438" spans="2:12">
      <c r="B438" s="742">
        <f>Calculs!B510</f>
        <v>0</v>
      </c>
      <c r="C438" s="742">
        <f>Calculs!BY510</f>
        <v>0</v>
      </c>
      <c r="D438" s="742">
        <f>Calculs!BZ510</f>
        <v>0</v>
      </c>
      <c r="E438" s="742">
        <f>Calculs!CA510</f>
        <v>0</v>
      </c>
      <c r="F438" s="742">
        <f>Calculs!CB510</f>
        <v>0</v>
      </c>
      <c r="G438" s="742">
        <f>Calculs!CC510</f>
        <v>0</v>
      </c>
      <c r="H438" s="742"/>
      <c r="I438" s="742">
        <f>Calculs!CE510</f>
        <v>0</v>
      </c>
      <c r="J438" s="742">
        <f>Calculs!CF510</f>
        <v>0</v>
      </c>
      <c r="K438" s="742"/>
      <c r="L438" s="742">
        <f>Calculs!CH510</f>
        <v>0</v>
      </c>
    </row>
    <row r="439" spans="2:12">
      <c r="B439" s="742">
        <f>Calculs!B511</f>
        <v>0</v>
      </c>
      <c r="C439" s="742">
        <f>Calculs!BY511</f>
        <v>0</v>
      </c>
      <c r="D439" s="742">
        <f>Calculs!BZ511</f>
        <v>0</v>
      </c>
      <c r="E439" s="742">
        <f>Calculs!CA511</f>
        <v>0</v>
      </c>
      <c r="F439" s="742">
        <f>Calculs!CB511</f>
        <v>0</v>
      </c>
      <c r="G439" s="742">
        <f>Calculs!CC511</f>
        <v>0</v>
      </c>
      <c r="H439" s="742"/>
      <c r="I439" s="742">
        <f>Calculs!CE511</f>
        <v>0</v>
      </c>
      <c r="J439" s="742">
        <f>Calculs!CF511</f>
        <v>0</v>
      </c>
      <c r="K439" s="742"/>
      <c r="L439" s="742">
        <f>Calculs!CH511</f>
        <v>0</v>
      </c>
    </row>
    <row r="440" spans="2:12">
      <c r="B440" s="742">
        <f>Calculs!B512</f>
        <v>0</v>
      </c>
      <c r="C440" s="742">
        <f>Calculs!BY512</f>
        <v>0</v>
      </c>
      <c r="D440" s="742">
        <f>Calculs!BZ512</f>
        <v>0</v>
      </c>
      <c r="E440" s="742">
        <f>Calculs!CA512</f>
        <v>0</v>
      </c>
      <c r="F440" s="742">
        <f>Calculs!CB512</f>
        <v>0</v>
      </c>
      <c r="G440" s="742">
        <f>Calculs!CC512</f>
        <v>0</v>
      </c>
      <c r="H440" s="742"/>
      <c r="I440" s="742">
        <f>Calculs!CE512</f>
        <v>0</v>
      </c>
      <c r="J440" s="742">
        <f>Calculs!CF512</f>
        <v>0</v>
      </c>
      <c r="K440" s="742"/>
      <c r="L440" s="742">
        <f>Calculs!CH512</f>
        <v>0</v>
      </c>
    </row>
    <row r="441" spans="2:12">
      <c r="B441" s="742">
        <f>Calculs!B513</f>
        <v>0</v>
      </c>
      <c r="C441" s="742">
        <f>Calculs!BY513</f>
        <v>0</v>
      </c>
      <c r="D441" s="742">
        <f>Calculs!BZ513</f>
        <v>0</v>
      </c>
      <c r="E441" s="742">
        <f>Calculs!CA513</f>
        <v>0</v>
      </c>
      <c r="F441" s="742">
        <f>Calculs!CB513</f>
        <v>0</v>
      </c>
      <c r="G441" s="742">
        <f>Calculs!CC513</f>
        <v>0</v>
      </c>
      <c r="H441" s="742"/>
      <c r="I441" s="742">
        <f>Calculs!CE513</f>
        <v>0</v>
      </c>
      <c r="J441" s="742">
        <f>Calculs!CF513</f>
        <v>0</v>
      </c>
      <c r="K441" s="742"/>
      <c r="L441" s="742">
        <f>Calculs!CH513</f>
        <v>0</v>
      </c>
    </row>
    <row r="442" spans="2:12">
      <c r="B442" s="742">
        <f>Calculs!B514</f>
        <v>0</v>
      </c>
      <c r="C442" s="742">
        <f>Calculs!BY514</f>
        <v>0</v>
      </c>
      <c r="D442" s="742">
        <f>Calculs!BZ514</f>
        <v>0</v>
      </c>
      <c r="E442" s="742">
        <f>Calculs!CA514</f>
        <v>0</v>
      </c>
      <c r="F442" s="742">
        <f>Calculs!CB514</f>
        <v>0</v>
      </c>
      <c r="G442" s="742">
        <f>Calculs!CC514</f>
        <v>0</v>
      </c>
      <c r="H442" s="742"/>
      <c r="I442" s="742">
        <f>Calculs!CE514</f>
        <v>0</v>
      </c>
      <c r="J442" s="742">
        <f>Calculs!CF514</f>
        <v>0</v>
      </c>
      <c r="K442" s="742"/>
      <c r="L442" s="742">
        <f>Calculs!CH514</f>
        <v>0</v>
      </c>
    </row>
    <row r="443" spans="2:12">
      <c r="B443" s="742">
        <f>Calculs!B515</f>
        <v>0</v>
      </c>
      <c r="C443" s="742">
        <f>Calculs!BY515</f>
        <v>0</v>
      </c>
      <c r="D443" s="742">
        <f>Calculs!BZ515</f>
        <v>0</v>
      </c>
      <c r="E443" s="742">
        <f>Calculs!CA515</f>
        <v>0</v>
      </c>
      <c r="F443" s="742">
        <f>Calculs!CB515</f>
        <v>0</v>
      </c>
      <c r="G443" s="742">
        <f>Calculs!CC515</f>
        <v>0</v>
      </c>
      <c r="H443" s="742"/>
      <c r="I443" s="742">
        <f>Calculs!CE515</f>
        <v>0</v>
      </c>
      <c r="J443" s="742">
        <f>Calculs!CF515</f>
        <v>0</v>
      </c>
      <c r="K443" s="742"/>
      <c r="L443" s="742">
        <f>Calculs!CH515</f>
        <v>0</v>
      </c>
    </row>
    <row r="444" spans="2:12">
      <c r="B444" s="742">
        <f>Calculs!B516</f>
        <v>0</v>
      </c>
      <c r="C444" s="742">
        <f>Calculs!BY516</f>
        <v>0</v>
      </c>
      <c r="D444" s="742">
        <f>Calculs!BZ516</f>
        <v>0</v>
      </c>
      <c r="E444" s="742">
        <f>Calculs!CA516</f>
        <v>0</v>
      </c>
      <c r="F444" s="742">
        <f>Calculs!CB516</f>
        <v>0</v>
      </c>
      <c r="G444" s="742">
        <f>Calculs!CC516</f>
        <v>0</v>
      </c>
      <c r="H444" s="742"/>
      <c r="I444" s="742">
        <f>Calculs!CE516</f>
        <v>0</v>
      </c>
      <c r="J444" s="742">
        <f>Calculs!CF516</f>
        <v>0</v>
      </c>
      <c r="K444" s="742"/>
      <c r="L444" s="742">
        <f>Calculs!CH516</f>
        <v>0</v>
      </c>
    </row>
    <row r="445" spans="2:12">
      <c r="B445" s="742">
        <f>Calculs!B517</f>
        <v>0</v>
      </c>
      <c r="C445" s="742">
        <f>Calculs!BY517</f>
        <v>0</v>
      </c>
      <c r="D445" s="742">
        <f>Calculs!BZ517</f>
        <v>0</v>
      </c>
      <c r="E445" s="742">
        <f>Calculs!CA517</f>
        <v>0</v>
      </c>
      <c r="F445" s="742">
        <f>Calculs!CB517</f>
        <v>0</v>
      </c>
      <c r="G445" s="742">
        <f>Calculs!CC517</f>
        <v>0</v>
      </c>
      <c r="H445" s="742"/>
      <c r="I445" s="742">
        <f>Calculs!CE517</f>
        <v>0</v>
      </c>
      <c r="J445" s="742">
        <f>Calculs!CF517</f>
        <v>0</v>
      </c>
      <c r="K445" s="742"/>
      <c r="L445" s="742">
        <f>Calculs!CH517</f>
        <v>0</v>
      </c>
    </row>
    <row r="446" spans="2:12">
      <c r="B446" s="742">
        <f>Calculs!B518</f>
        <v>0</v>
      </c>
      <c r="C446" s="742">
        <f>Calculs!BY518</f>
        <v>0</v>
      </c>
      <c r="D446" s="742">
        <f>Calculs!BZ518</f>
        <v>0</v>
      </c>
      <c r="E446" s="742">
        <f>Calculs!CA518</f>
        <v>0</v>
      </c>
      <c r="F446" s="742">
        <f>Calculs!CB518</f>
        <v>0</v>
      </c>
      <c r="G446" s="742">
        <f>Calculs!CC518</f>
        <v>0</v>
      </c>
      <c r="H446" s="742"/>
      <c r="I446" s="742">
        <f>Calculs!CE518</f>
        <v>0</v>
      </c>
      <c r="J446" s="742">
        <f>Calculs!CF518</f>
        <v>0</v>
      </c>
      <c r="K446" s="742"/>
      <c r="L446" s="742">
        <f>Calculs!CH518</f>
        <v>0</v>
      </c>
    </row>
    <row r="447" spans="2:12">
      <c r="B447" s="742">
        <f>Calculs!B519</f>
        <v>0</v>
      </c>
      <c r="C447" s="742">
        <f>Calculs!BY519</f>
        <v>0</v>
      </c>
      <c r="D447" s="742">
        <f>Calculs!BZ519</f>
        <v>0</v>
      </c>
      <c r="E447" s="742">
        <f>Calculs!CA519</f>
        <v>0</v>
      </c>
      <c r="F447" s="742">
        <f>Calculs!CB519</f>
        <v>0</v>
      </c>
      <c r="G447" s="742">
        <f>Calculs!CC519</f>
        <v>0</v>
      </c>
      <c r="H447" s="742"/>
      <c r="I447" s="742">
        <f>Calculs!CE519</f>
        <v>0</v>
      </c>
      <c r="J447" s="742">
        <f>Calculs!CF519</f>
        <v>0</v>
      </c>
      <c r="K447" s="742"/>
      <c r="L447" s="742">
        <f>Calculs!CH519</f>
        <v>0</v>
      </c>
    </row>
    <row r="448" spans="2:12">
      <c r="B448" s="742">
        <f>Calculs!B520</f>
        <v>0</v>
      </c>
      <c r="C448" s="742">
        <f>Calculs!BY520</f>
        <v>0</v>
      </c>
      <c r="D448" s="742">
        <f>Calculs!BZ520</f>
        <v>0</v>
      </c>
      <c r="E448" s="742">
        <f>Calculs!CA520</f>
        <v>0</v>
      </c>
      <c r="F448" s="742">
        <f>Calculs!CB520</f>
        <v>0</v>
      </c>
      <c r="G448" s="742">
        <f>Calculs!CC520</f>
        <v>0</v>
      </c>
      <c r="H448" s="742"/>
      <c r="I448" s="742">
        <f>Calculs!CE520</f>
        <v>0</v>
      </c>
      <c r="J448" s="742">
        <f>Calculs!CF520</f>
        <v>0</v>
      </c>
      <c r="K448" s="742"/>
      <c r="L448" s="742">
        <f>Calculs!CH520</f>
        <v>0</v>
      </c>
    </row>
    <row r="449" spans="2:12">
      <c r="B449" s="742">
        <f>Calculs!B521</f>
        <v>0</v>
      </c>
      <c r="C449" s="742">
        <f>Calculs!BY521</f>
        <v>0</v>
      </c>
      <c r="D449" s="742">
        <f>Calculs!BZ521</f>
        <v>0</v>
      </c>
      <c r="E449" s="742">
        <f>Calculs!CA521</f>
        <v>0</v>
      </c>
      <c r="F449" s="742">
        <f>Calculs!CB521</f>
        <v>0</v>
      </c>
      <c r="G449" s="742">
        <f>Calculs!CC521</f>
        <v>0</v>
      </c>
      <c r="H449" s="742"/>
      <c r="I449" s="742">
        <f>Calculs!CE521</f>
        <v>0</v>
      </c>
      <c r="J449" s="742">
        <f>Calculs!CF521</f>
        <v>0</v>
      </c>
      <c r="K449" s="742"/>
      <c r="L449" s="742">
        <f>Calculs!CH521</f>
        <v>0</v>
      </c>
    </row>
    <row r="450" spans="2:12">
      <c r="B450" s="742">
        <f>Calculs!B522</f>
        <v>0</v>
      </c>
      <c r="C450" s="742">
        <f>Calculs!BY522</f>
        <v>0</v>
      </c>
      <c r="D450" s="742">
        <f>Calculs!BZ522</f>
        <v>0</v>
      </c>
      <c r="E450" s="742">
        <f>Calculs!CA522</f>
        <v>0</v>
      </c>
      <c r="F450" s="742">
        <f>Calculs!CB522</f>
        <v>0</v>
      </c>
      <c r="G450" s="742">
        <f>Calculs!CC522</f>
        <v>0</v>
      </c>
      <c r="H450" s="742"/>
      <c r="I450" s="742">
        <f>Calculs!CE522</f>
        <v>0</v>
      </c>
      <c r="J450" s="742">
        <f>Calculs!CF522</f>
        <v>0</v>
      </c>
      <c r="K450" s="742"/>
      <c r="L450" s="742">
        <f>Calculs!CH522</f>
        <v>0</v>
      </c>
    </row>
    <row r="451" spans="2:12">
      <c r="B451" s="742">
        <f>Calculs!B523</f>
        <v>0</v>
      </c>
      <c r="C451" s="742">
        <f>Calculs!BY523</f>
        <v>0</v>
      </c>
      <c r="D451" s="742">
        <f>Calculs!BZ523</f>
        <v>0</v>
      </c>
      <c r="E451" s="742">
        <f>Calculs!CA523</f>
        <v>0</v>
      </c>
      <c r="F451" s="742">
        <f>Calculs!CB523</f>
        <v>0</v>
      </c>
      <c r="G451" s="742">
        <f>Calculs!CC523</f>
        <v>0</v>
      </c>
      <c r="H451" s="742"/>
      <c r="I451" s="742">
        <f>Calculs!CE523</f>
        <v>0</v>
      </c>
      <c r="J451" s="742">
        <f>Calculs!CF523</f>
        <v>0</v>
      </c>
      <c r="K451" s="742"/>
      <c r="L451" s="742">
        <f>Calculs!CH523</f>
        <v>0</v>
      </c>
    </row>
    <row r="452" spans="2:12">
      <c r="B452" s="742">
        <f>Calculs!B524</f>
        <v>0</v>
      </c>
      <c r="C452" s="742">
        <f>Calculs!BY524</f>
        <v>0</v>
      </c>
      <c r="D452" s="742">
        <f>Calculs!BZ524</f>
        <v>0</v>
      </c>
      <c r="E452" s="742">
        <f>Calculs!CA524</f>
        <v>0</v>
      </c>
      <c r="F452" s="742">
        <f>Calculs!CB524</f>
        <v>0</v>
      </c>
      <c r="G452" s="742">
        <f>Calculs!CC524</f>
        <v>0</v>
      </c>
      <c r="H452" s="742"/>
      <c r="I452" s="742">
        <f>Calculs!CE524</f>
        <v>0</v>
      </c>
      <c r="J452" s="742">
        <f>Calculs!CF524</f>
        <v>0</v>
      </c>
      <c r="K452" s="742"/>
      <c r="L452" s="742">
        <f>Calculs!CH524</f>
        <v>0</v>
      </c>
    </row>
    <row r="453" spans="2:12">
      <c r="B453" s="742">
        <f>Calculs!B525</f>
        <v>0</v>
      </c>
      <c r="C453" s="742">
        <f>Calculs!BY525</f>
        <v>0</v>
      </c>
      <c r="D453" s="742">
        <f>Calculs!BZ525</f>
        <v>0</v>
      </c>
      <c r="E453" s="742">
        <f>Calculs!CA525</f>
        <v>0</v>
      </c>
      <c r="F453" s="742">
        <f>Calculs!CB525</f>
        <v>0</v>
      </c>
      <c r="G453" s="742">
        <f>Calculs!CC525</f>
        <v>0</v>
      </c>
      <c r="H453" s="742"/>
      <c r="I453" s="742">
        <f>Calculs!CE525</f>
        <v>0</v>
      </c>
      <c r="J453" s="742">
        <f>Calculs!CF525</f>
        <v>0</v>
      </c>
      <c r="K453" s="742"/>
      <c r="L453" s="742">
        <f>Calculs!CH525</f>
        <v>0</v>
      </c>
    </row>
    <row r="454" spans="2:12">
      <c r="B454" s="742">
        <f>Calculs!B526</f>
        <v>0</v>
      </c>
      <c r="C454" s="742">
        <f>Calculs!BY526</f>
        <v>0</v>
      </c>
      <c r="D454" s="742">
        <f>Calculs!BZ526</f>
        <v>0</v>
      </c>
      <c r="E454" s="742">
        <f>Calculs!CA526</f>
        <v>0</v>
      </c>
      <c r="F454" s="742">
        <f>Calculs!CB526</f>
        <v>0</v>
      </c>
      <c r="G454" s="742">
        <f>Calculs!CC526</f>
        <v>0</v>
      </c>
      <c r="H454" s="742"/>
      <c r="I454" s="742">
        <f>Calculs!CE526</f>
        <v>0</v>
      </c>
      <c r="J454" s="742">
        <f>Calculs!CF526</f>
        <v>0</v>
      </c>
      <c r="K454" s="742"/>
      <c r="L454" s="742">
        <f>Calculs!CH526</f>
        <v>0</v>
      </c>
    </row>
    <row r="455" spans="2:12">
      <c r="B455" s="742">
        <f>Calculs!B527</f>
        <v>0</v>
      </c>
      <c r="C455" s="742">
        <f>Calculs!BY527</f>
        <v>0</v>
      </c>
      <c r="D455" s="742">
        <f>Calculs!BZ527</f>
        <v>0</v>
      </c>
      <c r="E455" s="742">
        <f>Calculs!CA527</f>
        <v>0</v>
      </c>
      <c r="F455" s="742">
        <f>Calculs!CB527</f>
        <v>0</v>
      </c>
      <c r="G455" s="742">
        <f>Calculs!CC527</f>
        <v>0</v>
      </c>
      <c r="H455" s="742"/>
      <c r="I455" s="742">
        <f>Calculs!CE527</f>
        <v>0</v>
      </c>
      <c r="J455" s="742">
        <f>Calculs!CF527</f>
        <v>0</v>
      </c>
      <c r="K455" s="742"/>
      <c r="L455" s="742">
        <f>Calculs!CH527</f>
        <v>0</v>
      </c>
    </row>
    <row r="456" spans="2:12">
      <c r="B456" s="742">
        <f>Calculs!B528</f>
        <v>0</v>
      </c>
      <c r="C456" s="742">
        <f>Calculs!BY528</f>
        <v>0</v>
      </c>
      <c r="D456" s="742">
        <f>Calculs!BZ528</f>
        <v>0</v>
      </c>
      <c r="E456" s="742">
        <f>Calculs!CA528</f>
        <v>0</v>
      </c>
      <c r="F456" s="742">
        <f>Calculs!CB528</f>
        <v>0</v>
      </c>
      <c r="G456" s="742">
        <f>Calculs!CC528</f>
        <v>0</v>
      </c>
      <c r="H456" s="742"/>
      <c r="I456" s="742">
        <f>Calculs!CE528</f>
        <v>0</v>
      </c>
      <c r="J456" s="742">
        <f>Calculs!CF528</f>
        <v>0</v>
      </c>
      <c r="K456" s="742"/>
      <c r="L456" s="742">
        <f>Calculs!CH528</f>
        <v>0</v>
      </c>
    </row>
    <row r="457" spans="2:12">
      <c r="B457" s="742">
        <f>Calculs!B529</f>
        <v>0</v>
      </c>
      <c r="C457" s="742">
        <f>Calculs!BY529</f>
        <v>0</v>
      </c>
      <c r="D457" s="742">
        <f>Calculs!BZ529</f>
        <v>0</v>
      </c>
      <c r="E457" s="742">
        <f>Calculs!CA529</f>
        <v>0</v>
      </c>
      <c r="F457" s="742">
        <f>Calculs!CB529</f>
        <v>0</v>
      </c>
      <c r="G457" s="742">
        <f>Calculs!CC529</f>
        <v>0</v>
      </c>
      <c r="H457" s="742"/>
      <c r="I457" s="742">
        <f>Calculs!CE529</f>
        <v>0</v>
      </c>
      <c r="J457" s="742">
        <f>Calculs!CF529</f>
        <v>0</v>
      </c>
      <c r="K457" s="742"/>
      <c r="L457" s="742">
        <f>Calculs!CH529</f>
        <v>0</v>
      </c>
    </row>
    <row r="458" spans="2:12">
      <c r="B458" s="742">
        <f>Calculs!B530</f>
        <v>0</v>
      </c>
      <c r="C458" s="742">
        <f>Calculs!BY530</f>
        <v>0</v>
      </c>
      <c r="D458" s="742">
        <f>Calculs!BZ530</f>
        <v>0</v>
      </c>
      <c r="E458" s="742">
        <f>Calculs!CA530</f>
        <v>0</v>
      </c>
      <c r="F458" s="742">
        <f>Calculs!CB530</f>
        <v>0</v>
      </c>
      <c r="G458" s="742">
        <f>Calculs!CC530</f>
        <v>0</v>
      </c>
      <c r="H458" s="742"/>
      <c r="I458" s="742">
        <f>Calculs!CE530</f>
        <v>0</v>
      </c>
      <c r="J458" s="742">
        <f>Calculs!CF530</f>
        <v>0</v>
      </c>
      <c r="K458" s="742"/>
      <c r="L458" s="742">
        <f>Calculs!CH530</f>
        <v>0</v>
      </c>
    </row>
    <row r="459" spans="2:12">
      <c r="B459" s="742">
        <f>Calculs!B531</f>
        <v>0</v>
      </c>
      <c r="C459" s="742">
        <f>Calculs!BY531</f>
        <v>0</v>
      </c>
      <c r="D459" s="742">
        <f>Calculs!BZ531</f>
        <v>0</v>
      </c>
      <c r="E459" s="742">
        <f>Calculs!CA531</f>
        <v>0</v>
      </c>
      <c r="F459" s="742">
        <f>Calculs!CB531</f>
        <v>0</v>
      </c>
      <c r="G459" s="742">
        <f>Calculs!CC531</f>
        <v>0</v>
      </c>
      <c r="H459" s="742"/>
      <c r="I459" s="742">
        <f>Calculs!CE531</f>
        <v>0</v>
      </c>
      <c r="J459" s="742">
        <f>Calculs!CF531</f>
        <v>0</v>
      </c>
      <c r="K459" s="742"/>
      <c r="L459" s="742">
        <f>Calculs!CH531</f>
        <v>0</v>
      </c>
    </row>
    <row r="460" spans="2:12">
      <c r="B460" s="742">
        <f>Calculs!B532</f>
        <v>0</v>
      </c>
      <c r="C460" s="742">
        <f>Calculs!BY532</f>
        <v>0</v>
      </c>
      <c r="D460" s="742">
        <f>Calculs!BZ532</f>
        <v>0</v>
      </c>
      <c r="E460" s="742">
        <f>Calculs!CA532</f>
        <v>0</v>
      </c>
      <c r="F460" s="742">
        <f>Calculs!CB532</f>
        <v>0</v>
      </c>
      <c r="G460" s="742">
        <f>Calculs!CC532</f>
        <v>0</v>
      </c>
      <c r="H460" s="742"/>
      <c r="I460" s="742">
        <f>Calculs!CE532</f>
        <v>0</v>
      </c>
      <c r="J460" s="742">
        <f>Calculs!CF532</f>
        <v>0</v>
      </c>
      <c r="K460" s="742"/>
      <c r="L460" s="742">
        <f>Calculs!CH532</f>
        <v>0</v>
      </c>
    </row>
    <row r="461" spans="2:12">
      <c r="B461" s="742">
        <f>Calculs!B533</f>
        <v>0</v>
      </c>
      <c r="C461" s="742">
        <f>Calculs!BY533</f>
        <v>0</v>
      </c>
      <c r="D461" s="742">
        <f>Calculs!BZ533</f>
        <v>0</v>
      </c>
      <c r="E461" s="742">
        <f>Calculs!CA533</f>
        <v>0</v>
      </c>
      <c r="F461" s="742">
        <f>Calculs!CB533</f>
        <v>0</v>
      </c>
      <c r="G461" s="742">
        <f>Calculs!CC533</f>
        <v>0</v>
      </c>
      <c r="H461" s="742"/>
      <c r="I461" s="742">
        <f>Calculs!CE533</f>
        <v>0</v>
      </c>
      <c r="J461" s="742">
        <f>Calculs!CF533</f>
        <v>0</v>
      </c>
      <c r="K461" s="742"/>
      <c r="L461" s="742">
        <f>Calculs!CH533</f>
        <v>0</v>
      </c>
    </row>
    <row r="462" spans="2:12">
      <c r="B462" s="742">
        <f>Calculs!B534</f>
        <v>0</v>
      </c>
      <c r="C462" s="742">
        <f>Calculs!BY534</f>
        <v>0</v>
      </c>
      <c r="D462" s="742">
        <f>Calculs!BZ534</f>
        <v>0</v>
      </c>
      <c r="E462" s="742">
        <f>Calculs!CA534</f>
        <v>0</v>
      </c>
      <c r="F462" s="742">
        <f>Calculs!CB534</f>
        <v>0</v>
      </c>
      <c r="G462" s="742">
        <f>Calculs!CC534</f>
        <v>0</v>
      </c>
      <c r="H462" s="742"/>
      <c r="I462" s="742">
        <f>Calculs!CE534</f>
        <v>0</v>
      </c>
      <c r="J462" s="742">
        <f>Calculs!CF534</f>
        <v>0</v>
      </c>
      <c r="K462" s="742"/>
      <c r="L462" s="742">
        <f>Calculs!CH534</f>
        <v>0</v>
      </c>
    </row>
    <row r="463" spans="2:12">
      <c r="B463" s="742">
        <f>Calculs!B535</f>
        <v>0</v>
      </c>
      <c r="C463" s="742">
        <f>Calculs!BY535</f>
        <v>0</v>
      </c>
      <c r="D463" s="742">
        <f>Calculs!BZ535</f>
        <v>0</v>
      </c>
      <c r="E463" s="742">
        <f>Calculs!CA535</f>
        <v>0</v>
      </c>
      <c r="F463" s="742">
        <f>Calculs!CB535</f>
        <v>0</v>
      </c>
      <c r="G463" s="742">
        <f>Calculs!CC535</f>
        <v>0</v>
      </c>
      <c r="H463" s="742"/>
      <c r="I463" s="742">
        <f>Calculs!CE535</f>
        <v>0</v>
      </c>
      <c r="J463" s="742">
        <f>Calculs!CF535</f>
        <v>0</v>
      </c>
      <c r="K463" s="742"/>
      <c r="L463" s="742">
        <f>Calculs!CH535</f>
        <v>0</v>
      </c>
    </row>
    <row r="464" spans="2:12">
      <c r="B464" s="742">
        <f>Calculs!B536</f>
        <v>0</v>
      </c>
      <c r="C464" s="742">
        <f>Calculs!BY536</f>
        <v>0</v>
      </c>
      <c r="D464" s="742">
        <f>Calculs!BZ536</f>
        <v>0</v>
      </c>
      <c r="E464" s="742">
        <f>Calculs!CA536</f>
        <v>0</v>
      </c>
      <c r="F464" s="742">
        <f>Calculs!CB536</f>
        <v>0</v>
      </c>
      <c r="G464" s="742">
        <f>Calculs!CC536</f>
        <v>0</v>
      </c>
      <c r="H464" s="742"/>
      <c r="I464" s="742">
        <f>Calculs!CE536</f>
        <v>0</v>
      </c>
      <c r="J464" s="742">
        <f>Calculs!CF536</f>
        <v>0</v>
      </c>
      <c r="K464" s="742"/>
      <c r="L464" s="742">
        <f>Calculs!CH536</f>
        <v>0</v>
      </c>
    </row>
    <row r="465" spans="2:12">
      <c r="B465" s="742">
        <f>Calculs!B537</f>
        <v>0</v>
      </c>
      <c r="C465" s="742">
        <f>Calculs!BY537</f>
        <v>0</v>
      </c>
      <c r="D465" s="742">
        <f>Calculs!BZ537</f>
        <v>0</v>
      </c>
      <c r="E465" s="742">
        <f>Calculs!CA537</f>
        <v>0</v>
      </c>
      <c r="F465" s="742">
        <f>Calculs!CB537</f>
        <v>0</v>
      </c>
      <c r="G465" s="742">
        <f>Calculs!CC537</f>
        <v>0</v>
      </c>
      <c r="H465" s="742"/>
      <c r="I465" s="742">
        <f>Calculs!CE537</f>
        <v>0</v>
      </c>
      <c r="J465" s="742">
        <f>Calculs!CF537</f>
        <v>0</v>
      </c>
      <c r="K465" s="742"/>
      <c r="L465" s="742">
        <f>Calculs!CH537</f>
        <v>0</v>
      </c>
    </row>
    <row r="466" spans="2:12">
      <c r="B466" s="742">
        <f>Calculs!B538</f>
        <v>0</v>
      </c>
      <c r="C466" s="742">
        <f>Calculs!BY538</f>
        <v>0</v>
      </c>
      <c r="D466" s="742">
        <f>Calculs!BZ538</f>
        <v>0</v>
      </c>
      <c r="E466" s="742">
        <f>Calculs!CA538</f>
        <v>0</v>
      </c>
      <c r="F466" s="742">
        <f>Calculs!CB538</f>
        <v>0</v>
      </c>
      <c r="G466" s="742">
        <f>Calculs!CC538</f>
        <v>0</v>
      </c>
      <c r="H466" s="742"/>
      <c r="I466" s="742">
        <f>Calculs!CE538</f>
        <v>0</v>
      </c>
      <c r="J466" s="742">
        <f>Calculs!CF538</f>
        <v>0</v>
      </c>
      <c r="K466" s="742"/>
      <c r="L466" s="742">
        <f>Calculs!CH538</f>
        <v>0</v>
      </c>
    </row>
    <row r="467" spans="2:12">
      <c r="B467" s="742">
        <f>Calculs!B539</f>
        <v>0</v>
      </c>
      <c r="C467" s="742">
        <f>Calculs!BY539</f>
        <v>0</v>
      </c>
      <c r="D467" s="742">
        <f>Calculs!BZ539</f>
        <v>0</v>
      </c>
      <c r="E467" s="742">
        <f>Calculs!CA539</f>
        <v>0</v>
      </c>
      <c r="F467" s="742">
        <f>Calculs!CB539</f>
        <v>0</v>
      </c>
      <c r="G467" s="742">
        <f>Calculs!CC539</f>
        <v>0</v>
      </c>
      <c r="H467" s="742"/>
      <c r="I467" s="742">
        <f>Calculs!CE539</f>
        <v>0</v>
      </c>
      <c r="J467" s="742">
        <f>Calculs!CF539</f>
        <v>0</v>
      </c>
      <c r="K467" s="742"/>
      <c r="L467" s="742">
        <f>Calculs!CH539</f>
        <v>0</v>
      </c>
    </row>
    <row r="468" spans="2:12">
      <c r="B468" s="742">
        <f>Calculs!B540</f>
        <v>0</v>
      </c>
      <c r="C468" s="742">
        <f>Calculs!BY540</f>
        <v>0</v>
      </c>
      <c r="D468" s="742">
        <f>Calculs!BZ540</f>
        <v>0</v>
      </c>
      <c r="E468" s="742">
        <f>Calculs!CA540</f>
        <v>0</v>
      </c>
      <c r="F468" s="742">
        <f>Calculs!CB540</f>
        <v>0</v>
      </c>
      <c r="G468" s="742">
        <f>Calculs!CC540</f>
        <v>0</v>
      </c>
      <c r="H468" s="742"/>
      <c r="I468" s="742">
        <f>Calculs!CE540</f>
        <v>0</v>
      </c>
      <c r="J468" s="742">
        <f>Calculs!CF540</f>
        <v>0</v>
      </c>
      <c r="K468" s="742"/>
      <c r="L468" s="742">
        <f>Calculs!CH540</f>
        <v>0</v>
      </c>
    </row>
    <row r="469" spans="2:12">
      <c r="B469" s="742">
        <f>Calculs!B541</f>
        <v>0</v>
      </c>
      <c r="C469" s="742">
        <f>Calculs!BY541</f>
        <v>0</v>
      </c>
      <c r="D469" s="742">
        <f>Calculs!BZ541</f>
        <v>0</v>
      </c>
      <c r="E469" s="742">
        <f>Calculs!CA541</f>
        <v>0</v>
      </c>
      <c r="F469" s="742">
        <f>Calculs!CB541</f>
        <v>0</v>
      </c>
      <c r="G469" s="742">
        <f>Calculs!CC541</f>
        <v>0</v>
      </c>
      <c r="H469" s="742"/>
      <c r="I469" s="742">
        <f>Calculs!CE541</f>
        <v>0</v>
      </c>
      <c r="J469" s="742">
        <f>Calculs!CF541</f>
        <v>0</v>
      </c>
      <c r="K469" s="742"/>
      <c r="L469" s="742">
        <f>Calculs!CH541</f>
        <v>0</v>
      </c>
    </row>
    <row r="470" spans="2:12">
      <c r="B470" s="742">
        <f>Calculs!B542</f>
        <v>0</v>
      </c>
      <c r="C470" s="742">
        <f>Calculs!BY542</f>
        <v>0</v>
      </c>
      <c r="D470" s="742">
        <f>Calculs!BZ542</f>
        <v>0</v>
      </c>
      <c r="E470" s="742">
        <f>Calculs!CA542</f>
        <v>0</v>
      </c>
      <c r="F470" s="742">
        <f>Calculs!CB542</f>
        <v>0</v>
      </c>
      <c r="G470" s="742">
        <f>Calculs!CC542</f>
        <v>0</v>
      </c>
      <c r="H470" s="742"/>
      <c r="I470" s="742">
        <f>Calculs!CE542</f>
        <v>0</v>
      </c>
      <c r="J470" s="742">
        <f>Calculs!CF542</f>
        <v>0</v>
      </c>
      <c r="K470" s="742"/>
      <c r="L470" s="742">
        <f>Calculs!CH542</f>
        <v>0</v>
      </c>
    </row>
    <row r="471" spans="2:12">
      <c r="B471" s="742">
        <f>Calculs!B543</f>
        <v>0</v>
      </c>
      <c r="C471" s="742">
        <f>Calculs!BY543</f>
        <v>0</v>
      </c>
      <c r="D471" s="742">
        <f>Calculs!BZ543</f>
        <v>0</v>
      </c>
      <c r="E471" s="742">
        <f>Calculs!CA543</f>
        <v>0</v>
      </c>
      <c r="F471" s="742">
        <f>Calculs!CB543</f>
        <v>0</v>
      </c>
      <c r="G471" s="742">
        <f>Calculs!CC543</f>
        <v>0</v>
      </c>
      <c r="H471" s="742"/>
      <c r="I471" s="742">
        <f>Calculs!CE543</f>
        <v>0</v>
      </c>
      <c r="J471" s="742">
        <f>Calculs!CF543</f>
        <v>0</v>
      </c>
      <c r="K471" s="742"/>
      <c r="L471" s="742">
        <f>Calculs!CH543</f>
        <v>0</v>
      </c>
    </row>
    <row r="472" spans="2:12">
      <c r="B472" s="742">
        <f>Calculs!B544</f>
        <v>0</v>
      </c>
      <c r="C472" s="742">
        <f>Calculs!BY544</f>
        <v>0</v>
      </c>
      <c r="D472" s="742">
        <f>Calculs!BZ544</f>
        <v>0</v>
      </c>
      <c r="E472" s="742">
        <f>Calculs!CA544</f>
        <v>0</v>
      </c>
      <c r="F472" s="742">
        <f>Calculs!CB544</f>
        <v>0</v>
      </c>
      <c r="G472" s="742">
        <f>Calculs!CC544</f>
        <v>0</v>
      </c>
      <c r="H472" s="742"/>
      <c r="I472" s="742">
        <f>Calculs!CE544</f>
        <v>0</v>
      </c>
      <c r="J472" s="742">
        <f>Calculs!CF544</f>
        <v>0</v>
      </c>
      <c r="K472" s="742"/>
      <c r="L472" s="742">
        <f>Calculs!CH544</f>
        <v>0</v>
      </c>
    </row>
    <row r="473" spans="2:12">
      <c r="B473" s="742">
        <f>Calculs!B545</f>
        <v>0</v>
      </c>
      <c r="C473" s="742">
        <f>Calculs!BY545</f>
        <v>0</v>
      </c>
      <c r="D473" s="742">
        <f>Calculs!BZ545</f>
        <v>0</v>
      </c>
      <c r="E473" s="742">
        <f>Calculs!CA545</f>
        <v>0</v>
      </c>
      <c r="F473" s="742">
        <f>Calculs!CB545</f>
        <v>0</v>
      </c>
      <c r="G473" s="742">
        <f>Calculs!CC545</f>
        <v>0</v>
      </c>
      <c r="H473" s="742"/>
      <c r="I473" s="742">
        <f>Calculs!CE545</f>
        <v>0</v>
      </c>
      <c r="J473" s="742">
        <f>Calculs!CF545</f>
        <v>0</v>
      </c>
      <c r="K473" s="742"/>
      <c r="L473" s="742">
        <f>Calculs!CH545</f>
        <v>0</v>
      </c>
    </row>
    <row r="474" spans="2:12">
      <c r="B474" s="742">
        <f>Calculs!B546</f>
        <v>0</v>
      </c>
      <c r="C474" s="742">
        <f>Calculs!BY546</f>
        <v>0</v>
      </c>
      <c r="D474" s="742">
        <f>Calculs!BZ546</f>
        <v>0</v>
      </c>
      <c r="E474" s="742">
        <f>Calculs!CA546</f>
        <v>0</v>
      </c>
      <c r="F474" s="742">
        <f>Calculs!CB546</f>
        <v>0</v>
      </c>
      <c r="G474" s="742">
        <f>Calculs!CC546</f>
        <v>0</v>
      </c>
      <c r="H474" s="742"/>
      <c r="I474" s="742">
        <f>Calculs!CE546</f>
        <v>0</v>
      </c>
      <c r="J474" s="742">
        <f>Calculs!CF546</f>
        <v>0</v>
      </c>
      <c r="K474" s="742"/>
      <c r="L474" s="742">
        <f>Calculs!CH546</f>
        <v>0</v>
      </c>
    </row>
    <row r="475" spans="2:12">
      <c r="B475" s="742">
        <f>Calculs!B547</f>
        <v>0</v>
      </c>
      <c r="C475" s="742">
        <f>Calculs!BY547</f>
        <v>0</v>
      </c>
      <c r="D475" s="742">
        <f>Calculs!BZ547</f>
        <v>0</v>
      </c>
      <c r="E475" s="742">
        <f>Calculs!CA547</f>
        <v>0</v>
      </c>
      <c r="F475" s="742">
        <f>Calculs!CB547</f>
        <v>0</v>
      </c>
      <c r="G475" s="742">
        <f>Calculs!CC547</f>
        <v>0</v>
      </c>
      <c r="H475" s="742"/>
      <c r="I475" s="742">
        <f>Calculs!CE547</f>
        <v>0</v>
      </c>
      <c r="J475" s="742">
        <f>Calculs!CF547</f>
        <v>0</v>
      </c>
      <c r="K475" s="742"/>
      <c r="L475" s="742">
        <f>Calculs!CH547</f>
        <v>0</v>
      </c>
    </row>
    <row r="476" spans="2:12">
      <c r="B476" s="742">
        <f>Calculs!B548</f>
        <v>0</v>
      </c>
      <c r="C476" s="742">
        <f>Calculs!BY548</f>
        <v>0</v>
      </c>
      <c r="D476" s="742">
        <f>Calculs!BZ548</f>
        <v>0</v>
      </c>
      <c r="E476" s="742">
        <f>Calculs!CA548</f>
        <v>0</v>
      </c>
      <c r="F476" s="742">
        <f>Calculs!CB548</f>
        <v>0</v>
      </c>
      <c r="G476" s="742">
        <f>Calculs!CC548</f>
        <v>0</v>
      </c>
      <c r="H476" s="742"/>
      <c r="I476" s="742">
        <f>Calculs!CE548</f>
        <v>0</v>
      </c>
      <c r="J476" s="742">
        <f>Calculs!CF548</f>
        <v>0</v>
      </c>
      <c r="K476" s="742"/>
      <c r="L476" s="742">
        <f>Calculs!CH548</f>
        <v>0</v>
      </c>
    </row>
    <row r="477" spans="2:12">
      <c r="B477" s="742">
        <f>Calculs!B549</f>
        <v>0</v>
      </c>
      <c r="C477" s="742">
        <f>Calculs!BY549</f>
        <v>0</v>
      </c>
      <c r="D477" s="742">
        <f>Calculs!BZ549</f>
        <v>0</v>
      </c>
      <c r="E477" s="742">
        <f>Calculs!CA549</f>
        <v>0</v>
      </c>
      <c r="F477" s="742">
        <f>Calculs!CB549</f>
        <v>0</v>
      </c>
      <c r="G477" s="742">
        <f>Calculs!CC549</f>
        <v>0</v>
      </c>
      <c r="H477" s="742"/>
      <c r="I477" s="742">
        <f>Calculs!CE549</f>
        <v>0</v>
      </c>
      <c r="J477" s="742">
        <f>Calculs!CF549</f>
        <v>0</v>
      </c>
      <c r="K477" s="742"/>
      <c r="L477" s="742">
        <f>Calculs!CH549</f>
        <v>0</v>
      </c>
    </row>
    <row r="478" spans="2:12">
      <c r="B478" s="742">
        <f>Calculs!B550</f>
        <v>0</v>
      </c>
      <c r="C478" s="742">
        <f>Calculs!BY550</f>
        <v>0</v>
      </c>
      <c r="D478" s="742">
        <f>Calculs!BZ550</f>
        <v>0</v>
      </c>
      <c r="E478" s="742">
        <f>Calculs!CA550</f>
        <v>0</v>
      </c>
      <c r="F478" s="742">
        <f>Calculs!CB550</f>
        <v>0</v>
      </c>
      <c r="G478" s="742">
        <f>Calculs!CC550</f>
        <v>0</v>
      </c>
      <c r="H478" s="742"/>
      <c r="I478" s="742">
        <f>Calculs!CE550</f>
        <v>0</v>
      </c>
      <c r="J478" s="742">
        <f>Calculs!CF550</f>
        <v>0</v>
      </c>
      <c r="K478" s="742"/>
      <c r="L478" s="742">
        <f>Calculs!CH550</f>
        <v>0</v>
      </c>
    </row>
    <row r="479" spans="2:12">
      <c r="B479" s="742">
        <f>Calculs!B551</f>
        <v>0</v>
      </c>
      <c r="C479" s="742">
        <f>Calculs!BY551</f>
        <v>0</v>
      </c>
      <c r="D479" s="742">
        <f>Calculs!BZ551</f>
        <v>0</v>
      </c>
      <c r="E479" s="742">
        <f>Calculs!CA551</f>
        <v>0</v>
      </c>
      <c r="F479" s="742">
        <f>Calculs!CB551</f>
        <v>0</v>
      </c>
      <c r="G479" s="742">
        <f>Calculs!CC551</f>
        <v>0</v>
      </c>
      <c r="H479" s="742"/>
      <c r="I479" s="742">
        <f>Calculs!CE551</f>
        <v>0</v>
      </c>
      <c r="J479" s="742">
        <f>Calculs!CF551</f>
        <v>0</v>
      </c>
      <c r="K479" s="742"/>
      <c r="L479" s="742">
        <f>Calculs!CH551</f>
        <v>0</v>
      </c>
    </row>
    <row r="480" spans="2:12">
      <c r="B480" s="742">
        <f>Calculs!B552</f>
        <v>0</v>
      </c>
      <c r="C480" s="742">
        <f>Calculs!BY552</f>
        <v>0</v>
      </c>
      <c r="D480" s="742">
        <f>Calculs!BZ552</f>
        <v>0</v>
      </c>
      <c r="E480" s="742">
        <f>Calculs!CA552</f>
        <v>0</v>
      </c>
      <c r="F480" s="742">
        <f>Calculs!CB552</f>
        <v>0</v>
      </c>
      <c r="G480" s="742">
        <f>Calculs!CC552</f>
        <v>0</v>
      </c>
      <c r="H480" s="742"/>
      <c r="I480" s="742">
        <f>Calculs!CE552</f>
        <v>0</v>
      </c>
      <c r="J480" s="742">
        <f>Calculs!CF552</f>
        <v>0</v>
      </c>
      <c r="K480" s="742"/>
      <c r="L480" s="742">
        <f>Calculs!CH552</f>
        <v>0</v>
      </c>
    </row>
    <row r="481" spans="2:12">
      <c r="B481" s="742">
        <f>Calculs!B553</f>
        <v>0</v>
      </c>
      <c r="C481" s="742">
        <f>Calculs!BY553</f>
        <v>0</v>
      </c>
      <c r="D481" s="742">
        <f>Calculs!BZ553</f>
        <v>0</v>
      </c>
      <c r="E481" s="742">
        <f>Calculs!CA553</f>
        <v>0</v>
      </c>
      <c r="F481" s="742">
        <f>Calculs!CB553</f>
        <v>0</v>
      </c>
      <c r="G481" s="742">
        <f>Calculs!CC553</f>
        <v>0</v>
      </c>
      <c r="H481" s="742"/>
      <c r="I481" s="742">
        <f>Calculs!CE553</f>
        <v>0</v>
      </c>
      <c r="J481" s="742">
        <f>Calculs!CF553</f>
        <v>0</v>
      </c>
      <c r="K481" s="742"/>
      <c r="L481" s="742">
        <f>Calculs!CH553</f>
        <v>0</v>
      </c>
    </row>
    <row r="482" spans="2:12">
      <c r="B482" s="742">
        <f>Calculs!B554</f>
        <v>0</v>
      </c>
      <c r="C482" s="742">
        <f>Calculs!BY554</f>
        <v>0</v>
      </c>
      <c r="D482" s="742">
        <f>Calculs!BZ554</f>
        <v>0</v>
      </c>
      <c r="E482" s="742">
        <f>Calculs!CA554</f>
        <v>0</v>
      </c>
      <c r="F482" s="742">
        <f>Calculs!CB554</f>
        <v>0</v>
      </c>
      <c r="G482" s="742">
        <f>Calculs!CC554</f>
        <v>0</v>
      </c>
      <c r="H482" s="742"/>
      <c r="I482" s="742">
        <f>Calculs!CE554</f>
        <v>0</v>
      </c>
      <c r="J482" s="742">
        <f>Calculs!CF554</f>
        <v>0</v>
      </c>
      <c r="K482" s="742"/>
      <c r="L482" s="742">
        <f>Calculs!CH554</f>
        <v>0</v>
      </c>
    </row>
    <row r="483" spans="2:12">
      <c r="B483" s="742">
        <f>Calculs!B555</f>
        <v>0</v>
      </c>
      <c r="C483" s="742">
        <f>Calculs!BY555</f>
        <v>0</v>
      </c>
      <c r="D483" s="742">
        <f>Calculs!BZ555</f>
        <v>0</v>
      </c>
      <c r="E483" s="742">
        <f>Calculs!CA555</f>
        <v>0</v>
      </c>
      <c r="F483" s="742">
        <f>Calculs!CB555</f>
        <v>0</v>
      </c>
      <c r="G483" s="742">
        <f>Calculs!CC555</f>
        <v>0</v>
      </c>
      <c r="H483" s="742"/>
      <c r="I483" s="742">
        <f>Calculs!CE555</f>
        <v>0</v>
      </c>
      <c r="J483" s="742">
        <f>Calculs!CF555</f>
        <v>0</v>
      </c>
      <c r="K483" s="742"/>
      <c r="L483" s="742">
        <f>Calculs!CH555</f>
        <v>0</v>
      </c>
    </row>
    <row r="484" spans="2:12">
      <c r="B484" s="742">
        <f>Calculs!B556</f>
        <v>0</v>
      </c>
      <c r="C484" s="742">
        <f>Calculs!BY556</f>
        <v>0</v>
      </c>
      <c r="D484" s="742">
        <f>Calculs!BZ556</f>
        <v>0</v>
      </c>
      <c r="E484" s="742">
        <f>Calculs!CA556</f>
        <v>0</v>
      </c>
      <c r="F484" s="742">
        <f>Calculs!CB556</f>
        <v>0</v>
      </c>
      <c r="G484" s="742">
        <f>Calculs!CC556</f>
        <v>0</v>
      </c>
      <c r="H484" s="742"/>
      <c r="I484" s="742">
        <f>Calculs!CE556</f>
        <v>0</v>
      </c>
      <c r="J484" s="742">
        <f>Calculs!CF556</f>
        <v>0</v>
      </c>
      <c r="K484" s="742"/>
      <c r="L484" s="742">
        <f>Calculs!CH556</f>
        <v>0</v>
      </c>
    </row>
    <row r="485" spans="2:12">
      <c r="B485" s="742">
        <f>Calculs!B557</f>
        <v>0</v>
      </c>
      <c r="C485" s="742">
        <f>Calculs!BY557</f>
        <v>0</v>
      </c>
      <c r="D485" s="742">
        <f>Calculs!BZ557</f>
        <v>0</v>
      </c>
      <c r="E485" s="742">
        <f>Calculs!CA557</f>
        <v>0</v>
      </c>
      <c r="F485" s="742">
        <f>Calculs!CB557</f>
        <v>0</v>
      </c>
      <c r="G485" s="742">
        <f>Calculs!CC557</f>
        <v>0</v>
      </c>
      <c r="H485" s="742"/>
      <c r="I485" s="742">
        <f>Calculs!CE557</f>
        <v>0</v>
      </c>
      <c r="J485" s="742">
        <f>Calculs!CF557</f>
        <v>0</v>
      </c>
      <c r="K485" s="742"/>
      <c r="L485" s="742">
        <f>Calculs!CH557</f>
        <v>0</v>
      </c>
    </row>
    <row r="486" spans="2:12">
      <c r="B486" s="742">
        <f>Calculs!B558</f>
        <v>0</v>
      </c>
      <c r="C486" s="742">
        <f>Calculs!BY558</f>
        <v>0</v>
      </c>
      <c r="D486" s="742">
        <f>Calculs!BZ558</f>
        <v>0</v>
      </c>
      <c r="E486" s="742">
        <f>Calculs!CA558</f>
        <v>0</v>
      </c>
      <c r="F486" s="742">
        <f>Calculs!CB558</f>
        <v>0</v>
      </c>
      <c r="G486" s="742">
        <f>Calculs!CC558</f>
        <v>0</v>
      </c>
      <c r="H486" s="742"/>
      <c r="I486" s="742">
        <f>Calculs!CE558</f>
        <v>0</v>
      </c>
      <c r="J486" s="742">
        <f>Calculs!CF558</f>
        <v>0</v>
      </c>
      <c r="K486" s="742"/>
      <c r="L486" s="742">
        <f>Calculs!CH558</f>
        <v>0</v>
      </c>
    </row>
    <row r="487" spans="2:12">
      <c r="B487" s="742">
        <f>Calculs!B559</f>
        <v>0</v>
      </c>
      <c r="C487" s="742">
        <f>Calculs!BY559</f>
        <v>0</v>
      </c>
      <c r="D487" s="742">
        <f>Calculs!BZ559</f>
        <v>0</v>
      </c>
      <c r="E487" s="742">
        <f>Calculs!CA559</f>
        <v>0</v>
      </c>
      <c r="F487" s="742">
        <f>Calculs!CB559</f>
        <v>0</v>
      </c>
      <c r="G487" s="742">
        <f>Calculs!CC559</f>
        <v>0</v>
      </c>
      <c r="H487" s="742"/>
      <c r="I487" s="742">
        <f>Calculs!CE559</f>
        <v>0</v>
      </c>
      <c r="J487" s="742">
        <f>Calculs!CF559</f>
        <v>0</v>
      </c>
      <c r="K487" s="742"/>
      <c r="L487" s="742">
        <f>Calculs!CH559</f>
        <v>0</v>
      </c>
    </row>
    <row r="488" spans="2:12">
      <c r="B488" s="742">
        <f>Calculs!B560</f>
        <v>0</v>
      </c>
      <c r="C488" s="742">
        <f>Calculs!BY560</f>
        <v>0</v>
      </c>
      <c r="D488" s="742">
        <f>Calculs!BZ560</f>
        <v>0</v>
      </c>
      <c r="E488" s="742">
        <f>Calculs!CA560</f>
        <v>0</v>
      </c>
      <c r="F488" s="742">
        <f>Calculs!CB560</f>
        <v>0</v>
      </c>
      <c r="G488" s="742">
        <f>Calculs!CC560</f>
        <v>0</v>
      </c>
      <c r="H488" s="742"/>
      <c r="I488" s="742">
        <f>Calculs!CE560</f>
        <v>0</v>
      </c>
      <c r="J488" s="742">
        <f>Calculs!CF560</f>
        <v>0</v>
      </c>
      <c r="K488" s="742"/>
      <c r="L488" s="742">
        <f>Calculs!CH560</f>
        <v>0</v>
      </c>
    </row>
    <row r="489" spans="2:12">
      <c r="B489" s="742">
        <f>Calculs!B561</f>
        <v>0</v>
      </c>
      <c r="C489" s="742">
        <f>Calculs!BY561</f>
        <v>0</v>
      </c>
      <c r="D489" s="742">
        <f>Calculs!BZ561</f>
        <v>0</v>
      </c>
      <c r="E489" s="742">
        <f>Calculs!CA561</f>
        <v>0</v>
      </c>
      <c r="F489" s="742">
        <f>Calculs!CB561</f>
        <v>0</v>
      </c>
      <c r="G489" s="742">
        <f>Calculs!CC561</f>
        <v>0</v>
      </c>
      <c r="H489" s="742"/>
      <c r="I489" s="742">
        <f>Calculs!CE561</f>
        <v>0</v>
      </c>
      <c r="J489" s="742">
        <f>Calculs!CF561</f>
        <v>0</v>
      </c>
      <c r="K489" s="742"/>
      <c r="L489" s="742">
        <f>Calculs!CH561</f>
        <v>0</v>
      </c>
    </row>
    <row r="490" spans="2:12">
      <c r="B490" s="742">
        <f>Calculs!B562</f>
        <v>0</v>
      </c>
      <c r="C490" s="742">
        <f>Calculs!BY562</f>
        <v>0</v>
      </c>
      <c r="D490" s="742">
        <f>Calculs!BZ562</f>
        <v>0</v>
      </c>
      <c r="E490" s="742">
        <f>Calculs!CA562</f>
        <v>0</v>
      </c>
      <c r="F490" s="742">
        <f>Calculs!CB562</f>
        <v>0</v>
      </c>
      <c r="G490" s="742">
        <f>Calculs!CC562</f>
        <v>0</v>
      </c>
      <c r="H490" s="742"/>
      <c r="I490" s="742">
        <f>Calculs!CE562</f>
        <v>0</v>
      </c>
      <c r="J490" s="742">
        <f>Calculs!CF562</f>
        <v>0</v>
      </c>
      <c r="K490" s="742"/>
      <c r="L490" s="742">
        <f>Calculs!CH562</f>
        <v>0</v>
      </c>
    </row>
    <row r="491" spans="2:12">
      <c r="B491" s="742">
        <f>Calculs!B563</f>
        <v>0</v>
      </c>
      <c r="C491" s="742">
        <f>Calculs!BY563</f>
        <v>0</v>
      </c>
      <c r="D491" s="742">
        <f>Calculs!BZ563</f>
        <v>0</v>
      </c>
      <c r="E491" s="742">
        <f>Calculs!CA563</f>
        <v>0</v>
      </c>
      <c r="F491" s="742">
        <f>Calculs!CB563</f>
        <v>0</v>
      </c>
      <c r="G491" s="742">
        <f>Calculs!CC563</f>
        <v>0</v>
      </c>
      <c r="H491" s="742"/>
      <c r="I491" s="742">
        <f>Calculs!CE563</f>
        <v>0</v>
      </c>
      <c r="J491" s="742">
        <f>Calculs!CF563</f>
        <v>0</v>
      </c>
      <c r="K491" s="742"/>
      <c r="L491" s="742">
        <f>Calculs!CH563</f>
        <v>0</v>
      </c>
    </row>
    <row r="492" spans="2:12">
      <c r="B492" s="742">
        <f>Calculs!B564</f>
        <v>0</v>
      </c>
      <c r="C492" s="742">
        <f>Calculs!BY564</f>
        <v>0</v>
      </c>
      <c r="D492" s="742">
        <f>Calculs!BZ564</f>
        <v>0</v>
      </c>
      <c r="E492" s="742">
        <f>Calculs!CA564</f>
        <v>0</v>
      </c>
      <c r="F492" s="742">
        <f>Calculs!CB564</f>
        <v>0</v>
      </c>
      <c r="G492" s="742">
        <f>Calculs!CC564</f>
        <v>0</v>
      </c>
      <c r="H492" s="742"/>
      <c r="I492" s="742">
        <f>Calculs!CE564</f>
        <v>0</v>
      </c>
      <c r="J492" s="742">
        <f>Calculs!CF564</f>
        <v>0</v>
      </c>
      <c r="K492" s="742"/>
      <c r="L492" s="742">
        <f>Calculs!CH564</f>
        <v>0</v>
      </c>
    </row>
    <row r="493" spans="2:12">
      <c r="B493" s="742">
        <f>Calculs!B565</f>
        <v>0</v>
      </c>
      <c r="C493" s="742">
        <f>Calculs!BY565</f>
        <v>0</v>
      </c>
      <c r="D493" s="742">
        <f>Calculs!BZ565</f>
        <v>0</v>
      </c>
      <c r="E493" s="742">
        <f>Calculs!CA565</f>
        <v>0</v>
      </c>
      <c r="F493" s="742">
        <f>Calculs!CB565</f>
        <v>0</v>
      </c>
      <c r="G493" s="742">
        <f>Calculs!CC565</f>
        <v>0</v>
      </c>
      <c r="H493" s="742"/>
      <c r="I493" s="742">
        <f>Calculs!CE565</f>
        <v>0</v>
      </c>
      <c r="J493" s="742">
        <f>Calculs!CF565</f>
        <v>0</v>
      </c>
      <c r="K493" s="742"/>
      <c r="L493" s="742">
        <f>Calculs!CH565</f>
        <v>0</v>
      </c>
    </row>
    <row r="494" spans="2:12">
      <c r="B494" s="742">
        <f>Calculs!B566</f>
        <v>0</v>
      </c>
      <c r="C494" s="742">
        <f>Calculs!BY566</f>
        <v>0</v>
      </c>
      <c r="D494" s="742">
        <f>Calculs!BZ566</f>
        <v>0</v>
      </c>
      <c r="E494" s="742">
        <f>Calculs!CA566</f>
        <v>0</v>
      </c>
      <c r="F494" s="742">
        <f>Calculs!CB566</f>
        <v>0</v>
      </c>
      <c r="G494" s="742">
        <f>Calculs!CC566</f>
        <v>0</v>
      </c>
      <c r="H494" s="742"/>
      <c r="I494" s="742">
        <f>Calculs!CE566</f>
        <v>0</v>
      </c>
      <c r="J494" s="742">
        <f>Calculs!CF566</f>
        <v>0</v>
      </c>
      <c r="K494" s="742"/>
      <c r="L494" s="742">
        <f>Calculs!CH566</f>
        <v>0</v>
      </c>
    </row>
    <row r="495" spans="2:12">
      <c r="B495" s="742">
        <f>Calculs!B567</f>
        <v>0</v>
      </c>
      <c r="C495" s="742">
        <f>Calculs!BY567</f>
        <v>0</v>
      </c>
      <c r="D495" s="742">
        <f>Calculs!BZ567</f>
        <v>0</v>
      </c>
      <c r="E495" s="742">
        <f>Calculs!CA567</f>
        <v>0</v>
      </c>
      <c r="F495" s="742">
        <f>Calculs!CB567</f>
        <v>0</v>
      </c>
      <c r="G495" s="742">
        <f>Calculs!CC567</f>
        <v>0</v>
      </c>
      <c r="H495" s="742"/>
      <c r="I495" s="742">
        <f>Calculs!CE567</f>
        <v>0</v>
      </c>
      <c r="J495" s="742">
        <f>Calculs!CF567</f>
        <v>0</v>
      </c>
      <c r="K495" s="742"/>
      <c r="L495" s="742">
        <f>Calculs!CH567</f>
        <v>0</v>
      </c>
    </row>
    <row r="496" spans="2:12">
      <c r="B496" s="742">
        <f>Calculs!B568</f>
        <v>0</v>
      </c>
      <c r="C496" s="742">
        <f>Calculs!BY568</f>
        <v>0</v>
      </c>
      <c r="D496" s="742">
        <f>Calculs!BZ568</f>
        <v>0</v>
      </c>
      <c r="E496" s="742">
        <f>Calculs!CA568</f>
        <v>0</v>
      </c>
      <c r="F496" s="742">
        <f>Calculs!CB568</f>
        <v>0</v>
      </c>
      <c r="G496" s="742">
        <f>Calculs!CC568</f>
        <v>0</v>
      </c>
      <c r="H496" s="742"/>
      <c r="I496" s="742">
        <f>Calculs!CE568</f>
        <v>0</v>
      </c>
      <c r="J496" s="742">
        <f>Calculs!CF568</f>
        <v>0</v>
      </c>
      <c r="K496" s="742"/>
      <c r="L496" s="742">
        <f>Calculs!CH568</f>
        <v>0</v>
      </c>
    </row>
    <row r="497" spans="2:12">
      <c r="B497" s="742">
        <f>Calculs!B569</f>
        <v>0</v>
      </c>
      <c r="C497" s="742">
        <f>Calculs!BY569</f>
        <v>0</v>
      </c>
      <c r="D497" s="742">
        <f>Calculs!BZ569</f>
        <v>0</v>
      </c>
      <c r="E497" s="742">
        <f>Calculs!CA569</f>
        <v>0</v>
      </c>
      <c r="F497" s="742">
        <f>Calculs!CB569</f>
        <v>0</v>
      </c>
      <c r="G497" s="742">
        <f>Calculs!CC569</f>
        <v>0</v>
      </c>
      <c r="H497" s="742"/>
      <c r="I497" s="742">
        <f>Calculs!CE569</f>
        <v>0</v>
      </c>
      <c r="J497" s="742">
        <f>Calculs!CF569</f>
        <v>0</v>
      </c>
      <c r="K497" s="742"/>
      <c r="L497" s="742">
        <f>Calculs!CH569</f>
        <v>0</v>
      </c>
    </row>
    <row r="498" spans="2:12">
      <c r="B498" s="742">
        <f>Calculs!B570</f>
        <v>0</v>
      </c>
      <c r="C498" s="742">
        <f>Calculs!BY570</f>
        <v>0</v>
      </c>
      <c r="D498" s="742">
        <f>Calculs!BZ570</f>
        <v>0</v>
      </c>
      <c r="E498" s="742">
        <f>Calculs!CA570</f>
        <v>0</v>
      </c>
      <c r="F498" s="742">
        <f>Calculs!CB570</f>
        <v>0</v>
      </c>
      <c r="G498" s="742">
        <f>Calculs!CC570</f>
        <v>0</v>
      </c>
      <c r="H498" s="742"/>
      <c r="I498" s="742">
        <f>Calculs!CE570</f>
        <v>0</v>
      </c>
      <c r="J498" s="742">
        <f>Calculs!CF570</f>
        <v>0</v>
      </c>
      <c r="K498" s="742"/>
      <c r="L498" s="742">
        <f>Calculs!CH570</f>
        <v>0</v>
      </c>
    </row>
    <row r="499" spans="2:12">
      <c r="B499" s="742">
        <f>Calculs!B571</f>
        <v>0</v>
      </c>
      <c r="C499" s="742">
        <f>Calculs!BY571</f>
        <v>0</v>
      </c>
      <c r="D499" s="742">
        <f>Calculs!BZ571</f>
        <v>0</v>
      </c>
      <c r="E499" s="742">
        <f>Calculs!CA571</f>
        <v>0</v>
      </c>
      <c r="F499" s="742">
        <f>Calculs!CB571</f>
        <v>0</v>
      </c>
      <c r="G499" s="742">
        <f>Calculs!CC571</f>
        <v>0</v>
      </c>
      <c r="H499" s="742"/>
      <c r="I499" s="742">
        <f>Calculs!CE571</f>
        <v>0</v>
      </c>
      <c r="J499" s="742">
        <f>Calculs!CF571</f>
        <v>0</v>
      </c>
      <c r="K499" s="742"/>
      <c r="L499" s="742">
        <f>Calculs!CH571</f>
        <v>0</v>
      </c>
    </row>
    <row r="500" spans="2:12">
      <c r="B500" s="742">
        <f>Calculs!B572</f>
        <v>0</v>
      </c>
      <c r="C500" s="742">
        <f>Calculs!BY572</f>
        <v>0</v>
      </c>
      <c r="D500" s="742">
        <f>Calculs!BZ572</f>
        <v>0</v>
      </c>
      <c r="E500" s="742">
        <f>Calculs!CA572</f>
        <v>0</v>
      </c>
      <c r="F500" s="742">
        <f>Calculs!CB572</f>
        <v>0</v>
      </c>
      <c r="G500" s="742">
        <f>Calculs!CC572</f>
        <v>0</v>
      </c>
      <c r="H500" s="742"/>
      <c r="I500" s="742">
        <f>Calculs!CE572</f>
        <v>0</v>
      </c>
      <c r="J500" s="742">
        <f>Calculs!CF572</f>
        <v>0</v>
      </c>
      <c r="K500" s="742"/>
      <c r="L500" s="742">
        <f>Calculs!CH572</f>
        <v>0</v>
      </c>
    </row>
    <row r="501" spans="2:12">
      <c r="B501" s="742">
        <f>Calculs!B573</f>
        <v>0</v>
      </c>
      <c r="C501" s="742">
        <f>Calculs!BY573</f>
        <v>0</v>
      </c>
      <c r="D501" s="742">
        <f>Calculs!BZ573</f>
        <v>0</v>
      </c>
      <c r="E501" s="742">
        <f>Calculs!CA573</f>
        <v>0</v>
      </c>
      <c r="F501" s="742">
        <f>Calculs!CB573</f>
        <v>0</v>
      </c>
      <c r="G501" s="742">
        <f>Calculs!CC573</f>
        <v>0</v>
      </c>
      <c r="H501" s="742"/>
      <c r="I501" s="742">
        <f>Calculs!CE573</f>
        <v>0</v>
      </c>
      <c r="J501" s="742">
        <f>Calculs!CF573</f>
        <v>0</v>
      </c>
      <c r="K501" s="742"/>
      <c r="L501" s="742">
        <f>Calculs!CH573</f>
        <v>0</v>
      </c>
    </row>
    <row r="502" spans="2:12">
      <c r="B502" s="742">
        <f>Calculs!B574</f>
        <v>0</v>
      </c>
      <c r="C502" s="742">
        <f>Calculs!BY574</f>
        <v>0</v>
      </c>
      <c r="D502" s="742">
        <f>Calculs!BZ574</f>
        <v>0</v>
      </c>
      <c r="E502" s="742">
        <f>Calculs!CA574</f>
        <v>0</v>
      </c>
      <c r="F502" s="742">
        <f>Calculs!CB574</f>
        <v>0</v>
      </c>
      <c r="G502" s="742">
        <f>Calculs!CC574</f>
        <v>0</v>
      </c>
      <c r="H502" s="742"/>
      <c r="I502" s="742">
        <f>Calculs!CE574</f>
        <v>0</v>
      </c>
      <c r="J502" s="742">
        <f>Calculs!CF574</f>
        <v>0</v>
      </c>
      <c r="K502" s="742"/>
      <c r="L502" s="742">
        <f>Calculs!CH574</f>
        <v>0</v>
      </c>
    </row>
    <row r="503" spans="2:12">
      <c r="B503" s="742">
        <f>Calculs!B575</f>
        <v>0</v>
      </c>
      <c r="C503" s="742">
        <f>Calculs!BY575</f>
        <v>0</v>
      </c>
      <c r="D503" s="742">
        <f>Calculs!BZ575</f>
        <v>0</v>
      </c>
      <c r="E503" s="742">
        <f>Calculs!CA575</f>
        <v>0</v>
      </c>
      <c r="F503" s="742">
        <f>Calculs!CB575</f>
        <v>0</v>
      </c>
      <c r="G503" s="742">
        <f>Calculs!CC575</f>
        <v>0</v>
      </c>
      <c r="H503" s="742"/>
      <c r="I503" s="742">
        <f>Calculs!CE575</f>
        <v>0</v>
      </c>
      <c r="J503" s="742">
        <f>Calculs!CF575</f>
        <v>0</v>
      </c>
      <c r="K503" s="742"/>
      <c r="L503" s="742">
        <f>Calculs!CH575</f>
        <v>0</v>
      </c>
    </row>
    <row r="504" spans="2:12">
      <c r="B504" s="742">
        <f>Calculs!B576</f>
        <v>0</v>
      </c>
      <c r="C504" s="742">
        <f>Calculs!BY576</f>
        <v>0</v>
      </c>
      <c r="D504" s="742">
        <f>Calculs!BZ576</f>
        <v>0</v>
      </c>
      <c r="E504" s="742">
        <f>Calculs!CA576</f>
        <v>0</v>
      </c>
      <c r="F504" s="742">
        <f>Calculs!CB576</f>
        <v>0</v>
      </c>
      <c r="G504" s="742">
        <f>Calculs!CC576</f>
        <v>0</v>
      </c>
      <c r="H504" s="742"/>
      <c r="I504" s="742">
        <f>Calculs!CE576</f>
        <v>0</v>
      </c>
      <c r="J504" s="742">
        <f>Calculs!CF576</f>
        <v>0</v>
      </c>
      <c r="K504" s="742"/>
      <c r="L504" s="742">
        <f>Calculs!CH576</f>
        <v>0</v>
      </c>
    </row>
    <row r="505" spans="2:12">
      <c r="B505" s="742">
        <f>Calculs!B577</f>
        <v>0</v>
      </c>
      <c r="C505" s="742">
        <f>Calculs!BY577</f>
        <v>0</v>
      </c>
      <c r="D505" s="742">
        <f>Calculs!BZ577</f>
        <v>0</v>
      </c>
      <c r="E505" s="742">
        <f>Calculs!CA577</f>
        <v>0</v>
      </c>
      <c r="F505" s="742">
        <f>Calculs!CB577</f>
        <v>0</v>
      </c>
      <c r="G505" s="742">
        <f>Calculs!CC577</f>
        <v>0</v>
      </c>
      <c r="H505" s="742"/>
      <c r="I505" s="742">
        <f>Calculs!CE577</f>
        <v>0</v>
      </c>
      <c r="J505" s="742">
        <f>Calculs!CF577</f>
        <v>0</v>
      </c>
      <c r="K505" s="742"/>
      <c r="L505" s="742">
        <f>Calculs!CH577</f>
        <v>0</v>
      </c>
    </row>
    <row r="506" spans="2:12">
      <c r="B506" s="742">
        <f>Calculs!B578</f>
        <v>0</v>
      </c>
      <c r="C506" s="742">
        <f>Calculs!BY578</f>
        <v>0</v>
      </c>
      <c r="D506" s="742">
        <f>Calculs!BZ578</f>
        <v>0</v>
      </c>
      <c r="E506" s="742">
        <f>Calculs!CA578</f>
        <v>0</v>
      </c>
      <c r="F506" s="742">
        <f>Calculs!CB578</f>
        <v>0</v>
      </c>
      <c r="G506" s="742">
        <f>Calculs!CC578</f>
        <v>0</v>
      </c>
      <c r="H506" s="742"/>
      <c r="I506" s="742">
        <f>Calculs!CE578</f>
        <v>0</v>
      </c>
      <c r="J506" s="742">
        <f>Calculs!CF578</f>
        <v>0</v>
      </c>
      <c r="K506" s="742"/>
      <c r="L506" s="742">
        <f>Calculs!CH578</f>
        <v>0</v>
      </c>
    </row>
    <row r="507" spans="2:12">
      <c r="B507" s="742">
        <f>Calculs!B579</f>
        <v>0</v>
      </c>
      <c r="C507" s="742">
        <f>Calculs!BY579</f>
        <v>0</v>
      </c>
      <c r="D507" s="742">
        <f>Calculs!BZ579</f>
        <v>0</v>
      </c>
      <c r="E507" s="742">
        <f>Calculs!CA579</f>
        <v>0</v>
      </c>
      <c r="F507" s="742">
        <f>Calculs!CB579</f>
        <v>0</v>
      </c>
      <c r="G507" s="742">
        <f>Calculs!CC579</f>
        <v>0</v>
      </c>
      <c r="H507" s="742"/>
      <c r="I507" s="742">
        <f>Calculs!CE579</f>
        <v>0</v>
      </c>
      <c r="J507" s="742">
        <f>Calculs!CF579</f>
        <v>0</v>
      </c>
      <c r="K507" s="742"/>
      <c r="L507" s="742">
        <f>Calculs!CH579</f>
        <v>0</v>
      </c>
    </row>
    <row r="508" spans="2:12">
      <c r="B508" s="742">
        <f>Calculs!B580</f>
        <v>0</v>
      </c>
      <c r="C508" s="742">
        <f>Calculs!BY580</f>
        <v>0</v>
      </c>
      <c r="D508" s="742">
        <f>Calculs!BZ580</f>
        <v>0</v>
      </c>
      <c r="E508" s="742">
        <f>Calculs!CA580</f>
        <v>0</v>
      </c>
      <c r="F508" s="742">
        <f>Calculs!CB580</f>
        <v>0</v>
      </c>
      <c r="G508" s="742">
        <f>Calculs!CC580</f>
        <v>0</v>
      </c>
      <c r="H508" s="742"/>
      <c r="I508" s="742">
        <f>Calculs!CE580</f>
        <v>0</v>
      </c>
      <c r="J508" s="742">
        <f>Calculs!CF580</f>
        <v>0</v>
      </c>
      <c r="K508" s="742"/>
      <c r="L508" s="742">
        <f>Calculs!CH580</f>
        <v>0</v>
      </c>
    </row>
    <row r="509" spans="2:12">
      <c r="B509" s="742">
        <f>Calculs!B581</f>
        <v>0</v>
      </c>
      <c r="C509" s="742">
        <f>Calculs!BY581</f>
        <v>0</v>
      </c>
      <c r="D509" s="742">
        <f>Calculs!BZ581</f>
        <v>0</v>
      </c>
      <c r="E509" s="742">
        <f>Calculs!CA581</f>
        <v>0</v>
      </c>
      <c r="F509" s="742">
        <f>Calculs!CB581</f>
        <v>0</v>
      </c>
      <c r="G509" s="742">
        <f>Calculs!CC581</f>
        <v>0</v>
      </c>
      <c r="H509" s="742"/>
      <c r="I509" s="742">
        <f>Calculs!CE581</f>
        <v>0</v>
      </c>
      <c r="J509" s="742">
        <f>Calculs!CF581</f>
        <v>0</v>
      </c>
      <c r="K509" s="742"/>
      <c r="L509" s="742">
        <f>Calculs!CH581</f>
        <v>0</v>
      </c>
    </row>
    <row r="510" spans="2:12">
      <c r="B510" s="742">
        <f>Calculs!B582</f>
        <v>0</v>
      </c>
      <c r="C510" s="742">
        <f>Calculs!BY582</f>
        <v>0</v>
      </c>
      <c r="D510" s="742">
        <f>Calculs!BZ582</f>
        <v>0</v>
      </c>
      <c r="E510" s="742">
        <f>Calculs!CA582</f>
        <v>0</v>
      </c>
      <c r="F510" s="742">
        <f>Calculs!CB582</f>
        <v>0</v>
      </c>
      <c r="G510" s="742">
        <f>Calculs!CC582</f>
        <v>0</v>
      </c>
      <c r="H510" s="742"/>
      <c r="I510" s="742">
        <f>Calculs!CE582</f>
        <v>0</v>
      </c>
      <c r="J510" s="742">
        <f>Calculs!CF582</f>
        <v>0</v>
      </c>
      <c r="K510" s="742"/>
      <c r="L510" s="742">
        <f>Calculs!CH582</f>
        <v>0</v>
      </c>
    </row>
    <row r="511" spans="2:12">
      <c r="B511" s="742">
        <f>Calculs!B583</f>
        <v>0</v>
      </c>
      <c r="C511" s="742">
        <f>Calculs!BY583</f>
        <v>0</v>
      </c>
      <c r="D511" s="742">
        <f>Calculs!BZ583</f>
        <v>0</v>
      </c>
      <c r="E511" s="742">
        <f>Calculs!CA583</f>
        <v>0</v>
      </c>
      <c r="F511" s="742">
        <f>Calculs!CB583</f>
        <v>0</v>
      </c>
      <c r="G511" s="742">
        <f>Calculs!CC583</f>
        <v>0</v>
      </c>
      <c r="H511" s="742"/>
      <c r="I511" s="742">
        <f>Calculs!CE583</f>
        <v>0</v>
      </c>
      <c r="J511" s="742">
        <f>Calculs!CF583</f>
        <v>0</v>
      </c>
      <c r="K511" s="742"/>
      <c r="L511" s="742">
        <f>Calculs!CH583</f>
        <v>0</v>
      </c>
    </row>
    <row r="512" spans="2:12">
      <c r="B512" s="742">
        <f>Calculs!B584</f>
        <v>0</v>
      </c>
      <c r="C512" s="742">
        <f>Calculs!BY584</f>
        <v>0</v>
      </c>
      <c r="D512" s="742">
        <f>Calculs!BZ584</f>
        <v>0</v>
      </c>
      <c r="E512" s="742">
        <f>Calculs!CA584</f>
        <v>0</v>
      </c>
      <c r="F512" s="742">
        <f>Calculs!CB584</f>
        <v>0</v>
      </c>
      <c r="G512" s="742">
        <f>Calculs!CC584</f>
        <v>0</v>
      </c>
      <c r="H512" s="742"/>
      <c r="I512" s="742">
        <f>Calculs!CE584</f>
        <v>0</v>
      </c>
      <c r="J512" s="742">
        <f>Calculs!CF584</f>
        <v>0</v>
      </c>
      <c r="K512" s="742"/>
      <c r="L512" s="742">
        <f>Calculs!CH584</f>
        <v>0</v>
      </c>
    </row>
    <row r="513" spans="2:12">
      <c r="B513" s="742">
        <f>Calculs!B585</f>
        <v>0</v>
      </c>
      <c r="C513" s="742">
        <f>Calculs!BY585</f>
        <v>0</v>
      </c>
      <c r="D513" s="742">
        <f>Calculs!BZ585</f>
        <v>0</v>
      </c>
      <c r="E513" s="742">
        <f>Calculs!CA585</f>
        <v>0</v>
      </c>
      <c r="F513" s="742">
        <f>Calculs!CB585</f>
        <v>0</v>
      </c>
      <c r="G513" s="742">
        <f>Calculs!CC585</f>
        <v>0</v>
      </c>
      <c r="H513" s="742"/>
      <c r="I513" s="742">
        <f>Calculs!CE585</f>
        <v>0</v>
      </c>
      <c r="J513" s="742">
        <f>Calculs!CF585</f>
        <v>0</v>
      </c>
      <c r="K513" s="742"/>
      <c r="L513" s="742">
        <f>Calculs!CH585</f>
        <v>0</v>
      </c>
    </row>
    <row r="514" spans="2:12">
      <c r="B514" s="742">
        <f>Calculs!B586</f>
        <v>0</v>
      </c>
      <c r="C514" s="742">
        <f>Calculs!BY586</f>
        <v>0</v>
      </c>
      <c r="D514" s="742">
        <f>Calculs!BZ586</f>
        <v>0</v>
      </c>
      <c r="E514" s="742">
        <f>Calculs!CA586</f>
        <v>0</v>
      </c>
      <c r="F514" s="742">
        <f>Calculs!CB586</f>
        <v>0</v>
      </c>
      <c r="G514" s="742">
        <f>Calculs!CC586</f>
        <v>0</v>
      </c>
      <c r="H514" s="742"/>
      <c r="I514" s="742">
        <f>Calculs!CE586</f>
        <v>0</v>
      </c>
      <c r="J514" s="742">
        <f>Calculs!CF586</f>
        <v>0</v>
      </c>
      <c r="K514" s="742"/>
      <c r="L514" s="742">
        <f>Calculs!CH586</f>
        <v>0</v>
      </c>
    </row>
    <row r="515" spans="2:12">
      <c r="B515" s="742">
        <f>Calculs!B587</f>
        <v>0</v>
      </c>
      <c r="C515" s="742">
        <f>Calculs!BY587</f>
        <v>0</v>
      </c>
      <c r="D515" s="742">
        <f>Calculs!BZ587</f>
        <v>0</v>
      </c>
      <c r="E515" s="742">
        <f>Calculs!CA587</f>
        <v>0</v>
      </c>
      <c r="F515" s="742">
        <f>Calculs!CB587</f>
        <v>0</v>
      </c>
      <c r="G515" s="742">
        <f>Calculs!CC587</f>
        <v>0</v>
      </c>
      <c r="H515" s="742"/>
      <c r="I515" s="742">
        <f>Calculs!CE587</f>
        <v>0</v>
      </c>
      <c r="J515" s="742">
        <f>Calculs!CF587</f>
        <v>0</v>
      </c>
      <c r="K515" s="742"/>
      <c r="L515" s="742">
        <f>Calculs!CH587</f>
        <v>0</v>
      </c>
    </row>
    <row r="516" spans="2:12">
      <c r="B516" s="742">
        <f>Calculs!B588</f>
        <v>0</v>
      </c>
      <c r="C516" s="742">
        <f>Calculs!BY588</f>
        <v>0</v>
      </c>
      <c r="D516" s="742">
        <f>Calculs!BZ588</f>
        <v>0</v>
      </c>
      <c r="E516" s="742">
        <f>Calculs!CA588</f>
        <v>0</v>
      </c>
      <c r="F516" s="742">
        <f>Calculs!CB588</f>
        <v>0</v>
      </c>
      <c r="G516" s="742">
        <f>Calculs!CC588</f>
        <v>0</v>
      </c>
      <c r="H516" s="742"/>
      <c r="I516" s="742">
        <f>Calculs!CE588</f>
        <v>0</v>
      </c>
      <c r="J516" s="742">
        <f>Calculs!CF588</f>
        <v>0</v>
      </c>
      <c r="K516" s="742"/>
      <c r="L516" s="742">
        <f>Calculs!CH588</f>
        <v>0</v>
      </c>
    </row>
    <row r="517" spans="2:12">
      <c r="B517" s="742">
        <f>Calculs!B589</f>
        <v>0</v>
      </c>
      <c r="C517" s="742">
        <f>Calculs!BY589</f>
        <v>0</v>
      </c>
      <c r="D517" s="742">
        <f>Calculs!BZ589</f>
        <v>0</v>
      </c>
      <c r="E517" s="742">
        <f>Calculs!CA589</f>
        <v>0</v>
      </c>
      <c r="F517" s="742">
        <f>Calculs!CB589</f>
        <v>0</v>
      </c>
      <c r="G517" s="742">
        <f>Calculs!CC589</f>
        <v>0</v>
      </c>
      <c r="H517" s="742"/>
      <c r="I517" s="742">
        <f>Calculs!CE589</f>
        <v>0</v>
      </c>
      <c r="J517" s="742">
        <f>Calculs!CF589</f>
        <v>0</v>
      </c>
      <c r="K517" s="742"/>
      <c r="L517" s="742">
        <f>Calculs!CH589</f>
        <v>0</v>
      </c>
    </row>
    <row r="518" spans="2:12">
      <c r="B518" s="742">
        <f>Calculs!B590</f>
        <v>0</v>
      </c>
      <c r="C518" s="742">
        <f>Calculs!BY590</f>
        <v>0</v>
      </c>
      <c r="D518" s="742">
        <f>Calculs!BZ590</f>
        <v>0</v>
      </c>
      <c r="E518" s="742">
        <f>Calculs!CA590</f>
        <v>0</v>
      </c>
      <c r="F518" s="742">
        <f>Calculs!CB590</f>
        <v>0</v>
      </c>
      <c r="G518" s="742">
        <f>Calculs!CC590</f>
        <v>0</v>
      </c>
      <c r="H518" s="742"/>
      <c r="I518" s="742">
        <f>Calculs!CE590</f>
        <v>0</v>
      </c>
      <c r="J518" s="742">
        <f>Calculs!CF590</f>
        <v>0</v>
      </c>
      <c r="K518" s="742"/>
      <c r="L518" s="742">
        <f>Calculs!CH590</f>
        <v>0</v>
      </c>
    </row>
    <row r="519" spans="2:12">
      <c r="B519" s="742">
        <f>Calculs!B591</f>
        <v>0</v>
      </c>
      <c r="C519" s="742">
        <f>Calculs!BY591</f>
        <v>0</v>
      </c>
      <c r="D519" s="742">
        <f>Calculs!BZ591</f>
        <v>0</v>
      </c>
      <c r="E519" s="742">
        <f>Calculs!CA591</f>
        <v>0</v>
      </c>
      <c r="F519" s="742">
        <f>Calculs!CB591</f>
        <v>0</v>
      </c>
      <c r="G519" s="742">
        <f>Calculs!CC591</f>
        <v>0</v>
      </c>
      <c r="H519" s="742"/>
      <c r="I519" s="742">
        <f>Calculs!CE591</f>
        <v>0</v>
      </c>
      <c r="J519" s="742">
        <f>Calculs!CF591</f>
        <v>0</v>
      </c>
      <c r="K519" s="742"/>
      <c r="L519" s="742">
        <f>Calculs!CH591</f>
        <v>0</v>
      </c>
    </row>
    <row r="520" spans="2:12">
      <c r="B520" s="742">
        <f>Calculs!B592</f>
        <v>0</v>
      </c>
      <c r="C520" s="742">
        <f>Calculs!BY592</f>
        <v>0</v>
      </c>
      <c r="D520" s="742">
        <f>Calculs!BZ592</f>
        <v>0</v>
      </c>
      <c r="E520" s="742">
        <f>Calculs!CA592</f>
        <v>0</v>
      </c>
      <c r="F520" s="742">
        <f>Calculs!CB592</f>
        <v>0</v>
      </c>
      <c r="G520" s="742">
        <f>Calculs!CC592</f>
        <v>0</v>
      </c>
      <c r="H520" s="742"/>
      <c r="I520" s="742">
        <f>Calculs!CE592</f>
        <v>0</v>
      </c>
      <c r="J520" s="742">
        <f>Calculs!CF592</f>
        <v>0</v>
      </c>
      <c r="K520" s="742"/>
      <c r="L520" s="742">
        <f>Calculs!CH592</f>
        <v>0</v>
      </c>
    </row>
    <row r="521" spans="2:12">
      <c r="B521" s="742">
        <f>Calculs!B593</f>
        <v>0</v>
      </c>
      <c r="C521" s="742">
        <f>Calculs!BY593</f>
        <v>0</v>
      </c>
      <c r="D521" s="742">
        <f>Calculs!BZ593</f>
        <v>0</v>
      </c>
      <c r="E521" s="742">
        <f>Calculs!CA593</f>
        <v>0</v>
      </c>
      <c r="F521" s="742">
        <f>Calculs!CB593</f>
        <v>0</v>
      </c>
      <c r="G521" s="742">
        <f>Calculs!CC593</f>
        <v>0</v>
      </c>
      <c r="H521" s="742"/>
      <c r="I521" s="742">
        <f>Calculs!CE593</f>
        <v>0</v>
      </c>
      <c r="J521" s="742">
        <f>Calculs!CF593</f>
        <v>0</v>
      </c>
      <c r="K521" s="742"/>
      <c r="L521" s="742">
        <f>Calculs!CH593</f>
        <v>0</v>
      </c>
    </row>
    <row r="522" spans="2:12">
      <c r="B522" s="742">
        <f>Calculs!B594</f>
        <v>0</v>
      </c>
      <c r="C522" s="742">
        <f>Calculs!BY594</f>
        <v>0</v>
      </c>
      <c r="D522" s="742">
        <f>Calculs!BZ594</f>
        <v>0</v>
      </c>
      <c r="E522" s="742">
        <f>Calculs!CA594</f>
        <v>0</v>
      </c>
      <c r="F522" s="742">
        <f>Calculs!CB594</f>
        <v>0</v>
      </c>
      <c r="G522" s="742">
        <f>Calculs!CC594</f>
        <v>0</v>
      </c>
      <c r="H522" s="742"/>
      <c r="I522" s="742">
        <f>Calculs!CE594</f>
        <v>0</v>
      </c>
      <c r="J522" s="742">
        <f>Calculs!CF594</f>
        <v>0</v>
      </c>
      <c r="K522" s="742"/>
      <c r="L522" s="742">
        <f>Calculs!CH594</f>
        <v>0</v>
      </c>
    </row>
    <row r="523" spans="2:12">
      <c r="B523" s="742">
        <f>Calculs!B595</f>
        <v>0</v>
      </c>
      <c r="C523" s="742">
        <f>Calculs!BY595</f>
        <v>0</v>
      </c>
      <c r="D523" s="742">
        <f>Calculs!BZ595</f>
        <v>0</v>
      </c>
      <c r="E523" s="742">
        <f>Calculs!CA595</f>
        <v>0</v>
      </c>
      <c r="F523" s="742">
        <f>Calculs!CB595</f>
        <v>0</v>
      </c>
      <c r="G523" s="742">
        <f>Calculs!CC595</f>
        <v>0</v>
      </c>
      <c r="H523" s="742"/>
      <c r="I523" s="742">
        <f>Calculs!CE595</f>
        <v>0</v>
      </c>
      <c r="J523" s="742">
        <f>Calculs!CF595</f>
        <v>0</v>
      </c>
      <c r="K523" s="742"/>
      <c r="L523" s="742">
        <f>Calculs!CH595</f>
        <v>0</v>
      </c>
    </row>
    <row r="524" spans="2:12">
      <c r="B524" s="742">
        <f>Calculs!B596</f>
        <v>0</v>
      </c>
      <c r="C524" s="742">
        <f>Calculs!BY596</f>
        <v>0</v>
      </c>
      <c r="D524" s="742">
        <f>Calculs!BZ596</f>
        <v>0</v>
      </c>
      <c r="E524" s="742">
        <f>Calculs!CA596</f>
        <v>0</v>
      </c>
      <c r="F524" s="742">
        <f>Calculs!CB596</f>
        <v>0</v>
      </c>
      <c r="G524" s="742">
        <f>Calculs!CC596</f>
        <v>0</v>
      </c>
      <c r="H524" s="742"/>
      <c r="I524" s="742">
        <f>Calculs!CE596</f>
        <v>0</v>
      </c>
      <c r="J524" s="742">
        <f>Calculs!CF596</f>
        <v>0</v>
      </c>
      <c r="K524" s="742"/>
      <c r="L524" s="742">
        <f>Calculs!CH596</f>
        <v>0</v>
      </c>
    </row>
    <row r="525" spans="2:12">
      <c r="B525" s="742">
        <f>Calculs!B597</f>
        <v>0</v>
      </c>
      <c r="C525" s="742">
        <f>Calculs!BY597</f>
        <v>0</v>
      </c>
      <c r="D525" s="742">
        <f>Calculs!BZ597</f>
        <v>0</v>
      </c>
      <c r="E525" s="742">
        <f>Calculs!CA597</f>
        <v>0</v>
      </c>
      <c r="F525" s="742">
        <f>Calculs!CB597</f>
        <v>0</v>
      </c>
      <c r="G525" s="742">
        <f>Calculs!CC597</f>
        <v>0</v>
      </c>
      <c r="H525" s="742"/>
      <c r="I525" s="742">
        <f>Calculs!CE597</f>
        <v>0</v>
      </c>
      <c r="J525" s="742">
        <f>Calculs!CF597</f>
        <v>0</v>
      </c>
      <c r="K525" s="742"/>
      <c r="L525" s="742">
        <f>Calculs!CH597</f>
        <v>0</v>
      </c>
    </row>
    <row r="526" spans="2:12">
      <c r="B526" s="742">
        <f>Calculs!B598</f>
        <v>0</v>
      </c>
      <c r="C526" s="742">
        <f>Calculs!BY598</f>
        <v>0</v>
      </c>
      <c r="D526" s="742">
        <f>Calculs!BZ598</f>
        <v>0</v>
      </c>
      <c r="E526" s="742">
        <f>Calculs!CA598</f>
        <v>0</v>
      </c>
      <c r="F526" s="742">
        <f>Calculs!CB598</f>
        <v>0</v>
      </c>
      <c r="G526" s="742">
        <f>Calculs!CC598</f>
        <v>0</v>
      </c>
      <c r="H526" s="742"/>
      <c r="I526" s="742">
        <f>Calculs!CE598</f>
        <v>0</v>
      </c>
      <c r="J526" s="742">
        <f>Calculs!CF598</f>
        <v>0</v>
      </c>
      <c r="K526" s="742"/>
      <c r="L526" s="742">
        <f>Calculs!CH598</f>
        <v>0</v>
      </c>
    </row>
    <row r="527" spans="2:12">
      <c r="B527" s="742">
        <f>Calculs!B599</f>
        <v>0</v>
      </c>
      <c r="C527" s="742">
        <f>Calculs!BY599</f>
        <v>0</v>
      </c>
      <c r="D527" s="742">
        <f>Calculs!BZ599</f>
        <v>0</v>
      </c>
      <c r="E527" s="742">
        <f>Calculs!CA599</f>
        <v>0</v>
      </c>
      <c r="F527" s="742">
        <f>Calculs!CB599</f>
        <v>0</v>
      </c>
      <c r="G527" s="742">
        <f>Calculs!CC599</f>
        <v>0</v>
      </c>
      <c r="H527" s="742"/>
      <c r="I527" s="742">
        <f>Calculs!CE599</f>
        <v>0</v>
      </c>
      <c r="J527" s="742">
        <f>Calculs!CF599</f>
        <v>0</v>
      </c>
      <c r="K527" s="742"/>
      <c r="L527" s="742">
        <f>Calculs!CH599</f>
        <v>0</v>
      </c>
    </row>
    <row r="528" spans="2:12">
      <c r="B528" s="742">
        <f>Calculs!B600</f>
        <v>0</v>
      </c>
      <c r="C528" s="742">
        <f>Calculs!BY600</f>
        <v>0</v>
      </c>
      <c r="D528" s="742">
        <f>Calculs!BZ600</f>
        <v>0</v>
      </c>
      <c r="E528" s="742">
        <f>Calculs!CA600</f>
        <v>0</v>
      </c>
      <c r="F528" s="742">
        <f>Calculs!CB600</f>
        <v>0</v>
      </c>
      <c r="G528" s="742">
        <f>Calculs!CC600</f>
        <v>0</v>
      </c>
      <c r="H528" s="742"/>
      <c r="I528" s="742">
        <f>Calculs!CE600</f>
        <v>0</v>
      </c>
      <c r="J528" s="742">
        <f>Calculs!CF600</f>
        <v>0</v>
      </c>
      <c r="K528" s="742"/>
      <c r="L528" s="742">
        <f>Calculs!CH600</f>
        <v>0</v>
      </c>
    </row>
    <row r="529" spans="2:12">
      <c r="B529" s="742">
        <f>Calculs!B601</f>
        <v>0</v>
      </c>
      <c r="C529" s="742">
        <f>Calculs!BY601</f>
        <v>0</v>
      </c>
      <c r="D529" s="742">
        <f>Calculs!BZ601</f>
        <v>0</v>
      </c>
      <c r="E529" s="742">
        <f>Calculs!CA601</f>
        <v>0</v>
      </c>
      <c r="F529" s="742">
        <f>Calculs!CB601</f>
        <v>0</v>
      </c>
      <c r="G529" s="742">
        <f>Calculs!CC601</f>
        <v>0</v>
      </c>
      <c r="H529" s="742"/>
      <c r="I529" s="742">
        <f>Calculs!CE601</f>
        <v>0</v>
      </c>
      <c r="J529" s="742">
        <f>Calculs!CF601</f>
        <v>0</v>
      </c>
      <c r="K529" s="742"/>
      <c r="L529" s="742">
        <f>Calculs!CH601</f>
        <v>0</v>
      </c>
    </row>
    <row r="530" spans="2:12">
      <c r="B530" s="742">
        <f>Calculs!B602</f>
        <v>0</v>
      </c>
      <c r="C530" s="742">
        <f>Calculs!BY602</f>
        <v>0</v>
      </c>
      <c r="D530" s="742">
        <f>Calculs!BZ602</f>
        <v>0</v>
      </c>
      <c r="E530" s="742">
        <f>Calculs!CA602</f>
        <v>0</v>
      </c>
      <c r="F530" s="742">
        <f>Calculs!CB602</f>
        <v>0</v>
      </c>
      <c r="G530" s="742">
        <f>Calculs!CC602</f>
        <v>0</v>
      </c>
      <c r="H530" s="742"/>
      <c r="I530" s="742">
        <f>Calculs!CE602</f>
        <v>0</v>
      </c>
      <c r="J530" s="742">
        <f>Calculs!CF602</f>
        <v>0</v>
      </c>
      <c r="K530" s="742"/>
      <c r="L530" s="742">
        <f>Calculs!CH602</f>
        <v>0</v>
      </c>
    </row>
    <row r="531" spans="2:12">
      <c r="B531" s="742">
        <f>Calculs!B603</f>
        <v>0</v>
      </c>
      <c r="C531" s="742">
        <f>Calculs!BY603</f>
        <v>0</v>
      </c>
      <c r="D531" s="742">
        <f>Calculs!BZ603</f>
        <v>0</v>
      </c>
      <c r="E531" s="742">
        <f>Calculs!CA603</f>
        <v>0</v>
      </c>
      <c r="F531" s="742">
        <f>Calculs!CB603</f>
        <v>0</v>
      </c>
      <c r="G531" s="742">
        <f>Calculs!CC603</f>
        <v>0</v>
      </c>
      <c r="H531" s="742"/>
      <c r="I531" s="742">
        <f>Calculs!CE603</f>
        <v>0</v>
      </c>
      <c r="J531" s="742">
        <f>Calculs!CF603</f>
        <v>0</v>
      </c>
      <c r="K531" s="742"/>
      <c r="L531" s="742">
        <f>Calculs!CH603</f>
        <v>0</v>
      </c>
    </row>
    <row r="532" spans="2:12">
      <c r="B532" s="742">
        <f>Calculs!B604</f>
        <v>0</v>
      </c>
      <c r="C532" s="742">
        <f>Calculs!BY604</f>
        <v>0</v>
      </c>
      <c r="D532" s="742">
        <f>Calculs!BZ604</f>
        <v>0</v>
      </c>
      <c r="E532" s="742">
        <f>Calculs!CA604</f>
        <v>0</v>
      </c>
      <c r="F532" s="742">
        <f>Calculs!CB604</f>
        <v>0</v>
      </c>
      <c r="G532" s="742">
        <f>Calculs!CC604</f>
        <v>0</v>
      </c>
      <c r="H532" s="742"/>
      <c r="I532" s="742">
        <f>Calculs!CE604</f>
        <v>0</v>
      </c>
      <c r="J532" s="742">
        <f>Calculs!CF604</f>
        <v>0</v>
      </c>
      <c r="K532" s="742"/>
      <c r="L532" s="742">
        <f>Calculs!CH604</f>
        <v>0</v>
      </c>
    </row>
    <row r="533" spans="2:12">
      <c r="B533" s="742">
        <f>Calculs!B605</f>
        <v>0</v>
      </c>
      <c r="C533" s="742">
        <f>Calculs!BY605</f>
        <v>0</v>
      </c>
      <c r="D533" s="742">
        <f>Calculs!BZ605</f>
        <v>0</v>
      </c>
      <c r="E533" s="742">
        <f>Calculs!CA605</f>
        <v>0</v>
      </c>
      <c r="F533" s="742">
        <f>Calculs!CB605</f>
        <v>0</v>
      </c>
      <c r="G533" s="742">
        <f>Calculs!CC605</f>
        <v>0</v>
      </c>
      <c r="H533" s="742"/>
      <c r="I533" s="742">
        <f>Calculs!CE605</f>
        <v>0</v>
      </c>
      <c r="J533" s="742">
        <f>Calculs!CF605</f>
        <v>0</v>
      </c>
      <c r="K533" s="742"/>
      <c r="L533" s="742">
        <f>Calculs!CH605</f>
        <v>0</v>
      </c>
    </row>
    <row r="534" spans="2:12">
      <c r="B534" s="742">
        <f>Calculs!B606</f>
        <v>0</v>
      </c>
      <c r="C534" s="742">
        <f>Calculs!BY606</f>
        <v>0</v>
      </c>
      <c r="D534" s="742">
        <f>Calculs!BZ606</f>
        <v>0</v>
      </c>
      <c r="E534" s="742">
        <f>Calculs!CA606</f>
        <v>0</v>
      </c>
      <c r="F534" s="742">
        <f>Calculs!CB606</f>
        <v>0</v>
      </c>
      <c r="G534" s="742">
        <f>Calculs!CC606</f>
        <v>0</v>
      </c>
      <c r="H534" s="742"/>
      <c r="I534" s="742">
        <f>Calculs!CE606</f>
        <v>0</v>
      </c>
      <c r="J534" s="742">
        <f>Calculs!CF606</f>
        <v>0</v>
      </c>
      <c r="K534" s="742"/>
      <c r="L534" s="742">
        <f>Calculs!CH606</f>
        <v>0</v>
      </c>
    </row>
    <row r="535" spans="2:12">
      <c r="B535" s="742">
        <f>Calculs!B607</f>
        <v>0</v>
      </c>
      <c r="C535" s="742">
        <f>Calculs!BY607</f>
        <v>0</v>
      </c>
      <c r="D535" s="742">
        <f>Calculs!BZ607</f>
        <v>0</v>
      </c>
      <c r="E535" s="742">
        <f>Calculs!CA607</f>
        <v>0</v>
      </c>
      <c r="F535" s="742">
        <f>Calculs!CB607</f>
        <v>0</v>
      </c>
      <c r="G535" s="742">
        <f>Calculs!CC607</f>
        <v>0</v>
      </c>
      <c r="H535" s="742"/>
      <c r="I535" s="742">
        <f>Calculs!CE607</f>
        <v>0</v>
      </c>
      <c r="J535" s="742">
        <f>Calculs!CF607</f>
        <v>0</v>
      </c>
      <c r="K535" s="742"/>
      <c r="L535" s="742">
        <f>Calculs!CH607</f>
        <v>0</v>
      </c>
    </row>
    <row r="536" spans="2:12">
      <c r="B536" s="742">
        <f>Calculs!B608</f>
        <v>0</v>
      </c>
      <c r="C536" s="742">
        <f>Calculs!BY608</f>
        <v>0</v>
      </c>
      <c r="D536" s="742">
        <f>Calculs!BZ608</f>
        <v>0</v>
      </c>
      <c r="E536" s="742">
        <f>Calculs!CA608</f>
        <v>0</v>
      </c>
      <c r="F536" s="742">
        <f>Calculs!CB608</f>
        <v>0</v>
      </c>
      <c r="G536" s="742">
        <f>Calculs!CC608</f>
        <v>0</v>
      </c>
      <c r="H536" s="742"/>
      <c r="I536" s="742">
        <f>Calculs!CE608</f>
        <v>0</v>
      </c>
      <c r="J536" s="742">
        <f>Calculs!CF608</f>
        <v>0</v>
      </c>
      <c r="K536" s="742"/>
      <c r="L536" s="742">
        <f>Calculs!CH608</f>
        <v>0</v>
      </c>
    </row>
    <row r="537" spans="2:12">
      <c r="B537" s="742">
        <f>Calculs!B609</f>
        <v>0</v>
      </c>
      <c r="C537" s="742">
        <f>Calculs!BY609</f>
        <v>0</v>
      </c>
      <c r="D537" s="742">
        <f>Calculs!BZ609</f>
        <v>0</v>
      </c>
      <c r="E537" s="742">
        <f>Calculs!CA609</f>
        <v>0</v>
      </c>
      <c r="F537" s="742">
        <f>Calculs!CB609</f>
        <v>0</v>
      </c>
      <c r="G537" s="742">
        <f>Calculs!CC609</f>
        <v>0</v>
      </c>
      <c r="H537" s="742"/>
      <c r="I537" s="742">
        <f>Calculs!CE609</f>
        <v>0</v>
      </c>
      <c r="J537" s="742">
        <f>Calculs!CF609</f>
        <v>0</v>
      </c>
      <c r="K537" s="742"/>
      <c r="L537" s="742">
        <f>Calculs!CH609</f>
        <v>0</v>
      </c>
    </row>
    <row r="538" spans="2:12">
      <c r="B538" s="742">
        <f>Calculs!B610</f>
        <v>0</v>
      </c>
      <c r="C538" s="742">
        <f>Calculs!BY610</f>
        <v>0</v>
      </c>
      <c r="D538" s="742">
        <f>Calculs!BZ610</f>
        <v>0</v>
      </c>
      <c r="E538" s="742">
        <f>Calculs!CA610</f>
        <v>0</v>
      </c>
      <c r="F538" s="742">
        <f>Calculs!CB610</f>
        <v>0</v>
      </c>
      <c r="G538" s="742">
        <f>Calculs!CC610</f>
        <v>0</v>
      </c>
      <c r="H538" s="742"/>
      <c r="I538" s="742">
        <f>Calculs!CE610</f>
        <v>0</v>
      </c>
      <c r="J538" s="742">
        <f>Calculs!CF610</f>
        <v>0</v>
      </c>
      <c r="K538" s="742"/>
      <c r="L538" s="742">
        <f>Calculs!CH610</f>
        <v>0</v>
      </c>
    </row>
    <row r="539" spans="2:12">
      <c r="B539" s="742">
        <f>Calculs!B611</f>
        <v>0</v>
      </c>
      <c r="C539" s="742">
        <f>Calculs!BY611</f>
        <v>0</v>
      </c>
      <c r="D539" s="742">
        <f>Calculs!BZ611</f>
        <v>0</v>
      </c>
      <c r="E539" s="742">
        <f>Calculs!CA611</f>
        <v>0</v>
      </c>
      <c r="F539" s="742">
        <f>Calculs!CB611</f>
        <v>0</v>
      </c>
      <c r="G539" s="742">
        <f>Calculs!CC611</f>
        <v>0</v>
      </c>
      <c r="H539" s="742"/>
      <c r="I539" s="742">
        <f>Calculs!CE611</f>
        <v>0</v>
      </c>
      <c r="J539" s="742">
        <f>Calculs!CF611</f>
        <v>0</v>
      </c>
      <c r="K539" s="742"/>
      <c r="L539" s="742">
        <f>Calculs!CH611</f>
        <v>0</v>
      </c>
    </row>
    <row r="540" spans="2:12">
      <c r="B540" s="742">
        <f>Calculs!B612</f>
        <v>0</v>
      </c>
      <c r="C540" s="742">
        <f>Calculs!BY612</f>
        <v>0</v>
      </c>
      <c r="D540" s="742">
        <f>Calculs!BZ612</f>
        <v>0</v>
      </c>
      <c r="E540" s="742">
        <f>Calculs!CA612</f>
        <v>0</v>
      </c>
      <c r="F540" s="742">
        <f>Calculs!CB612</f>
        <v>0</v>
      </c>
      <c r="G540" s="742">
        <f>Calculs!CC612</f>
        <v>0</v>
      </c>
      <c r="H540" s="742"/>
      <c r="I540" s="742">
        <f>Calculs!CE612</f>
        <v>0</v>
      </c>
      <c r="J540" s="742">
        <f>Calculs!CF612</f>
        <v>0</v>
      </c>
      <c r="K540" s="742"/>
      <c r="L540" s="742">
        <f>Calculs!CH612</f>
        <v>0</v>
      </c>
    </row>
    <row r="541" spans="2:12">
      <c r="B541" s="742">
        <f>Calculs!B613</f>
        <v>0</v>
      </c>
      <c r="C541" s="742">
        <f>Calculs!BY613</f>
        <v>0</v>
      </c>
      <c r="D541" s="742">
        <f>Calculs!BZ613</f>
        <v>0</v>
      </c>
      <c r="E541" s="742">
        <f>Calculs!CA613</f>
        <v>0</v>
      </c>
      <c r="F541" s="742">
        <f>Calculs!CB613</f>
        <v>0</v>
      </c>
      <c r="G541" s="742">
        <f>Calculs!CC613</f>
        <v>0</v>
      </c>
      <c r="H541" s="742"/>
      <c r="I541" s="742">
        <f>Calculs!CE613</f>
        <v>0</v>
      </c>
      <c r="J541" s="742">
        <f>Calculs!CF613</f>
        <v>0</v>
      </c>
      <c r="K541" s="742"/>
      <c r="L541" s="742">
        <f>Calculs!CH613</f>
        <v>0</v>
      </c>
    </row>
    <row r="542" spans="2:12">
      <c r="B542" s="742">
        <f>Calculs!B614</f>
        <v>0</v>
      </c>
      <c r="C542" s="742">
        <f>Calculs!BY614</f>
        <v>0</v>
      </c>
      <c r="D542" s="742">
        <f>Calculs!BZ614</f>
        <v>0</v>
      </c>
      <c r="E542" s="742">
        <f>Calculs!CA614</f>
        <v>0</v>
      </c>
      <c r="F542" s="742">
        <f>Calculs!CB614</f>
        <v>0</v>
      </c>
      <c r="G542" s="742">
        <f>Calculs!CC614</f>
        <v>0</v>
      </c>
      <c r="H542" s="742"/>
      <c r="I542" s="742">
        <f>Calculs!CE614</f>
        <v>0</v>
      </c>
      <c r="J542" s="742">
        <f>Calculs!CF614</f>
        <v>0</v>
      </c>
      <c r="K542" s="742"/>
      <c r="L542" s="742">
        <f>Calculs!CH614</f>
        <v>0</v>
      </c>
    </row>
    <row r="543" spans="2:12">
      <c r="B543" s="742">
        <f>Calculs!B615</f>
        <v>0</v>
      </c>
      <c r="C543" s="742">
        <f>Calculs!BY615</f>
        <v>0</v>
      </c>
      <c r="D543" s="742">
        <f>Calculs!BZ615</f>
        <v>0</v>
      </c>
      <c r="E543" s="742">
        <f>Calculs!CA615</f>
        <v>0</v>
      </c>
      <c r="F543" s="742">
        <f>Calculs!CB615</f>
        <v>0</v>
      </c>
      <c r="G543" s="742">
        <f>Calculs!CC615</f>
        <v>0</v>
      </c>
      <c r="H543" s="742"/>
      <c r="I543" s="742">
        <f>Calculs!CE615</f>
        <v>0</v>
      </c>
      <c r="J543" s="742">
        <f>Calculs!CF615</f>
        <v>0</v>
      </c>
      <c r="K543" s="742"/>
      <c r="L543" s="742">
        <f>Calculs!CH615</f>
        <v>0</v>
      </c>
    </row>
    <row r="544" spans="2:12">
      <c r="B544" s="742">
        <f>Calculs!B616</f>
        <v>0</v>
      </c>
      <c r="C544" s="742">
        <f>Calculs!BY616</f>
        <v>0</v>
      </c>
      <c r="D544" s="742">
        <f>Calculs!BZ616</f>
        <v>0</v>
      </c>
      <c r="E544" s="742">
        <f>Calculs!CA616</f>
        <v>0</v>
      </c>
      <c r="F544" s="742">
        <f>Calculs!CB616</f>
        <v>0</v>
      </c>
      <c r="G544" s="742">
        <f>Calculs!CC616</f>
        <v>0</v>
      </c>
      <c r="H544" s="742"/>
      <c r="I544" s="742">
        <f>Calculs!CE616</f>
        <v>0</v>
      </c>
      <c r="J544" s="742">
        <f>Calculs!CF616</f>
        <v>0</v>
      </c>
      <c r="K544" s="742"/>
      <c r="L544" s="742">
        <f>Calculs!CH616</f>
        <v>0</v>
      </c>
    </row>
    <row r="545" spans="2:12">
      <c r="B545" s="742">
        <f>Calculs!B617</f>
        <v>0</v>
      </c>
      <c r="C545" s="742">
        <f>Calculs!BY617</f>
        <v>0</v>
      </c>
      <c r="D545" s="742">
        <f>Calculs!BZ617</f>
        <v>0</v>
      </c>
      <c r="E545" s="742">
        <f>Calculs!CA617</f>
        <v>0</v>
      </c>
      <c r="F545" s="742">
        <f>Calculs!CB617</f>
        <v>0</v>
      </c>
      <c r="G545" s="742">
        <f>Calculs!CC617</f>
        <v>0</v>
      </c>
      <c r="H545" s="742"/>
      <c r="I545" s="742">
        <f>Calculs!CE617</f>
        <v>0</v>
      </c>
      <c r="J545" s="742">
        <f>Calculs!CF617</f>
        <v>0</v>
      </c>
      <c r="K545" s="742"/>
      <c r="L545" s="742">
        <f>Calculs!CH617</f>
        <v>0</v>
      </c>
    </row>
    <row r="546" spans="2:12">
      <c r="B546" s="742">
        <f>Calculs!B618</f>
        <v>0</v>
      </c>
      <c r="C546" s="742">
        <f>Calculs!BY618</f>
        <v>0</v>
      </c>
      <c r="D546" s="742">
        <f>Calculs!BZ618</f>
        <v>0</v>
      </c>
      <c r="E546" s="742">
        <f>Calculs!CA618</f>
        <v>0</v>
      </c>
      <c r="F546" s="742">
        <f>Calculs!CB618</f>
        <v>0</v>
      </c>
      <c r="G546" s="742">
        <f>Calculs!CC618</f>
        <v>0</v>
      </c>
      <c r="H546" s="742"/>
      <c r="I546" s="742">
        <f>Calculs!CE618</f>
        <v>0</v>
      </c>
      <c r="J546" s="742">
        <f>Calculs!CF618</f>
        <v>0</v>
      </c>
      <c r="K546" s="742"/>
      <c r="L546" s="742">
        <f>Calculs!CH618</f>
        <v>0</v>
      </c>
    </row>
    <row r="547" spans="2:12">
      <c r="B547" s="742">
        <f>Calculs!B619</f>
        <v>0</v>
      </c>
      <c r="C547" s="742">
        <f>Calculs!BY619</f>
        <v>0</v>
      </c>
      <c r="D547" s="742">
        <f>Calculs!BZ619</f>
        <v>0</v>
      </c>
      <c r="E547" s="742">
        <f>Calculs!CA619</f>
        <v>0</v>
      </c>
      <c r="F547" s="742">
        <f>Calculs!CB619</f>
        <v>0</v>
      </c>
      <c r="G547" s="742">
        <f>Calculs!CC619</f>
        <v>0</v>
      </c>
      <c r="H547" s="742"/>
      <c r="I547" s="742">
        <f>Calculs!CE619</f>
        <v>0</v>
      </c>
      <c r="J547" s="742">
        <f>Calculs!CF619</f>
        <v>0</v>
      </c>
      <c r="K547" s="742"/>
      <c r="L547" s="742">
        <f>Calculs!CH619</f>
        <v>0</v>
      </c>
    </row>
    <row r="548" spans="2:12">
      <c r="B548" s="742">
        <f>Calculs!B620</f>
        <v>0</v>
      </c>
      <c r="C548" s="742">
        <f>Calculs!BY620</f>
        <v>0</v>
      </c>
      <c r="D548" s="742">
        <f>Calculs!BZ620</f>
        <v>0</v>
      </c>
      <c r="E548" s="742">
        <f>Calculs!CA620</f>
        <v>0</v>
      </c>
      <c r="F548" s="742">
        <f>Calculs!CB620</f>
        <v>0</v>
      </c>
      <c r="G548" s="742">
        <f>Calculs!CC620</f>
        <v>0</v>
      </c>
      <c r="H548" s="742"/>
      <c r="I548" s="742">
        <f>Calculs!CE620</f>
        <v>0</v>
      </c>
      <c r="J548" s="742">
        <f>Calculs!CF620</f>
        <v>0</v>
      </c>
      <c r="K548" s="742"/>
      <c r="L548" s="742">
        <f>Calculs!CH620</f>
        <v>0</v>
      </c>
    </row>
    <row r="549" spans="2:12">
      <c r="B549" s="742">
        <f>Calculs!B621</f>
        <v>0</v>
      </c>
      <c r="C549" s="742">
        <f>Calculs!BY621</f>
        <v>0</v>
      </c>
      <c r="D549" s="742">
        <f>Calculs!BZ621</f>
        <v>0</v>
      </c>
      <c r="E549" s="742">
        <f>Calculs!CA621</f>
        <v>0</v>
      </c>
      <c r="F549" s="742">
        <f>Calculs!CB621</f>
        <v>0</v>
      </c>
      <c r="G549" s="742">
        <f>Calculs!CC621</f>
        <v>0</v>
      </c>
      <c r="H549" s="742"/>
      <c r="I549" s="742">
        <f>Calculs!CE621</f>
        <v>0</v>
      </c>
      <c r="J549" s="742">
        <f>Calculs!CF621</f>
        <v>0</v>
      </c>
      <c r="K549" s="742"/>
      <c r="L549" s="742">
        <f>Calculs!CH621</f>
        <v>0</v>
      </c>
    </row>
    <row r="550" spans="2:12">
      <c r="B550" s="742">
        <f>Calculs!B622</f>
        <v>0</v>
      </c>
      <c r="C550" s="742">
        <f>Calculs!BY622</f>
        <v>0</v>
      </c>
      <c r="D550" s="742">
        <f>Calculs!BZ622</f>
        <v>0</v>
      </c>
      <c r="E550" s="742">
        <f>Calculs!CA622</f>
        <v>0</v>
      </c>
      <c r="F550" s="742">
        <f>Calculs!CB622</f>
        <v>0</v>
      </c>
      <c r="G550" s="742">
        <f>Calculs!CC622</f>
        <v>0</v>
      </c>
      <c r="H550" s="742"/>
      <c r="I550" s="742">
        <f>Calculs!CE622</f>
        <v>0</v>
      </c>
      <c r="J550" s="742">
        <f>Calculs!CF622</f>
        <v>0</v>
      </c>
      <c r="K550" s="742"/>
      <c r="L550" s="742">
        <f>Calculs!CH622</f>
        <v>0</v>
      </c>
    </row>
    <row r="551" spans="2:12">
      <c r="B551" s="742">
        <f>Calculs!B623</f>
        <v>0</v>
      </c>
      <c r="C551" s="742">
        <f>Calculs!BY623</f>
        <v>0</v>
      </c>
      <c r="D551" s="742">
        <f>Calculs!BZ623</f>
        <v>0</v>
      </c>
      <c r="E551" s="742">
        <f>Calculs!CA623</f>
        <v>0</v>
      </c>
      <c r="F551" s="742">
        <f>Calculs!CB623</f>
        <v>0</v>
      </c>
      <c r="G551" s="742">
        <f>Calculs!CC623</f>
        <v>0</v>
      </c>
      <c r="H551" s="742"/>
      <c r="I551" s="742">
        <f>Calculs!CE623</f>
        <v>0</v>
      </c>
      <c r="J551" s="742">
        <f>Calculs!CF623</f>
        <v>0</v>
      </c>
      <c r="K551" s="742"/>
      <c r="L551" s="742">
        <f>Calculs!CH623</f>
        <v>0</v>
      </c>
    </row>
    <row r="552" spans="2:12">
      <c r="B552" s="742">
        <f>Calculs!B624</f>
        <v>0</v>
      </c>
      <c r="C552" s="742">
        <f>Calculs!BY624</f>
        <v>0</v>
      </c>
      <c r="D552" s="742">
        <f>Calculs!BZ624</f>
        <v>0</v>
      </c>
      <c r="E552" s="742">
        <f>Calculs!CA624</f>
        <v>0</v>
      </c>
      <c r="F552" s="742">
        <f>Calculs!CB624</f>
        <v>0</v>
      </c>
      <c r="G552" s="742">
        <f>Calculs!CC624</f>
        <v>0</v>
      </c>
      <c r="H552" s="742"/>
      <c r="I552" s="742">
        <f>Calculs!CE624</f>
        <v>0</v>
      </c>
      <c r="J552" s="742">
        <f>Calculs!CF624</f>
        <v>0</v>
      </c>
      <c r="K552" s="742"/>
      <c r="L552" s="742">
        <f>Calculs!CH624</f>
        <v>0</v>
      </c>
    </row>
    <row r="553" spans="2:12">
      <c r="B553" s="742">
        <f>Calculs!B625</f>
        <v>0</v>
      </c>
      <c r="C553" s="742">
        <f>Calculs!BY625</f>
        <v>0</v>
      </c>
      <c r="D553" s="742">
        <f>Calculs!BZ625</f>
        <v>0</v>
      </c>
      <c r="E553" s="742">
        <f>Calculs!CA625</f>
        <v>0</v>
      </c>
      <c r="F553" s="742">
        <f>Calculs!CB625</f>
        <v>0</v>
      </c>
      <c r="G553" s="742">
        <f>Calculs!CC625</f>
        <v>0</v>
      </c>
      <c r="H553" s="742"/>
      <c r="I553" s="742">
        <f>Calculs!CE625</f>
        <v>0</v>
      </c>
      <c r="J553" s="742">
        <f>Calculs!CF625</f>
        <v>0</v>
      </c>
      <c r="K553" s="742"/>
      <c r="L553" s="742">
        <f>Calculs!CH625</f>
        <v>0</v>
      </c>
    </row>
    <row r="554" spans="2:12">
      <c r="B554" s="742">
        <f>Calculs!B626</f>
        <v>0</v>
      </c>
      <c r="C554" s="742">
        <f>Calculs!BY626</f>
        <v>0</v>
      </c>
      <c r="D554" s="742">
        <f>Calculs!BZ626</f>
        <v>0</v>
      </c>
      <c r="E554" s="742">
        <f>Calculs!CA626</f>
        <v>0</v>
      </c>
      <c r="F554" s="742">
        <f>Calculs!CB626</f>
        <v>0</v>
      </c>
      <c r="G554" s="742">
        <f>Calculs!CC626</f>
        <v>0</v>
      </c>
      <c r="H554" s="742"/>
      <c r="I554" s="742">
        <f>Calculs!CE626</f>
        <v>0</v>
      </c>
      <c r="J554" s="742">
        <f>Calculs!CF626</f>
        <v>0</v>
      </c>
      <c r="K554" s="742"/>
      <c r="L554" s="742">
        <f>Calculs!CH626</f>
        <v>0</v>
      </c>
    </row>
    <row r="555" spans="2:12">
      <c r="B555" s="742">
        <f>Calculs!B627</f>
        <v>0</v>
      </c>
      <c r="C555" s="742">
        <f>Calculs!BY627</f>
        <v>0</v>
      </c>
      <c r="D555" s="742">
        <f>Calculs!BZ627</f>
        <v>0</v>
      </c>
      <c r="E555" s="742">
        <f>Calculs!CA627</f>
        <v>0</v>
      </c>
      <c r="F555" s="742">
        <f>Calculs!CB627</f>
        <v>0</v>
      </c>
      <c r="G555" s="742">
        <f>Calculs!CC627</f>
        <v>0</v>
      </c>
      <c r="H555" s="742"/>
      <c r="I555" s="742">
        <f>Calculs!CE627</f>
        <v>0</v>
      </c>
      <c r="J555" s="742">
        <f>Calculs!CF627</f>
        <v>0</v>
      </c>
      <c r="K555" s="742"/>
      <c r="L555" s="742">
        <f>Calculs!CH627</f>
        <v>0</v>
      </c>
    </row>
    <row r="556" spans="2:12">
      <c r="B556" s="742">
        <f>Calculs!B628</f>
        <v>0</v>
      </c>
      <c r="C556" s="742">
        <f>Calculs!BY628</f>
        <v>0</v>
      </c>
      <c r="D556" s="742">
        <f>Calculs!BZ628</f>
        <v>0</v>
      </c>
      <c r="E556" s="742">
        <f>Calculs!CA628</f>
        <v>0</v>
      </c>
      <c r="F556" s="742">
        <f>Calculs!CB628</f>
        <v>0</v>
      </c>
      <c r="G556" s="742">
        <f>Calculs!CC628</f>
        <v>0</v>
      </c>
      <c r="H556" s="742"/>
      <c r="I556" s="742">
        <f>Calculs!CE628</f>
        <v>0</v>
      </c>
      <c r="J556" s="742">
        <f>Calculs!CF628</f>
        <v>0</v>
      </c>
      <c r="K556" s="742"/>
      <c r="L556" s="742">
        <f>Calculs!CH628</f>
        <v>0</v>
      </c>
    </row>
    <row r="557" spans="2:12">
      <c r="B557" s="742">
        <f>Calculs!B629</f>
        <v>0</v>
      </c>
      <c r="C557" s="742">
        <f>Calculs!BY629</f>
        <v>0</v>
      </c>
      <c r="D557" s="742">
        <f>Calculs!BZ629</f>
        <v>0</v>
      </c>
      <c r="E557" s="742">
        <f>Calculs!CA629</f>
        <v>0</v>
      </c>
      <c r="F557" s="742">
        <f>Calculs!CB629</f>
        <v>0</v>
      </c>
      <c r="G557" s="742">
        <f>Calculs!CC629</f>
        <v>0</v>
      </c>
      <c r="H557" s="742"/>
      <c r="I557" s="742">
        <f>Calculs!CE629</f>
        <v>0</v>
      </c>
      <c r="J557" s="742">
        <f>Calculs!CF629</f>
        <v>0</v>
      </c>
      <c r="K557" s="742"/>
      <c r="L557" s="742">
        <f>Calculs!CH629</f>
        <v>0</v>
      </c>
    </row>
    <row r="558" spans="2:12">
      <c r="B558" s="742">
        <f>Calculs!B630</f>
        <v>0</v>
      </c>
      <c r="C558" s="742">
        <f>Calculs!BY630</f>
        <v>0</v>
      </c>
      <c r="D558" s="742">
        <f>Calculs!BZ630</f>
        <v>0</v>
      </c>
      <c r="E558" s="742">
        <f>Calculs!CA630</f>
        <v>0</v>
      </c>
      <c r="F558" s="742">
        <f>Calculs!CB630</f>
        <v>0</v>
      </c>
      <c r="G558" s="742">
        <f>Calculs!CC630</f>
        <v>0</v>
      </c>
      <c r="H558" s="742"/>
      <c r="I558" s="742">
        <f>Calculs!CE630</f>
        <v>0</v>
      </c>
      <c r="J558" s="742">
        <f>Calculs!CF630</f>
        <v>0</v>
      </c>
      <c r="K558" s="742"/>
      <c r="L558" s="742">
        <f>Calculs!CH630</f>
        <v>0</v>
      </c>
    </row>
    <row r="559" spans="2:12">
      <c r="B559" s="742">
        <f>Calculs!B631</f>
        <v>0</v>
      </c>
      <c r="C559" s="742">
        <f>Calculs!BY631</f>
        <v>0</v>
      </c>
      <c r="D559" s="742">
        <f>Calculs!BZ631</f>
        <v>0</v>
      </c>
      <c r="E559" s="742">
        <f>Calculs!CA631</f>
        <v>0</v>
      </c>
      <c r="F559" s="742">
        <f>Calculs!CB631</f>
        <v>0</v>
      </c>
      <c r="G559" s="742">
        <f>Calculs!CC631</f>
        <v>0</v>
      </c>
      <c r="H559" s="742"/>
      <c r="I559" s="742">
        <f>Calculs!CE631</f>
        <v>0</v>
      </c>
      <c r="J559" s="742">
        <f>Calculs!CF631</f>
        <v>0</v>
      </c>
      <c r="K559" s="742"/>
      <c r="L559" s="742">
        <f>Calculs!CH631</f>
        <v>0</v>
      </c>
    </row>
    <row r="560" spans="2:12">
      <c r="B560" s="742">
        <f>Calculs!B632</f>
        <v>0</v>
      </c>
      <c r="C560" s="742">
        <f>Calculs!BY632</f>
        <v>0</v>
      </c>
      <c r="D560" s="742">
        <f>Calculs!BZ632</f>
        <v>0</v>
      </c>
      <c r="E560" s="742">
        <f>Calculs!CA632</f>
        <v>0</v>
      </c>
      <c r="F560" s="742">
        <f>Calculs!CB632</f>
        <v>0</v>
      </c>
      <c r="G560" s="742">
        <f>Calculs!CC632</f>
        <v>0</v>
      </c>
      <c r="H560" s="742"/>
      <c r="I560" s="742">
        <f>Calculs!CE632</f>
        <v>0</v>
      </c>
      <c r="J560" s="742">
        <f>Calculs!CF632</f>
        <v>0</v>
      </c>
      <c r="K560" s="742"/>
      <c r="L560" s="742">
        <f>Calculs!CH632</f>
        <v>0</v>
      </c>
    </row>
    <row r="561" spans="2:12">
      <c r="B561" s="742">
        <f>Calculs!B633</f>
        <v>0</v>
      </c>
      <c r="C561" s="742">
        <f>Calculs!BY633</f>
        <v>0</v>
      </c>
      <c r="D561" s="742">
        <f>Calculs!BZ633</f>
        <v>0</v>
      </c>
      <c r="E561" s="742">
        <f>Calculs!CA633</f>
        <v>0</v>
      </c>
      <c r="F561" s="742">
        <f>Calculs!CB633</f>
        <v>0</v>
      </c>
      <c r="G561" s="742">
        <f>Calculs!CC633</f>
        <v>0</v>
      </c>
      <c r="H561" s="742"/>
      <c r="I561" s="742">
        <f>Calculs!CE633</f>
        <v>0</v>
      </c>
      <c r="J561" s="742">
        <f>Calculs!CF633</f>
        <v>0</v>
      </c>
      <c r="K561" s="742"/>
      <c r="L561" s="742">
        <f>Calculs!CH633</f>
        <v>0</v>
      </c>
    </row>
    <row r="562" spans="2:12">
      <c r="B562" s="742">
        <f>Calculs!B634</f>
        <v>0</v>
      </c>
      <c r="C562" s="742">
        <f>Calculs!BY634</f>
        <v>0</v>
      </c>
      <c r="D562" s="742">
        <f>Calculs!BZ634</f>
        <v>0</v>
      </c>
      <c r="E562" s="742">
        <f>Calculs!CA634</f>
        <v>0</v>
      </c>
      <c r="F562" s="742">
        <f>Calculs!CB634</f>
        <v>0</v>
      </c>
      <c r="G562" s="742">
        <f>Calculs!CC634</f>
        <v>0</v>
      </c>
      <c r="H562" s="742"/>
      <c r="I562" s="742">
        <f>Calculs!CE634</f>
        <v>0</v>
      </c>
      <c r="J562" s="742">
        <f>Calculs!CF634</f>
        <v>0</v>
      </c>
      <c r="K562" s="742"/>
      <c r="L562" s="742">
        <f>Calculs!CH634</f>
        <v>0</v>
      </c>
    </row>
    <row r="563" spans="2:12">
      <c r="B563" s="742">
        <f>Calculs!B635</f>
        <v>0</v>
      </c>
      <c r="C563" s="742">
        <f>Calculs!BY635</f>
        <v>0</v>
      </c>
      <c r="D563" s="742">
        <f>Calculs!BZ635</f>
        <v>0</v>
      </c>
      <c r="E563" s="742">
        <f>Calculs!CA635</f>
        <v>0</v>
      </c>
      <c r="F563" s="742">
        <f>Calculs!CB635</f>
        <v>0</v>
      </c>
      <c r="G563" s="742">
        <f>Calculs!CC635</f>
        <v>0</v>
      </c>
      <c r="H563" s="742"/>
      <c r="I563" s="742">
        <f>Calculs!CE635</f>
        <v>0</v>
      </c>
      <c r="J563" s="742">
        <f>Calculs!CF635</f>
        <v>0</v>
      </c>
      <c r="K563" s="742"/>
      <c r="L563" s="742">
        <f>Calculs!CH635</f>
        <v>0</v>
      </c>
    </row>
    <row r="564" spans="2:12">
      <c r="B564" s="742">
        <f>Calculs!B636</f>
        <v>0</v>
      </c>
      <c r="C564" s="742">
        <f>Calculs!BY636</f>
        <v>0</v>
      </c>
      <c r="D564" s="742">
        <f>Calculs!BZ636</f>
        <v>0</v>
      </c>
      <c r="E564" s="742">
        <f>Calculs!CA636</f>
        <v>0</v>
      </c>
      <c r="F564" s="742">
        <f>Calculs!CB636</f>
        <v>0</v>
      </c>
      <c r="G564" s="742">
        <f>Calculs!CC636</f>
        <v>0</v>
      </c>
      <c r="H564" s="742"/>
      <c r="I564" s="742">
        <f>Calculs!CE636</f>
        <v>0</v>
      </c>
      <c r="J564" s="742">
        <f>Calculs!CF636</f>
        <v>0</v>
      </c>
      <c r="K564" s="742"/>
      <c r="L564" s="742">
        <f>Calculs!CH636</f>
        <v>0</v>
      </c>
    </row>
    <row r="565" spans="2:12">
      <c r="B565" s="742">
        <f>Calculs!B637</f>
        <v>0</v>
      </c>
      <c r="C565" s="742">
        <f>Calculs!BY637</f>
        <v>0</v>
      </c>
      <c r="D565" s="742">
        <f>Calculs!BZ637</f>
        <v>0</v>
      </c>
      <c r="E565" s="742">
        <f>Calculs!CA637</f>
        <v>0</v>
      </c>
      <c r="F565" s="742">
        <f>Calculs!CB637</f>
        <v>0</v>
      </c>
      <c r="G565" s="742">
        <f>Calculs!CC637</f>
        <v>0</v>
      </c>
      <c r="H565" s="742"/>
      <c r="I565" s="742">
        <f>Calculs!CE637</f>
        <v>0</v>
      </c>
      <c r="J565" s="742">
        <f>Calculs!CF637</f>
        <v>0</v>
      </c>
      <c r="K565" s="742"/>
      <c r="L565" s="742">
        <f>Calculs!CH637</f>
        <v>0</v>
      </c>
    </row>
    <row r="566" spans="2:12">
      <c r="B566" s="742">
        <f>Calculs!B638</f>
        <v>0</v>
      </c>
      <c r="C566" s="742">
        <f>Calculs!BY638</f>
        <v>0</v>
      </c>
      <c r="D566" s="742">
        <f>Calculs!BZ638</f>
        <v>0</v>
      </c>
      <c r="E566" s="742">
        <f>Calculs!CA638</f>
        <v>0</v>
      </c>
      <c r="F566" s="742">
        <f>Calculs!CB638</f>
        <v>0</v>
      </c>
      <c r="G566" s="742">
        <f>Calculs!CC638</f>
        <v>0</v>
      </c>
      <c r="H566" s="742"/>
      <c r="I566" s="742">
        <f>Calculs!CE638</f>
        <v>0</v>
      </c>
      <c r="J566" s="742">
        <f>Calculs!CF638</f>
        <v>0</v>
      </c>
      <c r="K566" s="742"/>
      <c r="L566" s="742">
        <f>Calculs!CH638</f>
        <v>0</v>
      </c>
    </row>
    <row r="567" spans="2:12">
      <c r="B567" s="742">
        <f>Calculs!B639</f>
        <v>0</v>
      </c>
      <c r="C567" s="742">
        <f>Calculs!BY639</f>
        <v>0</v>
      </c>
      <c r="D567" s="742">
        <f>Calculs!BZ639</f>
        <v>0</v>
      </c>
      <c r="E567" s="742">
        <f>Calculs!CA639</f>
        <v>0</v>
      </c>
      <c r="F567" s="742">
        <f>Calculs!CB639</f>
        <v>0</v>
      </c>
      <c r="G567" s="742">
        <f>Calculs!CC639</f>
        <v>0</v>
      </c>
      <c r="H567" s="742"/>
      <c r="I567" s="742">
        <f>Calculs!CE639</f>
        <v>0</v>
      </c>
      <c r="J567" s="742">
        <f>Calculs!CF639</f>
        <v>0</v>
      </c>
      <c r="K567" s="742"/>
      <c r="L567" s="742">
        <f>Calculs!CH639</f>
        <v>0</v>
      </c>
    </row>
    <row r="568" spans="2:12">
      <c r="B568" s="742">
        <f>Calculs!B640</f>
        <v>0</v>
      </c>
      <c r="C568" s="742">
        <f>Calculs!BY640</f>
        <v>0</v>
      </c>
      <c r="D568" s="742">
        <f>Calculs!BZ640</f>
        <v>0</v>
      </c>
      <c r="E568" s="742">
        <f>Calculs!CA640</f>
        <v>0</v>
      </c>
      <c r="F568" s="742">
        <f>Calculs!CB640</f>
        <v>0</v>
      </c>
      <c r="G568" s="742">
        <f>Calculs!CC640</f>
        <v>0</v>
      </c>
      <c r="H568" s="742"/>
      <c r="I568" s="742">
        <f>Calculs!CE640</f>
        <v>0</v>
      </c>
      <c r="J568" s="742">
        <f>Calculs!CF640</f>
        <v>0</v>
      </c>
      <c r="K568" s="742"/>
      <c r="L568" s="742">
        <f>Calculs!CH640</f>
        <v>0</v>
      </c>
    </row>
    <row r="569" spans="2:12">
      <c r="B569" s="742">
        <f>Calculs!B641</f>
        <v>0</v>
      </c>
      <c r="C569" s="742">
        <f>Calculs!BY641</f>
        <v>0</v>
      </c>
      <c r="D569" s="742">
        <f>Calculs!BZ641</f>
        <v>0</v>
      </c>
      <c r="E569" s="742">
        <f>Calculs!CA641</f>
        <v>0</v>
      </c>
      <c r="F569" s="742">
        <f>Calculs!CB641</f>
        <v>0</v>
      </c>
      <c r="G569" s="742">
        <f>Calculs!CC641</f>
        <v>0</v>
      </c>
      <c r="H569" s="742"/>
      <c r="I569" s="742">
        <f>Calculs!CE641</f>
        <v>0</v>
      </c>
      <c r="J569" s="742">
        <f>Calculs!CF641</f>
        <v>0</v>
      </c>
      <c r="K569" s="742"/>
      <c r="L569" s="742">
        <f>Calculs!CH641</f>
        <v>0</v>
      </c>
    </row>
    <row r="570" spans="2:12">
      <c r="B570" s="742">
        <f>Calculs!B642</f>
        <v>0</v>
      </c>
      <c r="C570" s="742">
        <f>Calculs!BY642</f>
        <v>0</v>
      </c>
      <c r="D570" s="742">
        <f>Calculs!BZ642</f>
        <v>0</v>
      </c>
      <c r="E570" s="742">
        <f>Calculs!CA642</f>
        <v>0</v>
      </c>
      <c r="F570" s="742">
        <f>Calculs!CB642</f>
        <v>0</v>
      </c>
      <c r="G570" s="742">
        <f>Calculs!CC642</f>
        <v>0</v>
      </c>
      <c r="H570" s="742"/>
      <c r="I570" s="742">
        <f>Calculs!CE642</f>
        <v>0</v>
      </c>
      <c r="J570" s="742">
        <f>Calculs!CF642</f>
        <v>0</v>
      </c>
      <c r="K570" s="742"/>
      <c r="L570" s="742">
        <f>Calculs!CH642</f>
        <v>0</v>
      </c>
    </row>
    <row r="571" spans="2:12">
      <c r="B571" s="742">
        <f>Calculs!B643</f>
        <v>0</v>
      </c>
      <c r="C571" s="742">
        <f>Calculs!BY643</f>
        <v>0</v>
      </c>
      <c r="D571" s="742">
        <f>Calculs!BZ643</f>
        <v>0</v>
      </c>
      <c r="E571" s="742">
        <f>Calculs!CA643</f>
        <v>0</v>
      </c>
      <c r="F571" s="742">
        <f>Calculs!CB643</f>
        <v>0</v>
      </c>
      <c r="G571" s="742">
        <f>Calculs!CC643</f>
        <v>0</v>
      </c>
      <c r="H571" s="742"/>
      <c r="I571" s="742">
        <f>Calculs!CE643</f>
        <v>0</v>
      </c>
      <c r="J571" s="742">
        <f>Calculs!CF643</f>
        <v>0</v>
      </c>
      <c r="K571" s="742"/>
      <c r="L571" s="742">
        <f>Calculs!CH643</f>
        <v>0</v>
      </c>
    </row>
    <row r="572" spans="2:12">
      <c r="B572" s="742">
        <f>Calculs!B644</f>
        <v>0</v>
      </c>
      <c r="C572" s="742">
        <f>Calculs!BY644</f>
        <v>0</v>
      </c>
      <c r="D572" s="742">
        <f>Calculs!BZ644</f>
        <v>0</v>
      </c>
      <c r="E572" s="742">
        <f>Calculs!CA644</f>
        <v>0</v>
      </c>
      <c r="F572" s="742">
        <f>Calculs!CB644</f>
        <v>0</v>
      </c>
      <c r="G572" s="742">
        <f>Calculs!CC644</f>
        <v>0</v>
      </c>
      <c r="H572" s="742"/>
      <c r="I572" s="742">
        <f>Calculs!CE644</f>
        <v>0</v>
      </c>
      <c r="J572" s="742">
        <f>Calculs!CF644</f>
        <v>0</v>
      </c>
      <c r="K572" s="742"/>
      <c r="L572" s="742">
        <f>Calculs!CH644</f>
        <v>0</v>
      </c>
    </row>
    <row r="573" spans="2:12">
      <c r="B573" s="742">
        <f>Calculs!B645</f>
        <v>0</v>
      </c>
      <c r="C573" s="742">
        <f>Calculs!BY645</f>
        <v>0</v>
      </c>
      <c r="D573" s="742">
        <f>Calculs!BZ645</f>
        <v>0</v>
      </c>
      <c r="E573" s="742">
        <f>Calculs!CA645</f>
        <v>0</v>
      </c>
      <c r="F573" s="742">
        <f>Calculs!CB645</f>
        <v>0</v>
      </c>
      <c r="G573" s="742">
        <f>Calculs!CC645</f>
        <v>0</v>
      </c>
      <c r="H573" s="742"/>
      <c r="I573" s="742">
        <f>Calculs!CE645</f>
        <v>0</v>
      </c>
      <c r="J573" s="742">
        <f>Calculs!CF645</f>
        <v>0</v>
      </c>
      <c r="K573" s="742"/>
      <c r="L573" s="742">
        <f>Calculs!CH645</f>
        <v>0</v>
      </c>
    </row>
    <row r="574" spans="2:12">
      <c r="B574" s="742">
        <f>Calculs!B646</f>
        <v>0</v>
      </c>
      <c r="C574" s="742">
        <f>Calculs!BY646</f>
        <v>0</v>
      </c>
      <c r="D574" s="742">
        <f>Calculs!BZ646</f>
        <v>0</v>
      </c>
      <c r="E574" s="742">
        <f>Calculs!CA646</f>
        <v>0</v>
      </c>
      <c r="F574" s="742">
        <f>Calculs!CB646</f>
        <v>0</v>
      </c>
      <c r="G574" s="742">
        <f>Calculs!CC646</f>
        <v>0</v>
      </c>
      <c r="H574" s="742"/>
      <c r="I574" s="742">
        <f>Calculs!CE646</f>
        <v>0</v>
      </c>
      <c r="J574" s="742">
        <f>Calculs!CF646</f>
        <v>0</v>
      </c>
      <c r="K574" s="742"/>
      <c r="L574" s="742">
        <f>Calculs!CH646</f>
        <v>0</v>
      </c>
    </row>
    <row r="575" spans="2:12">
      <c r="B575" s="742">
        <f>Calculs!B647</f>
        <v>0</v>
      </c>
      <c r="C575" s="742">
        <f>Calculs!BY647</f>
        <v>0</v>
      </c>
      <c r="D575" s="742">
        <f>Calculs!BZ647</f>
        <v>0</v>
      </c>
      <c r="E575" s="742">
        <f>Calculs!CA647</f>
        <v>0</v>
      </c>
      <c r="F575" s="742">
        <f>Calculs!CB647</f>
        <v>0</v>
      </c>
      <c r="G575" s="742">
        <f>Calculs!CC647</f>
        <v>0</v>
      </c>
      <c r="H575" s="742"/>
      <c r="I575" s="742">
        <f>Calculs!CE647</f>
        <v>0</v>
      </c>
      <c r="J575" s="742">
        <f>Calculs!CF647</f>
        <v>0</v>
      </c>
      <c r="K575" s="742"/>
      <c r="L575" s="742">
        <f>Calculs!CH647</f>
        <v>0</v>
      </c>
    </row>
    <row r="576" spans="2:12">
      <c r="B576" s="742">
        <f>Calculs!B648</f>
        <v>0</v>
      </c>
      <c r="C576" s="742">
        <f>Calculs!BY648</f>
        <v>0</v>
      </c>
      <c r="D576" s="742">
        <f>Calculs!BZ648</f>
        <v>0</v>
      </c>
      <c r="E576" s="742">
        <f>Calculs!CA648</f>
        <v>0</v>
      </c>
      <c r="F576" s="742">
        <f>Calculs!CB648</f>
        <v>0</v>
      </c>
      <c r="G576" s="742">
        <f>Calculs!CC648</f>
        <v>0</v>
      </c>
      <c r="H576" s="742"/>
      <c r="I576" s="742">
        <f>Calculs!CE648</f>
        <v>0</v>
      </c>
      <c r="J576" s="742">
        <f>Calculs!CF648</f>
        <v>0</v>
      </c>
      <c r="K576" s="742"/>
      <c r="L576" s="742">
        <f>Calculs!CH648</f>
        <v>0</v>
      </c>
    </row>
    <row r="577" spans="2:12">
      <c r="B577" s="742">
        <f>Calculs!B649</f>
        <v>0</v>
      </c>
      <c r="C577" s="742">
        <f>Calculs!BY649</f>
        <v>0</v>
      </c>
      <c r="D577" s="742">
        <f>Calculs!BZ649</f>
        <v>0</v>
      </c>
      <c r="E577" s="742">
        <f>Calculs!CA649</f>
        <v>0</v>
      </c>
      <c r="F577" s="742">
        <f>Calculs!CB649</f>
        <v>0</v>
      </c>
      <c r="G577" s="742">
        <f>Calculs!CC649</f>
        <v>0</v>
      </c>
      <c r="H577" s="742"/>
      <c r="I577" s="742">
        <f>Calculs!CE649</f>
        <v>0</v>
      </c>
      <c r="J577" s="742">
        <f>Calculs!CF649</f>
        <v>0</v>
      </c>
      <c r="K577" s="742"/>
      <c r="L577" s="742">
        <f>Calculs!CH649</f>
        <v>0</v>
      </c>
    </row>
    <row r="578" spans="2:12">
      <c r="B578" s="742">
        <f>Calculs!B650</f>
        <v>0</v>
      </c>
      <c r="C578" s="742">
        <f>Calculs!BY650</f>
        <v>0</v>
      </c>
      <c r="D578" s="742">
        <f>Calculs!BZ650</f>
        <v>0</v>
      </c>
      <c r="E578" s="742">
        <f>Calculs!CA650</f>
        <v>0</v>
      </c>
      <c r="F578" s="742">
        <f>Calculs!CB650</f>
        <v>0</v>
      </c>
      <c r="G578" s="742">
        <f>Calculs!CC650</f>
        <v>0</v>
      </c>
      <c r="H578" s="742"/>
      <c r="I578" s="742">
        <f>Calculs!CE650</f>
        <v>0</v>
      </c>
      <c r="J578" s="742">
        <f>Calculs!CF650</f>
        <v>0</v>
      </c>
      <c r="K578" s="742"/>
      <c r="L578" s="742">
        <f>Calculs!CH650</f>
        <v>0</v>
      </c>
    </row>
    <row r="579" spans="2:12">
      <c r="B579" s="742">
        <f>Calculs!B651</f>
        <v>0</v>
      </c>
      <c r="C579" s="742">
        <f>Calculs!BY651</f>
        <v>0</v>
      </c>
      <c r="D579" s="742">
        <f>Calculs!BZ651</f>
        <v>0</v>
      </c>
      <c r="E579" s="742">
        <f>Calculs!CA651</f>
        <v>0</v>
      </c>
      <c r="F579" s="742">
        <f>Calculs!CB651</f>
        <v>0</v>
      </c>
      <c r="G579" s="742">
        <f>Calculs!CC651</f>
        <v>0</v>
      </c>
      <c r="H579" s="742"/>
      <c r="I579" s="742">
        <f>Calculs!CE651</f>
        <v>0</v>
      </c>
      <c r="J579" s="742">
        <f>Calculs!CF651</f>
        <v>0</v>
      </c>
      <c r="K579" s="742"/>
      <c r="L579" s="742">
        <f>Calculs!CH651</f>
        <v>0</v>
      </c>
    </row>
    <row r="580" spans="2:12">
      <c r="B580" s="742">
        <f>Calculs!B652</f>
        <v>0</v>
      </c>
      <c r="C580" s="742">
        <f>Calculs!BY652</f>
        <v>0</v>
      </c>
      <c r="D580" s="742">
        <f>Calculs!BZ652</f>
        <v>0</v>
      </c>
      <c r="E580" s="742">
        <f>Calculs!CA652</f>
        <v>0</v>
      </c>
      <c r="F580" s="742">
        <f>Calculs!CB652</f>
        <v>0</v>
      </c>
      <c r="G580" s="742">
        <f>Calculs!CC652</f>
        <v>0</v>
      </c>
      <c r="H580" s="742"/>
      <c r="I580" s="742">
        <f>Calculs!CE652</f>
        <v>0</v>
      </c>
      <c r="J580" s="742">
        <f>Calculs!CF652</f>
        <v>0</v>
      </c>
      <c r="K580" s="742"/>
      <c r="L580" s="742">
        <f>Calculs!CH652</f>
        <v>0</v>
      </c>
    </row>
    <row r="581" spans="2:12">
      <c r="B581" s="742">
        <f>Calculs!B653</f>
        <v>0</v>
      </c>
      <c r="C581" s="742">
        <f>Calculs!BY653</f>
        <v>0</v>
      </c>
      <c r="D581" s="742">
        <f>Calculs!BZ653</f>
        <v>0</v>
      </c>
      <c r="E581" s="742">
        <f>Calculs!CA653</f>
        <v>0</v>
      </c>
      <c r="F581" s="742">
        <f>Calculs!CB653</f>
        <v>0</v>
      </c>
      <c r="G581" s="742">
        <f>Calculs!CC653</f>
        <v>0</v>
      </c>
      <c r="H581" s="742"/>
      <c r="I581" s="742">
        <f>Calculs!CE653</f>
        <v>0</v>
      </c>
      <c r="J581" s="742">
        <f>Calculs!CF653</f>
        <v>0</v>
      </c>
      <c r="K581" s="742"/>
      <c r="L581" s="742">
        <f>Calculs!CH653</f>
        <v>0</v>
      </c>
    </row>
    <row r="582" spans="2:12">
      <c r="B582" s="742">
        <f>Calculs!B654</f>
        <v>0</v>
      </c>
      <c r="C582" s="742">
        <f>Calculs!BY654</f>
        <v>0</v>
      </c>
      <c r="D582" s="742">
        <f>Calculs!BZ654</f>
        <v>0</v>
      </c>
      <c r="E582" s="742">
        <f>Calculs!CA654</f>
        <v>0</v>
      </c>
      <c r="F582" s="742">
        <f>Calculs!CB654</f>
        <v>0</v>
      </c>
      <c r="G582" s="742">
        <f>Calculs!CC654</f>
        <v>0</v>
      </c>
      <c r="H582" s="742"/>
      <c r="I582" s="742">
        <f>Calculs!CE654</f>
        <v>0</v>
      </c>
      <c r="J582" s="742">
        <f>Calculs!CF654</f>
        <v>0</v>
      </c>
      <c r="K582" s="742"/>
      <c r="L582" s="742">
        <f>Calculs!CH654</f>
        <v>0</v>
      </c>
    </row>
    <row r="583" spans="2:12">
      <c r="B583" s="742">
        <f>Calculs!B655</f>
        <v>0</v>
      </c>
      <c r="C583" s="742">
        <f>Calculs!BY655</f>
        <v>0</v>
      </c>
      <c r="D583" s="742">
        <f>Calculs!BZ655</f>
        <v>0</v>
      </c>
      <c r="E583" s="742">
        <f>Calculs!CA655</f>
        <v>0</v>
      </c>
      <c r="F583" s="742">
        <f>Calculs!CB655</f>
        <v>0</v>
      </c>
      <c r="G583" s="742">
        <f>Calculs!CC655</f>
        <v>0</v>
      </c>
      <c r="H583" s="742"/>
      <c r="I583" s="742">
        <f>Calculs!CE655</f>
        <v>0</v>
      </c>
      <c r="J583" s="742">
        <f>Calculs!CF655</f>
        <v>0</v>
      </c>
      <c r="K583" s="742"/>
      <c r="L583" s="742">
        <f>Calculs!CH655</f>
        <v>0</v>
      </c>
    </row>
    <row r="584" spans="2:12">
      <c r="B584" s="742">
        <f>Calculs!B656</f>
        <v>0</v>
      </c>
      <c r="C584" s="742">
        <f>Calculs!BY656</f>
        <v>0</v>
      </c>
      <c r="D584" s="742">
        <f>Calculs!BZ656</f>
        <v>0</v>
      </c>
      <c r="E584" s="742">
        <f>Calculs!CA656</f>
        <v>0</v>
      </c>
      <c r="F584" s="742">
        <f>Calculs!CB656</f>
        <v>0</v>
      </c>
      <c r="G584" s="742">
        <f>Calculs!CC656</f>
        <v>0</v>
      </c>
      <c r="H584" s="742"/>
      <c r="I584" s="742">
        <f>Calculs!CE656</f>
        <v>0</v>
      </c>
      <c r="J584" s="742">
        <f>Calculs!CF656</f>
        <v>0</v>
      </c>
      <c r="K584" s="742"/>
      <c r="L584" s="742">
        <f>Calculs!CH656</f>
        <v>0</v>
      </c>
    </row>
    <row r="585" spans="2:12">
      <c r="B585" s="742">
        <f>Calculs!B657</f>
        <v>0</v>
      </c>
      <c r="C585" s="742">
        <f>Calculs!BY657</f>
        <v>0</v>
      </c>
      <c r="D585" s="742">
        <f>Calculs!BZ657</f>
        <v>0</v>
      </c>
      <c r="E585" s="742">
        <f>Calculs!CA657</f>
        <v>0</v>
      </c>
      <c r="F585" s="742">
        <f>Calculs!CB657</f>
        <v>0</v>
      </c>
      <c r="G585" s="742">
        <f>Calculs!CC657</f>
        <v>0</v>
      </c>
      <c r="H585" s="742"/>
      <c r="I585" s="742">
        <f>Calculs!CE657</f>
        <v>0</v>
      </c>
      <c r="J585" s="742">
        <f>Calculs!CF657</f>
        <v>0</v>
      </c>
      <c r="K585" s="742"/>
      <c r="L585" s="742">
        <f>Calculs!CH657</f>
        <v>0</v>
      </c>
    </row>
    <row r="586" spans="2:12">
      <c r="B586" s="742">
        <f>Calculs!B658</f>
        <v>0</v>
      </c>
      <c r="C586" s="742">
        <f>Calculs!BY658</f>
        <v>0</v>
      </c>
      <c r="D586" s="742">
        <f>Calculs!BZ658</f>
        <v>0</v>
      </c>
      <c r="E586" s="742">
        <f>Calculs!CA658</f>
        <v>0</v>
      </c>
      <c r="F586" s="742">
        <f>Calculs!CB658</f>
        <v>0</v>
      </c>
      <c r="G586" s="742">
        <f>Calculs!CC658</f>
        <v>0</v>
      </c>
      <c r="H586" s="742"/>
      <c r="I586" s="742">
        <f>Calculs!CE658</f>
        <v>0</v>
      </c>
      <c r="J586" s="742">
        <f>Calculs!CF658</f>
        <v>0</v>
      </c>
      <c r="K586" s="742"/>
      <c r="L586" s="742">
        <f>Calculs!CH658</f>
        <v>0</v>
      </c>
    </row>
    <row r="587" spans="2:12">
      <c r="B587" s="742">
        <f>Calculs!B659</f>
        <v>0</v>
      </c>
      <c r="C587" s="742">
        <f>Calculs!BY659</f>
        <v>0</v>
      </c>
      <c r="D587" s="742">
        <f>Calculs!BZ659</f>
        <v>0</v>
      </c>
      <c r="E587" s="742">
        <f>Calculs!CA659</f>
        <v>0</v>
      </c>
      <c r="F587" s="742">
        <f>Calculs!CB659</f>
        <v>0</v>
      </c>
      <c r="G587" s="742">
        <f>Calculs!CC659</f>
        <v>0</v>
      </c>
      <c r="H587" s="742"/>
      <c r="I587" s="742">
        <f>Calculs!CE659</f>
        <v>0</v>
      </c>
      <c r="J587" s="742">
        <f>Calculs!CF659</f>
        <v>0</v>
      </c>
      <c r="K587" s="742"/>
      <c r="L587" s="742">
        <f>Calculs!CH659</f>
        <v>0</v>
      </c>
    </row>
    <row r="588" spans="2:12">
      <c r="B588" s="742">
        <f>Calculs!B660</f>
        <v>0</v>
      </c>
      <c r="C588" s="742">
        <f>Calculs!BY660</f>
        <v>0</v>
      </c>
      <c r="D588" s="742">
        <f>Calculs!BZ660</f>
        <v>0</v>
      </c>
      <c r="E588" s="742">
        <f>Calculs!CA660</f>
        <v>0</v>
      </c>
      <c r="F588" s="742">
        <f>Calculs!CB660</f>
        <v>0</v>
      </c>
      <c r="G588" s="742">
        <f>Calculs!CC660</f>
        <v>0</v>
      </c>
      <c r="H588" s="742"/>
      <c r="I588" s="742">
        <f>Calculs!CE660</f>
        <v>0</v>
      </c>
      <c r="J588" s="742">
        <f>Calculs!CF660</f>
        <v>0</v>
      </c>
      <c r="K588" s="742"/>
      <c r="L588" s="742">
        <f>Calculs!CH660</f>
        <v>0</v>
      </c>
    </row>
    <row r="589" spans="2:12">
      <c r="B589" s="742">
        <f>Calculs!B661</f>
        <v>0</v>
      </c>
      <c r="C589" s="742">
        <f>Calculs!BY661</f>
        <v>0</v>
      </c>
      <c r="D589" s="742">
        <f>Calculs!BZ661</f>
        <v>0</v>
      </c>
      <c r="E589" s="742">
        <f>Calculs!CA661</f>
        <v>0</v>
      </c>
      <c r="F589" s="742">
        <f>Calculs!CB661</f>
        <v>0</v>
      </c>
      <c r="G589" s="742">
        <f>Calculs!CC661</f>
        <v>0</v>
      </c>
      <c r="H589" s="742"/>
      <c r="I589" s="742">
        <f>Calculs!CE661</f>
        <v>0</v>
      </c>
      <c r="J589" s="742">
        <f>Calculs!CF661</f>
        <v>0</v>
      </c>
      <c r="K589" s="742"/>
      <c r="L589" s="742">
        <f>Calculs!CH661</f>
        <v>0</v>
      </c>
    </row>
    <row r="590" spans="2:12">
      <c r="B590" s="742">
        <f>Calculs!B662</f>
        <v>0</v>
      </c>
      <c r="C590" s="742">
        <f>Calculs!BY662</f>
        <v>0</v>
      </c>
      <c r="D590" s="742">
        <f>Calculs!BZ662</f>
        <v>0</v>
      </c>
      <c r="E590" s="742">
        <f>Calculs!CA662</f>
        <v>0</v>
      </c>
      <c r="F590" s="742">
        <f>Calculs!CB662</f>
        <v>0</v>
      </c>
      <c r="G590" s="742">
        <f>Calculs!CC662</f>
        <v>0</v>
      </c>
      <c r="H590" s="742"/>
      <c r="I590" s="742">
        <f>Calculs!CE662</f>
        <v>0</v>
      </c>
      <c r="J590" s="742">
        <f>Calculs!CF662</f>
        <v>0</v>
      </c>
      <c r="K590" s="742"/>
      <c r="L590" s="742">
        <f>Calculs!CH662</f>
        <v>0</v>
      </c>
    </row>
    <row r="591" spans="2:12">
      <c r="B591" s="742">
        <f>Calculs!B663</f>
        <v>0</v>
      </c>
      <c r="C591" s="742">
        <f>Calculs!BY663</f>
        <v>0</v>
      </c>
      <c r="D591" s="742">
        <f>Calculs!BZ663</f>
        <v>0</v>
      </c>
      <c r="E591" s="742">
        <f>Calculs!CA663</f>
        <v>0</v>
      </c>
      <c r="F591" s="742">
        <f>Calculs!CB663</f>
        <v>0</v>
      </c>
      <c r="G591" s="742">
        <f>Calculs!CC663</f>
        <v>0</v>
      </c>
      <c r="H591" s="742"/>
      <c r="I591" s="742">
        <f>Calculs!CE663</f>
        <v>0</v>
      </c>
      <c r="J591" s="742">
        <f>Calculs!CF663</f>
        <v>0</v>
      </c>
      <c r="K591" s="742"/>
      <c r="L591" s="742">
        <f>Calculs!CH663</f>
        <v>0</v>
      </c>
    </row>
    <row r="592" spans="2:12">
      <c r="B592" s="742">
        <f>Calculs!B664</f>
        <v>0</v>
      </c>
      <c r="C592" s="742">
        <f>Calculs!BY664</f>
        <v>0</v>
      </c>
      <c r="D592" s="742">
        <f>Calculs!BZ664</f>
        <v>0</v>
      </c>
      <c r="E592" s="742">
        <f>Calculs!CA664</f>
        <v>0</v>
      </c>
      <c r="F592" s="742">
        <f>Calculs!CB664</f>
        <v>0</v>
      </c>
      <c r="G592" s="742">
        <f>Calculs!CC664</f>
        <v>0</v>
      </c>
      <c r="H592" s="742"/>
      <c r="I592" s="742">
        <f>Calculs!CE664</f>
        <v>0</v>
      </c>
      <c r="J592" s="742">
        <f>Calculs!CF664</f>
        <v>0</v>
      </c>
      <c r="K592" s="742"/>
      <c r="L592" s="742">
        <f>Calculs!CH664</f>
        <v>0</v>
      </c>
    </row>
    <row r="593" spans="2:12">
      <c r="B593" s="742">
        <f>Calculs!B665</f>
        <v>0</v>
      </c>
      <c r="C593" s="742">
        <f>Calculs!BY665</f>
        <v>0</v>
      </c>
      <c r="D593" s="742">
        <f>Calculs!BZ665</f>
        <v>0</v>
      </c>
      <c r="E593" s="742">
        <f>Calculs!CA665</f>
        <v>0</v>
      </c>
      <c r="F593" s="742">
        <f>Calculs!CB665</f>
        <v>0</v>
      </c>
      <c r="G593" s="742">
        <f>Calculs!CC665</f>
        <v>0</v>
      </c>
      <c r="H593" s="742"/>
      <c r="I593" s="742">
        <f>Calculs!CE665</f>
        <v>0</v>
      </c>
      <c r="J593" s="742">
        <f>Calculs!CF665</f>
        <v>0</v>
      </c>
      <c r="K593" s="742"/>
      <c r="L593" s="742">
        <f>Calculs!CH665</f>
        <v>0</v>
      </c>
    </row>
    <row r="594" spans="2:12">
      <c r="B594" s="742">
        <f>Calculs!B666</f>
        <v>0</v>
      </c>
      <c r="C594" s="742">
        <f>Calculs!BY666</f>
        <v>0</v>
      </c>
      <c r="D594" s="742">
        <f>Calculs!BZ666</f>
        <v>0</v>
      </c>
      <c r="E594" s="742">
        <f>Calculs!CA666</f>
        <v>0</v>
      </c>
      <c r="F594" s="742">
        <f>Calculs!CB666</f>
        <v>0</v>
      </c>
      <c r="G594" s="742">
        <f>Calculs!CC666</f>
        <v>0</v>
      </c>
      <c r="H594" s="742"/>
      <c r="I594" s="742">
        <f>Calculs!CE666</f>
        <v>0</v>
      </c>
      <c r="J594" s="742">
        <f>Calculs!CF666</f>
        <v>0</v>
      </c>
      <c r="K594" s="742"/>
      <c r="L594" s="742">
        <f>Calculs!CH666</f>
        <v>0</v>
      </c>
    </row>
    <row r="595" spans="2:12">
      <c r="B595" s="742">
        <f>Calculs!B667</f>
        <v>0</v>
      </c>
      <c r="C595" s="742">
        <f>Calculs!BY667</f>
        <v>0</v>
      </c>
      <c r="D595" s="742">
        <f>Calculs!BZ667</f>
        <v>0</v>
      </c>
      <c r="E595" s="742">
        <f>Calculs!CA667</f>
        <v>0</v>
      </c>
      <c r="F595" s="742">
        <f>Calculs!CB667</f>
        <v>0</v>
      </c>
      <c r="G595" s="742">
        <f>Calculs!CC667</f>
        <v>0</v>
      </c>
      <c r="H595" s="742"/>
      <c r="I595" s="742">
        <f>Calculs!CE667</f>
        <v>0</v>
      </c>
      <c r="J595" s="742">
        <f>Calculs!CF667</f>
        <v>0</v>
      </c>
      <c r="K595" s="742"/>
      <c r="L595" s="742">
        <f>Calculs!CH667</f>
        <v>0</v>
      </c>
    </row>
    <row r="596" spans="2:12">
      <c r="B596" s="742">
        <f>Calculs!B668</f>
        <v>0</v>
      </c>
      <c r="C596" s="742">
        <f>Calculs!BY668</f>
        <v>0</v>
      </c>
      <c r="D596" s="742">
        <f>Calculs!BZ668</f>
        <v>0</v>
      </c>
      <c r="E596" s="742">
        <f>Calculs!CA668</f>
        <v>0</v>
      </c>
      <c r="F596" s="742">
        <f>Calculs!CB668</f>
        <v>0</v>
      </c>
      <c r="G596" s="742">
        <f>Calculs!CC668</f>
        <v>0</v>
      </c>
      <c r="H596" s="742"/>
      <c r="I596" s="742">
        <f>Calculs!CE668</f>
        <v>0</v>
      </c>
      <c r="J596" s="742">
        <f>Calculs!CF668</f>
        <v>0</v>
      </c>
      <c r="K596" s="742"/>
      <c r="L596" s="742">
        <f>Calculs!CH668</f>
        <v>0</v>
      </c>
    </row>
    <row r="597" spans="2:12">
      <c r="B597" s="742">
        <f>Calculs!B669</f>
        <v>0</v>
      </c>
      <c r="C597" s="742">
        <f>Calculs!BY669</f>
        <v>0</v>
      </c>
      <c r="D597" s="742">
        <f>Calculs!BZ669</f>
        <v>0</v>
      </c>
      <c r="E597" s="742">
        <f>Calculs!CA669</f>
        <v>0</v>
      </c>
      <c r="F597" s="742">
        <f>Calculs!CB669</f>
        <v>0</v>
      </c>
      <c r="G597" s="742">
        <f>Calculs!CC669</f>
        <v>0</v>
      </c>
      <c r="H597" s="742"/>
      <c r="I597" s="742">
        <f>Calculs!CE669</f>
        <v>0</v>
      </c>
      <c r="J597" s="742">
        <f>Calculs!CF669</f>
        <v>0</v>
      </c>
      <c r="K597" s="742"/>
      <c r="L597" s="742">
        <f>Calculs!CH669</f>
        <v>0</v>
      </c>
    </row>
    <row r="598" spans="2:12">
      <c r="B598" s="742">
        <f>Calculs!B670</f>
        <v>0</v>
      </c>
      <c r="C598" s="742">
        <f>Calculs!BY670</f>
        <v>0</v>
      </c>
      <c r="D598" s="742">
        <f>Calculs!BZ670</f>
        <v>0</v>
      </c>
      <c r="E598" s="742">
        <f>Calculs!CA670</f>
        <v>0</v>
      </c>
      <c r="F598" s="742">
        <f>Calculs!CB670</f>
        <v>0</v>
      </c>
      <c r="G598" s="742">
        <f>Calculs!CC670</f>
        <v>0</v>
      </c>
      <c r="H598" s="742"/>
      <c r="I598" s="742">
        <f>Calculs!CE670</f>
        <v>0</v>
      </c>
      <c r="J598" s="742">
        <f>Calculs!CF670</f>
        <v>0</v>
      </c>
      <c r="K598" s="742"/>
      <c r="L598" s="742">
        <f>Calculs!CH670</f>
        <v>0</v>
      </c>
    </row>
    <row r="599" spans="2:12">
      <c r="B599" s="742">
        <f>Calculs!B671</f>
        <v>0</v>
      </c>
      <c r="C599" s="742">
        <f>Calculs!BY671</f>
        <v>0</v>
      </c>
      <c r="D599" s="742">
        <f>Calculs!BZ671</f>
        <v>0</v>
      </c>
      <c r="E599" s="742">
        <f>Calculs!CA671</f>
        <v>0</v>
      </c>
      <c r="F599" s="742">
        <f>Calculs!CB671</f>
        <v>0</v>
      </c>
      <c r="G599" s="742">
        <f>Calculs!CC671</f>
        <v>0</v>
      </c>
      <c r="H599" s="742"/>
      <c r="I599" s="742">
        <f>Calculs!CE671</f>
        <v>0</v>
      </c>
      <c r="J599" s="742">
        <f>Calculs!CF671</f>
        <v>0</v>
      </c>
      <c r="K599" s="742"/>
      <c r="L599" s="742">
        <f>Calculs!CH671</f>
        <v>0</v>
      </c>
    </row>
    <row r="600" spans="2:12">
      <c r="B600" s="742">
        <f>Calculs!B672</f>
        <v>0</v>
      </c>
      <c r="C600" s="742">
        <f>Calculs!BY672</f>
        <v>0</v>
      </c>
      <c r="D600" s="742">
        <f>Calculs!BZ672</f>
        <v>0</v>
      </c>
      <c r="E600" s="742">
        <f>Calculs!CA672</f>
        <v>0</v>
      </c>
      <c r="F600" s="742">
        <f>Calculs!CB672</f>
        <v>0</v>
      </c>
      <c r="G600" s="742">
        <f>Calculs!CC672</f>
        <v>0</v>
      </c>
      <c r="H600" s="742"/>
      <c r="I600" s="742">
        <f>Calculs!CE672</f>
        <v>0</v>
      </c>
      <c r="J600" s="742">
        <f>Calculs!CF672</f>
        <v>0</v>
      </c>
      <c r="K600" s="742"/>
      <c r="L600" s="742">
        <f>Calculs!CH672</f>
        <v>0</v>
      </c>
    </row>
    <row r="601" spans="2:12">
      <c r="B601" s="742">
        <f>Calculs!B673</f>
        <v>0</v>
      </c>
      <c r="C601" s="742">
        <f>Calculs!BY673</f>
        <v>0</v>
      </c>
      <c r="D601" s="742">
        <f>Calculs!BZ673</f>
        <v>0</v>
      </c>
      <c r="E601" s="742">
        <f>Calculs!CA673</f>
        <v>0</v>
      </c>
      <c r="F601" s="742">
        <f>Calculs!CB673</f>
        <v>0</v>
      </c>
      <c r="G601" s="742">
        <f>Calculs!CC673</f>
        <v>0</v>
      </c>
      <c r="H601" s="742"/>
      <c r="I601" s="742">
        <f>Calculs!CE673</f>
        <v>0</v>
      </c>
      <c r="J601" s="742">
        <f>Calculs!CF673</f>
        <v>0</v>
      </c>
      <c r="K601" s="742"/>
      <c r="L601" s="742">
        <f>Calculs!CH673</f>
        <v>0</v>
      </c>
    </row>
    <row r="602" spans="2:12">
      <c r="B602" s="742">
        <f>Calculs!B674</f>
        <v>0</v>
      </c>
      <c r="C602" s="742">
        <f>Calculs!BY674</f>
        <v>0</v>
      </c>
      <c r="D602" s="742">
        <f>Calculs!BZ674</f>
        <v>0</v>
      </c>
      <c r="E602" s="742">
        <f>Calculs!CA674</f>
        <v>0</v>
      </c>
      <c r="F602" s="742">
        <f>Calculs!CB674</f>
        <v>0</v>
      </c>
      <c r="G602" s="742">
        <f>Calculs!CC674</f>
        <v>0</v>
      </c>
      <c r="H602" s="742"/>
      <c r="I602" s="742">
        <f>Calculs!CE674</f>
        <v>0</v>
      </c>
      <c r="J602" s="742">
        <f>Calculs!CF674</f>
        <v>0</v>
      </c>
      <c r="K602" s="742"/>
      <c r="L602" s="742">
        <f>Calculs!CH674</f>
        <v>0</v>
      </c>
    </row>
    <row r="603" spans="2:12">
      <c r="B603" s="742">
        <f>Calculs!B675</f>
        <v>0</v>
      </c>
      <c r="C603" s="742">
        <f>Calculs!BY675</f>
        <v>0</v>
      </c>
      <c r="D603" s="742">
        <f>Calculs!BZ675</f>
        <v>0</v>
      </c>
      <c r="E603" s="742">
        <f>Calculs!CA675</f>
        <v>0</v>
      </c>
      <c r="F603" s="742">
        <f>Calculs!CB675</f>
        <v>0</v>
      </c>
      <c r="G603" s="742">
        <f>Calculs!CC675</f>
        <v>0</v>
      </c>
      <c r="H603" s="742"/>
      <c r="I603" s="742">
        <f>Calculs!CE675</f>
        <v>0</v>
      </c>
      <c r="J603" s="742">
        <f>Calculs!CF675</f>
        <v>0</v>
      </c>
      <c r="K603" s="742"/>
      <c r="L603" s="742">
        <f>Calculs!CH675</f>
        <v>0</v>
      </c>
    </row>
    <row r="604" spans="2:12">
      <c r="B604" s="742">
        <f>Calculs!B676</f>
        <v>0</v>
      </c>
      <c r="C604" s="742">
        <f>Calculs!BY676</f>
        <v>0</v>
      </c>
      <c r="D604" s="742">
        <f>Calculs!BZ676</f>
        <v>0</v>
      </c>
      <c r="E604" s="742">
        <f>Calculs!CA676</f>
        <v>0</v>
      </c>
      <c r="F604" s="742">
        <f>Calculs!CB676</f>
        <v>0</v>
      </c>
      <c r="G604" s="742">
        <f>Calculs!CC676</f>
        <v>0</v>
      </c>
      <c r="H604" s="742"/>
      <c r="I604" s="742">
        <f>Calculs!CE676</f>
        <v>0</v>
      </c>
      <c r="J604" s="742">
        <f>Calculs!CF676</f>
        <v>0</v>
      </c>
      <c r="K604" s="742"/>
      <c r="L604" s="742">
        <f>Calculs!CH676</f>
        <v>0</v>
      </c>
    </row>
    <row r="605" spans="2:12">
      <c r="B605" s="742">
        <f>Calculs!B677</f>
        <v>0</v>
      </c>
      <c r="C605" s="742">
        <f>Calculs!BY677</f>
        <v>0</v>
      </c>
      <c r="D605" s="742">
        <f>Calculs!BZ677</f>
        <v>0</v>
      </c>
      <c r="E605" s="742">
        <f>Calculs!CA677</f>
        <v>0</v>
      </c>
      <c r="F605" s="742">
        <f>Calculs!CB677</f>
        <v>0</v>
      </c>
      <c r="G605" s="742">
        <f>Calculs!CC677</f>
        <v>0</v>
      </c>
      <c r="H605" s="742"/>
      <c r="I605" s="742">
        <f>Calculs!CE677</f>
        <v>0</v>
      </c>
      <c r="J605" s="742">
        <f>Calculs!CF677</f>
        <v>0</v>
      </c>
      <c r="K605" s="742"/>
      <c r="L605" s="742">
        <f>Calculs!CH677</f>
        <v>0</v>
      </c>
    </row>
    <row r="606" spans="2:12">
      <c r="B606" s="742">
        <f>Calculs!B678</f>
        <v>0</v>
      </c>
      <c r="C606" s="742">
        <f>Calculs!BY678</f>
        <v>0</v>
      </c>
      <c r="D606" s="742">
        <f>Calculs!BZ678</f>
        <v>0</v>
      </c>
      <c r="E606" s="742">
        <f>Calculs!CA678</f>
        <v>0</v>
      </c>
      <c r="F606" s="742">
        <f>Calculs!CB678</f>
        <v>0</v>
      </c>
      <c r="G606" s="742">
        <f>Calculs!CC678</f>
        <v>0</v>
      </c>
      <c r="H606" s="742"/>
      <c r="I606" s="742">
        <f>Calculs!CE678</f>
        <v>0</v>
      </c>
      <c r="J606" s="742">
        <f>Calculs!CF678</f>
        <v>0</v>
      </c>
      <c r="K606" s="742"/>
      <c r="L606" s="742">
        <f>Calculs!CH678</f>
        <v>0</v>
      </c>
    </row>
    <row r="607" spans="2:12">
      <c r="B607" s="742">
        <f>Calculs!B679</f>
        <v>0</v>
      </c>
      <c r="C607" s="742">
        <f>Calculs!BY679</f>
        <v>0</v>
      </c>
      <c r="D607" s="742">
        <f>Calculs!BZ679</f>
        <v>0</v>
      </c>
      <c r="E607" s="742">
        <f>Calculs!CA679</f>
        <v>0</v>
      </c>
      <c r="F607" s="742">
        <f>Calculs!CB679</f>
        <v>0</v>
      </c>
      <c r="G607" s="742">
        <f>Calculs!CC679</f>
        <v>0</v>
      </c>
      <c r="H607" s="742"/>
      <c r="I607" s="742">
        <f>Calculs!CE679</f>
        <v>0</v>
      </c>
      <c r="J607" s="742">
        <f>Calculs!CF679</f>
        <v>0</v>
      </c>
      <c r="K607" s="742"/>
      <c r="L607" s="742">
        <f>Calculs!CH679</f>
        <v>0</v>
      </c>
    </row>
    <row r="608" spans="2:12">
      <c r="B608" s="742">
        <f>Calculs!B680</f>
        <v>0</v>
      </c>
      <c r="C608" s="742">
        <f>Calculs!BY680</f>
        <v>0</v>
      </c>
      <c r="D608" s="742">
        <f>Calculs!BZ680</f>
        <v>0</v>
      </c>
      <c r="E608" s="742">
        <f>Calculs!CA680</f>
        <v>0</v>
      </c>
      <c r="F608" s="742">
        <f>Calculs!CB680</f>
        <v>0</v>
      </c>
      <c r="G608" s="742">
        <f>Calculs!CC680</f>
        <v>0</v>
      </c>
      <c r="H608" s="742"/>
      <c r="I608" s="742">
        <f>Calculs!CE680</f>
        <v>0</v>
      </c>
      <c r="J608" s="742">
        <f>Calculs!CF680</f>
        <v>0</v>
      </c>
      <c r="K608" s="742"/>
      <c r="L608" s="742">
        <f>Calculs!CH680</f>
        <v>0</v>
      </c>
    </row>
    <row r="609" spans="2:12">
      <c r="B609" s="742">
        <f>Calculs!B681</f>
        <v>0</v>
      </c>
      <c r="C609" s="742">
        <f>Calculs!BY681</f>
        <v>0</v>
      </c>
      <c r="D609" s="742">
        <f>Calculs!BZ681</f>
        <v>0</v>
      </c>
      <c r="E609" s="742">
        <f>Calculs!CA681</f>
        <v>0</v>
      </c>
      <c r="F609" s="742">
        <f>Calculs!CB681</f>
        <v>0</v>
      </c>
      <c r="G609" s="742">
        <f>Calculs!CC681</f>
        <v>0</v>
      </c>
      <c r="H609" s="742"/>
      <c r="I609" s="742">
        <f>Calculs!CE681</f>
        <v>0</v>
      </c>
      <c r="J609" s="742">
        <f>Calculs!CF681</f>
        <v>0</v>
      </c>
      <c r="K609" s="742"/>
      <c r="L609" s="742">
        <f>Calculs!CH681</f>
        <v>0</v>
      </c>
    </row>
    <row r="610" spans="2:12">
      <c r="B610" s="742">
        <f>Calculs!B682</f>
        <v>0</v>
      </c>
      <c r="C610" s="742">
        <f>Calculs!BY682</f>
        <v>0</v>
      </c>
      <c r="D610" s="742">
        <f>Calculs!BZ682</f>
        <v>0</v>
      </c>
      <c r="E610" s="742">
        <f>Calculs!CA682</f>
        <v>0</v>
      </c>
      <c r="F610" s="742">
        <f>Calculs!CB682</f>
        <v>0</v>
      </c>
      <c r="G610" s="742">
        <f>Calculs!CC682</f>
        <v>0</v>
      </c>
      <c r="H610" s="742"/>
      <c r="I610" s="742">
        <f>Calculs!CE682</f>
        <v>0</v>
      </c>
      <c r="J610" s="742">
        <f>Calculs!CF682</f>
        <v>0</v>
      </c>
      <c r="K610" s="742"/>
      <c r="L610" s="742">
        <f>Calculs!CH682</f>
        <v>0</v>
      </c>
    </row>
    <row r="611" spans="2:12">
      <c r="B611" s="742">
        <f>Calculs!B683</f>
        <v>0</v>
      </c>
      <c r="C611" s="742">
        <f>Calculs!BY683</f>
        <v>0</v>
      </c>
      <c r="D611" s="742">
        <f>Calculs!BZ683</f>
        <v>0</v>
      </c>
      <c r="E611" s="742">
        <f>Calculs!CA683</f>
        <v>0</v>
      </c>
      <c r="F611" s="742">
        <f>Calculs!CB683</f>
        <v>0</v>
      </c>
      <c r="G611" s="742">
        <f>Calculs!CC683</f>
        <v>0</v>
      </c>
      <c r="H611" s="742"/>
      <c r="I611" s="742">
        <f>Calculs!CE683</f>
        <v>0</v>
      </c>
      <c r="J611" s="742">
        <f>Calculs!CF683</f>
        <v>0</v>
      </c>
      <c r="K611" s="742"/>
      <c r="L611" s="742">
        <f>Calculs!CH683</f>
        <v>0</v>
      </c>
    </row>
    <row r="612" spans="2:12">
      <c r="B612" s="742">
        <f>Calculs!B684</f>
        <v>0</v>
      </c>
      <c r="C612" s="742">
        <f>Calculs!BY684</f>
        <v>0</v>
      </c>
      <c r="D612" s="742">
        <f>Calculs!BZ684</f>
        <v>0</v>
      </c>
      <c r="E612" s="742">
        <f>Calculs!CA684</f>
        <v>0</v>
      </c>
      <c r="F612" s="742">
        <f>Calculs!CB684</f>
        <v>0</v>
      </c>
      <c r="G612" s="742">
        <f>Calculs!CC684</f>
        <v>0</v>
      </c>
      <c r="H612" s="742"/>
      <c r="I612" s="742">
        <f>Calculs!CE684</f>
        <v>0</v>
      </c>
      <c r="J612" s="742">
        <f>Calculs!CF684</f>
        <v>0</v>
      </c>
      <c r="K612" s="742"/>
      <c r="L612" s="742">
        <f>Calculs!CH684</f>
        <v>0</v>
      </c>
    </row>
    <row r="613" spans="2:12">
      <c r="B613" s="742">
        <f>Calculs!B685</f>
        <v>0</v>
      </c>
      <c r="C613" s="742">
        <f>Calculs!BY685</f>
        <v>0</v>
      </c>
      <c r="D613" s="742">
        <f>Calculs!BZ685</f>
        <v>0</v>
      </c>
      <c r="E613" s="742">
        <f>Calculs!CA685</f>
        <v>0</v>
      </c>
      <c r="F613" s="742">
        <f>Calculs!CB685</f>
        <v>0</v>
      </c>
      <c r="G613" s="742">
        <f>Calculs!CC685</f>
        <v>0</v>
      </c>
      <c r="H613" s="742"/>
      <c r="I613" s="742">
        <f>Calculs!CE685</f>
        <v>0</v>
      </c>
      <c r="J613" s="742">
        <f>Calculs!CF685</f>
        <v>0</v>
      </c>
      <c r="K613" s="742"/>
      <c r="L613" s="742">
        <f>Calculs!CH685</f>
        <v>0</v>
      </c>
    </row>
    <row r="614" spans="2:12">
      <c r="B614" s="742">
        <f>Calculs!B686</f>
        <v>0</v>
      </c>
      <c r="C614" s="742">
        <f>Calculs!BY686</f>
        <v>0</v>
      </c>
      <c r="D614" s="742">
        <f>Calculs!BZ686</f>
        <v>0</v>
      </c>
      <c r="E614" s="742">
        <f>Calculs!CA686</f>
        <v>0</v>
      </c>
      <c r="F614" s="742">
        <f>Calculs!CB686</f>
        <v>0</v>
      </c>
      <c r="G614" s="742">
        <f>Calculs!CC686</f>
        <v>0</v>
      </c>
      <c r="H614" s="742"/>
      <c r="I614" s="742">
        <f>Calculs!CE686</f>
        <v>0</v>
      </c>
      <c r="J614" s="742">
        <f>Calculs!CF686</f>
        <v>0</v>
      </c>
      <c r="K614" s="742"/>
      <c r="L614" s="742">
        <f>Calculs!CH686</f>
        <v>0</v>
      </c>
    </row>
    <row r="615" spans="2:12">
      <c r="B615" s="742">
        <f>Calculs!B687</f>
        <v>0</v>
      </c>
      <c r="C615" s="742">
        <f>Calculs!BY687</f>
        <v>0</v>
      </c>
      <c r="D615" s="742">
        <f>Calculs!BZ687</f>
        <v>0</v>
      </c>
      <c r="E615" s="742">
        <f>Calculs!CA687</f>
        <v>0</v>
      </c>
      <c r="F615" s="742">
        <f>Calculs!CB687</f>
        <v>0</v>
      </c>
      <c r="G615" s="742">
        <f>Calculs!CC687</f>
        <v>0</v>
      </c>
      <c r="H615" s="742"/>
      <c r="I615" s="742">
        <f>Calculs!CE687</f>
        <v>0</v>
      </c>
      <c r="J615" s="742">
        <f>Calculs!CF687</f>
        <v>0</v>
      </c>
      <c r="K615" s="742"/>
      <c r="L615" s="742">
        <f>Calculs!CH687</f>
        <v>0</v>
      </c>
    </row>
    <row r="616" spans="2:12">
      <c r="B616" s="742">
        <f>Calculs!B688</f>
        <v>0</v>
      </c>
      <c r="C616" s="742">
        <f>Calculs!BY688</f>
        <v>0</v>
      </c>
      <c r="D616" s="742">
        <f>Calculs!BZ688</f>
        <v>0</v>
      </c>
      <c r="E616" s="742">
        <f>Calculs!CA688</f>
        <v>0</v>
      </c>
      <c r="F616" s="742">
        <f>Calculs!CB688</f>
        <v>0</v>
      </c>
      <c r="G616" s="742">
        <f>Calculs!CC688</f>
        <v>0</v>
      </c>
      <c r="H616" s="742"/>
      <c r="I616" s="742">
        <f>Calculs!CE688</f>
        <v>0</v>
      </c>
      <c r="J616" s="742">
        <f>Calculs!CF688</f>
        <v>0</v>
      </c>
      <c r="K616" s="742"/>
      <c r="L616" s="742">
        <f>Calculs!CH688</f>
        <v>0</v>
      </c>
    </row>
    <row r="617" spans="2:12">
      <c r="B617" s="742">
        <f>Calculs!B689</f>
        <v>0</v>
      </c>
      <c r="C617" s="742">
        <f>Calculs!BY689</f>
        <v>0</v>
      </c>
      <c r="D617" s="742">
        <f>Calculs!BZ689</f>
        <v>0</v>
      </c>
      <c r="E617" s="742">
        <f>Calculs!CA689</f>
        <v>0</v>
      </c>
      <c r="F617" s="742">
        <f>Calculs!CB689</f>
        <v>0</v>
      </c>
      <c r="G617" s="742">
        <f>Calculs!CC689</f>
        <v>0</v>
      </c>
      <c r="H617" s="742"/>
      <c r="I617" s="742">
        <f>Calculs!CE689</f>
        <v>0</v>
      </c>
      <c r="J617" s="742">
        <f>Calculs!CF689</f>
        <v>0</v>
      </c>
      <c r="K617" s="742"/>
      <c r="L617" s="742">
        <f>Calculs!CH689</f>
        <v>0</v>
      </c>
    </row>
    <row r="618" spans="2:12">
      <c r="B618" s="742">
        <f>Calculs!B690</f>
        <v>0</v>
      </c>
      <c r="C618" s="742">
        <f>Calculs!BY690</f>
        <v>0</v>
      </c>
      <c r="D618" s="742">
        <f>Calculs!BZ690</f>
        <v>0</v>
      </c>
      <c r="E618" s="742">
        <f>Calculs!CA690</f>
        <v>0</v>
      </c>
      <c r="F618" s="742">
        <f>Calculs!CB690</f>
        <v>0</v>
      </c>
      <c r="G618" s="742">
        <f>Calculs!CC690</f>
        <v>0</v>
      </c>
      <c r="H618" s="742"/>
      <c r="I618" s="742">
        <f>Calculs!CE690</f>
        <v>0</v>
      </c>
      <c r="J618" s="742">
        <f>Calculs!CF690</f>
        <v>0</v>
      </c>
      <c r="K618" s="742"/>
      <c r="L618" s="742">
        <f>Calculs!CH690</f>
        <v>0</v>
      </c>
    </row>
    <row r="619" spans="2:12">
      <c r="B619" s="742">
        <f>Calculs!B691</f>
        <v>0</v>
      </c>
      <c r="C619" s="742">
        <f>Calculs!BY691</f>
        <v>0</v>
      </c>
      <c r="D619" s="742">
        <f>Calculs!BZ691</f>
        <v>0</v>
      </c>
      <c r="E619" s="742">
        <f>Calculs!CA691</f>
        <v>0</v>
      </c>
      <c r="F619" s="742">
        <f>Calculs!CB691</f>
        <v>0</v>
      </c>
      <c r="G619" s="742">
        <f>Calculs!CC691</f>
        <v>0</v>
      </c>
      <c r="H619" s="742"/>
      <c r="I619" s="742">
        <f>Calculs!CE691</f>
        <v>0</v>
      </c>
      <c r="J619" s="742">
        <f>Calculs!CF691</f>
        <v>0</v>
      </c>
      <c r="K619" s="742"/>
      <c r="L619" s="742">
        <f>Calculs!CH691</f>
        <v>0</v>
      </c>
    </row>
    <row r="620" spans="2:12">
      <c r="B620" s="742">
        <f>Calculs!B692</f>
        <v>0</v>
      </c>
      <c r="C620" s="742">
        <f>Calculs!BY692</f>
        <v>0</v>
      </c>
      <c r="D620" s="742">
        <f>Calculs!BZ692</f>
        <v>0</v>
      </c>
      <c r="E620" s="742">
        <f>Calculs!CA692</f>
        <v>0</v>
      </c>
      <c r="F620" s="742">
        <f>Calculs!CB692</f>
        <v>0</v>
      </c>
      <c r="G620" s="742">
        <f>Calculs!CC692</f>
        <v>0</v>
      </c>
      <c r="H620" s="742"/>
      <c r="I620" s="742">
        <f>Calculs!CE692</f>
        <v>0</v>
      </c>
      <c r="J620" s="742">
        <f>Calculs!CF692</f>
        <v>0</v>
      </c>
      <c r="K620" s="742"/>
      <c r="L620" s="742">
        <f>Calculs!CH692</f>
        <v>0</v>
      </c>
    </row>
    <row r="621" spans="2:12">
      <c r="B621" s="742">
        <f>Calculs!B693</f>
        <v>0</v>
      </c>
      <c r="C621" s="742">
        <f>Calculs!BY693</f>
        <v>0</v>
      </c>
      <c r="D621" s="742">
        <f>Calculs!BZ693</f>
        <v>0</v>
      </c>
      <c r="E621" s="742">
        <f>Calculs!CA693</f>
        <v>0</v>
      </c>
      <c r="F621" s="742">
        <f>Calculs!CB693</f>
        <v>0</v>
      </c>
      <c r="G621" s="742">
        <f>Calculs!CC693</f>
        <v>0</v>
      </c>
      <c r="H621" s="742"/>
      <c r="I621" s="742">
        <f>Calculs!CE693</f>
        <v>0</v>
      </c>
      <c r="J621" s="742">
        <f>Calculs!CF693</f>
        <v>0</v>
      </c>
      <c r="K621" s="742"/>
      <c r="L621" s="742">
        <f>Calculs!CH693</f>
        <v>0</v>
      </c>
    </row>
    <row r="622" spans="2:12">
      <c r="B622" s="742">
        <f>Calculs!B694</f>
        <v>0</v>
      </c>
      <c r="C622" s="742">
        <f>Calculs!BY694</f>
        <v>0</v>
      </c>
      <c r="D622" s="742">
        <f>Calculs!BZ694</f>
        <v>0</v>
      </c>
      <c r="E622" s="742">
        <f>Calculs!CA694</f>
        <v>0</v>
      </c>
      <c r="F622" s="742">
        <f>Calculs!CB694</f>
        <v>0</v>
      </c>
      <c r="G622" s="742">
        <f>Calculs!CC694</f>
        <v>0</v>
      </c>
      <c r="H622" s="742"/>
      <c r="I622" s="742">
        <f>Calculs!CE694</f>
        <v>0</v>
      </c>
      <c r="J622" s="742">
        <f>Calculs!CF694</f>
        <v>0</v>
      </c>
      <c r="K622" s="742"/>
      <c r="L622" s="742">
        <f>Calculs!CH694</f>
        <v>0</v>
      </c>
    </row>
    <row r="623" spans="2:12">
      <c r="B623" s="742">
        <f>Calculs!B695</f>
        <v>0</v>
      </c>
      <c r="C623" s="742">
        <f>Calculs!BY695</f>
        <v>0</v>
      </c>
      <c r="D623" s="742">
        <f>Calculs!BZ695</f>
        <v>0</v>
      </c>
      <c r="E623" s="742">
        <f>Calculs!CA695</f>
        <v>0</v>
      </c>
      <c r="F623" s="742">
        <f>Calculs!CB695</f>
        <v>0</v>
      </c>
      <c r="G623" s="742">
        <f>Calculs!CC695</f>
        <v>0</v>
      </c>
      <c r="H623" s="742"/>
      <c r="I623" s="742">
        <f>Calculs!CE695</f>
        <v>0</v>
      </c>
      <c r="J623" s="742">
        <f>Calculs!CF695</f>
        <v>0</v>
      </c>
      <c r="K623" s="742"/>
      <c r="L623" s="742">
        <f>Calculs!CH695</f>
        <v>0</v>
      </c>
    </row>
    <row r="624" spans="2:12">
      <c r="B624" s="742">
        <f>Calculs!B696</f>
        <v>0</v>
      </c>
      <c r="C624" s="742">
        <f>Calculs!BY696</f>
        <v>0</v>
      </c>
      <c r="D624" s="742">
        <f>Calculs!BZ696</f>
        <v>0</v>
      </c>
      <c r="E624" s="742">
        <f>Calculs!CA696</f>
        <v>0</v>
      </c>
      <c r="F624" s="742">
        <f>Calculs!CB696</f>
        <v>0</v>
      </c>
      <c r="G624" s="742">
        <f>Calculs!CC696</f>
        <v>0</v>
      </c>
      <c r="H624" s="742"/>
      <c r="I624" s="742">
        <f>Calculs!CE696</f>
        <v>0</v>
      </c>
      <c r="J624" s="742">
        <f>Calculs!CF696</f>
        <v>0</v>
      </c>
      <c r="K624" s="742"/>
      <c r="L624" s="742">
        <f>Calculs!CH696</f>
        <v>0</v>
      </c>
    </row>
    <row r="625" spans="2:12">
      <c r="B625" s="742">
        <f>Calculs!B697</f>
        <v>0</v>
      </c>
      <c r="C625" s="742">
        <f>Calculs!BY697</f>
        <v>0</v>
      </c>
      <c r="D625" s="742">
        <f>Calculs!BZ697</f>
        <v>0</v>
      </c>
      <c r="E625" s="742">
        <f>Calculs!CA697</f>
        <v>0</v>
      </c>
      <c r="F625" s="742">
        <f>Calculs!CB697</f>
        <v>0</v>
      </c>
      <c r="G625" s="742">
        <f>Calculs!CC697</f>
        <v>0</v>
      </c>
      <c r="H625" s="742"/>
      <c r="I625" s="742">
        <f>Calculs!CE697</f>
        <v>0</v>
      </c>
      <c r="J625" s="742">
        <f>Calculs!CF697</f>
        <v>0</v>
      </c>
      <c r="K625" s="742"/>
      <c r="L625" s="742">
        <f>Calculs!CH697</f>
        <v>0</v>
      </c>
    </row>
    <row r="626" spans="2:12">
      <c r="B626" s="742">
        <f>Calculs!B698</f>
        <v>0</v>
      </c>
      <c r="C626" s="742">
        <f>Calculs!BY698</f>
        <v>0</v>
      </c>
      <c r="D626" s="742">
        <f>Calculs!BZ698</f>
        <v>0</v>
      </c>
      <c r="E626" s="742">
        <f>Calculs!CA698</f>
        <v>0</v>
      </c>
      <c r="F626" s="742">
        <f>Calculs!CB698</f>
        <v>0</v>
      </c>
      <c r="G626" s="742">
        <f>Calculs!CC698</f>
        <v>0</v>
      </c>
      <c r="H626" s="742"/>
      <c r="I626" s="742">
        <f>Calculs!CE698</f>
        <v>0</v>
      </c>
      <c r="J626" s="742">
        <f>Calculs!CF698</f>
        <v>0</v>
      </c>
      <c r="K626" s="742"/>
      <c r="L626" s="742">
        <f>Calculs!CH698</f>
        <v>0</v>
      </c>
    </row>
    <row r="627" spans="2:12">
      <c r="B627" s="742">
        <f>Calculs!B699</f>
        <v>0</v>
      </c>
      <c r="C627" s="742">
        <f>Calculs!BY699</f>
        <v>0</v>
      </c>
      <c r="D627" s="742">
        <f>Calculs!BZ699</f>
        <v>0</v>
      </c>
      <c r="E627" s="742">
        <f>Calculs!CA699</f>
        <v>0</v>
      </c>
      <c r="F627" s="742">
        <f>Calculs!CB699</f>
        <v>0</v>
      </c>
      <c r="G627" s="742">
        <f>Calculs!CC699</f>
        <v>0</v>
      </c>
      <c r="H627" s="742"/>
      <c r="I627" s="742">
        <f>Calculs!CE699</f>
        <v>0</v>
      </c>
      <c r="J627" s="742">
        <f>Calculs!CF699</f>
        <v>0</v>
      </c>
      <c r="K627" s="742"/>
      <c r="L627" s="742">
        <f>Calculs!CH699</f>
        <v>0</v>
      </c>
    </row>
    <row r="628" spans="2:12">
      <c r="B628" s="742">
        <f>Calculs!B700</f>
        <v>0</v>
      </c>
      <c r="C628" s="742">
        <f>Calculs!BY700</f>
        <v>0</v>
      </c>
      <c r="D628" s="742">
        <f>Calculs!BZ700</f>
        <v>0</v>
      </c>
      <c r="E628" s="742">
        <f>Calculs!CA700</f>
        <v>0</v>
      </c>
      <c r="F628" s="742">
        <f>Calculs!CB700</f>
        <v>0</v>
      </c>
      <c r="G628" s="742">
        <f>Calculs!CC700</f>
        <v>0</v>
      </c>
      <c r="H628" s="742"/>
      <c r="I628" s="742">
        <f>Calculs!CE700</f>
        <v>0</v>
      </c>
      <c r="J628" s="742">
        <f>Calculs!CF700</f>
        <v>0</v>
      </c>
      <c r="K628" s="742"/>
      <c r="L628" s="742">
        <f>Calculs!CH700</f>
        <v>0</v>
      </c>
    </row>
    <row r="629" spans="2:12">
      <c r="B629" s="742">
        <f>Calculs!B701</f>
        <v>0</v>
      </c>
      <c r="C629" s="742">
        <f>Calculs!BY701</f>
        <v>0</v>
      </c>
      <c r="D629" s="742">
        <f>Calculs!BZ701</f>
        <v>0</v>
      </c>
      <c r="E629" s="742">
        <f>Calculs!CA701</f>
        <v>0</v>
      </c>
      <c r="F629" s="742">
        <f>Calculs!CB701</f>
        <v>0</v>
      </c>
      <c r="G629" s="742">
        <f>Calculs!CC701</f>
        <v>0</v>
      </c>
      <c r="H629" s="742"/>
      <c r="I629" s="742">
        <f>Calculs!CE701</f>
        <v>0</v>
      </c>
      <c r="J629" s="742">
        <f>Calculs!CF701</f>
        <v>0</v>
      </c>
      <c r="K629" s="742"/>
      <c r="L629" s="742">
        <f>Calculs!CH701</f>
        <v>0</v>
      </c>
    </row>
    <row r="630" spans="2:12">
      <c r="B630" s="742">
        <f>Calculs!B702</f>
        <v>0</v>
      </c>
      <c r="C630" s="742">
        <f>Calculs!BY702</f>
        <v>0</v>
      </c>
      <c r="D630" s="742">
        <f>Calculs!BZ702</f>
        <v>0</v>
      </c>
      <c r="E630" s="742">
        <f>Calculs!CA702</f>
        <v>0</v>
      </c>
      <c r="F630" s="742">
        <f>Calculs!CB702</f>
        <v>0</v>
      </c>
      <c r="G630" s="742">
        <f>Calculs!CC702</f>
        <v>0</v>
      </c>
      <c r="H630" s="742"/>
      <c r="I630" s="742">
        <f>Calculs!CE702</f>
        <v>0</v>
      </c>
      <c r="J630" s="742">
        <f>Calculs!CF702</f>
        <v>0</v>
      </c>
      <c r="K630" s="742"/>
      <c r="L630" s="742">
        <f>Calculs!CH702</f>
        <v>0</v>
      </c>
    </row>
    <row r="631" spans="2:12">
      <c r="B631" s="742">
        <f>Calculs!B703</f>
        <v>0</v>
      </c>
      <c r="C631" s="742">
        <f>Calculs!BY703</f>
        <v>0</v>
      </c>
      <c r="D631" s="742">
        <f>Calculs!BZ703</f>
        <v>0</v>
      </c>
      <c r="E631" s="742">
        <f>Calculs!CA703</f>
        <v>0</v>
      </c>
      <c r="F631" s="742">
        <f>Calculs!CB703</f>
        <v>0</v>
      </c>
      <c r="G631" s="742">
        <f>Calculs!CC703</f>
        <v>0</v>
      </c>
      <c r="H631" s="742"/>
      <c r="I631" s="742">
        <f>Calculs!CE703</f>
        <v>0</v>
      </c>
      <c r="J631" s="742">
        <f>Calculs!CF703</f>
        <v>0</v>
      </c>
      <c r="K631" s="742"/>
      <c r="L631" s="742">
        <f>Calculs!CH703</f>
        <v>0</v>
      </c>
    </row>
    <row r="632" spans="2:12">
      <c r="B632" s="742">
        <f>Calculs!B704</f>
        <v>0</v>
      </c>
      <c r="C632" s="742">
        <f>Calculs!BY704</f>
        <v>0</v>
      </c>
      <c r="D632" s="742">
        <f>Calculs!BZ704</f>
        <v>0</v>
      </c>
      <c r="E632" s="742">
        <f>Calculs!CA704</f>
        <v>0</v>
      </c>
      <c r="F632" s="742">
        <f>Calculs!CB704</f>
        <v>0</v>
      </c>
      <c r="G632" s="742">
        <f>Calculs!CC704</f>
        <v>0</v>
      </c>
      <c r="H632" s="742"/>
      <c r="I632" s="742">
        <f>Calculs!CE704</f>
        <v>0</v>
      </c>
      <c r="J632" s="742">
        <f>Calculs!CF704</f>
        <v>0</v>
      </c>
      <c r="K632" s="742"/>
      <c r="L632" s="742">
        <f>Calculs!CH704</f>
        <v>0</v>
      </c>
    </row>
    <row r="633" spans="2:12">
      <c r="B633" s="742">
        <f>Calculs!B705</f>
        <v>0</v>
      </c>
      <c r="C633" s="742">
        <f>Calculs!BY705</f>
        <v>0</v>
      </c>
      <c r="D633" s="742">
        <f>Calculs!BZ705</f>
        <v>0</v>
      </c>
      <c r="E633" s="742">
        <f>Calculs!CA705</f>
        <v>0</v>
      </c>
      <c r="F633" s="742">
        <f>Calculs!CB705</f>
        <v>0</v>
      </c>
      <c r="G633" s="742">
        <f>Calculs!CC705</f>
        <v>0</v>
      </c>
      <c r="H633" s="742"/>
      <c r="I633" s="742">
        <f>Calculs!CE705</f>
        <v>0</v>
      </c>
      <c r="J633" s="742">
        <f>Calculs!CF705</f>
        <v>0</v>
      </c>
      <c r="K633" s="742"/>
      <c r="L633" s="742">
        <f>Calculs!CH705</f>
        <v>0</v>
      </c>
    </row>
    <row r="634" spans="2:12">
      <c r="B634" s="742">
        <f>Calculs!B706</f>
        <v>0</v>
      </c>
      <c r="C634" s="742">
        <f>Calculs!BY706</f>
        <v>0</v>
      </c>
      <c r="D634" s="742">
        <f>Calculs!BZ706</f>
        <v>0</v>
      </c>
      <c r="E634" s="742">
        <f>Calculs!CA706</f>
        <v>0</v>
      </c>
      <c r="F634" s="742">
        <f>Calculs!CB706</f>
        <v>0</v>
      </c>
      <c r="G634" s="742">
        <f>Calculs!CC706</f>
        <v>0</v>
      </c>
      <c r="H634" s="742"/>
      <c r="I634" s="742">
        <f>Calculs!CE706</f>
        <v>0</v>
      </c>
      <c r="J634" s="742">
        <f>Calculs!CF706</f>
        <v>0</v>
      </c>
      <c r="K634" s="742"/>
      <c r="L634" s="742">
        <f>Calculs!CH706</f>
        <v>0</v>
      </c>
    </row>
    <row r="635" spans="2:12">
      <c r="B635" s="742">
        <f>Calculs!B707</f>
        <v>0</v>
      </c>
      <c r="C635" s="742">
        <f>Calculs!BY707</f>
        <v>0</v>
      </c>
      <c r="D635" s="742">
        <f>Calculs!BZ707</f>
        <v>0</v>
      </c>
      <c r="E635" s="742">
        <f>Calculs!CA707</f>
        <v>0</v>
      </c>
      <c r="F635" s="742">
        <f>Calculs!CB707</f>
        <v>0</v>
      </c>
      <c r="G635" s="742">
        <f>Calculs!CC707</f>
        <v>0</v>
      </c>
      <c r="H635" s="742"/>
      <c r="I635" s="742">
        <f>Calculs!CE707</f>
        <v>0</v>
      </c>
      <c r="J635" s="742">
        <f>Calculs!CF707</f>
        <v>0</v>
      </c>
      <c r="K635" s="742"/>
      <c r="L635" s="742">
        <f>Calculs!CH707</f>
        <v>0</v>
      </c>
    </row>
    <row r="636" spans="2:12">
      <c r="B636" s="742">
        <f>Calculs!B708</f>
        <v>0</v>
      </c>
      <c r="C636" s="742">
        <f>Calculs!BY708</f>
        <v>0</v>
      </c>
      <c r="D636" s="742">
        <f>Calculs!BZ708</f>
        <v>0</v>
      </c>
      <c r="E636" s="742">
        <f>Calculs!CA708</f>
        <v>0</v>
      </c>
      <c r="F636" s="742">
        <f>Calculs!CB708</f>
        <v>0</v>
      </c>
      <c r="G636" s="742">
        <f>Calculs!CC708</f>
        <v>0</v>
      </c>
      <c r="H636" s="742"/>
      <c r="I636" s="742">
        <f>Calculs!CE708</f>
        <v>0</v>
      </c>
      <c r="J636" s="742">
        <f>Calculs!CF708</f>
        <v>0</v>
      </c>
      <c r="K636" s="742"/>
      <c r="L636" s="742">
        <f>Calculs!CH708</f>
        <v>0</v>
      </c>
    </row>
    <row r="637" spans="2:12">
      <c r="B637" s="742">
        <f>Calculs!B709</f>
        <v>0</v>
      </c>
      <c r="C637" s="742">
        <f>Calculs!BY709</f>
        <v>0</v>
      </c>
      <c r="D637" s="742">
        <f>Calculs!BZ709</f>
        <v>0</v>
      </c>
      <c r="E637" s="742">
        <f>Calculs!CA709</f>
        <v>0</v>
      </c>
      <c r="F637" s="742">
        <f>Calculs!CB709</f>
        <v>0</v>
      </c>
      <c r="G637" s="742">
        <f>Calculs!CC709</f>
        <v>0</v>
      </c>
      <c r="H637" s="742"/>
      <c r="I637" s="742">
        <f>Calculs!CE709</f>
        <v>0</v>
      </c>
      <c r="J637" s="742">
        <f>Calculs!CF709</f>
        <v>0</v>
      </c>
      <c r="K637" s="742"/>
      <c r="L637" s="742">
        <f>Calculs!CH709</f>
        <v>0</v>
      </c>
    </row>
    <row r="638" spans="2:12">
      <c r="B638" s="742">
        <f>Calculs!B710</f>
        <v>0</v>
      </c>
      <c r="C638" s="742">
        <f>Calculs!BY710</f>
        <v>0</v>
      </c>
      <c r="D638" s="742">
        <f>Calculs!BZ710</f>
        <v>0</v>
      </c>
      <c r="E638" s="742">
        <f>Calculs!CA710</f>
        <v>0</v>
      </c>
      <c r="F638" s="742">
        <f>Calculs!CB710</f>
        <v>0</v>
      </c>
      <c r="G638" s="742">
        <f>Calculs!CC710</f>
        <v>0</v>
      </c>
      <c r="H638" s="742"/>
      <c r="I638" s="742">
        <f>Calculs!CE710</f>
        <v>0</v>
      </c>
      <c r="J638" s="742">
        <f>Calculs!CF710</f>
        <v>0</v>
      </c>
      <c r="K638" s="742"/>
      <c r="L638" s="742">
        <f>Calculs!CH710</f>
        <v>0</v>
      </c>
    </row>
    <row r="639" spans="2:12">
      <c r="B639" s="742">
        <f>Calculs!B711</f>
        <v>0</v>
      </c>
      <c r="C639" s="742">
        <f>Calculs!BY711</f>
        <v>0</v>
      </c>
      <c r="D639" s="742">
        <f>Calculs!BZ711</f>
        <v>0</v>
      </c>
      <c r="E639" s="742">
        <f>Calculs!CA711</f>
        <v>0</v>
      </c>
      <c r="F639" s="742">
        <f>Calculs!CB711</f>
        <v>0</v>
      </c>
      <c r="G639" s="742">
        <f>Calculs!CC711</f>
        <v>0</v>
      </c>
      <c r="H639" s="742"/>
      <c r="I639" s="742">
        <f>Calculs!CE711</f>
        <v>0</v>
      </c>
      <c r="J639" s="742">
        <f>Calculs!CF711</f>
        <v>0</v>
      </c>
      <c r="K639" s="742"/>
      <c r="L639" s="742">
        <f>Calculs!CH711</f>
        <v>0</v>
      </c>
    </row>
    <row r="640" spans="2:12">
      <c r="B640" s="742">
        <f>Calculs!B712</f>
        <v>0</v>
      </c>
      <c r="C640" s="742">
        <f>Calculs!BY712</f>
        <v>0</v>
      </c>
      <c r="D640" s="742">
        <f>Calculs!BZ712</f>
        <v>0</v>
      </c>
      <c r="E640" s="742">
        <f>Calculs!CA712</f>
        <v>0</v>
      </c>
      <c r="F640" s="742">
        <f>Calculs!CB712</f>
        <v>0</v>
      </c>
      <c r="G640" s="742">
        <f>Calculs!CC712</f>
        <v>0</v>
      </c>
      <c r="H640" s="742"/>
      <c r="I640" s="742">
        <f>Calculs!CE712</f>
        <v>0</v>
      </c>
      <c r="J640" s="742">
        <f>Calculs!CF712</f>
        <v>0</v>
      </c>
      <c r="K640" s="742"/>
      <c r="L640" s="742">
        <f>Calculs!CH712</f>
        <v>0</v>
      </c>
    </row>
    <row r="641" spans="2:12">
      <c r="B641" s="742">
        <f>Calculs!B713</f>
        <v>0</v>
      </c>
      <c r="C641" s="742">
        <f>Calculs!BY713</f>
        <v>0</v>
      </c>
      <c r="D641" s="742">
        <f>Calculs!BZ713</f>
        <v>0</v>
      </c>
      <c r="E641" s="742">
        <f>Calculs!CA713</f>
        <v>0</v>
      </c>
      <c r="F641" s="742">
        <f>Calculs!CB713</f>
        <v>0</v>
      </c>
      <c r="G641" s="742">
        <f>Calculs!CC713</f>
        <v>0</v>
      </c>
      <c r="H641" s="742"/>
      <c r="I641" s="742">
        <f>Calculs!CE713</f>
        <v>0</v>
      </c>
      <c r="J641" s="742">
        <f>Calculs!CF713</f>
        <v>0</v>
      </c>
      <c r="K641" s="742"/>
      <c r="L641" s="742">
        <f>Calculs!CH713</f>
        <v>0</v>
      </c>
    </row>
    <row r="642" spans="2:12">
      <c r="B642" s="742">
        <f>Calculs!B714</f>
        <v>0</v>
      </c>
      <c r="C642" s="742">
        <f>Calculs!BY714</f>
        <v>0</v>
      </c>
      <c r="D642" s="742">
        <f>Calculs!BZ714</f>
        <v>0</v>
      </c>
      <c r="E642" s="742">
        <f>Calculs!CA714</f>
        <v>0</v>
      </c>
      <c r="F642" s="742">
        <f>Calculs!CB714</f>
        <v>0</v>
      </c>
      <c r="G642" s="742">
        <f>Calculs!CC714</f>
        <v>0</v>
      </c>
      <c r="H642" s="742"/>
      <c r="I642" s="742">
        <f>Calculs!CE714</f>
        <v>0</v>
      </c>
      <c r="J642" s="742">
        <f>Calculs!CF714</f>
        <v>0</v>
      </c>
      <c r="K642" s="742"/>
      <c r="L642" s="742">
        <f>Calculs!CH714</f>
        <v>0</v>
      </c>
    </row>
    <row r="643" spans="2:12">
      <c r="B643" s="742">
        <f>Calculs!B715</f>
        <v>0</v>
      </c>
      <c r="C643" s="742">
        <f>Calculs!BY715</f>
        <v>0</v>
      </c>
      <c r="D643" s="742">
        <f>Calculs!BZ715</f>
        <v>0</v>
      </c>
      <c r="E643" s="742">
        <f>Calculs!CA715</f>
        <v>0</v>
      </c>
      <c r="F643" s="742">
        <f>Calculs!CB715</f>
        <v>0</v>
      </c>
      <c r="G643" s="742">
        <f>Calculs!CC715</f>
        <v>0</v>
      </c>
      <c r="H643" s="742"/>
      <c r="I643" s="742">
        <f>Calculs!CE715</f>
        <v>0</v>
      </c>
      <c r="J643" s="742">
        <f>Calculs!CF715</f>
        <v>0</v>
      </c>
      <c r="K643" s="742"/>
      <c r="L643" s="742">
        <f>Calculs!CH715</f>
        <v>0</v>
      </c>
    </row>
    <row r="644" spans="2:12">
      <c r="B644" s="742">
        <f>Calculs!B716</f>
        <v>0</v>
      </c>
      <c r="C644" s="742">
        <f>Calculs!BY716</f>
        <v>0</v>
      </c>
      <c r="D644" s="742">
        <f>Calculs!BZ716</f>
        <v>0</v>
      </c>
      <c r="E644" s="742">
        <f>Calculs!CA716</f>
        <v>0</v>
      </c>
      <c r="F644" s="742">
        <f>Calculs!CB716</f>
        <v>0</v>
      </c>
      <c r="G644" s="742">
        <f>Calculs!CC716</f>
        <v>0</v>
      </c>
      <c r="H644" s="742"/>
      <c r="I644" s="742">
        <f>Calculs!CE716</f>
        <v>0</v>
      </c>
      <c r="J644" s="742">
        <f>Calculs!CF716</f>
        <v>0</v>
      </c>
      <c r="K644" s="742"/>
      <c r="L644" s="742">
        <f>Calculs!CH716</f>
        <v>0</v>
      </c>
    </row>
    <row r="645" spans="2:12">
      <c r="B645" s="742">
        <f>Calculs!B717</f>
        <v>0</v>
      </c>
      <c r="C645" s="742">
        <f>Calculs!BY717</f>
        <v>0</v>
      </c>
      <c r="D645" s="742">
        <f>Calculs!BZ717</f>
        <v>0</v>
      </c>
      <c r="E645" s="742">
        <f>Calculs!CA717</f>
        <v>0</v>
      </c>
      <c r="F645" s="742">
        <f>Calculs!CB717</f>
        <v>0</v>
      </c>
      <c r="G645" s="742">
        <f>Calculs!CC717</f>
        <v>0</v>
      </c>
      <c r="H645" s="742"/>
      <c r="I645" s="742">
        <f>Calculs!CE717</f>
        <v>0</v>
      </c>
      <c r="J645" s="742">
        <f>Calculs!CF717</f>
        <v>0</v>
      </c>
      <c r="K645" s="742"/>
      <c r="L645" s="742">
        <f>Calculs!CH717</f>
        <v>0</v>
      </c>
    </row>
    <row r="646" spans="2:12">
      <c r="B646" s="742">
        <f>Calculs!B718</f>
        <v>0</v>
      </c>
      <c r="C646" s="742">
        <f>Calculs!BY718</f>
        <v>0</v>
      </c>
      <c r="D646" s="742">
        <f>Calculs!BZ718</f>
        <v>0</v>
      </c>
      <c r="E646" s="742">
        <f>Calculs!CA718</f>
        <v>0</v>
      </c>
      <c r="F646" s="742">
        <f>Calculs!CB718</f>
        <v>0</v>
      </c>
      <c r="G646" s="742">
        <f>Calculs!CC718</f>
        <v>0</v>
      </c>
      <c r="H646" s="742"/>
      <c r="I646" s="742">
        <f>Calculs!CE718</f>
        <v>0</v>
      </c>
      <c r="J646" s="742">
        <f>Calculs!CF718</f>
        <v>0</v>
      </c>
      <c r="K646" s="742"/>
      <c r="L646" s="742">
        <f>Calculs!CH718</f>
        <v>0</v>
      </c>
    </row>
    <row r="647" spans="2:12">
      <c r="B647" s="742">
        <f>Calculs!B719</f>
        <v>0</v>
      </c>
      <c r="C647" s="742">
        <f>Calculs!BY719</f>
        <v>0</v>
      </c>
      <c r="D647" s="742">
        <f>Calculs!BZ719</f>
        <v>0</v>
      </c>
      <c r="E647" s="742">
        <f>Calculs!CA719</f>
        <v>0</v>
      </c>
      <c r="F647" s="742">
        <f>Calculs!CB719</f>
        <v>0</v>
      </c>
      <c r="G647" s="742">
        <f>Calculs!CC719</f>
        <v>0</v>
      </c>
      <c r="H647" s="742"/>
      <c r="I647" s="742">
        <f>Calculs!CE719</f>
        <v>0</v>
      </c>
      <c r="J647" s="742">
        <f>Calculs!CF719</f>
        <v>0</v>
      </c>
      <c r="K647" s="742"/>
      <c r="L647" s="742">
        <f>Calculs!CH719</f>
        <v>0</v>
      </c>
    </row>
    <row r="648" spans="2:12">
      <c r="B648" s="742">
        <f>Calculs!B720</f>
        <v>0</v>
      </c>
      <c r="C648" s="742">
        <f>Calculs!BY720</f>
        <v>0</v>
      </c>
      <c r="D648" s="742">
        <f>Calculs!BZ720</f>
        <v>0</v>
      </c>
      <c r="E648" s="742">
        <f>Calculs!CA720</f>
        <v>0</v>
      </c>
      <c r="F648" s="742">
        <f>Calculs!CB720</f>
        <v>0</v>
      </c>
      <c r="G648" s="742">
        <f>Calculs!CC720</f>
        <v>0</v>
      </c>
      <c r="H648" s="742"/>
      <c r="I648" s="742">
        <f>Calculs!CE720</f>
        <v>0</v>
      </c>
      <c r="J648" s="742">
        <f>Calculs!CF720</f>
        <v>0</v>
      </c>
      <c r="K648" s="742"/>
      <c r="L648" s="742">
        <f>Calculs!CH720</f>
        <v>0</v>
      </c>
    </row>
    <row r="649" spans="2:12">
      <c r="B649" s="742">
        <f>Calculs!B721</f>
        <v>0</v>
      </c>
      <c r="C649" s="742">
        <f>Calculs!BY721</f>
        <v>0</v>
      </c>
      <c r="D649" s="742">
        <f>Calculs!BZ721</f>
        <v>0</v>
      </c>
      <c r="E649" s="742">
        <f>Calculs!CA721</f>
        <v>0</v>
      </c>
      <c r="F649" s="742">
        <f>Calculs!CB721</f>
        <v>0</v>
      </c>
      <c r="G649" s="742">
        <f>Calculs!CC721</f>
        <v>0</v>
      </c>
      <c r="H649" s="742"/>
      <c r="I649" s="742">
        <f>Calculs!CE721</f>
        <v>0</v>
      </c>
      <c r="J649" s="742">
        <f>Calculs!CF721</f>
        <v>0</v>
      </c>
      <c r="K649" s="742"/>
      <c r="L649" s="742">
        <f>Calculs!CH721</f>
        <v>0</v>
      </c>
    </row>
    <row r="650" spans="2:12">
      <c r="B650" s="742">
        <f>Calculs!B722</f>
        <v>0</v>
      </c>
      <c r="C650" s="742">
        <f>Calculs!BY722</f>
        <v>0</v>
      </c>
      <c r="D650" s="742">
        <f>Calculs!BZ722</f>
        <v>0</v>
      </c>
      <c r="E650" s="742">
        <f>Calculs!CA722</f>
        <v>0</v>
      </c>
      <c r="F650" s="742">
        <f>Calculs!CB722</f>
        <v>0</v>
      </c>
      <c r="G650" s="742">
        <f>Calculs!CC722</f>
        <v>0</v>
      </c>
      <c r="H650" s="742"/>
      <c r="I650" s="742">
        <f>Calculs!CE722</f>
        <v>0</v>
      </c>
      <c r="J650" s="742">
        <f>Calculs!CF722</f>
        <v>0</v>
      </c>
      <c r="K650" s="742"/>
      <c r="L650" s="742">
        <f>Calculs!CH722</f>
        <v>0</v>
      </c>
    </row>
    <row r="651" spans="2:12">
      <c r="B651" s="742">
        <f>Calculs!B723</f>
        <v>0</v>
      </c>
      <c r="C651" s="742">
        <f>Calculs!BY723</f>
        <v>0</v>
      </c>
      <c r="D651" s="742">
        <f>Calculs!BZ723</f>
        <v>0</v>
      </c>
      <c r="E651" s="742">
        <f>Calculs!CA723</f>
        <v>0</v>
      </c>
      <c r="F651" s="742">
        <f>Calculs!CB723</f>
        <v>0</v>
      </c>
      <c r="G651" s="742">
        <f>Calculs!CC723</f>
        <v>0</v>
      </c>
      <c r="H651" s="742"/>
      <c r="I651" s="742">
        <f>Calculs!CE723</f>
        <v>0</v>
      </c>
      <c r="J651" s="742">
        <f>Calculs!CF723</f>
        <v>0</v>
      </c>
      <c r="K651" s="742"/>
      <c r="L651" s="742">
        <f>Calculs!CH723</f>
        <v>0</v>
      </c>
    </row>
    <row r="652" spans="2:12">
      <c r="B652" s="742">
        <f>Calculs!B724</f>
        <v>0</v>
      </c>
      <c r="C652" s="742">
        <f>Calculs!BY724</f>
        <v>0</v>
      </c>
      <c r="D652" s="742">
        <f>Calculs!BZ724</f>
        <v>0</v>
      </c>
      <c r="E652" s="742">
        <f>Calculs!CA724</f>
        <v>0</v>
      </c>
      <c r="F652" s="742">
        <f>Calculs!CB724</f>
        <v>0</v>
      </c>
      <c r="G652" s="742">
        <f>Calculs!CC724</f>
        <v>0</v>
      </c>
      <c r="H652" s="742"/>
      <c r="I652" s="742">
        <f>Calculs!CE724</f>
        <v>0</v>
      </c>
      <c r="J652" s="742">
        <f>Calculs!CF724</f>
        <v>0</v>
      </c>
      <c r="K652" s="742"/>
      <c r="L652" s="742">
        <f>Calculs!CH724</f>
        <v>0</v>
      </c>
    </row>
    <row r="653" spans="2:12">
      <c r="B653" s="742">
        <f>Calculs!B725</f>
        <v>0</v>
      </c>
      <c r="C653" s="742">
        <f>Calculs!BY725</f>
        <v>0</v>
      </c>
      <c r="D653" s="742">
        <f>Calculs!BZ725</f>
        <v>0</v>
      </c>
      <c r="E653" s="742">
        <f>Calculs!CA725</f>
        <v>0</v>
      </c>
      <c r="F653" s="742">
        <f>Calculs!CB725</f>
        <v>0</v>
      </c>
      <c r="G653" s="742">
        <f>Calculs!CC725</f>
        <v>0</v>
      </c>
      <c r="H653" s="742"/>
      <c r="I653" s="742">
        <f>Calculs!CE725</f>
        <v>0</v>
      </c>
      <c r="J653" s="742">
        <f>Calculs!CF725</f>
        <v>0</v>
      </c>
      <c r="K653" s="742"/>
      <c r="L653" s="742">
        <f>Calculs!CH725</f>
        <v>0</v>
      </c>
    </row>
    <row r="654" spans="2:12">
      <c r="B654" s="742">
        <f>Calculs!B726</f>
        <v>0</v>
      </c>
      <c r="C654" s="742">
        <f>Calculs!BY726</f>
        <v>0</v>
      </c>
      <c r="D654" s="742">
        <f>Calculs!BZ726</f>
        <v>0</v>
      </c>
      <c r="E654" s="742">
        <f>Calculs!CA726</f>
        <v>0</v>
      </c>
      <c r="F654" s="742">
        <f>Calculs!CB726</f>
        <v>0</v>
      </c>
      <c r="G654" s="742">
        <f>Calculs!CC726</f>
        <v>0</v>
      </c>
      <c r="H654" s="742"/>
      <c r="I654" s="742">
        <f>Calculs!CE726</f>
        <v>0</v>
      </c>
      <c r="J654" s="742">
        <f>Calculs!CF726</f>
        <v>0</v>
      </c>
      <c r="K654" s="742"/>
      <c r="L654" s="742">
        <f>Calculs!CH726</f>
        <v>0</v>
      </c>
    </row>
    <row r="655" spans="2:12">
      <c r="B655" s="742">
        <f>Calculs!B727</f>
        <v>0</v>
      </c>
      <c r="C655" s="742">
        <f>Calculs!BY727</f>
        <v>0</v>
      </c>
      <c r="D655" s="742">
        <f>Calculs!BZ727</f>
        <v>0</v>
      </c>
      <c r="E655" s="742">
        <f>Calculs!CA727</f>
        <v>0</v>
      </c>
      <c r="F655" s="742">
        <f>Calculs!CB727</f>
        <v>0</v>
      </c>
      <c r="G655" s="742">
        <f>Calculs!CC727</f>
        <v>0</v>
      </c>
      <c r="H655" s="742"/>
      <c r="I655" s="742">
        <f>Calculs!CE727</f>
        <v>0</v>
      </c>
      <c r="J655" s="742">
        <f>Calculs!CF727</f>
        <v>0</v>
      </c>
      <c r="K655" s="742"/>
      <c r="L655" s="742">
        <f>Calculs!CH727</f>
        <v>0</v>
      </c>
    </row>
    <row r="656" spans="2:12">
      <c r="B656" s="742">
        <f>Calculs!B728</f>
        <v>0</v>
      </c>
      <c r="C656" s="742">
        <f>Calculs!BY728</f>
        <v>0</v>
      </c>
      <c r="D656" s="742">
        <f>Calculs!BZ728</f>
        <v>0</v>
      </c>
      <c r="E656" s="742">
        <f>Calculs!CA728</f>
        <v>0</v>
      </c>
      <c r="F656" s="742">
        <f>Calculs!CB728</f>
        <v>0</v>
      </c>
      <c r="G656" s="742">
        <f>Calculs!CC728</f>
        <v>0</v>
      </c>
      <c r="H656" s="742"/>
      <c r="I656" s="742">
        <f>Calculs!CE728</f>
        <v>0</v>
      </c>
      <c r="J656" s="742">
        <f>Calculs!CF728</f>
        <v>0</v>
      </c>
      <c r="K656" s="742"/>
      <c r="L656" s="742">
        <f>Calculs!CH728</f>
        <v>0</v>
      </c>
    </row>
    <row r="657" spans="2:12">
      <c r="B657" s="742">
        <f>Calculs!B729</f>
        <v>0</v>
      </c>
      <c r="C657" s="742">
        <f>Calculs!BY729</f>
        <v>0</v>
      </c>
      <c r="D657" s="742">
        <f>Calculs!BZ729</f>
        <v>0</v>
      </c>
      <c r="E657" s="742">
        <f>Calculs!CA729</f>
        <v>0</v>
      </c>
      <c r="F657" s="742">
        <f>Calculs!CB729</f>
        <v>0</v>
      </c>
      <c r="G657" s="742">
        <f>Calculs!CC729</f>
        <v>0</v>
      </c>
      <c r="H657" s="742"/>
      <c r="I657" s="742">
        <f>Calculs!CE729</f>
        <v>0</v>
      </c>
      <c r="J657" s="742">
        <f>Calculs!CF729</f>
        <v>0</v>
      </c>
      <c r="K657" s="742"/>
      <c r="L657" s="742">
        <f>Calculs!CH729</f>
        <v>0</v>
      </c>
    </row>
    <row r="658" spans="2:12">
      <c r="B658" s="742">
        <f>Calculs!B730</f>
        <v>0</v>
      </c>
      <c r="C658" s="742">
        <f>Calculs!BY730</f>
        <v>0</v>
      </c>
      <c r="D658" s="742">
        <f>Calculs!BZ730</f>
        <v>0</v>
      </c>
      <c r="E658" s="742">
        <f>Calculs!CA730</f>
        <v>0</v>
      </c>
      <c r="F658" s="742">
        <f>Calculs!CB730</f>
        <v>0</v>
      </c>
      <c r="G658" s="742">
        <f>Calculs!CC730</f>
        <v>0</v>
      </c>
      <c r="H658" s="742"/>
      <c r="I658" s="742">
        <f>Calculs!CE730</f>
        <v>0</v>
      </c>
      <c r="J658" s="742">
        <f>Calculs!CF730</f>
        <v>0</v>
      </c>
      <c r="K658" s="742"/>
      <c r="L658" s="742">
        <f>Calculs!CH730</f>
        <v>0</v>
      </c>
    </row>
    <row r="659" spans="2:12">
      <c r="B659" s="742">
        <f>Calculs!B731</f>
        <v>0</v>
      </c>
      <c r="C659" s="742">
        <f>Calculs!BY731</f>
        <v>0</v>
      </c>
      <c r="D659" s="742">
        <f>Calculs!BZ731</f>
        <v>0</v>
      </c>
      <c r="E659" s="742">
        <f>Calculs!CA731</f>
        <v>0</v>
      </c>
      <c r="F659" s="742">
        <f>Calculs!CB731</f>
        <v>0</v>
      </c>
      <c r="G659" s="742">
        <f>Calculs!CC731</f>
        <v>0</v>
      </c>
      <c r="H659" s="742"/>
      <c r="I659" s="742">
        <f>Calculs!CE731</f>
        <v>0</v>
      </c>
      <c r="J659" s="742">
        <f>Calculs!CF731</f>
        <v>0</v>
      </c>
      <c r="K659" s="742"/>
      <c r="L659" s="742">
        <f>Calculs!CH731</f>
        <v>0</v>
      </c>
    </row>
    <row r="660" spans="2:12">
      <c r="B660" s="742">
        <f>Calculs!B732</f>
        <v>0</v>
      </c>
      <c r="C660" s="742">
        <f>Calculs!BY732</f>
        <v>0</v>
      </c>
      <c r="D660" s="742">
        <f>Calculs!BZ732</f>
        <v>0</v>
      </c>
      <c r="E660" s="742">
        <f>Calculs!CA732</f>
        <v>0</v>
      </c>
      <c r="F660" s="742">
        <f>Calculs!CB732</f>
        <v>0</v>
      </c>
      <c r="G660" s="742">
        <f>Calculs!CC732</f>
        <v>0</v>
      </c>
      <c r="H660" s="742"/>
      <c r="I660" s="742">
        <f>Calculs!CE732</f>
        <v>0</v>
      </c>
      <c r="J660" s="742">
        <f>Calculs!CF732</f>
        <v>0</v>
      </c>
      <c r="K660" s="742"/>
      <c r="L660" s="742">
        <f>Calculs!CH732</f>
        <v>0</v>
      </c>
    </row>
    <row r="661" spans="2:12">
      <c r="B661" s="742">
        <f>Calculs!B733</f>
        <v>0</v>
      </c>
      <c r="C661" s="742">
        <f>Calculs!BY733</f>
        <v>0</v>
      </c>
      <c r="D661" s="742">
        <f>Calculs!BZ733</f>
        <v>0</v>
      </c>
      <c r="E661" s="742">
        <f>Calculs!CA733</f>
        <v>0</v>
      </c>
      <c r="F661" s="742">
        <f>Calculs!CB733</f>
        <v>0</v>
      </c>
      <c r="G661" s="742">
        <f>Calculs!CC733</f>
        <v>0</v>
      </c>
      <c r="H661" s="742"/>
      <c r="I661" s="742">
        <f>Calculs!CE733</f>
        <v>0</v>
      </c>
      <c r="J661" s="742">
        <f>Calculs!CF733</f>
        <v>0</v>
      </c>
      <c r="K661" s="742"/>
      <c r="L661" s="742">
        <f>Calculs!CH733</f>
        <v>0</v>
      </c>
    </row>
    <row r="662" spans="2:12">
      <c r="B662" s="742">
        <f>Calculs!B734</f>
        <v>0</v>
      </c>
      <c r="C662" s="742">
        <f>Calculs!BY734</f>
        <v>0</v>
      </c>
      <c r="D662" s="742">
        <f>Calculs!BZ734</f>
        <v>0</v>
      </c>
      <c r="E662" s="742">
        <f>Calculs!CA734</f>
        <v>0</v>
      </c>
      <c r="F662" s="742">
        <f>Calculs!CB734</f>
        <v>0</v>
      </c>
      <c r="G662" s="742">
        <f>Calculs!CC734</f>
        <v>0</v>
      </c>
      <c r="H662" s="742"/>
      <c r="I662" s="742">
        <f>Calculs!CE734</f>
        <v>0</v>
      </c>
      <c r="J662" s="742">
        <f>Calculs!CF734</f>
        <v>0</v>
      </c>
      <c r="K662" s="742"/>
      <c r="L662" s="742">
        <f>Calculs!CH734</f>
        <v>0</v>
      </c>
    </row>
    <row r="663" spans="2:12">
      <c r="B663" s="742">
        <f>Calculs!B735</f>
        <v>0</v>
      </c>
      <c r="C663" s="742">
        <f>Calculs!BY735</f>
        <v>0</v>
      </c>
      <c r="D663" s="742">
        <f>Calculs!BZ735</f>
        <v>0</v>
      </c>
      <c r="E663" s="742">
        <f>Calculs!CA735</f>
        <v>0</v>
      </c>
      <c r="F663" s="742">
        <f>Calculs!CB735</f>
        <v>0</v>
      </c>
      <c r="G663" s="742">
        <f>Calculs!CC735</f>
        <v>0</v>
      </c>
      <c r="H663" s="742"/>
      <c r="I663" s="742">
        <f>Calculs!CE735</f>
        <v>0</v>
      </c>
      <c r="J663" s="742">
        <f>Calculs!CF735</f>
        <v>0</v>
      </c>
      <c r="K663" s="742"/>
      <c r="L663" s="742">
        <f>Calculs!CH735</f>
        <v>0</v>
      </c>
    </row>
    <row r="664" spans="2:12">
      <c r="B664" s="742">
        <f>Calculs!B736</f>
        <v>0</v>
      </c>
      <c r="C664" s="742">
        <f>Calculs!BY736</f>
        <v>0</v>
      </c>
      <c r="D664" s="742">
        <f>Calculs!BZ736</f>
        <v>0</v>
      </c>
      <c r="E664" s="742">
        <f>Calculs!CA736</f>
        <v>0</v>
      </c>
      <c r="F664" s="742">
        <f>Calculs!CB736</f>
        <v>0</v>
      </c>
      <c r="G664" s="742">
        <f>Calculs!CC736</f>
        <v>0</v>
      </c>
      <c r="H664" s="742"/>
      <c r="I664" s="742">
        <f>Calculs!CE736</f>
        <v>0</v>
      </c>
      <c r="J664" s="742">
        <f>Calculs!CF736</f>
        <v>0</v>
      </c>
      <c r="K664" s="742"/>
      <c r="L664" s="742">
        <f>Calculs!CH736</f>
        <v>0</v>
      </c>
    </row>
    <row r="665" spans="2:12">
      <c r="B665" s="742">
        <f>Calculs!B737</f>
        <v>0</v>
      </c>
      <c r="C665" s="742">
        <f>Calculs!BY737</f>
        <v>0</v>
      </c>
      <c r="D665" s="742">
        <f>Calculs!BZ737</f>
        <v>0</v>
      </c>
      <c r="E665" s="742">
        <f>Calculs!CA737</f>
        <v>0</v>
      </c>
      <c r="F665" s="742">
        <f>Calculs!CB737</f>
        <v>0</v>
      </c>
      <c r="G665" s="742">
        <f>Calculs!CC737</f>
        <v>0</v>
      </c>
      <c r="H665" s="742"/>
      <c r="I665" s="742">
        <f>Calculs!CE737</f>
        <v>0</v>
      </c>
      <c r="J665" s="742">
        <f>Calculs!CF737</f>
        <v>0</v>
      </c>
      <c r="K665" s="742"/>
      <c r="L665" s="742">
        <f>Calculs!CH737</f>
        <v>0</v>
      </c>
    </row>
    <row r="666" spans="2:12">
      <c r="B666" s="742">
        <f>Calculs!B738</f>
        <v>0</v>
      </c>
      <c r="C666" s="742">
        <f>Calculs!BY738</f>
        <v>0</v>
      </c>
      <c r="D666" s="742">
        <f>Calculs!BZ738</f>
        <v>0</v>
      </c>
      <c r="E666" s="742">
        <f>Calculs!CA738</f>
        <v>0</v>
      </c>
      <c r="F666" s="742">
        <f>Calculs!CB738</f>
        <v>0</v>
      </c>
      <c r="G666" s="742">
        <f>Calculs!CC738</f>
        <v>0</v>
      </c>
      <c r="H666" s="742"/>
      <c r="I666" s="742">
        <f>Calculs!CE738</f>
        <v>0</v>
      </c>
      <c r="J666" s="742">
        <f>Calculs!CF738</f>
        <v>0</v>
      </c>
      <c r="K666" s="742"/>
      <c r="L666" s="742">
        <f>Calculs!CH738</f>
        <v>0</v>
      </c>
    </row>
    <row r="667" spans="2:12">
      <c r="B667" s="742">
        <f>Calculs!B739</f>
        <v>0</v>
      </c>
      <c r="C667" s="742">
        <f>Calculs!BY739</f>
        <v>0</v>
      </c>
      <c r="D667" s="742">
        <f>Calculs!BZ739</f>
        <v>0</v>
      </c>
      <c r="E667" s="742">
        <f>Calculs!CA739</f>
        <v>0</v>
      </c>
      <c r="F667" s="742">
        <f>Calculs!CB739</f>
        <v>0</v>
      </c>
      <c r="G667" s="742">
        <f>Calculs!CC739</f>
        <v>0</v>
      </c>
      <c r="H667" s="742"/>
      <c r="I667" s="742">
        <f>Calculs!CE739</f>
        <v>0</v>
      </c>
      <c r="J667" s="742">
        <f>Calculs!CF739</f>
        <v>0</v>
      </c>
      <c r="K667" s="742"/>
      <c r="L667" s="742">
        <f>Calculs!CH739</f>
        <v>0</v>
      </c>
    </row>
    <row r="668" spans="2:12">
      <c r="B668" s="742">
        <f>Calculs!B740</f>
        <v>0</v>
      </c>
      <c r="C668" s="742">
        <f>Calculs!BY740</f>
        <v>0</v>
      </c>
      <c r="D668" s="742">
        <f>Calculs!BZ740</f>
        <v>0</v>
      </c>
      <c r="E668" s="742">
        <f>Calculs!CA740</f>
        <v>0</v>
      </c>
      <c r="F668" s="742">
        <f>Calculs!CB740</f>
        <v>0</v>
      </c>
      <c r="G668" s="742">
        <f>Calculs!CC740</f>
        <v>0</v>
      </c>
      <c r="H668" s="742"/>
      <c r="I668" s="742">
        <f>Calculs!CE740</f>
        <v>0</v>
      </c>
      <c r="J668" s="742">
        <f>Calculs!CF740</f>
        <v>0</v>
      </c>
      <c r="K668" s="742"/>
      <c r="L668" s="742">
        <f>Calculs!CH740</f>
        <v>0</v>
      </c>
    </row>
    <row r="669" spans="2:12">
      <c r="B669" s="742">
        <f>Calculs!B741</f>
        <v>0</v>
      </c>
      <c r="C669" s="742">
        <f>Calculs!BY741</f>
        <v>0</v>
      </c>
      <c r="D669" s="742">
        <f>Calculs!BZ741</f>
        <v>0</v>
      </c>
      <c r="E669" s="742">
        <f>Calculs!CA741</f>
        <v>0</v>
      </c>
      <c r="F669" s="742">
        <f>Calculs!CB741</f>
        <v>0</v>
      </c>
      <c r="G669" s="742">
        <f>Calculs!CC741</f>
        <v>0</v>
      </c>
      <c r="H669" s="742"/>
      <c r="I669" s="742">
        <f>Calculs!CE741</f>
        <v>0</v>
      </c>
      <c r="J669" s="742">
        <f>Calculs!CF741</f>
        <v>0</v>
      </c>
      <c r="K669" s="742"/>
      <c r="L669" s="742">
        <f>Calculs!CH741</f>
        <v>0</v>
      </c>
    </row>
    <row r="670" spans="2:12">
      <c r="B670" s="742">
        <f>Calculs!B742</f>
        <v>0</v>
      </c>
      <c r="C670" s="742">
        <f>Calculs!BY742</f>
        <v>0</v>
      </c>
      <c r="D670" s="742">
        <f>Calculs!BZ742</f>
        <v>0</v>
      </c>
      <c r="E670" s="742">
        <f>Calculs!CA742</f>
        <v>0</v>
      </c>
      <c r="F670" s="742">
        <f>Calculs!CB742</f>
        <v>0</v>
      </c>
      <c r="G670" s="742">
        <f>Calculs!CC742</f>
        <v>0</v>
      </c>
      <c r="H670" s="742"/>
      <c r="I670" s="742">
        <f>Calculs!CE742</f>
        <v>0</v>
      </c>
      <c r="J670" s="742">
        <f>Calculs!CF742</f>
        <v>0</v>
      </c>
      <c r="K670" s="742"/>
      <c r="L670" s="742">
        <f>Calculs!CH742</f>
        <v>0</v>
      </c>
    </row>
    <row r="671" spans="2:12">
      <c r="B671" s="742">
        <f>Calculs!B743</f>
        <v>0</v>
      </c>
      <c r="C671" s="742">
        <f>Calculs!BY743</f>
        <v>0</v>
      </c>
      <c r="D671" s="742">
        <f>Calculs!BZ743</f>
        <v>0</v>
      </c>
      <c r="E671" s="742">
        <f>Calculs!CA743</f>
        <v>0</v>
      </c>
      <c r="F671" s="742">
        <f>Calculs!CB743</f>
        <v>0</v>
      </c>
      <c r="G671" s="742">
        <f>Calculs!CC743</f>
        <v>0</v>
      </c>
      <c r="H671" s="742"/>
      <c r="I671" s="742">
        <f>Calculs!CE743</f>
        <v>0</v>
      </c>
      <c r="J671" s="742">
        <f>Calculs!CF743</f>
        <v>0</v>
      </c>
      <c r="K671" s="742"/>
      <c r="L671" s="742">
        <f>Calculs!CH743</f>
        <v>0</v>
      </c>
    </row>
    <row r="672" spans="2:12">
      <c r="B672" s="742">
        <f>Calculs!B744</f>
        <v>0</v>
      </c>
      <c r="C672" s="742">
        <f>Calculs!BY744</f>
        <v>0</v>
      </c>
      <c r="D672" s="742">
        <f>Calculs!BZ744</f>
        <v>0</v>
      </c>
      <c r="E672" s="742">
        <f>Calculs!CA744</f>
        <v>0</v>
      </c>
      <c r="F672" s="742">
        <f>Calculs!CB744</f>
        <v>0</v>
      </c>
      <c r="G672" s="742">
        <f>Calculs!CC744</f>
        <v>0</v>
      </c>
      <c r="H672" s="742"/>
      <c r="I672" s="742">
        <f>Calculs!CE744</f>
        <v>0</v>
      </c>
      <c r="J672" s="742">
        <f>Calculs!CF744</f>
        <v>0</v>
      </c>
      <c r="K672" s="742"/>
      <c r="L672" s="742">
        <f>Calculs!CH744</f>
        <v>0</v>
      </c>
    </row>
    <row r="673" spans="2:12">
      <c r="B673" s="742">
        <f>Calculs!B745</f>
        <v>0</v>
      </c>
      <c r="C673" s="742">
        <f>Calculs!BY745</f>
        <v>0</v>
      </c>
      <c r="D673" s="742">
        <f>Calculs!BZ745</f>
        <v>0</v>
      </c>
      <c r="E673" s="742">
        <f>Calculs!CA745</f>
        <v>0</v>
      </c>
      <c r="F673" s="742">
        <f>Calculs!CB745</f>
        <v>0</v>
      </c>
      <c r="G673" s="742">
        <f>Calculs!CC745</f>
        <v>0</v>
      </c>
      <c r="H673" s="742"/>
      <c r="I673" s="742">
        <f>Calculs!CE745</f>
        <v>0</v>
      </c>
      <c r="J673" s="742">
        <f>Calculs!CF745</f>
        <v>0</v>
      </c>
      <c r="K673" s="742"/>
      <c r="L673" s="742">
        <f>Calculs!CH745</f>
        <v>0</v>
      </c>
    </row>
    <row r="674" spans="2:12">
      <c r="B674" s="742">
        <f>Calculs!B746</f>
        <v>0</v>
      </c>
      <c r="C674" s="742">
        <f>Calculs!BY746</f>
        <v>0</v>
      </c>
      <c r="D674" s="742">
        <f>Calculs!BZ746</f>
        <v>0</v>
      </c>
      <c r="E674" s="742">
        <f>Calculs!CA746</f>
        <v>0</v>
      </c>
      <c r="F674" s="742">
        <f>Calculs!CB746</f>
        <v>0</v>
      </c>
      <c r="G674" s="742">
        <f>Calculs!CC746</f>
        <v>0</v>
      </c>
      <c r="H674" s="742"/>
      <c r="I674" s="742">
        <f>Calculs!CE746</f>
        <v>0</v>
      </c>
      <c r="J674" s="742">
        <f>Calculs!CF746</f>
        <v>0</v>
      </c>
      <c r="K674" s="742"/>
      <c r="L674" s="742">
        <f>Calculs!CH746</f>
        <v>0</v>
      </c>
    </row>
    <row r="675" spans="2:12">
      <c r="B675" s="742">
        <f>Calculs!B747</f>
        <v>0</v>
      </c>
      <c r="C675" s="742">
        <f>Calculs!BY747</f>
        <v>0</v>
      </c>
      <c r="D675" s="742">
        <f>Calculs!BZ747</f>
        <v>0</v>
      </c>
      <c r="E675" s="742">
        <f>Calculs!CA747</f>
        <v>0</v>
      </c>
      <c r="F675" s="742">
        <f>Calculs!CB747</f>
        <v>0</v>
      </c>
      <c r="G675" s="742">
        <f>Calculs!CC747</f>
        <v>0</v>
      </c>
      <c r="H675" s="742"/>
      <c r="I675" s="742">
        <f>Calculs!CE747</f>
        <v>0</v>
      </c>
      <c r="J675" s="742">
        <f>Calculs!CF747</f>
        <v>0</v>
      </c>
      <c r="K675" s="742"/>
      <c r="L675" s="742">
        <f>Calculs!CH747</f>
        <v>0</v>
      </c>
    </row>
    <row r="676" spans="2:12">
      <c r="B676" s="742">
        <f>Calculs!B748</f>
        <v>0</v>
      </c>
      <c r="C676" s="742">
        <f>Calculs!BY748</f>
        <v>0</v>
      </c>
      <c r="D676" s="742">
        <f>Calculs!BZ748</f>
        <v>0</v>
      </c>
      <c r="E676" s="742">
        <f>Calculs!CA748</f>
        <v>0</v>
      </c>
      <c r="F676" s="742">
        <f>Calculs!CB748</f>
        <v>0</v>
      </c>
      <c r="G676" s="742">
        <f>Calculs!CC748</f>
        <v>0</v>
      </c>
      <c r="H676" s="742"/>
      <c r="I676" s="742">
        <f>Calculs!CE748</f>
        <v>0</v>
      </c>
      <c r="J676" s="742">
        <f>Calculs!CF748</f>
        <v>0</v>
      </c>
      <c r="K676" s="742"/>
      <c r="L676" s="742">
        <f>Calculs!CH748</f>
        <v>0</v>
      </c>
    </row>
    <row r="677" spans="2:12">
      <c r="B677" s="742">
        <f>Calculs!B749</f>
        <v>0</v>
      </c>
      <c r="C677" s="742">
        <f>Calculs!BY749</f>
        <v>0</v>
      </c>
      <c r="D677" s="742">
        <f>Calculs!BZ749</f>
        <v>0</v>
      </c>
      <c r="E677" s="742">
        <f>Calculs!CA749</f>
        <v>0</v>
      </c>
      <c r="F677" s="742">
        <f>Calculs!CB749</f>
        <v>0</v>
      </c>
      <c r="G677" s="742">
        <f>Calculs!CC749</f>
        <v>0</v>
      </c>
      <c r="H677" s="742"/>
      <c r="I677" s="742">
        <f>Calculs!CE749</f>
        <v>0</v>
      </c>
      <c r="J677" s="742">
        <f>Calculs!CF749</f>
        <v>0</v>
      </c>
      <c r="K677" s="742"/>
      <c r="L677" s="742">
        <f>Calculs!CH749</f>
        <v>0</v>
      </c>
    </row>
    <row r="678" spans="2:12">
      <c r="B678" s="742">
        <f>Calculs!B750</f>
        <v>0</v>
      </c>
      <c r="C678" s="742">
        <f>Calculs!BY750</f>
        <v>0</v>
      </c>
      <c r="D678" s="742">
        <f>Calculs!BZ750</f>
        <v>0</v>
      </c>
      <c r="E678" s="742">
        <f>Calculs!CA750</f>
        <v>0</v>
      </c>
      <c r="F678" s="742">
        <f>Calculs!CB750</f>
        <v>0</v>
      </c>
      <c r="G678" s="742">
        <f>Calculs!CC750</f>
        <v>0</v>
      </c>
      <c r="H678" s="742"/>
      <c r="I678" s="742">
        <f>Calculs!CE750</f>
        <v>0</v>
      </c>
      <c r="J678" s="742">
        <f>Calculs!CF750</f>
        <v>0</v>
      </c>
      <c r="K678" s="742"/>
      <c r="L678" s="742">
        <f>Calculs!CH750</f>
        <v>0</v>
      </c>
    </row>
    <row r="679" spans="2:12">
      <c r="B679" s="742">
        <f>Calculs!B751</f>
        <v>0</v>
      </c>
      <c r="C679" s="742">
        <f>Calculs!BY751</f>
        <v>0</v>
      </c>
      <c r="D679" s="742">
        <f>Calculs!BZ751</f>
        <v>0</v>
      </c>
      <c r="E679" s="742">
        <f>Calculs!CA751</f>
        <v>0</v>
      </c>
      <c r="F679" s="742">
        <f>Calculs!CB751</f>
        <v>0</v>
      </c>
      <c r="G679" s="742">
        <f>Calculs!CC751</f>
        <v>0</v>
      </c>
      <c r="H679" s="742"/>
      <c r="I679" s="742">
        <f>Calculs!CE751</f>
        <v>0</v>
      </c>
      <c r="J679" s="742">
        <f>Calculs!CF751</f>
        <v>0</v>
      </c>
      <c r="K679" s="742"/>
      <c r="L679" s="742">
        <f>Calculs!CH751</f>
        <v>0</v>
      </c>
    </row>
    <row r="680" spans="2:12">
      <c r="B680" s="742">
        <f>Calculs!B752</f>
        <v>0</v>
      </c>
      <c r="C680" s="742">
        <f>Calculs!BY752</f>
        <v>0</v>
      </c>
      <c r="D680" s="742">
        <f>Calculs!BZ752</f>
        <v>0</v>
      </c>
      <c r="E680" s="742">
        <f>Calculs!CA752</f>
        <v>0</v>
      </c>
      <c r="F680" s="742">
        <f>Calculs!CB752</f>
        <v>0</v>
      </c>
      <c r="G680" s="742">
        <f>Calculs!CC752</f>
        <v>0</v>
      </c>
      <c r="H680" s="742"/>
      <c r="I680" s="742">
        <f>Calculs!CE752</f>
        <v>0</v>
      </c>
      <c r="J680" s="742">
        <f>Calculs!CF752</f>
        <v>0</v>
      </c>
      <c r="K680" s="742"/>
      <c r="L680" s="742">
        <f>Calculs!CH752</f>
        <v>0</v>
      </c>
    </row>
    <row r="681" spans="2:12">
      <c r="B681" s="742">
        <f>Calculs!B753</f>
        <v>0</v>
      </c>
      <c r="C681" s="742">
        <f>Calculs!BY753</f>
        <v>0</v>
      </c>
      <c r="D681" s="742">
        <f>Calculs!BZ753</f>
        <v>0</v>
      </c>
      <c r="E681" s="742">
        <f>Calculs!CA753</f>
        <v>0</v>
      </c>
      <c r="F681" s="742">
        <f>Calculs!CB753</f>
        <v>0</v>
      </c>
      <c r="G681" s="742">
        <f>Calculs!CC753</f>
        <v>0</v>
      </c>
      <c r="H681" s="742"/>
      <c r="I681" s="742">
        <f>Calculs!CE753</f>
        <v>0</v>
      </c>
      <c r="J681" s="742">
        <f>Calculs!CF753</f>
        <v>0</v>
      </c>
      <c r="K681" s="742"/>
      <c r="L681" s="742">
        <f>Calculs!CH753</f>
        <v>0</v>
      </c>
    </row>
    <row r="682" spans="2:12">
      <c r="B682" s="742">
        <f>Calculs!B754</f>
        <v>0</v>
      </c>
      <c r="C682" s="742">
        <f>Calculs!BY754</f>
        <v>0</v>
      </c>
      <c r="D682" s="742">
        <f>Calculs!BZ754</f>
        <v>0</v>
      </c>
      <c r="E682" s="742">
        <f>Calculs!CA754</f>
        <v>0</v>
      </c>
      <c r="F682" s="742">
        <f>Calculs!CB754</f>
        <v>0</v>
      </c>
      <c r="G682" s="742">
        <f>Calculs!CC754</f>
        <v>0</v>
      </c>
      <c r="H682" s="742"/>
      <c r="I682" s="742">
        <f>Calculs!CE754</f>
        <v>0</v>
      </c>
      <c r="J682" s="742">
        <f>Calculs!CF754</f>
        <v>0</v>
      </c>
      <c r="K682" s="742"/>
      <c r="L682" s="742">
        <f>Calculs!CH754</f>
        <v>0</v>
      </c>
    </row>
    <row r="683" spans="2:12">
      <c r="B683" s="742">
        <f>Calculs!B755</f>
        <v>0</v>
      </c>
      <c r="C683" s="742">
        <f>Calculs!BY755</f>
        <v>0</v>
      </c>
      <c r="D683" s="742">
        <f>Calculs!BZ755</f>
        <v>0</v>
      </c>
      <c r="E683" s="742">
        <f>Calculs!CA755</f>
        <v>0</v>
      </c>
      <c r="F683" s="742">
        <f>Calculs!CB755</f>
        <v>0</v>
      </c>
      <c r="G683" s="742">
        <f>Calculs!CC755</f>
        <v>0</v>
      </c>
      <c r="H683" s="742"/>
      <c r="I683" s="742">
        <f>Calculs!CE755</f>
        <v>0</v>
      </c>
      <c r="J683" s="742">
        <f>Calculs!CF755</f>
        <v>0</v>
      </c>
      <c r="K683" s="742"/>
      <c r="L683" s="742">
        <f>Calculs!CH755</f>
        <v>0</v>
      </c>
    </row>
    <row r="684" spans="2:12">
      <c r="B684" s="742">
        <f>Calculs!B756</f>
        <v>0</v>
      </c>
      <c r="C684" s="742">
        <f>Calculs!BY756</f>
        <v>0</v>
      </c>
      <c r="D684" s="742">
        <f>Calculs!BZ756</f>
        <v>0</v>
      </c>
      <c r="E684" s="742">
        <f>Calculs!CA756</f>
        <v>0</v>
      </c>
      <c r="F684" s="742">
        <f>Calculs!CB756</f>
        <v>0</v>
      </c>
      <c r="G684" s="742">
        <f>Calculs!CC756</f>
        <v>0</v>
      </c>
      <c r="H684" s="742"/>
      <c r="I684" s="742">
        <f>Calculs!CE756</f>
        <v>0</v>
      </c>
      <c r="J684" s="742">
        <f>Calculs!CF756</f>
        <v>0</v>
      </c>
      <c r="K684" s="742"/>
      <c r="L684" s="742">
        <f>Calculs!CH756</f>
        <v>0</v>
      </c>
    </row>
    <row r="685" spans="2:12">
      <c r="B685" s="742">
        <f>Calculs!B757</f>
        <v>0</v>
      </c>
      <c r="C685" s="742">
        <f>Calculs!BY757</f>
        <v>0</v>
      </c>
      <c r="D685" s="742">
        <f>Calculs!BZ757</f>
        <v>0</v>
      </c>
      <c r="E685" s="742">
        <f>Calculs!CA757</f>
        <v>0</v>
      </c>
      <c r="F685" s="742">
        <f>Calculs!CB757</f>
        <v>0</v>
      </c>
      <c r="G685" s="742">
        <f>Calculs!CC757</f>
        <v>0</v>
      </c>
      <c r="H685" s="742"/>
      <c r="I685" s="742">
        <f>Calculs!CE757</f>
        <v>0</v>
      </c>
      <c r="J685" s="742">
        <f>Calculs!CF757</f>
        <v>0</v>
      </c>
      <c r="K685" s="742"/>
      <c r="L685" s="742">
        <f>Calculs!CH757</f>
        <v>0</v>
      </c>
    </row>
    <row r="686" spans="2:12">
      <c r="B686" s="742">
        <f>Calculs!B758</f>
        <v>0</v>
      </c>
      <c r="C686" s="742">
        <f>Calculs!BY758</f>
        <v>0</v>
      </c>
      <c r="D686" s="742">
        <f>Calculs!BZ758</f>
        <v>0</v>
      </c>
      <c r="E686" s="742">
        <f>Calculs!CA758</f>
        <v>0</v>
      </c>
      <c r="F686" s="742">
        <f>Calculs!CB758</f>
        <v>0</v>
      </c>
      <c r="G686" s="742">
        <f>Calculs!CC758</f>
        <v>0</v>
      </c>
      <c r="H686" s="742"/>
      <c r="I686" s="742">
        <f>Calculs!CE758</f>
        <v>0</v>
      </c>
      <c r="J686" s="742">
        <f>Calculs!CF758</f>
        <v>0</v>
      </c>
      <c r="K686" s="742"/>
      <c r="L686" s="742">
        <f>Calculs!CH758</f>
        <v>0</v>
      </c>
    </row>
    <row r="687" spans="2:12">
      <c r="B687" s="742">
        <f>Calculs!B759</f>
        <v>0</v>
      </c>
      <c r="C687" s="742">
        <f>Calculs!BY759</f>
        <v>0</v>
      </c>
      <c r="D687" s="742">
        <f>Calculs!BZ759</f>
        <v>0</v>
      </c>
      <c r="E687" s="742">
        <f>Calculs!CA759</f>
        <v>0</v>
      </c>
      <c r="F687" s="742">
        <f>Calculs!CB759</f>
        <v>0</v>
      </c>
      <c r="G687" s="742">
        <f>Calculs!CC759</f>
        <v>0</v>
      </c>
      <c r="H687" s="742"/>
      <c r="I687" s="742">
        <f>Calculs!CE759</f>
        <v>0</v>
      </c>
      <c r="J687" s="742">
        <f>Calculs!CF759</f>
        <v>0</v>
      </c>
      <c r="K687" s="742"/>
      <c r="L687" s="742">
        <f>Calculs!CH759</f>
        <v>0</v>
      </c>
    </row>
    <row r="688" spans="2:12">
      <c r="B688" s="742">
        <f>Calculs!B760</f>
        <v>0</v>
      </c>
      <c r="C688" s="742">
        <f>Calculs!BY760</f>
        <v>0</v>
      </c>
      <c r="D688" s="742">
        <f>Calculs!BZ760</f>
        <v>0</v>
      </c>
      <c r="E688" s="742">
        <f>Calculs!CA760</f>
        <v>0</v>
      </c>
      <c r="F688" s="742">
        <f>Calculs!CB760</f>
        <v>0</v>
      </c>
      <c r="G688" s="742">
        <f>Calculs!CC760</f>
        <v>0</v>
      </c>
      <c r="H688" s="742"/>
      <c r="I688" s="742">
        <f>Calculs!CE760</f>
        <v>0</v>
      </c>
      <c r="J688" s="742">
        <f>Calculs!CF760</f>
        <v>0</v>
      </c>
      <c r="K688" s="742"/>
      <c r="L688" s="742">
        <f>Calculs!CH760</f>
        <v>0</v>
      </c>
    </row>
    <row r="689" spans="2:12">
      <c r="B689" s="742">
        <f>Calculs!B761</f>
        <v>0</v>
      </c>
      <c r="C689" s="742">
        <f>Calculs!BY761</f>
        <v>0</v>
      </c>
      <c r="D689" s="742">
        <f>Calculs!BZ761</f>
        <v>0</v>
      </c>
      <c r="E689" s="742">
        <f>Calculs!CA761</f>
        <v>0</v>
      </c>
      <c r="F689" s="742">
        <f>Calculs!CB761</f>
        <v>0</v>
      </c>
      <c r="G689" s="742">
        <f>Calculs!CC761</f>
        <v>0</v>
      </c>
      <c r="H689" s="742"/>
      <c r="I689" s="742">
        <f>Calculs!CE761</f>
        <v>0</v>
      </c>
      <c r="J689" s="742">
        <f>Calculs!CF761</f>
        <v>0</v>
      </c>
      <c r="K689" s="742"/>
      <c r="L689" s="742">
        <f>Calculs!CH761</f>
        <v>0</v>
      </c>
    </row>
    <row r="690" spans="2:12">
      <c r="B690" s="742">
        <f>Calculs!B762</f>
        <v>0</v>
      </c>
      <c r="C690" s="742">
        <f>Calculs!BY762</f>
        <v>0</v>
      </c>
      <c r="D690" s="742">
        <f>Calculs!BZ762</f>
        <v>0</v>
      </c>
      <c r="E690" s="742">
        <f>Calculs!CA762</f>
        <v>0</v>
      </c>
      <c r="F690" s="742">
        <f>Calculs!CB762</f>
        <v>0</v>
      </c>
      <c r="G690" s="742">
        <f>Calculs!CC762</f>
        <v>0</v>
      </c>
      <c r="H690" s="742"/>
      <c r="I690" s="742">
        <f>Calculs!CE762</f>
        <v>0</v>
      </c>
      <c r="J690" s="742">
        <f>Calculs!CF762</f>
        <v>0</v>
      </c>
      <c r="K690" s="742"/>
      <c r="L690" s="742">
        <f>Calculs!CH762</f>
        <v>0</v>
      </c>
    </row>
    <row r="691" spans="2:12">
      <c r="B691" s="742">
        <f>Calculs!B763</f>
        <v>0</v>
      </c>
      <c r="C691" s="742">
        <f>Calculs!BY763</f>
        <v>0</v>
      </c>
      <c r="D691" s="742">
        <f>Calculs!BZ763</f>
        <v>0</v>
      </c>
      <c r="E691" s="742">
        <f>Calculs!CA763</f>
        <v>0</v>
      </c>
      <c r="F691" s="742">
        <f>Calculs!CB763</f>
        <v>0</v>
      </c>
      <c r="G691" s="742">
        <f>Calculs!CC763</f>
        <v>0</v>
      </c>
      <c r="H691" s="742"/>
      <c r="I691" s="742">
        <f>Calculs!CE763</f>
        <v>0</v>
      </c>
      <c r="J691" s="742">
        <f>Calculs!CF763</f>
        <v>0</v>
      </c>
      <c r="K691" s="742"/>
      <c r="L691" s="742">
        <f>Calculs!CH763</f>
        <v>0</v>
      </c>
    </row>
    <row r="692" spans="2:12">
      <c r="B692" s="742">
        <f>Calculs!B764</f>
        <v>0</v>
      </c>
      <c r="C692" s="742">
        <f>Calculs!BY764</f>
        <v>0</v>
      </c>
      <c r="D692" s="742">
        <f>Calculs!BZ764</f>
        <v>0</v>
      </c>
      <c r="E692" s="742">
        <f>Calculs!CA764</f>
        <v>0</v>
      </c>
      <c r="F692" s="742">
        <f>Calculs!CB764</f>
        <v>0</v>
      </c>
      <c r="G692" s="742">
        <f>Calculs!CC764</f>
        <v>0</v>
      </c>
      <c r="H692" s="742"/>
      <c r="I692" s="742">
        <f>Calculs!CE764</f>
        <v>0</v>
      </c>
      <c r="J692" s="742">
        <f>Calculs!CF764</f>
        <v>0</v>
      </c>
      <c r="K692" s="742"/>
      <c r="L692" s="742">
        <f>Calculs!CH764</f>
        <v>0</v>
      </c>
    </row>
    <row r="693" spans="2:12">
      <c r="B693" s="742">
        <f>Calculs!B765</f>
        <v>0</v>
      </c>
      <c r="C693" s="742">
        <f>Calculs!BY765</f>
        <v>0</v>
      </c>
      <c r="D693" s="742">
        <f>Calculs!BZ765</f>
        <v>0</v>
      </c>
      <c r="E693" s="742">
        <f>Calculs!CA765</f>
        <v>0</v>
      </c>
      <c r="F693" s="742">
        <f>Calculs!CB765</f>
        <v>0</v>
      </c>
      <c r="G693" s="742">
        <f>Calculs!CC765</f>
        <v>0</v>
      </c>
      <c r="H693" s="742"/>
      <c r="I693" s="742">
        <f>Calculs!CE765</f>
        <v>0</v>
      </c>
      <c r="J693" s="742">
        <f>Calculs!CF765</f>
        <v>0</v>
      </c>
      <c r="K693" s="742"/>
      <c r="L693" s="742">
        <f>Calculs!CH765</f>
        <v>0</v>
      </c>
    </row>
    <row r="694" spans="2:12">
      <c r="B694" s="742">
        <f>Calculs!B766</f>
        <v>0</v>
      </c>
      <c r="C694" s="742">
        <f>Calculs!BY766</f>
        <v>0</v>
      </c>
      <c r="D694" s="742">
        <f>Calculs!BZ766</f>
        <v>0</v>
      </c>
      <c r="E694" s="742">
        <f>Calculs!CA766</f>
        <v>0</v>
      </c>
      <c r="F694" s="742">
        <f>Calculs!CB766</f>
        <v>0</v>
      </c>
      <c r="G694" s="742">
        <f>Calculs!CC766</f>
        <v>0</v>
      </c>
      <c r="H694" s="742"/>
      <c r="I694" s="742">
        <f>Calculs!CE766</f>
        <v>0</v>
      </c>
      <c r="J694" s="742">
        <f>Calculs!CF766</f>
        <v>0</v>
      </c>
      <c r="K694" s="742"/>
      <c r="L694" s="742">
        <f>Calculs!CH766</f>
        <v>0</v>
      </c>
    </row>
    <row r="695" spans="2:12">
      <c r="B695" s="742">
        <f>Calculs!B767</f>
        <v>0</v>
      </c>
      <c r="C695" s="742">
        <f>Calculs!BY767</f>
        <v>0</v>
      </c>
      <c r="D695" s="742">
        <f>Calculs!BZ767</f>
        <v>0</v>
      </c>
      <c r="E695" s="742">
        <f>Calculs!CA767</f>
        <v>0</v>
      </c>
      <c r="F695" s="742">
        <f>Calculs!CB767</f>
        <v>0</v>
      </c>
      <c r="G695" s="742">
        <f>Calculs!CC767</f>
        <v>0</v>
      </c>
      <c r="H695" s="742"/>
      <c r="I695" s="742">
        <f>Calculs!CE767</f>
        <v>0</v>
      </c>
      <c r="J695" s="742">
        <f>Calculs!CF767</f>
        <v>0</v>
      </c>
      <c r="K695" s="742"/>
      <c r="L695" s="742">
        <f>Calculs!CH767</f>
        <v>0</v>
      </c>
    </row>
    <row r="696" spans="2:12">
      <c r="B696" s="742">
        <f>Calculs!B768</f>
        <v>0</v>
      </c>
      <c r="C696" s="742">
        <f>Calculs!BY768</f>
        <v>0</v>
      </c>
      <c r="D696" s="742">
        <f>Calculs!BZ768</f>
        <v>0</v>
      </c>
      <c r="E696" s="742">
        <f>Calculs!CA768</f>
        <v>0</v>
      </c>
      <c r="F696" s="742">
        <f>Calculs!CB768</f>
        <v>0</v>
      </c>
      <c r="G696" s="742">
        <f>Calculs!CC768</f>
        <v>0</v>
      </c>
      <c r="H696" s="742"/>
      <c r="I696" s="742">
        <f>Calculs!CE768</f>
        <v>0</v>
      </c>
      <c r="J696" s="742">
        <f>Calculs!CF768</f>
        <v>0</v>
      </c>
      <c r="K696" s="742"/>
      <c r="L696" s="742">
        <f>Calculs!CH768</f>
        <v>0</v>
      </c>
    </row>
    <row r="697" spans="2:12">
      <c r="B697" s="742">
        <f>Calculs!B769</f>
        <v>0</v>
      </c>
      <c r="C697" s="742">
        <f>Calculs!BY769</f>
        <v>0</v>
      </c>
      <c r="D697" s="742">
        <f>Calculs!BZ769</f>
        <v>0</v>
      </c>
      <c r="E697" s="742">
        <f>Calculs!CA769</f>
        <v>0</v>
      </c>
      <c r="F697" s="742">
        <f>Calculs!CB769</f>
        <v>0</v>
      </c>
      <c r="G697" s="742">
        <f>Calculs!CC769</f>
        <v>0</v>
      </c>
      <c r="H697" s="742"/>
      <c r="I697" s="742">
        <f>Calculs!CE769</f>
        <v>0</v>
      </c>
      <c r="J697" s="742">
        <f>Calculs!CF769</f>
        <v>0</v>
      </c>
      <c r="K697" s="742"/>
      <c r="L697" s="742">
        <f>Calculs!CH769</f>
        <v>0</v>
      </c>
    </row>
    <row r="698" spans="2:12">
      <c r="B698" s="742">
        <f>Calculs!B770</f>
        <v>0</v>
      </c>
      <c r="C698" s="742">
        <f>Calculs!BY770</f>
        <v>0</v>
      </c>
      <c r="D698" s="742">
        <f>Calculs!BZ770</f>
        <v>0</v>
      </c>
      <c r="E698" s="742">
        <f>Calculs!CA770</f>
        <v>0</v>
      </c>
      <c r="F698" s="742">
        <f>Calculs!CB770</f>
        <v>0</v>
      </c>
      <c r="G698" s="742">
        <f>Calculs!CC770</f>
        <v>0</v>
      </c>
      <c r="H698" s="742"/>
      <c r="I698" s="742">
        <f>Calculs!CE770</f>
        <v>0</v>
      </c>
      <c r="J698" s="742">
        <f>Calculs!CF770</f>
        <v>0</v>
      </c>
      <c r="K698" s="742"/>
      <c r="L698" s="742">
        <f>Calculs!CH770</f>
        <v>0</v>
      </c>
    </row>
    <row r="699" spans="2:12">
      <c r="B699" s="742">
        <f>Calculs!B771</f>
        <v>0</v>
      </c>
      <c r="C699" s="742">
        <f>Calculs!BY771</f>
        <v>0</v>
      </c>
      <c r="D699" s="742">
        <f>Calculs!BZ771</f>
        <v>0</v>
      </c>
      <c r="E699" s="742">
        <f>Calculs!CA771</f>
        <v>0</v>
      </c>
      <c r="F699" s="742">
        <f>Calculs!CB771</f>
        <v>0</v>
      </c>
      <c r="G699" s="742">
        <f>Calculs!CC771</f>
        <v>0</v>
      </c>
      <c r="H699" s="742"/>
      <c r="I699" s="742">
        <f>Calculs!CE771</f>
        <v>0</v>
      </c>
      <c r="J699" s="742">
        <f>Calculs!CF771</f>
        <v>0</v>
      </c>
      <c r="K699" s="742"/>
      <c r="L699" s="742">
        <f>Calculs!CH771</f>
        <v>0</v>
      </c>
    </row>
    <row r="700" spans="2:12">
      <c r="B700" s="742">
        <f>Calculs!B772</f>
        <v>0</v>
      </c>
      <c r="C700" s="742">
        <f>Calculs!BY772</f>
        <v>0</v>
      </c>
      <c r="D700" s="742">
        <f>Calculs!BZ772</f>
        <v>0</v>
      </c>
      <c r="E700" s="742">
        <f>Calculs!CA772</f>
        <v>0</v>
      </c>
      <c r="F700" s="742">
        <f>Calculs!CB772</f>
        <v>0</v>
      </c>
      <c r="G700" s="742">
        <f>Calculs!CC772</f>
        <v>0</v>
      </c>
      <c r="H700" s="742"/>
      <c r="I700" s="742">
        <f>Calculs!CE772</f>
        <v>0</v>
      </c>
      <c r="J700" s="742">
        <f>Calculs!CF772</f>
        <v>0</v>
      </c>
      <c r="K700" s="742"/>
      <c r="L700" s="742">
        <f>Calculs!CH772</f>
        <v>0</v>
      </c>
    </row>
    <row r="701" spans="2:12">
      <c r="B701" s="742">
        <f>Calculs!B773</f>
        <v>0</v>
      </c>
      <c r="C701" s="742">
        <f>Calculs!BY773</f>
        <v>0</v>
      </c>
      <c r="D701" s="742">
        <f>Calculs!BZ773</f>
        <v>0</v>
      </c>
      <c r="E701" s="742">
        <f>Calculs!CA773</f>
        <v>0</v>
      </c>
      <c r="F701" s="742">
        <f>Calculs!CB773</f>
        <v>0</v>
      </c>
      <c r="G701" s="742">
        <f>Calculs!CC773</f>
        <v>0</v>
      </c>
      <c r="H701" s="742"/>
      <c r="I701" s="742">
        <f>Calculs!CE773</f>
        <v>0</v>
      </c>
      <c r="J701" s="742">
        <f>Calculs!CF773</f>
        <v>0</v>
      </c>
      <c r="K701" s="742"/>
      <c r="L701" s="742">
        <f>Calculs!CH773</f>
        <v>0</v>
      </c>
    </row>
    <row r="702" spans="2:12">
      <c r="B702" s="742">
        <f>Calculs!B774</f>
        <v>0</v>
      </c>
      <c r="C702" s="742">
        <f>Calculs!BY774</f>
        <v>0</v>
      </c>
      <c r="D702" s="742">
        <f>Calculs!BZ774</f>
        <v>0</v>
      </c>
      <c r="E702" s="742">
        <f>Calculs!CA774</f>
        <v>0</v>
      </c>
      <c r="F702" s="742">
        <f>Calculs!CB774</f>
        <v>0</v>
      </c>
      <c r="G702" s="742">
        <f>Calculs!CC774</f>
        <v>0</v>
      </c>
      <c r="H702" s="742"/>
      <c r="I702" s="742">
        <f>Calculs!CE774</f>
        <v>0</v>
      </c>
      <c r="J702" s="742">
        <f>Calculs!CF774</f>
        <v>0</v>
      </c>
      <c r="K702" s="742"/>
      <c r="L702" s="742">
        <f>Calculs!CH774</f>
        <v>0</v>
      </c>
    </row>
    <row r="703" spans="2:12">
      <c r="B703" s="742">
        <f>Calculs!B775</f>
        <v>0</v>
      </c>
      <c r="C703" s="742">
        <f>Calculs!BY775</f>
        <v>0</v>
      </c>
      <c r="D703" s="742">
        <f>Calculs!BZ775</f>
        <v>0</v>
      </c>
      <c r="E703" s="742">
        <f>Calculs!CA775</f>
        <v>0</v>
      </c>
      <c r="F703" s="742">
        <f>Calculs!CB775</f>
        <v>0</v>
      </c>
      <c r="G703" s="742">
        <f>Calculs!CC775</f>
        <v>0</v>
      </c>
      <c r="H703" s="742"/>
      <c r="I703" s="742">
        <f>Calculs!CE775</f>
        <v>0</v>
      </c>
      <c r="J703" s="742">
        <f>Calculs!CF775</f>
        <v>0</v>
      </c>
      <c r="K703" s="742"/>
      <c r="L703" s="742">
        <f>Calculs!CH775</f>
        <v>0</v>
      </c>
    </row>
    <row r="704" spans="2:12">
      <c r="B704" s="742">
        <f>Calculs!B776</f>
        <v>0</v>
      </c>
      <c r="C704" s="742">
        <f>Calculs!BY776</f>
        <v>0</v>
      </c>
      <c r="D704" s="742">
        <f>Calculs!BZ776</f>
        <v>0</v>
      </c>
      <c r="E704" s="742">
        <f>Calculs!CA776</f>
        <v>0</v>
      </c>
      <c r="F704" s="742">
        <f>Calculs!CB776</f>
        <v>0</v>
      </c>
      <c r="G704" s="742">
        <f>Calculs!CC776</f>
        <v>0</v>
      </c>
      <c r="H704" s="742"/>
      <c r="I704" s="742">
        <f>Calculs!CE776</f>
        <v>0</v>
      </c>
      <c r="J704" s="742">
        <f>Calculs!CF776</f>
        <v>0</v>
      </c>
      <c r="K704" s="742"/>
      <c r="L704" s="742">
        <f>Calculs!CH776</f>
        <v>0</v>
      </c>
    </row>
    <row r="705" spans="2:12">
      <c r="B705" s="742">
        <f>Calculs!B777</f>
        <v>0</v>
      </c>
      <c r="C705" s="742">
        <f>Calculs!BY777</f>
        <v>0</v>
      </c>
      <c r="D705" s="742">
        <f>Calculs!BZ777</f>
        <v>0</v>
      </c>
      <c r="E705" s="742">
        <f>Calculs!CA777</f>
        <v>0</v>
      </c>
      <c r="F705" s="742">
        <f>Calculs!CB777</f>
        <v>0</v>
      </c>
      <c r="G705" s="742">
        <f>Calculs!CC777</f>
        <v>0</v>
      </c>
      <c r="H705" s="742"/>
      <c r="I705" s="742">
        <f>Calculs!CE777</f>
        <v>0</v>
      </c>
      <c r="J705" s="742">
        <f>Calculs!CF777</f>
        <v>0</v>
      </c>
      <c r="K705" s="742"/>
      <c r="L705" s="742">
        <f>Calculs!CH777</f>
        <v>0</v>
      </c>
    </row>
    <row r="706" spans="2:12">
      <c r="B706" s="742">
        <f>Calculs!B778</f>
        <v>0</v>
      </c>
      <c r="C706" s="742">
        <f>Calculs!BY778</f>
        <v>0</v>
      </c>
      <c r="D706" s="742">
        <f>Calculs!BZ778</f>
        <v>0</v>
      </c>
      <c r="E706" s="742">
        <f>Calculs!CA778</f>
        <v>0</v>
      </c>
      <c r="F706" s="742">
        <f>Calculs!CB778</f>
        <v>0</v>
      </c>
      <c r="G706" s="742">
        <f>Calculs!CC778</f>
        <v>0</v>
      </c>
      <c r="H706" s="742"/>
      <c r="I706" s="742">
        <f>Calculs!CE778</f>
        <v>0</v>
      </c>
      <c r="J706" s="742">
        <f>Calculs!CF778</f>
        <v>0</v>
      </c>
      <c r="K706" s="742"/>
      <c r="L706" s="742">
        <f>Calculs!CH778</f>
        <v>0</v>
      </c>
    </row>
    <row r="707" spans="2:12">
      <c r="B707" s="742">
        <f>Calculs!B779</f>
        <v>0</v>
      </c>
      <c r="C707" s="742">
        <f>Calculs!BY779</f>
        <v>0</v>
      </c>
      <c r="D707" s="742">
        <f>Calculs!BZ779</f>
        <v>0</v>
      </c>
      <c r="E707" s="742">
        <f>Calculs!CA779</f>
        <v>0</v>
      </c>
      <c r="F707" s="742">
        <f>Calculs!CB779</f>
        <v>0</v>
      </c>
      <c r="G707" s="742">
        <f>Calculs!CC779</f>
        <v>0</v>
      </c>
      <c r="H707" s="742"/>
      <c r="I707" s="742">
        <f>Calculs!CE779</f>
        <v>0</v>
      </c>
      <c r="J707" s="742">
        <f>Calculs!CF779</f>
        <v>0</v>
      </c>
      <c r="K707" s="742"/>
      <c r="L707" s="742">
        <f>Calculs!CH779</f>
        <v>0</v>
      </c>
    </row>
    <row r="708" spans="2:12">
      <c r="B708" s="742">
        <f>Calculs!B780</f>
        <v>0</v>
      </c>
      <c r="C708" s="742">
        <f>Calculs!BY780</f>
        <v>0</v>
      </c>
      <c r="D708" s="742">
        <f>Calculs!BZ780</f>
        <v>0</v>
      </c>
      <c r="E708" s="742">
        <f>Calculs!CA780</f>
        <v>0</v>
      </c>
      <c r="F708" s="742">
        <f>Calculs!CB780</f>
        <v>0</v>
      </c>
      <c r="G708" s="742">
        <f>Calculs!CC780</f>
        <v>0</v>
      </c>
      <c r="H708" s="742"/>
      <c r="I708" s="742">
        <f>Calculs!CE780</f>
        <v>0</v>
      </c>
      <c r="J708" s="742">
        <f>Calculs!CF780</f>
        <v>0</v>
      </c>
      <c r="K708" s="742"/>
      <c r="L708" s="742">
        <f>Calculs!CH780</f>
        <v>0</v>
      </c>
    </row>
    <row r="709" spans="2:12">
      <c r="B709" s="742">
        <f>Calculs!B781</f>
        <v>0</v>
      </c>
      <c r="C709" s="742">
        <f>Calculs!BY781</f>
        <v>0</v>
      </c>
      <c r="D709" s="742">
        <f>Calculs!BZ781</f>
        <v>0</v>
      </c>
      <c r="E709" s="742">
        <f>Calculs!CA781</f>
        <v>0</v>
      </c>
      <c r="F709" s="742">
        <f>Calculs!CB781</f>
        <v>0</v>
      </c>
      <c r="G709" s="742">
        <f>Calculs!CC781</f>
        <v>0</v>
      </c>
      <c r="H709" s="742"/>
      <c r="I709" s="742">
        <f>Calculs!CE781</f>
        <v>0</v>
      </c>
      <c r="J709" s="742">
        <f>Calculs!CF781</f>
        <v>0</v>
      </c>
      <c r="K709" s="742"/>
      <c r="L709" s="742">
        <f>Calculs!CH781</f>
        <v>0</v>
      </c>
    </row>
    <row r="710" spans="2:12">
      <c r="B710" s="742">
        <f>Calculs!B782</f>
        <v>0</v>
      </c>
      <c r="C710" s="742">
        <f>Calculs!BY782</f>
        <v>0</v>
      </c>
      <c r="D710" s="742">
        <f>Calculs!BZ782</f>
        <v>0</v>
      </c>
      <c r="E710" s="742">
        <f>Calculs!CA782</f>
        <v>0</v>
      </c>
      <c r="F710" s="742">
        <f>Calculs!CB782</f>
        <v>0</v>
      </c>
      <c r="G710" s="742">
        <f>Calculs!CC782</f>
        <v>0</v>
      </c>
      <c r="H710" s="742"/>
      <c r="I710" s="742">
        <f>Calculs!CE782</f>
        <v>0</v>
      </c>
      <c r="J710" s="742">
        <f>Calculs!CF782</f>
        <v>0</v>
      </c>
      <c r="K710" s="742"/>
      <c r="L710" s="742">
        <f>Calculs!CH782</f>
        <v>0</v>
      </c>
    </row>
    <row r="711" spans="2:12">
      <c r="B711" s="742">
        <f>Calculs!B783</f>
        <v>0</v>
      </c>
      <c r="C711" s="742">
        <f>Calculs!BY783</f>
        <v>0</v>
      </c>
      <c r="D711" s="742">
        <f>Calculs!BZ783</f>
        <v>0</v>
      </c>
      <c r="E711" s="742">
        <f>Calculs!CA783</f>
        <v>0</v>
      </c>
      <c r="F711" s="742">
        <f>Calculs!CB783</f>
        <v>0</v>
      </c>
      <c r="G711" s="742">
        <f>Calculs!CC783</f>
        <v>0</v>
      </c>
      <c r="H711" s="742"/>
      <c r="I711" s="742">
        <f>Calculs!CE783</f>
        <v>0</v>
      </c>
      <c r="J711" s="742">
        <f>Calculs!CF783</f>
        <v>0</v>
      </c>
      <c r="K711" s="742"/>
      <c r="L711" s="742">
        <f>Calculs!CH783</f>
        <v>0</v>
      </c>
    </row>
    <row r="712" spans="2:12">
      <c r="B712" s="742">
        <f>Calculs!B784</f>
        <v>0</v>
      </c>
      <c r="C712" s="742">
        <f>Calculs!BY784</f>
        <v>0</v>
      </c>
      <c r="D712" s="742">
        <f>Calculs!BZ784</f>
        <v>0</v>
      </c>
      <c r="E712" s="742">
        <f>Calculs!CA784</f>
        <v>0</v>
      </c>
      <c r="F712" s="742">
        <f>Calculs!CB784</f>
        <v>0</v>
      </c>
      <c r="G712" s="742">
        <f>Calculs!CC784</f>
        <v>0</v>
      </c>
      <c r="H712" s="742"/>
      <c r="I712" s="742">
        <f>Calculs!CE784</f>
        <v>0</v>
      </c>
      <c r="J712" s="742">
        <f>Calculs!CF784</f>
        <v>0</v>
      </c>
      <c r="K712" s="742"/>
      <c r="L712" s="742">
        <f>Calculs!CH784</f>
        <v>0</v>
      </c>
    </row>
    <row r="713" spans="2:12">
      <c r="B713" s="742">
        <f>Calculs!B785</f>
        <v>0</v>
      </c>
      <c r="C713" s="742">
        <f>Calculs!BY785</f>
        <v>0</v>
      </c>
      <c r="D713" s="742">
        <f>Calculs!BZ785</f>
        <v>0</v>
      </c>
      <c r="E713" s="742">
        <f>Calculs!CA785</f>
        <v>0</v>
      </c>
      <c r="F713" s="742">
        <f>Calculs!CB785</f>
        <v>0</v>
      </c>
      <c r="G713" s="742">
        <f>Calculs!CC785</f>
        <v>0</v>
      </c>
      <c r="H713" s="742"/>
      <c r="I713" s="742">
        <f>Calculs!CE785</f>
        <v>0</v>
      </c>
      <c r="J713" s="742">
        <f>Calculs!CF785</f>
        <v>0</v>
      </c>
      <c r="K713" s="742"/>
      <c r="L713" s="742">
        <f>Calculs!CH785</f>
        <v>0</v>
      </c>
    </row>
    <row r="714" spans="2:12">
      <c r="B714" s="742">
        <f>Calculs!B786</f>
        <v>0</v>
      </c>
      <c r="C714" s="742">
        <f>Calculs!BY786</f>
        <v>0</v>
      </c>
      <c r="D714" s="742">
        <f>Calculs!BZ786</f>
        <v>0</v>
      </c>
      <c r="E714" s="742">
        <f>Calculs!CA786</f>
        <v>0</v>
      </c>
      <c r="F714" s="742">
        <f>Calculs!CB786</f>
        <v>0</v>
      </c>
      <c r="G714" s="742">
        <f>Calculs!CC786</f>
        <v>0</v>
      </c>
      <c r="H714" s="742"/>
      <c r="I714" s="742">
        <f>Calculs!CE786</f>
        <v>0</v>
      </c>
      <c r="J714" s="742">
        <f>Calculs!CF786</f>
        <v>0</v>
      </c>
      <c r="K714" s="742"/>
      <c r="L714" s="742">
        <f>Calculs!CH786</f>
        <v>0</v>
      </c>
    </row>
    <row r="715" spans="2:12">
      <c r="B715" s="742">
        <f>Calculs!B787</f>
        <v>0</v>
      </c>
      <c r="C715" s="742">
        <f>Calculs!BY787</f>
        <v>0</v>
      </c>
      <c r="D715" s="742">
        <f>Calculs!BZ787</f>
        <v>0</v>
      </c>
      <c r="E715" s="742">
        <f>Calculs!CA787</f>
        <v>0</v>
      </c>
      <c r="F715" s="742">
        <f>Calculs!CB787</f>
        <v>0</v>
      </c>
      <c r="G715" s="742">
        <f>Calculs!CC787</f>
        <v>0</v>
      </c>
      <c r="H715" s="742"/>
      <c r="I715" s="742">
        <f>Calculs!CE787</f>
        <v>0</v>
      </c>
      <c r="J715" s="742">
        <f>Calculs!CF787</f>
        <v>0</v>
      </c>
      <c r="K715" s="742"/>
      <c r="L715" s="742">
        <f>Calculs!CH787</f>
        <v>0</v>
      </c>
    </row>
    <row r="716" spans="2:12">
      <c r="B716" s="742">
        <f>Calculs!B788</f>
        <v>0</v>
      </c>
      <c r="C716" s="742">
        <f>Calculs!BY788</f>
        <v>0</v>
      </c>
      <c r="D716" s="742">
        <f>Calculs!BZ788</f>
        <v>0</v>
      </c>
      <c r="E716" s="742">
        <f>Calculs!CA788</f>
        <v>0</v>
      </c>
      <c r="F716" s="742">
        <f>Calculs!CB788</f>
        <v>0</v>
      </c>
      <c r="G716" s="742">
        <f>Calculs!CC788</f>
        <v>0</v>
      </c>
      <c r="H716" s="742"/>
      <c r="I716" s="742">
        <f>Calculs!CE788</f>
        <v>0</v>
      </c>
      <c r="J716" s="742">
        <f>Calculs!CF788</f>
        <v>0</v>
      </c>
      <c r="K716" s="742"/>
      <c r="L716" s="742">
        <f>Calculs!CH788</f>
        <v>0</v>
      </c>
    </row>
    <row r="717" spans="2:12">
      <c r="B717" s="742">
        <f>Calculs!B789</f>
        <v>0</v>
      </c>
      <c r="C717" s="742">
        <f>Calculs!BY789</f>
        <v>0</v>
      </c>
      <c r="D717" s="742">
        <f>Calculs!BZ789</f>
        <v>0</v>
      </c>
      <c r="E717" s="742">
        <f>Calculs!CA789</f>
        <v>0</v>
      </c>
      <c r="F717" s="742">
        <f>Calculs!CB789</f>
        <v>0</v>
      </c>
      <c r="G717" s="742">
        <f>Calculs!CC789</f>
        <v>0</v>
      </c>
      <c r="H717" s="742"/>
      <c r="I717" s="742">
        <f>Calculs!CE789</f>
        <v>0</v>
      </c>
      <c r="J717" s="742">
        <f>Calculs!CF789</f>
        <v>0</v>
      </c>
      <c r="K717" s="742"/>
      <c r="L717" s="742">
        <f>Calculs!CH789</f>
        <v>0</v>
      </c>
    </row>
    <row r="718" spans="2:12">
      <c r="B718" s="742">
        <f>Calculs!B790</f>
        <v>0</v>
      </c>
      <c r="C718" s="742">
        <f>Calculs!BY790</f>
        <v>0</v>
      </c>
      <c r="D718" s="742">
        <f>Calculs!BZ790</f>
        <v>0</v>
      </c>
      <c r="E718" s="742">
        <f>Calculs!CA790</f>
        <v>0</v>
      </c>
      <c r="F718" s="742">
        <f>Calculs!CB790</f>
        <v>0</v>
      </c>
      <c r="G718" s="742">
        <f>Calculs!CC790</f>
        <v>0</v>
      </c>
      <c r="H718" s="742"/>
      <c r="I718" s="742">
        <f>Calculs!CE790</f>
        <v>0</v>
      </c>
      <c r="J718" s="742">
        <f>Calculs!CF790</f>
        <v>0</v>
      </c>
      <c r="K718" s="742"/>
      <c r="L718" s="742">
        <f>Calculs!CH790</f>
        <v>0</v>
      </c>
    </row>
    <row r="719" spans="2:12">
      <c r="B719" s="742">
        <f>Calculs!B791</f>
        <v>0</v>
      </c>
      <c r="C719" s="742">
        <f>Calculs!BY791</f>
        <v>0</v>
      </c>
      <c r="D719" s="742">
        <f>Calculs!BZ791</f>
        <v>0</v>
      </c>
      <c r="E719" s="742">
        <f>Calculs!CA791</f>
        <v>0</v>
      </c>
      <c r="F719" s="742">
        <f>Calculs!CB791</f>
        <v>0</v>
      </c>
      <c r="G719" s="742">
        <f>Calculs!CC791</f>
        <v>0</v>
      </c>
      <c r="H719" s="742"/>
      <c r="I719" s="742">
        <f>Calculs!CE791</f>
        <v>0</v>
      </c>
      <c r="J719" s="742">
        <f>Calculs!CF791</f>
        <v>0</v>
      </c>
      <c r="K719" s="742"/>
      <c r="L719" s="742">
        <f>Calculs!CH791</f>
        <v>0</v>
      </c>
    </row>
    <row r="720" spans="2:12">
      <c r="B720" s="742">
        <f>Calculs!B792</f>
        <v>0</v>
      </c>
      <c r="C720" s="742">
        <f>Calculs!BY792</f>
        <v>0</v>
      </c>
      <c r="D720" s="742">
        <f>Calculs!BZ792</f>
        <v>0</v>
      </c>
      <c r="E720" s="742">
        <f>Calculs!CA792</f>
        <v>0</v>
      </c>
      <c r="F720" s="742">
        <f>Calculs!CB792</f>
        <v>0</v>
      </c>
      <c r="G720" s="742">
        <f>Calculs!CC792</f>
        <v>0</v>
      </c>
      <c r="H720" s="742"/>
      <c r="I720" s="742">
        <f>Calculs!CE792</f>
        <v>0</v>
      </c>
      <c r="J720" s="742">
        <f>Calculs!CF792</f>
        <v>0</v>
      </c>
      <c r="K720" s="742"/>
      <c r="L720" s="742">
        <f>Calculs!CH792</f>
        <v>0</v>
      </c>
    </row>
    <row r="721" spans="2:12">
      <c r="B721" s="742">
        <f>Calculs!B793</f>
        <v>0</v>
      </c>
      <c r="C721" s="742">
        <f>Calculs!BY793</f>
        <v>0</v>
      </c>
      <c r="D721" s="742">
        <f>Calculs!BZ793</f>
        <v>0</v>
      </c>
      <c r="E721" s="742">
        <f>Calculs!CA793</f>
        <v>0</v>
      </c>
      <c r="F721" s="742">
        <f>Calculs!CB793</f>
        <v>0</v>
      </c>
      <c r="G721" s="742">
        <f>Calculs!CC793</f>
        <v>0</v>
      </c>
      <c r="H721" s="742"/>
      <c r="I721" s="742">
        <f>Calculs!CE793</f>
        <v>0</v>
      </c>
      <c r="J721" s="742">
        <f>Calculs!CF793</f>
        <v>0</v>
      </c>
      <c r="K721" s="742"/>
      <c r="L721" s="742">
        <f>Calculs!CH793</f>
        <v>0</v>
      </c>
    </row>
    <row r="722" spans="2:12">
      <c r="B722" s="742">
        <f>Calculs!B794</f>
        <v>0</v>
      </c>
      <c r="C722" s="742">
        <f>Calculs!BY794</f>
        <v>0</v>
      </c>
      <c r="D722" s="742">
        <f>Calculs!BZ794</f>
        <v>0</v>
      </c>
      <c r="E722" s="742">
        <f>Calculs!CA794</f>
        <v>0</v>
      </c>
      <c r="F722" s="742">
        <f>Calculs!CB794</f>
        <v>0</v>
      </c>
      <c r="G722" s="742">
        <f>Calculs!CC794</f>
        <v>0</v>
      </c>
      <c r="H722" s="742"/>
      <c r="I722" s="742">
        <f>Calculs!CE794</f>
        <v>0</v>
      </c>
      <c r="J722" s="742">
        <f>Calculs!CF794</f>
        <v>0</v>
      </c>
      <c r="K722" s="742"/>
      <c r="L722" s="742">
        <f>Calculs!CH794</f>
        <v>0</v>
      </c>
    </row>
    <row r="723" spans="2:12">
      <c r="B723" s="742">
        <f>Calculs!B795</f>
        <v>0</v>
      </c>
      <c r="C723" s="742">
        <f>Calculs!BY795</f>
        <v>0</v>
      </c>
      <c r="D723" s="742">
        <f>Calculs!BZ795</f>
        <v>0</v>
      </c>
      <c r="E723" s="742">
        <f>Calculs!CA795</f>
        <v>0</v>
      </c>
      <c r="F723" s="742">
        <f>Calculs!CB795</f>
        <v>0</v>
      </c>
      <c r="G723" s="742">
        <f>Calculs!CC795</f>
        <v>0</v>
      </c>
      <c r="H723" s="742"/>
      <c r="I723" s="742">
        <f>Calculs!CE795</f>
        <v>0</v>
      </c>
      <c r="J723" s="742">
        <f>Calculs!CF795</f>
        <v>0</v>
      </c>
      <c r="K723" s="742"/>
      <c r="L723" s="742">
        <f>Calculs!CH795</f>
        <v>0</v>
      </c>
    </row>
    <row r="724" spans="2:12">
      <c r="B724" s="742">
        <f>Calculs!B796</f>
        <v>0</v>
      </c>
      <c r="C724" s="742">
        <f>Calculs!BY796</f>
        <v>0</v>
      </c>
      <c r="D724" s="742">
        <f>Calculs!BZ796</f>
        <v>0</v>
      </c>
      <c r="E724" s="742">
        <f>Calculs!CA796</f>
        <v>0</v>
      </c>
      <c r="F724" s="742">
        <f>Calculs!CB796</f>
        <v>0</v>
      </c>
      <c r="G724" s="742">
        <f>Calculs!CC796</f>
        <v>0</v>
      </c>
      <c r="H724" s="742"/>
      <c r="I724" s="742">
        <f>Calculs!CE796</f>
        <v>0</v>
      </c>
      <c r="J724" s="742">
        <f>Calculs!CF796</f>
        <v>0</v>
      </c>
      <c r="K724" s="742"/>
      <c r="L724" s="742">
        <f>Calculs!CH796</f>
        <v>0</v>
      </c>
    </row>
    <row r="725" spans="2:12">
      <c r="B725" s="742">
        <f>Calculs!B797</f>
        <v>0</v>
      </c>
      <c r="C725" s="742">
        <f>Calculs!BY797</f>
        <v>0</v>
      </c>
      <c r="D725" s="742">
        <f>Calculs!BZ797</f>
        <v>0</v>
      </c>
      <c r="E725" s="742">
        <f>Calculs!CA797</f>
        <v>0</v>
      </c>
      <c r="F725" s="742">
        <f>Calculs!CB797</f>
        <v>0</v>
      </c>
      <c r="G725" s="742">
        <f>Calculs!CC797</f>
        <v>0</v>
      </c>
      <c r="H725" s="742"/>
      <c r="I725" s="742">
        <f>Calculs!CE797</f>
        <v>0</v>
      </c>
      <c r="J725" s="742">
        <f>Calculs!CF797</f>
        <v>0</v>
      </c>
      <c r="K725" s="742"/>
      <c r="L725" s="742">
        <f>Calculs!CH797</f>
        <v>0</v>
      </c>
    </row>
    <row r="726" spans="2:12">
      <c r="B726" s="742">
        <f>Calculs!B798</f>
        <v>0</v>
      </c>
      <c r="C726" s="742">
        <f>Calculs!BY798</f>
        <v>0</v>
      </c>
      <c r="D726" s="742">
        <f>Calculs!BZ798</f>
        <v>0</v>
      </c>
      <c r="E726" s="742">
        <f>Calculs!CA798</f>
        <v>0</v>
      </c>
      <c r="F726" s="742">
        <f>Calculs!CB798</f>
        <v>0</v>
      </c>
      <c r="G726" s="742">
        <f>Calculs!CC798</f>
        <v>0</v>
      </c>
      <c r="H726" s="742"/>
      <c r="I726" s="742">
        <f>Calculs!CE798</f>
        <v>0</v>
      </c>
      <c r="J726" s="742">
        <f>Calculs!CF798</f>
        <v>0</v>
      </c>
      <c r="K726" s="742"/>
      <c r="L726" s="742">
        <f>Calculs!CH798</f>
        <v>0</v>
      </c>
    </row>
    <row r="727" spans="2:12">
      <c r="B727" s="742">
        <f>Calculs!B799</f>
        <v>0</v>
      </c>
      <c r="C727" s="742">
        <f>Calculs!BY799</f>
        <v>0</v>
      </c>
      <c r="D727" s="742">
        <f>Calculs!BZ799</f>
        <v>0</v>
      </c>
      <c r="E727" s="742">
        <f>Calculs!CA799</f>
        <v>0</v>
      </c>
      <c r="F727" s="742">
        <f>Calculs!CB799</f>
        <v>0</v>
      </c>
      <c r="G727" s="742">
        <f>Calculs!CC799</f>
        <v>0</v>
      </c>
      <c r="H727" s="742"/>
      <c r="I727" s="742">
        <f>Calculs!CE799</f>
        <v>0</v>
      </c>
      <c r="J727" s="742">
        <f>Calculs!CF799</f>
        <v>0</v>
      </c>
      <c r="K727" s="742"/>
      <c r="L727" s="742">
        <f>Calculs!CH799</f>
        <v>0</v>
      </c>
    </row>
    <row r="728" spans="2:12">
      <c r="B728" s="742">
        <f>Calculs!B800</f>
        <v>0</v>
      </c>
      <c r="C728" s="742">
        <f>Calculs!BY800</f>
        <v>0</v>
      </c>
      <c r="D728" s="742">
        <f>Calculs!BZ800</f>
        <v>0</v>
      </c>
      <c r="E728" s="742">
        <f>Calculs!CA800</f>
        <v>0</v>
      </c>
      <c r="F728" s="742">
        <f>Calculs!CB800</f>
        <v>0</v>
      </c>
      <c r="G728" s="742">
        <f>Calculs!CC800</f>
        <v>0</v>
      </c>
      <c r="H728" s="742"/>
      <c r="I728" s="742">
        <f>Calculs!CE800</f>
        <v>0</v>
      </c>
      <c r="J728" s="742">
        <f>Calculs!CF800</f>
        <v>0</v>
      </c>
      <c r="K728" s="742"/>
      <c r="L728" s="742">
        <f>Calculs!CH800</f>
        <v>0</v>
      </c>
    </row>
    <row r="729" spans="2:12">
      <c r="B729" s="742">
        <f>Calculs!B801</f>
        <v>0</v>
      </c>
      <c r="C729" s="742">
        <f>Calculs!BY801</f>
        <v>0</v>
      </c>
      <c r="D729" s="742">
        <f>Calculs!BZ801</f>
        <v>0</v>
      </c>
      <c r="E729" s="742">
        <f>Calculs!CA801</f>
        <v>0</v>
      </c>
      <c r="F729" s="742">
        <f>Calculs!CB801</f>
        <v>0</v>
      </c>
      <c r="G729" s="742">
        <f>Calculs!CC801</f>
        <v>0</v>
      </c>
      <c r="H729" s="742"/>
      <c r="I729" s="742">
        <f>Calculs!CE801</f>
        <v>0</v>
      </c>
      <c r="J729" s="742">
        <f>Calculs!CF801</f>
        <v>0</v>
      </c>
      <c r="K729" s="742"/>
      <c r="L729" s="742">
        <f>Calculs!CH801</f>
        <v>0</v>
      </c>
    </row>
    <row r="730" spans="2:12">
      <c r="B730" s="742">
        <f>Calculs!B802</f>
        <v>0</v>
      </c>
      <c r="C730" s="742">
        <f>Calculs!BY802</f>
        <v>0</v>
      </c>
      <c r="D730" s="742">
        <f>Calculs!BZ802</f>
        <v>0</v>
      </c>
      <c r="E730" s="742">
        <f>Calculs!CA802</f>
        <v>0</v>
      </c>
      <c r="F730" s="742">
        <f>Calculs!CB802</f>
        <v>0</v>
      </c>
      <c r="G730" s="742">
        <f>Calculs!CC802</f>
        <v>0</v>
      </c>
      <c r="H730" s="742"/>
      <c r="I730" s="742">
        <f>Calculs!CE802</f>
        <v>0</v>
      </c>
      <c r="J730" s="742">
        <f>Calculs!CF802</f>
        <v>0</v>
      </c>
      <c r="K730" s="742"/>
      <c r="L730" s="742">
        <f>Calculs!CH802</f>
        <v>0</v>
      </c>
    </row>
    <row r="731" spans="2:12">
      <c r="B731" s="742">
        <f>Calculs!B803</f>
        <v>0</v>
      </c>
      <c r="C731" s="742">
        <f>Calculs!BY803</f>
        <v>0</v>
      </c>
      <c r="D731" s="742">
        <f>Calculs!BZ803</f>
        <v>0</v>
      </c>
      <c r="E731" s="742">
        <f>Calculs!CA803</f>
        <v>0</v>
      </c>
      <c r="F731" s="742">
        <f>Calculs!CB803</f>
        <v>0</v>
      </c>
      <c r="G731" s="742">
        <f>Calculs!CC803</f>
        <v>0</v>
      </c>
      <c r="H731" s="742"/>
      <c r="I731" s="742">
        <f>Calculs!CE803</f>
        <v>0</v>
      </c>
      <c r="J731" s="742">
        <f>Calculs!CF803</f>
        <v>0</v>
      </c>
      <c r="K731" s="742"/>
      <c r="L731" s="742">
        <f>Calculs!CH803</f>
        <v>0</v>
      </c>
    </row>
    <row r="732" spans="2:12">
      <c r="B732" s="742">
        <f>Calculs!B804</f>
        <v>0</v>
      </c>
      <c r="C732" s="742">
        <f>Calculs!BY804</f>
        <v>0</v>
      </c>
      <c r="D732" s="742">
        <f>Calculs!BZ804</f>
        <v>0</v>
      </c>
      <c r="E732" s="742">
        <f>Calculs!CA804</f>
        <v>0</v>
      </c>
      <c r="F732" s="742">
        <f>Calculs!CB804</f>
        <v>0</v>
      </c>
      <c r="G732" s="742">
        <f>Calculs!CC804</f>
        <v>0</v>
      </c>
      <c r="H732" s="742"/>
      <c r="I732" s="742">
        <f>Calculs!CE804</f>
        <v>0</v>
      </c>
      <c r="J732" s="742">
        <f>Calculs!CF804</f>
        <v>0</v>
      </c>
      <c r="K732" s="742"/>
      <c r="L732" s="742">
        <f>Calculs!CH804</f>
        <v>0</v>
      </c>
    </row>
    <row r="733" spans="2:12">
      <c r="B733" s="742">
        <f>Calculs!B805</f>
        <v>0</v>
      </c>
      <c r="C733" s="742">
        <f>Calculs!BY805</f>
        <v>0</v>
      </c>
      <c r="D733" s="742">
        <f>Calculs!BZ805</f>
        <v>0</v>
      </c>
      <c r="E733" s="742">
        <f>Calculs!CA805</f>
        <v>0</v>
      </c>
      <c r="F733" s="742">
        <f>Calculs!CB805</f>
        <v>0</v>
      </c>
      <c r="G733" s="742">
        <f>Calculs!CC805</f>
        <v>0</v>
      </c>
      <c r="H733" s="742"/>
      <c r="I733" s="742">
        <f>Calculs!CE805</f>
        <v>0</v>
      </c>
      <c r="J733" s="742">
        <f>Calculs!CF805</f>
        <v>0</v>
      </c>
      <c r="K733" s="742"/>
      <c r="L733" s="742">
        <f>Calculs!CH805</f>
        <v>0</v>
      </c>
    </row>
    <row r="734" spans="2:12">
      <c r="B734" s="742">
        <f>Calculs!B806</f>
        <v>0</v>
      </c>
      <c r="C734" s="742">
        <f>Calculs!BY806</f>
        <v>0</v>
      </c>
      <c r="D734" s="742">
        <f>Calculs!BZ806</f>
        <v>0</v>
      </c>
      <c r="E734" s="742">
        <f>Calculs!CA806</f>
        <v>0</v>
      </c>
      <c r="F734" s="742">
        <f>Calculs!CB806</f>
        <v>0</v>
      </c>
      <c r="G734" s="742">
        <f>Calculs!CC806</f>
        <v>0</v>
      </c>
      <c r="H734" s="742"/>
      <c r="I734" s="742">
        <f>Calculs!CE806</f>
        <v>0</v>
      </c>
      <c r="J734" s="742">
        <f>Calculs!CF806</f>
        <v>0</v>
      </c>
      <c r="K734" s="742"/>
      <c r="L734" s="742">
        <f>Calculs!CH806</f>
        <v>0</v>
      </c>
    </row>
    <row r="735" spans="2:12">
      <c r="B735" s="742">
        <f>Calculs!B807</f>
        <v>0</v>
      </c>
      <c r="C735" s="742">
        <f>Calculs!BY807</f>
        <v>0</v>
      </c>
      <c r="D735" s="742">
        <f>Calculs!BZ807</f>
        <v>0</v>
      </c>
      <c r="E735" s="742">
        <f>Calculs!CA807</f>
        <v>0</v>
      </c>
      <c r="F735" s="742">
        <f>Calculs!CB807</f>
        <v>0</v>
      </c>
      <c r="G735" s="742">
        <f>Calculs!CC807</f>
        <v>0</v>
      </c>
      <c r="H735" s="742"/>
      <c r="I735" s="742">
        <f>Calculs!CE807</f>
        <v>0</v>
      </c>
      <c r="J735" s="742">
        <f>Calculs!CF807</f>
        <v>0</v>
      </c>
      <c r="K735" s="742"/>
      <c r="L735" s="742">
        <f>Calculs!CH807</f>
        <v>0</v>
      </c>
    </row>
    <row r="736" spans="2:12">
      <c r="B736" s="742">
        <f>Calculs!B808</f>
        <v>0</v>
      </c>
      <c r="C736" s="742">
        <f>Calculs!BY808</f>
        <v>0</v>
      </c>
      <c r="D736" s="742">
        <f>Calculs!BZ808</f>
        <v>0</v>
      </c>
      <c r="E736" s="742">
        <f>Calculs!CA808</f>
        <v>0</v>
      </c>
      <c r="F736" s="742">
        <f>Calculs!CB808</f>
        <v>0</v>
      </c>
      <c r="G736" s="742">
        <f>Calculs!CC808</f>
        <v>0</v>
      </c>
      <c r="H736" s="742"/>
      <c r="I736" s="742">
        <f>Calculs!CE808</f>
        <v>0</v>
      </c>
      <c r="J736" s="742">
        <f>Calculs!CF808</f>
        <v>0</v>
      </c>
      <c r="K736" s="742"/>
      <c r="L736" s="742">
        <f>Calculs!CH808</f>
        <v>0</v>
      </c>
    </row>
    <row r="737" spans="2:12">
      <c r="B737" s="742">
        <f>Calculs!B809</f>
        <v>0</v>
      </c>
      <c r="C737" s="742">
        <f>Calculs!BY809</f>
        <v>0</v>
      </c>
      <c r="D737" s="742">
        <f>Calculs!BZ809</f>
        <v>0</v>
      </c>
      <c r="E737" s="742">
        <f>Calculs!CA809</f>
        <v>0</v>
      </c>
      <c r="F737" s="742">
        <f>Calculs!CB809</f>
        <v>0</v>
      </c>
      <c r="G737" s="742">
        <f>Calculs!CC809</f>
        <v>0</v>
      </c>
      <c r="H737" s="742"/>
      <c r="I737" s="742">
        <f>Calculs!CE809</f>
        <v>0</v>
      </c>
      <c r="J737" s="742">
        <f>Calculs!CF809</f>
        <v>0</v>
      </c>
      <c r="K737" s="742"/>
      <c r="L737" s="742">
        <f>Calculs!CH809</f>
        <v>0</v>
      </c>
    </row>
    <row r="738" spans="2:12">
      <c r="B738" s="742">
        <f>Calculs!B810</f>
        <v>0</v>
      </c>
      <c r="C738" s="742">
        <f>Calculs!BY810</f>
        <v>0</v>
      </c>
      <c r="D738" s="742">
        <f>Calculs!BZ810</f>
        <v>0</v>
      </c>
      <c r="E738" s="742">
        <f>Calculs!CA810</f>
        <v>0</v>
      </c>
      <c r="F738" s="742">
        <f>Calculs!CB810</f>
        <v>0</v>
      </c>
      <c r="G738" s="742">
        <f>Calculs!CC810</f>
        <v>0</v>
      </c>
      <c r="H738" s="742"/>
      <c r="I738" s="742">
        <f>Calculs!CE810</f>
        <v>0</v>
      </c>
      <c r="J738" s="742">
        <f>Calculs!CF810</f>
        <v>0</v>
      </c>
      <c r="K738" s="742"/>
      <c r="L738" s="742">
        <f>Calculs!CH810</f>
        <v>0</v>
      </c>
    </row>
    <row r="739" spans="2:12">
      <c r="B739" s="742">
        <f>Calculs!B811</f>
        <v>0</v>
      </c>
      <c r="C739" s="742">
        <f>Calculs!BY811</f>
        <v>0</v>
      </c>
      <c r="D739" s="742">
        <f>Calculs!BZ811</f>
        <v>0</v>
      </c>
      <c r="E739" s="742">
        <f>Calculs!CA811</f>
        <v>0</v>
      </c>
      <c r="F739" s="742">
        <f>Calculs!CB811</f>
        <v>0</v>
      </c>
      <c r="G739" s="742">
        <f>Calculs!CC811</f>
        <v>0</v>
      </c>
      <c r="H739" s="742"/>
      <c r="I739" s="742">
        <f>Calculs!CE811</f>
        <v>0</v>
      </c>
      <c r="J739" s="742">
        <f>Calculs!CF811</f>
        <v>0</v>
      </c>
      <c r="K739" s="742"/>
      <c r="L739" s="742">
        <f>Calculs!CH811</f>
        <v>0</v>
      </c>
    </row>
    <row r="740" spans="2:12">
      <c r="B740" s="742">
        <f>Calculs!B812</f>
        <v>0</v>
      </c>
      <c r="C740" s="742">
        <f>Calculs!BY812</f>
        <v>0</v>
      </c>
      <c r="D740" s="742">
        <f>Calculs!BZ812</f>
        <v>0</v>
      </c>
      <c r="E740" s="742">
        <f>Calculs!CA812</f>
        <v>0</v>
      </c>
      <c r="F740" s="742">
        <f>Calculs!CB812</f>
        <v>0</v>
      </c>
      <c r="G740" s="742">
        <f>Calculs!CC812</f>
        <v>0</v>
      </c>
      <c r="H740" s="742"/>
      <c r="I740" s="742">
        <f>Calculs!CE812</f>
        <v>0</v>
      </c>
      <c r="J740" s="742">
        <f>Calculs!CF812</f>
        <v>0</v>
      </c>
      <c r="K740" s="742"/>
      <c r="L740" s="742">
        <f>Calculs!CH812</f>
        <v>0</v>
      </c>
    </row>
    <row r="741" spans="2:12">
      <c r="B741" s="742">
        <f>Calculs!B813</f>
        <v>0</v>
      </c>
      <c r="C741" s="742">
        <f>Calculs!BY813</f>
        <v>0</v>
      </c>
      <c r="D741" s="742">
        <f>Calculs!BZ813</f>
        <v>0</v>
      </c>
      <c r="E741" s="742">
        <f>Calculs!CA813</f>
        <v>0</v>
      </c>
      <c r="F741" s="742">
        <f>Calculs!CB813</f>
        <v>0</v>
      </c>
      <c r="G741" s="742">
        <f>Calculs!CC813</f>
        <v>0</v>
      </c>
      <c r="H741" s="742"/>
      <c r="I741" s="742">
        <f>Calculs!CE813</f>
        <v>0</v>
      </c>
      <c r="J741" s="742">
        <f>Calculs!CF813</f>
        <v>0</v>
      </c>
      <c r="K741" s="742"/>
      <c r="L741" s="742">
        <f>Calculs!CH813</f>
        <v>0</v>
      </c>
    </row>
    <row r="742" spans="2:12">
      <c r="B742" s="742">
        <f>Calculs!B814</f>
        <v>0</v>
      </c>
      <c r="C742" s="742">
        <f>Calculs!BY814</f>
        <v>0</v>
      </c>
      <c r="D742" s="742">
        <f>Calculs!BZ814</f>
        <v>0</v>
      </c>
      <c r="E742" s="742">
        <f>Calculs!CA814</f>
        <v>0</v>
      </c>
      <c r="F742" s="742">
        <f>Calculs!CB814</f>
        <v>0</v>
      </c>
      <c r="G742" s="742">
        <f>Calculs!CC814</f>
        <v>0</v>
      </c>
      <c r="H742" s="742"/>
      <c r="I742" s="742">
        <f>Calculs!CE814</f>
        <v>0</v>
      </c>
      <c r="J742" s="742">
        <f>Calculs!CF814</f>
        <v>0</v>
      </c>
      <c r="K742" s="742"/>
      <c r="L742" s="742">
        <f>Calculs!CH814</f>
        <v>0</v>
      </c>
    </row>
    <row r="743" spans="2:12">
      <c r="B743" s="742">
        <f>Calculs!B815</f>
        <v>0</v>
      </c>
      <c r="C743" s="742">
        <f>Calculs!BY815</f>
        <v>0</v>
      </c>
      <c r="D743" s="742">
        <f>Calculs!BZ815</f>
        <v>0</v>
      </c>
      <c r="E743" s="742">
        <f>Calculs!CA815</f>
        <v>0</v>
      </c>
      <c r="F743" s="742">
        <f>Calculs!CB815</f>
        <v>0</v>
      </c>
      <c r="G743" s="742">
        <f>Calculs!CC815</f>
        <v>0</v>
      </c>
      <c r="H743" s="742"/>
      <c r="I743" s="742">
        <f>Calculs!CE815</f>
        <v>0</v>
      </c>
      <c r="J743" s="742">
        <f>Calculs!CF815</f>
        <v>0</v>
      </c>
      <c r="K743" s="742"/>
      <c r="L743" s="742">
        <f>Calculs!CH815</f>
        <v>0</v>
      </c>
    </row>
    <row r="744" spans="2:12">
      <c r="B744" s="742">
        <f>Calculs!B816</f>
        <v>0</v>
      </c>
      <c r="C744" s="742">
        <f>Calculs!BY816</f>
        <v>0</v>
      </c>
      <c r="D744" s="742">
        <f>Calculs!BZ816</f>
        <v>0</v>
      </c>
      <c r="E744" s="742">
        <f>Calculs!CA816</f>
        <v>0</v>
      </c>
      <c r="F744" s="742">
        <f>Calculs!CB816</f>
        <v>0</v>
      </c>
      <c r="G744" s="742">
        <f>Calculs!CC816</f>
        <v>0</v>
      </c>
      <c r="H744" s="742"/>
      <c r="I744" s="742">
        <f>Calculs!CE816</f>
        <v>0</v>
      </c>
      <c r="J744" s="742">
        <f>Calculs!CF816</f>
        <v>0</v>
      </c>
      <c r="K744" s="742"/>
      <c r="L744" s="742">
        <f>Calculs!CH816</f>
        <v>0</v>
      </c>
    </row>
    <row r="745" spans="2:12">
      <c r="B745" s="742">
        <f>Calculs!B817</f>
        <v>0</v>
      </c>
      <c r="C745" s="742">
        <f>Calculs!BY817</f>
        <v>0</v>
      </c>
      <c r="D745" s="742">
        <f>Calculs!BZ817</f>
        <v>0</v>
      </c>
      <c r="E745" s="742">
        <f>Calculs!CA817</f>
        <v>0</v>
      </c>
      <c r="F745" s="742">
        <f>Calculs!CB817</f>
        <v>0</v>
      </c>
      <c r="G745" s="742">
        <f>Calculs!CC817</f>
        <v>0</v>
      </c>
      <c r="H745" s="742"/>
      <c r="I745" s="742">
        <f>Calculs!CE817</f>
        <v>0</v>
      </c>
      <c r="J745" s="742">
        <f>Calculs!CF817</f>
        <v>0</v>
      </c>
      <c r="K745" s="742"/>
      <c r="L745" s="742">
        <f>Calculs!CH817</f>
        <v>0</v>
      </c>
    </row>
    <row r="746" spans="2:12">
      <c r="B746" s="742">
        <f>Calculs!B818</f>
        <v>0</v>
      </c>
      <c r="C746" s="742">
        <f>Calculs!BY818</f>
        <v>0</v>
      </c>
      <c r="D746" s="742">
        <f>Calculs!BZ818</f>
        <v>0</v>
      </c>
      <c r="E746" s="742">
        <f>Calculs!CA818</f>
        <v>0</v>
      </c>
      <c r="F746" s="742">
        <f>Calculs!CB818</f>
        <v>0</v>
      </c>
      <c r="G746" s="742">
        <f>Calculs!CC818</f>
        <v>0</v>
      </c>
      <c r="H746" s="742"/>
      <c r="I746" s="742">
        <f>Calculs!CE818</f>
        <v>0</v>
      </c>
      <c r="J746" s="742">
        <f>Calculs!CF818</f>
        <v>0</v>
      </c>
      <c r="K746" s="742"/>
      <c r="L746" s="742">
        <f>Calculs!CH818</f>
        <v>0</v>
      </c>
    </row>
    <row r="747" spans="2:12">
      <c r="B747" s="742">
        <f>Calculs!B819</f>
        <v>0</v>
      </c>
      <c r="C747" s="742">
        <f>Calculs!BY819</f>
        <v>0</v>
      </c>
      <c r="D747" s="742">
        <f>Calculs!BZ819</f>
        <v>0</v>
      </c>
      <c r="E747" s="742">
        <f>Calculs!CA819</f>
        <v>0</v>
      </c>
      <c r="F747" s="742">
        <f>Calculs!CB819</f>
        <v>0</v>
      </c>
      <c r="G747" s="742">
        <f>Calculs!CC819</f>
        <v>0</v>
      </c>
      <c r="H747" s="742"/>
      <c r="I747" s="742">
        <f>Calculs!CE819</f>
        <v>0</v>
      </c>
      <c r="J747" s="742">
        <f>Calculs!CF819</f>
        <v>0</v>
      </c>
      <c r="K747" s="742"/>
      <c r="L747" s="742">
        <f>Calculs!CH819</f>
        <v>0</v>
      </c>
    </row>
    <row r="748" spans="2:12">
      <c r="B748" s="742">
        <f>Calculs!B820</f>
        <v>0</v>
      </c>
      <c r="C748" s="742">
        <f>Calculs!BY820</f>
        <v>0</v>
      </c>
      <c r="D748" s="742">
        <f>Calculs!BZ820</f>
        <v>0</v>
      </c>
      <c r="E748" s="742">
        <f>Calculs!CA820</f>
        <v>0</v>
      </c>
      <c r="F748" s="742">
        <f>Calculs!CB820</f>
        <v>0</v>
      </c>
      <c r="G748" s="742">
        <f>Calculs!CC820</f>
        <v>0</v>
      </c>
      <c r="H748" s="742"/>
      <c r="I748" s="742">
        <f>Calculs!CE820</f>
        <v>0</v>
      </c>
      <c r="J748" s="742">
        <f>Calculs!CF820</f>
        <v>0</v>
      </c>
      <c r="K748" s="742"/>
      <c r="L748" s="742">
        <f>Calculs!CH820</f>
        <v>0</v>
      </c>
    </row>
    <row r="749" spans="2:12">
      <c r="B749" s="742">
        <f>Calculs!B821</f>
        <v>0</v>
      </c>
      <c r="C749" s="742">
        <f>Calculs!BY821</f>
        <v>0</v>
      </c>
      <c r="D749" s="742">
        <f>Calculs!BZ821</f>
        <v>0</v>
      </c>
      <c r="E749" s="742">
        <f>Calculs!CA821</f>
        <v>0</v>
      </c>
      <c r="F749" s="742">
        <f>Calculs!CB821</f>
        <v>0</v>
      </c>
      <c r="G749" s="742">
        <f>Calculs!CC821</f>
        <v>0</v>
      </c>
      <c r="H749" s="742"/>
      <c r="I749" s="742">
        <f>Calculs!CE821</f>
        <v>0</v>
      </c>
      <c r="J749" s="742">
        <f>Calculs!CF821</f>
        <v>0</v>
      </c>
      <c r="K749" s="742"/>
      <c r="L749" s="742">
        <f>Calculs!CH821</f>
        <v>0</v>
      </c>
    </row>
    <row r="750" spans="2:12">
      <c r="B750" s="742">
        <f>Calculs!B822</f>
        <v>0</v>
      </c>
      <c r="C750" s="742">
        <f>Calculs!BY822</f>
        <v>0</v>
      </c>
      <c r="D750" s="742">
        <f>Calculs!BZ822</f>
        <v>0</v>
      </c>
      <c r="E750" s="742">
        <f>Calculs!CA822</f>
        <v>0</v>
      </c>
      <c r="F750" s="742">
        <f>Calculs!CB822</f>
        <v>0</v>
      </c>
      <c r="G750" s="742">
        <f>Calculs!CC822</f>
        <v>0</v>
      </c>
      <c r="H750" s="742"/>
      <c r="I750" s="742">
        <f>Calculs!CE822</f>
        <v>0</v>
      </c>
      <c r="J750" s="742">
        <f>Calculs!CF822</f>
        <v>0</v>
      </c>
      <c r="K750" s="742"/>
      <c r="L750" s="742">
        <f>Calculs!CH822</f>
        <v>0</v>
      </c>
    </row>
    <row r="751" spans="2:12">
      <c r="B751" s="742">
        <f>Calculs!B823</f>
        <v>0</v>
      </c>
      <c r="C751" s="742">
        <f>Calculs!BY823</f>
        <v>0</v>
      </c>
      <c r="D751" s="742">
        <f>Calculs!BZ823</f>
        <v>0</v>
      </c>
      <c r="E751" s="742">
        <f>Calculs!CA823</f>
        <v>0</v>
      </c>
      <c r="F751" s="742">
        <f>Calculs!CB823</f>
        <v>0</v>
      </c>
      <c r="G751" s="742">
        <f>Calculs!CC823</f>
        <v>0</v>
      </c>
      <c r="H751" s="742"/>
      <c r="I751" s="742">
        <f>Calculs!CE823</f>
        <v>0</v>
      </c>
      <c r="J751" s="742">
        <f>Calculs!CF823</f>
        <v>0</v>
      </c>
      <c r="K751" s="742"/>
      <c r="L751" s="742">
        <f>Calculs!CH823</f>
        <v>0</v>
      </c>
    </row>
    <row r="752" spans="2:12">
      <c r="B752" s="742">
        <f>Calculs!B824</f>
        <v>0</v>
      </c>
      <c r="C752" s="742">
        <f>Calculs!BY824</f>
        <v>0</v>
      </c>
      <c r="D752" s="742">
        <f>Calculs!BZ824</f>
        <v>0</v>
      </c>
      <c r="E752" s="742">
        <f>Calculs!CA824</f>
        <v>0</v>
      </c>
      <c r="F752" s="742">
        <f>Calculs!CB824</f>
        <v>0</v>
      </c>
      <c r="G752" s="742">
        <f>Calculs!CC824</f>
        <v>0</v>
      </c>
      <c r="H752" s="742"/>
      <c r="I752" s="742">
        <f>Calculs!CE824</f>
        <v>0</v>
      </c>
      <c r="J752" s="742">
        <f>Calculs!CF824</f>
        <v>0</v>
      </c>
      <c r="K752" s="742"/>
      <c r="L752" s="742">
        <f>Calculs!CH824</f>
        <v>0</v>
      </c>
    </row>
    <row r="753" spans="2:12">
      <c r="B753" s="742">
        <f>Calculs!B825</f>
        <v>0</v>
      </c>
      <c r="C753" s="742">
        <f>Calculs!BY825</f>
        <v>0</v>
      </c>
      <c r="D753" s="742">
        <f>Calculs!BZ825</f>
        <v>0</v>
      </c>
      <c r="E753" s="742">
        <f>Calculs!CA825</f>
        <v>0</v>
      </c>
      <c r="F753" s="742">
        <f>Calculs!CB825</f>
        <v>0</v>
      </c>
      <c r="G753" s="742">
        <f>Calculs!CC825</f>
        <v>0</v>
      </c>
      <c r="H753" s="742"/>
      <c r="I753" s="742">
        <f>Calculs!CE825</f>
        <v>0</v>
      </c>
      <c r="J753" s="742">
        <f>Calculs!CF825</f>
        <v>0</v>
      </c>
      <c r="K753" s="742"/>
      <c r="L753" s="742">
        <f>Calculs!CH825</f>
        <v>0</v>
      </c>
    </row>
    <row r="754" spans="2:12">
      <c r="B754" s="742">
        <f>Calculs!B826</f>
        <v>0</v>
      </c>
      <c r="C754" s="742">
        <f>Calculs!BY826</f>
        <v>0</v>
      </c>
      <c r="D754" s="742">
        <f>Calculs!BZ826</f>
        <v>0</v>
      </c>
      <c r="E754" s="742">
        <f>Calculs!CA826</f>
        <v>0</v>
      </c>
      <c r="F754" s="742">
        <f>Calculs!CB826</f>
        <v>0</v>
      </c>
      <c r="G754" s="742">
        <f>Calculs!CC826</f>
        <v>0</v>
      </c>
      <c r="H754" s="742"/>
      <c r="I754" s="742">
        <f>Calculs!CE826</f>
        <v>0</v>
      </c>
      <c r="J754" s="742">
        <f>Calculs!CF826</f>
        <v>0</v>
      </c>
      <c r="K754" s="742"/>
      <c r="L754" s="742">
        <f>Calculs!CH826</f>
        <v>0</v>
      </c>
    </row>
    <row r="755" spans="2:12">
      <c r="B755" s="742">
        <f>Calculs!B827</f>
        <v>0</v>
      </c>
      <c r="C755" s="742">
        <f>Calculs!BY827</f>
        <v>0</v>
      </c>
      <c r="D755" s="742">
        <f>Calculs!BZ827</f>
        <v>0</v>
      </c>
      <c r="E755" s="742">
        <f>Calculs!CA827</f>
        <v>0</v>
      </c>
      <c r="F755" s="742">
        <f>Calculs!CB827</f>
        <v>0</v>
      </c>
      <c r="G755" s="742">
        <f>Calculs!CC827</f>
        <v>0</v>
      </c>
      <c r="H755" s="742"/>
      <c r="I755" s="742">
        <f>Calculs!CE827</f>
        <v>0</v>
      </c>
      <c r="J755" s="742">
        <f>Calculs!CF827</f>
        <v>0</v>
      </c>
      <c r="K755" s="742"/>
      <c r="L755" s="742">
        <f>Calculs!CH827</f>
        <v>0</v>
      </c>
    </row>
    <row r="756" spans="2:12">
      <c r="B756" s="742">
        <f>Calculs!B828</f>
        <v>0</v>
      </c>
      <c r="C756" s="742">
        <f>Calculs!BY828</f>
        <v>0</v>
      </c>
      <c r="D756" s="742">
        <f>Calculs!BZ828</f>
        <v>0</v>
      </c>
      <c r="E756" s="742">
        <f>Calculs!CA828</f>
        <v>0</v>
      </c>
      <c r="F756" s="742">
        <f>Calculs!CB828</f>
        <v>0</v>
      </c>
      <c r="G756" s="742">
        <f>Calculs!CC828</f>
        <v>0</v>
      </c>
      <c r="H756" s="742"/>
      <c r="I756" s="742">
        <f>Calculs!CE828</f>
        <v>0</v>
      </c>
      <c r="J756" s="742">
        <f>Calculs!CF828</f>
        <v>0</v>
      </c>
      <c r="K756" s="742"/>
      <c r="L756" s="742">
        <f>Calculs!CH828</f>
        <v>0</v>
      </c>
    </row>
    <row r="757" spans="2:12">
      <c r="B757" s="742">
        <f>Calculs!B829</f>
        <v>0</v>
      </c>
      <c r="C757" s="742">
        <f>Calculs!BY829</f>
        <v>0</v>
      </c>
      <c r="D757" s="742">
        <f>Calculs!BZ829</f>
        <v>0</v>
      </c>
      <c r="E757" s="742">
        <f>Calculs!CA829</f>
        <v>0</v>
      </c>
      <c r="F757" s="742">
        <f>Calculs!CB829</f>
        <v>0</v>
      </c>
      <c r="G757" s="742">
        <f>Calculs!CC829</f>
        <v>0</v>
      </c>
      <c r="H757" s="742"/>
      <c r="I757" s="742">
        <f>Calculs!CE829</f>
        <v>0</v>
      </c>
      <c r="J757" s="742">
        <f>Calculs!CF829</f>
        <v>0</v>
      </c>
      <c r="K757" s="742"/>
      <c r="L757" s="742">
        <f>Calculs!CH829</f>
        <v>0</v>
      </c>
    </row>
    <row r="758" spans="2:12">
      <c r="B758" s="742">
        <f>Calculs!B830</f>
        <v>0</v>
      </c>
      <c r="C758" s="742">
        <f>Calculs!BY830</f>
        <v>0</v>
      </c>
      <c r="D758" s="742">
        <f>Calculs!BZ830</f>
        <v>0</v>
      </c>
      <c r="E758" s="742">
        <f>Calculs!CA830</f>
        <v>0</v>
      </c>
      <c r="F758" s="742">
        <f>Calculs!CB830</f>
        <v>0</v>
      </c>
      <c r="G758" s="742">
        <f>Calculs!CC830</f>
        <v>0</v>
      </c>
      <c r="H758" s="742"/>
      <c r="I758" s="742">
        <f>Calculs!CE830</f>
        <v>0</v>
      </c>
      <c r="J758" s="742">
        <f>Calculs!CF830</f>
        <v>0</v>
      </c>
      <c r="K758" s="742"/>
      <c r="L758" s="742">
        <f>Calculs!CH830</f>
        <v>0</v>
      </c>
    </row>
    <row r="759" spans="2:12">
      <c r="B759" s="742">
        <f>Calculs!B831</f>
        <v>0</v>
      </c>
      <c r="C759" s="742">
        <f>Calculs!BY831</f>
        <v>0</v>
      </c>
      <c r="D759" s="742">
        <f>Calculs!BZ831</f>
        <v>0</v>
      </c>
      <c r="E759" s="742">
        <f>Calculs!CA831</f>
        <v>0</v>
      </c>
      <c r="F759" s="742">
        <f>Calculs!CB831</f>
        <v>0</v>
      </c>
      <c r="G759" s="742">
        <f>Calculs!CC831</f>
        <v>0</v>
      </c>
      <c r="H759" s="742"/>
      <c r="I759" s="742">
        <f>Calculs!CE831</f>
        <v>0</v>
      </c>
      <c r="J759" s="742">
        <f>Calculs!CF831</f>
        <v>0</v>
      </c>
      <c r="K759" s="742"/>
      <c r="L759" s="742">
        <f>Calculs!CH831</f>
        <v>0</v>
      </c>
    </row>
    <row r="760" spans="2:12">
      <c r="B760" s="742">
        <f>Calculs!B832</f>
        <v>0</v>
      </c>
      <c r="C760" s="742">
        <f>Calculs!BY832</f>
        <v>0</v>
      </c>
      <c r="D760" s="742">
        <f>Calculs!BZ832</f>
        <v>0</v>
      </c>
      <c r="E760" s="742">
        <f>Calculs!CA832</f>
        <v>0</v>
      </c>
      <c r="F760" s="742">
        <f>Calculs!CB832</f>
        <v>0</v>
      </c>
      <c r="G760" s="742">
        <f>Calculs!CC832</f>
        <v>0</v>
      </c>
      <c r="H760" s="742"/>
      <c r="I760" s="742">
        <f>Calculs!CE832</f>
        <v>0</v>
      </c>
      <c r="J760" s="742">
        <f>Calculs!CF832</f>
        <v>0</v>
      </c>
      <c r="K760" s="742"/>
      <c r="L760" s="742">
        <f>Calculs!CH832</f>
        <v>0</v>
      </c>
    </row>
    <row r="761" spans="2:12">
      <c r="B761" s="742">
        <f>Calculs!B833</f>
        <v>0</v>
      </c>
      <c r="C761" s="742">
        <f>Calculs!BY833</f>
        <v>0</v>
      </c>
      <c r="D761" s="742">
        <f>Calculs!BZ833</f>
        <v>0</v>
      </c>
      <c r="E761" s="742">
        <f>Calculs!CA833</f>
        <v>0</v>
      </c>
      <c r="F761" s="742">
        <f>Calculs!CB833</f>
        <v>0</v>
      </c>
      <c r="G761" s="742">
        <f>Calculs!CC833</f>
        <v>0</v>
      </c>
      <c r="H761" s="742"/>
      <c r="I761" s="742">
        <f>Calculs!CE833</f>
        <v>0</v>
      </c>
      <c r="J761" s="742">
        <f>Calculs!CF833</f>
        <v>0</v>
      </c>
      <c r="K761" s="742"/>
      <c r="L761" s="742">
        <f>Calculs!CH833</f>
        <v>0</v>
      </c>
    </row>
    <row r="762" spans="2:12">
      <c r="B762" s="742">
        <f>Calculs!B834</f>
        <v>0</v>
      </c>
      <c r="C762" s="742">
        <f>Calculs!BY834</f>
        <v>0</v>
      </c>
      <c r="D762" s="742">
        <f>Calculs!BZ834</f>
        <v>0</v>
      </c>
      <c r="E762" s="742">
        <f>Calculs!CA834</f>
        <v>0</v>
      </c>
      <c r="F762" s="742">
        <f>Calculs!CB834</f>
        <v>0</v>
      </c>
      <c r="G762" s="742">
        <f>Calculs!CC834</f>
        <v>0</v>
      </c>
      <c r="H762" s="742"/>
      <c r="I762" s="742">
        <f>Calculs!CE834</f>
        <v>0</v>
      </c>
      <c r="J762" s="742">
        <f>Calculs!CF834</f>
        <v>0</v>
      </c>
      <c r="K762" s="742"/>
      <c r="L762" s="742">
        <f>Calculs!CH834</f>
        <v>0</v>
      </c>
    </row>
    <row r="763" spans="2:12">
      <c r="B763" s="742">
        <f>Calculs!B835</f>
        <v>0</v>
      </c>
      <c r="C763" s="742">
        <f>Calculs!BY835</f>
        <v>0</v>
      </c>
      <c r="D763" s="742">
        <f>Calculs!BZ835</f>
        <v>0</v>
      </c>
      <c r="E763" s="742">
        <f>Calculs!CA835</f>
        <v>0</v>
      </c>
      <c r="F763" s="742">
        <f>Calculs!CB835</f>
        <v>0</v>
      </c>
      <c r="G763" s="742">
        <f>Calculs!CC835</f>
        <v>0</v>
      </c>
      <c r="H763" s="742"/>
      <c r="I763" s="742">
        <f>Calculs!CE835</f>
        <v>0</v>
      </c>
      <c r="J763" s="742">
        <f>Calculs!CF835</f>
        <v>0</v>
      </c>
      <c r="K763" s="742"/>
      <c r="L763" s="742">
        <f>Calculs!CH835</f>
        <v>0</v>
      </c>
    </row>
    <row r="764" spans="2:12">
      <c r="B764" s="742">
        <f>Calculs!B836</f>
        <v>0</v>
      </c>
      <c r="C764" s="742">
        <f>Calculs!BY836</f>
        <v>0</v>
      </c>
      <c r="D764" s="742">
        <f>Calculs!BZ836</f>
        <v>0</v>
      </c>
      <c r="E764" s="742">
        <f>Calculs!CA836</f>
        <v>0</v>
      </c>
      <c r="F764" s="742">
        <f>Calculs!CB836</f>
        <v>0</v>
      </c>
      <c r="G764" s="742">
        <f>Calculs!CC836</f>
        <v>0</v>
      </c>
      <c r="H764" s="742"/>
      <c r="I764" s="742">
        <f>Calculs!CE836</f>
        <v>0</v>
      </c>
      <c r="J764" s="742">
        <f>Calculs!CF836</f>
        <v>0</v>
      </c>
      <c r="K764" s="742"/>
      <c r="L764" s="742">
        <f>Calculs!CH836</f>
        <v>0</v>
      </c>
    </row>
    <row r="765" spans="2:12">
      <c r="B765" s="742">
        <f>Calculs!B837</f>
        <v>0</v>
      </c>
      <c r="C765" s="742">
        <f>Calculs!BY837</f>
        <v>0</v>
      </c>
      <c r="D765" s="742">
        <f>Calculs!BZ837</f>
        <v>0</v>
      </c>
      <c r="E765" s="742">
        <f>Calculs!CA837</f>
        <v>0</v>
      </c>
      <c r="F765" s="742">
        <f>Calculs!CB837</f>
        <v>0</v>
      </c>
      <c r="G765" s="742">
        <f>Calculs!CC837</f>
        <v>0</v>
      </c>
      <c r="H765" s="742"/>
      <c r="I765" s="742">
        <f>Calculs!CE837</f>
        <v>0</v>
      </c>
      <c r="J765" s="742">
        <f>Calculs!CF837</f>
        <v>0</v>
      </c>
      <c r="K765" s="742"/>
      <c r="L765" s="742">
        <f>Calculs!CH837</f>
        <v>0</v>
      </c>
    </row>
    <row r="766" spans="2:12">
      <c r="B766" s="742">
        <f>Calculs!B838</f>
        <v>0</v>
      </c>
      <c r="C766" s="742">
        <f>Calculs!BY838</f>
        <v>0</v>
      </c>
      <c r="D766" s="742">
        <f>Calculs!BZ838</f>
        <v>0</v>
      </c>
      <c r="E766" s="742">
        <f>Calculs!CA838</f>
        <v>0</v>
      </c>
      <c r="F766" s="742">
        <f>Calculs!CB838</f>
        <v>0</v>
      </c>
      <c r="G766" s="742">
        <f>Calculs!CC838</f>
        <v>0</v>
      </c>
      <c r="H766" s="742"/>
      <c r="I766" s="742">
        <f>Calculs!CE838</f>
        <v>0</v>
      </c>
      <c r="J766" s="742">
        <f>Calculs!CF838</f>
        <v>0</v>
      </c>
      <c r="K766" s="742"/>
      <c r="L766" s="742">
        <f>Calculs!CH838</f>
        <v>0</v>
      </c>
    </row>
    <row r="767" spans="2:12">
      <c r="B767" s="742">
        <f>Calculs!B839</f>
        <v>0</v>
      </c>
      <c r="C767" s="742">
        <f>Calculs!BY839</f>
        <v>0</v>
      </c>
      <c r="D767" s="742">
        <f>Calculs!BZ839</f>
        <v>0</v>
      </c>
      <c r="E767" s="742">
        <f>Calculs!CA839</f>
        <v>0</v>
      </c>
      <c r="F767" s="742">
        <f>Calculs!CB839</f>
        <v>0</v>
      </c>
      <c r="G767" s="742">
        <f>Calculs!CC839</f>
        <v>0</v>
      </c>
      <c r="H767" s="742"/>
      <c r="I767" s="742">
        <f>Calculs!CE839</f>
        <v>0</v>
      </c>
      <c r="J767" s="742">
        <f>Calculs!CF839</f>
        <v>0</v>
      </c>
      <c r="K767" s="742"/>
      <c r="L767" s="742">
        <f>Calculs!CH839</f>
        <v>0</v>
      </c>
    </row>
    <row r="768" spans="2:12">
      <c r="B768" s="742">
        <f>Calculs!B840</f>
        <v>0</v>
      </c>
      <c r="C768" s="742">
        <f>Calculs!BY840</f>
        <v>0</v>
      </c>
      <c r="D768" s="742">
        <f>Calculs!BZ840</f>
        <v>0</v>
      </c>
      <c r="E768" s="742">
        <f>Calculs!CA840</f>
        <v>0</v>
      </c>
      <c r="F768" s="742">
        <f>Calculs!CB840</f>
        <v>0</v>
      </c>
      <c r="G768" s="742">
        <f>Calculs!CC840</f>
        <v>0</v>
      </c>
      <c r="H768" s="742"/>
      <c r="I768" s="742">
        <f>Calculs!CE840</f>
        <v>0</v>
      </c>
      <c r="J768" s="742">
        <f>Calculs!CF840</f>
        <v>0</v>
      </c>
      <c r="K768" s="742"/>
      <c r="L768" s="742">
        <f>Calculs!CH840</f>
        <v>0</v>
      </c>
    </row>
    <row r="769" spans="2:12">
      <c r="B769" s="742">
        <f>Calculs!B841</f>
        <v>0</v>
      </c>
      <c r="C769" s="742">
        <f>Calculs!BY841</f>
        <v>0</v>
      </c>
      <c r="D769" s="742">
        <f>Calculs!BZ841</f>
        <v>0</v>
      </c>
      <c r="E769" s="742">
        <f>Calculs!CA841</f>
        <v>0</v>
      </c>
      <c r="F769" s="742">
        <f>Calculs!CB841</f>
        <v>0</v>
      </c>
      <c r="G769" s="742">
        <f>Calculs!CC841</f>
        <v>0</v>
      </c>
      <c r="H769" s="742"/>
      <c r="I769" s="742">
        <f>Calculs!CE841</f>
        <v>0</v>
      </c>
      <c r="J769" s="742">
        <f>Calculs!CF841</f>
        <v>0</v>
      </c>
      <c r="K769" s="742"/>
      <c r="L769" s="742">
        <f>Calculs!CH841</f>
        <v>0</v>
      </c>
    </row>
    <row r="770" spans="2:12">
      <c r="B770" s="742">
        <f>Calculs!B842</f>
        <v>0</v>
      </c>
      <c r="C770" s="742">
        <f>Calculs!BY842</f>
        <v>0</v>
      </c>
      <c r="D770" s="742">
        <f>Calculs!BZ842</f>
        <v>0</v>
      </c>
      <c r="E770" s="742">
        <f>Calculs!CA842</f>
        <v>0</v>
      </c>
      <c r="F770" s="742">
        <f>Calculs!CB842</f>
        <v>0</v>
      </c>
      <c r="G770" s="742">
        <f>Calculs!CC842</f>
        <v>0</v>
      </c>
      <c r="H770" s="742"/>
      <c r="I770" s="742">
        <f>Calculs!CE842</f>
        <v>0</v>
      </c>
      <c r="J770" s="742">
        <f>Calculs!CF842</f>
        <v>0</v>
      </c>
      <c r="K770" s="742"/>
      <c r="L770" s="742">
        <f>Calculs!CH842</f>
        <v>0</v>
      </c>
    </row>
    <row r="771" spans="2:12">
      <c r="B771" s="742">
        <f>Calculs!B843</f>
        <v>0</v>
      </c>
      <c r="C771" s="742">
        <f>Calculs!BY843</f>
        <v>0</v>
      </c>
      <c r="D771" s="742">
        <f>Calculs!BZ843</f>
        <v>0</v>
      </c>
      <c r="E771" s="742">
        <f>Calculs!CA843</f>
        <v>0</v>
      </c>
      <c r="F771" s="742">
        <f>Calculs!CB843</f>
        <v>0</v>
      </c>
      <c r="G771" s="742">
        <f>Calculs!CC843</f>
        <v>0</v>
      </c>
      <c r="H771" s="742"/>
      <c r="I771" s="742">
        <f>Calculs!CE843</f>
        <v>0</v>
      </c>
      <c r="J771" s="742">
        <f>Calculs!CF843</f>
        <v>0</v>
      </c>
      <c r="K771" s="742"/>
      <c r="L771" s="742">
        <f>Calculs!CH843</f>
        <v>0</v>
      </c>
    </row>
    <row r="772" spans="2:12">
      <c r="B772" s="742">
        <f>Calculs!B844</f>
        <v>0</v>
      </c>
      <c r="C772" s="742">
        <f>Calculs!BY844</f>
        <v>0</v>
      </c>
      <c r="D772" s="742">
        <f>Calculs!BZ844</f>
        <v>0</v>
      </c>
      <c r="E772" s="742">
        <f>Calculs!CA844</f>
        <v>0</v>
      </c>
      <c r="F772" s="742">
        <f>Calculs!CB844</f>
        <v>0</v>
      </c>
      <c r="G772" s="742">
        <f>Calculs!CC844</f>
        <v>0</v>
      </c>
      <c r="H772" s="742"/>
      <c r="I772" s="742">
        <f>Calculs!CE844</f>
        <v>0</v>
      </c>
      <c r="J772" s="742">
        <f>Calculs!CF844</f>
        <v>0</v>
      </c>
      <c r="K772" s="742"/>
      <c r="L772" s="742">
        <f>Calculs!CH844</f>
        <v>0</v>
      </c>
    </row>
    <row r="773" spans="2:12">
      <c r="B773" s="742">
        <f>Calculs!B845</f>
        <v>0</v>
      </c>
      <c r="C773" s="742">
        <f>Calculs!BY845</f>
        <v>0</v>
      </c>
      <c r="D773" s="742">
        <f>Calculs!BZ845</f>
        <v>0</v>
      </c>
      <c r="E773" s="742">
        <f>Calculs!CA845</f>
        <v>0</v>
      </c>
      <c r="F773" s="742">
        <f>Calculs!CB845</f>
        <v>0</v>
      </c>
      <c r="G773" s="742">
        <f>Calculs!CC845</f>
        <v>0</v>
      </c>
      <c r="H773" s="742"/>
      <c r="I773" s="742">
        <f>Calculs!CE845</f>
        <v>0</v>
      </c>
      <c r="J773" s="742">
        <f>Calculs!CF845</f>
        <v>0</v>
      </c>
      <c r="K773" s="742"/>
      <c r="L773" s="742">
        <f>Calculs!CH845</f>
        <v>0</v>
      </c>
    </row>
    <row r="774" spans="2:12">
      <c r="B774" s="742">
        <f>Calculs!B846</f>
        <v>0</v>
      </c>
      <c r="C774" s="742">
        <f>Calculs!BY846</f>
        <v>0</v>
      </c>
      <c r="D774" s="742">
        <f>Calculs!BZ846</f>
        <v>0</v>
      </c>
      <c r="E774" s="742">
        <f>Calculs!CA846</f>
        <v>0</v>
      </c>
      <c r="F774" s="742">
        <f>Calculs!CB846</f>
        <v>0</v>
      </c>
      <c r="G774" s="742">
        <f>Calculs!CC846</f>
        <v>0</v>
      </c>
      <c r="H774" s="742"/>
      <c r="I774" s="742">
        <f>Calculs!CE846</f>
        <v>0</v>
      </c>
      <c r="J774" s="742">
        <f>Calculs!CF846</f>
        <v>0</v>
      </c>
      <c r="K774" s="742"/>
      <c r="L774" s="742">
        <f>Calculs!CH846</f>
        <v>0</v>
      </c>
    </row>
    <row r="775" spans="2:12">
      <c r="B775" s="742">
        <f>Calculs!B847</f>
        <v>0</v>
      </c>
      <c r="C775" s="742">
        <f>Calculs!BY847</f>
        <v>0</v>
      </c>
      <c r="D775" s="742">
        <f>Calculs!BZ847</f>
        <v>0</v>
      </c>
      <c r="E775" s="742">
        <f>Calculs!CA847</f>
        <v>0</v>
      </c>
      <c r="F775" s="742">
        <f>Calculs!CB847</f>
        <v>0</v>
      </c>
      <c r="G775" s="742">
        <f>Calculs!CC847</f>
        <v>0</v>
      </c>
      <c r="H775" s="742"/>
      <c r="I775" s="742">
        <f>Calculs!CE847</f>
        <v>0</v>
      </c>
      <c r="J775" s="742">
        <f>Calculs!CF847</f>
        <v>0</v>
      </c>
      <c r="K775" s="742"/>
      <c r="L775" s="742">
        <f>Calculs!CH847</f>
        <v>0</v>
      </c>
    </row>
    <row r="776" spans="2:12">
      <c r="B776" s="742">
        <f>Calculs!B848</f>
        <v>0</v>
      </c>
      <c r="C776" s="742">
        <f>Calculs!BY848</f>
        <v>0</v>
      </c>
      <c r="D776" s="742">
        <f>Calculs!BZ848</f>
        <v>0</v>
      </c>
      <c r="E776" s="742">
        <f>Calculs!CA848</f>
        <v>0</v>
      </c>
      <c r="F776" s="742">
        <f>Calculs!CB848</f>
        <v>0</v>
      </c>
      <c r="G776" s="742">
        <f>Calculs!CC848</f>
        <v>0</v>
      </c>
      <c r="H776" s="742"/>
      <c r="I776" s="742">
        <f>Calculs!CE848</f>
        <v>0</v>
      </c>
      <c r="J776" s="742">
        <f>Calculs!CF848</f>
        <v>0</v>
      </c>
      <c r="K776" s="742"/>
      <c r="L776" s="742">
        <f>Calculs!CH848</f>
        <v>0</v>
      </c>
    </row>
    <row r="777" spans="2:12">
      <c r="B777" s="742">
        <f>Calculs!B849</f>
        <v>0</v>
      </c>
      <c r="C777" s="742">
        <f>Calculs!BY849</f>
        <v>0</v>
      </c>
      <c r="D777" s="742">
        <f>Calculs!BZ849</f>
        <v>0</v>
      </c>
      <c r="E777" s="742">
        <f>Calculs!CA849</f>
        <v>0</v>
      </c>
      <c r="F777" s="742">
        <f>Calculs!CB849</f>
        <v>0</v>
      </c>
      <c r="G777" s="742">
        <f>Calculs!CC849</f>
        <v>0</v>
      </c>
      <c r="H777" s="742"/>
      <c r="I777" s="742">
        <f>Calculs!CE849</f>
        <v>0</v>
      </c>
      <c r="J777" s="742">
        <f>Calculs!CF849</f>
        <v>0</v>
      </c>
      <c r="K777" s="742"/>
      <c r="L777" s="742">
        <f>Calculs!CH849</f>
        <v>0</v>
      </c>
    </row>
    <row r="778" spans="2:12">
      <c r="B778" s="742">
        <f>Calculs!B850</f>
        <v>0</v>
      </c>
      <c r="C778" s="742">
        <f>Calculs!BY850</f>
        <v>0</v>
      </c>
      <c r="D778" s="742">
        <f>Calculs!BZ850</f>
        <v>0</v>
      </c>
      <c r="E778" s="742">
        <f>Calculs!CA850</f>
        <v>0</v>
      </c>
      <c r="F778" s="742">
        <f>Calculs!CB850</f>
        <v>0</v>
      </c>
      <c r="G778" s="742">
        <f>Calculs!CC850</f>
        <v>0</v>
      </c>
      <c r="H778" s="742"/>
      <c r="I778" s="742">
        <f>Calculs!CE850</f>
        <v>0</v>
      </c>
      <c r="J778" s="742">
        <f>Calculs!CF850</f>
        <v>0</v>
      </c>
      <c r="K778" s="742"/>
      <c r="L778" s="742">
        <f>Calculs!CH850</f>
        <v>0</v>
      </c>
    </row>
    <row r="779" spans="2:12">
      <c r="B779" s="742">
        <f>Calculs!B851</f>
        <v>0</v>
      </c>
      <c r="C779" s="742">
        <f>Calculs!BY851</f>
        <v>0</v>
      </c>
      <c r="D779" s="742">
        <f>Calculs!BZ851</f>
        <v>0</v>
      </c>
      <c r="E779" s="742">
        <f>Calculs!CA851</f>
        <v>0</v>
      </c>
      <c r="F779" s="742">
        <f>Calculs!CB851</f>
        <v>0</v>
      </c>
      <c r="G779" s="742">
        <f>Calculs!CC851</f>
        <v>0</v>
      </c>
      <c r="H779" s="742"/>
      <c r="I779" s="742">
        <f>Calculs!CE851</f>
        <v>0</v>
      </c>
      <c r="J779" s="742">
        <f>Calculs!CF851</f>
        <v>0</v>
      </c>
      <c r="K779" s="742"/>
      <c r="L779" s="742">
        <f>Calculs!CH851</f>
        <v>0</v>
      </c>
    </row>
    <row r="780" spans="2:12">
      <c r="B780" s="742">
        <f>Calculs!B852</f>
        <v>0</v>
      </c>
      <c r="C780" s="742">
        <f>Calculs!BY852</f>
        <v>0</v>
      </c>
      <c r="D780" s="742">
        <f>Calculs!BZ852</f>
        <v>0</v>
      </c>
      <c r="E780" s="742">
        <f>Calculs!CA852</f>
        <v>0</v>
      </c>
      <c r="F780" s="742">
        <f>Calculs!CB852</f>
        <v>0</v>
      </c>
      <c r="G780" s="742">
        <f>Calculs!CC852</f>
        <v>0</v>
      </c>
      <c r="H780" s="742"/>
      <c r="I780" s="742">
        <f>Calculs!CE852</f>
        <v>0</v>
      </c>
      <c r="J780" s="742">
        <f>Calculs!CF852</f>
        <v>0</v>
      </c>
      <c r="K780" s="742"/>
      <c r="L780" s="742">
        <f>Calculs!CH852</f>
        <v>0</v>
      </c>
    </row>
    <row r="781" spans="2:12">
      <c r="B781" s="742">
        <f>Calculs!B853</f>
        <v>0</v>
      </c>
      <c r="C781" s="742">
        <f>Calculs!BY853</f>
        <v>0</v>
      </c>
      <c r="D781" s="742">
        <f>Calculs!BZ853</f>
        <v>0</v>
      </c>
      <c r="E781" s="742">
        <f>Calculs!CA853</f>
        <v>0</v>
      </c>
      <c r="F781" s="742">
        <f>Calculs!CB853</f>
        <v>0</v>
      </c>
      <c r="G781" s="742">
        <f>Calculs!CC853</f>
        <v>0</v>
      </c>
      <c r="H781" s="742"/>
      <c r="I781" s="742">
        <f>Calculs!CE853</f>
        <v>0</v>
      </c>
      <c r="J781" s="742">
        <f>Calculs!CF853</f>
        <v>0</v>
      </c>
      <c r="K781" s="742"/>
      <c r="L781" s="742">
        <f>Calculs!CH853</f>
        <v>0</v>
      </c>
    </row>
    <row r="782" spans="2:12">
      <c r="B782" s="742">
        <f>Calculs!B854</f>
        <v>0</v>
      </c>
      <c r="C782" s="742">
        <f>Calculs!BY854</f>
        <v>0</v>
      </c>
      <c r="D782" s="742">
        <f>Calculs!BZ854</f>
        <v>0</v>
      </c>
      <c r="E782" s="742">
        <f>Calculs!CA854</f>
        <v>0</v>
      </c>
      <c r="F782" s="742">
        <f>Calculs!CB854</f>
        <v>0</v>
      </c>
      <c r="G782" s="742">
        <f>Calculs!CC854</f>
        <v>0</v>
      </c>
      <c r="H782" s="742"/>
      <c r="I782" s="742">
        <f>Calculs!CE854</f>
        <v>0</v>
      </c>
      <c r="J782" s="742">
        <f>Calculs!CF854</f>
        <v>0</v>
      </c>
      <c r="K782" s="742"/>
      <c r="L782" s="742">
        <f>Calculs!CH854</f>
        <v>0</v>
      </c>
    </row>
    <row r="783" spans="2:12">
      <c r="B783" s="742">
        <f>Calculs!B855</f>
        <v>0</v>
      </c>
      <c r="C783" s="742">
        <f>Calculs!BY855</f>
        <v>0</v>
      </c>
      <c r="D783" s="742">
        <f>Calculs!BZ855</f>
        <v>0</v>
      </c>
      <c r="E783" s="742">
        <f>Calculs!CA855</f>
        <v>0</v>
      </c>
      <c r="F783" s="742">
        <f>Calculs!CB855</f>
        <v>0</v>
      </c>
      <c r="G783" s="742">
        <f>Calculs!CC855</f>
        <v>0</v>
      </c>
      <c r="H783" s="742"/>
      <c r="I783" s="742">
        <f>Calculs!CE855</f>
        <v>0</v>
      </c>
      <c r="J783" s="742">
        <f>Calculs!CF855</f>
        <v>0</v>
      </c>
      <c r="K783" s="742"/>
      <c r="L783" s="742">
        <f>Calculs!CH855</f>
        <v>0</v>
      </c>
    </row>
    <row r="784" spans="2:12">
      <c r="B784" s="742">
        <f>Calculs!B856</f>
        <v>0</v>
      </c>
      <c r="C784" s="742">
        <f>Calculs!BY856</f>
        <v>0</v>
      </c>
      <c r="D784" s="742">
        <f>Calculs!BZ856</f>
        <v>0</v>
      </c>
      <c r="E784" s="742">
        <f>Calculs!CA856</f>
        <v>0</v>
      </c>
      <c r="F784" s="742">
        <f>Calculs!CB856</f>
        <v>0</v>
      </c>
      <c r="G784" s="742">
        <f>Calculs!CC856</f>
        <v>0</v>
      </c>
      <c r="H784" s="742"/>
      <c r="I784" s="742">
        <f>Calculs!CE856</f>
        <v>0</v>
      </c>
      <c r="J784" s="742">
        <f>Calculs!CF856</f>
        <v>0</v>
      </c>
      <c r="K784" s="742"/>
      <c r="L784" s="742">
        <f>Calculs!CH856</f>
        <v>0</v>
      </c>
    </row>
    <row r="785" spans="2:12">
      <c r="B785" s="742">
        <f>Calculs!B857</f>
        <v>0</v>
      </c>
      <c r="C785" s="742">
        <f>Calculs!BY857</f>
        <v>0</v>
      </c>
      <c r="D785" s="742">
        <f>Calculs!BZ857</f>
        <v>0</v>
      </c>
      <c r="E785" s="742">
        <f>Calculs!CA857</f>
        <v>0</v>
      </c>
      <c r="F785" s="742">
        <f>Calculs!CB857</f>
        <v>0</v>
      </c>
      <c r="G785" s="742">
        <f>Calculs!CC857</f>
        <v>0</v>
      </c>
      <c r="H785" s="742"/>
      <c r="I785" s="742">
        <f>Calculs!CE857</f>
        <v>0</v>
      </c>
      <c r="J785" s="742">
        <f>Calculs!CF857</f>
        <v>0</v>
      </c>
      <c r="K785" s="742"/>
      <c r="L785" s="742">
        <f>Calculs!CH857</f>
        <v>0</v>
      </c>
    </row>
    <row r="786" spans="2:12">
      <c r="B786" s="742">
        <f>Calculs!B858</f>
        <v>0</v>
      </c>
      <c r="C786" s="742">
        <f>Calculs!BY858</f>
        <v>0</v>
      </c>
      <c r="D786" s="742">
        <f>Calculs!BZ858</f>
        <v>0</v>
      </c>
      <c r="E786" s="742">
        <f>Calculs!CA858</f>
        <v>0</v>
      </c>
      <c r="F786" s="742">
        <f>Calculs!CB858</f>
        <v>0</v>
      </c>
      <c r="G786" s="742">
        <f>Calculs!CC858</f>
        <v>0</v>
      </c>
      <c r="H786" s="742"/>
      <c r="I786" s="742">
        <f>Calculs!CE858</f>
        <v>0</v>
      </c>
      <c r="J786" s="742">
        <f>Calculs!CF858</f>
        <v>0</v>
      </c>
      <c r="K786" s="742"/>
      <c r="L786" s="742">
        <f>Calculs!CH858</f>
        <v>0</v>
      </c>
    </row>
    <row r="787" spans="2:12">
      <c r="B787" s="742">
        <f>Calculs!B859</f>
        <v>0</v>
      </c>
      <c r="C787" s="742">
        <f>Calculs!BY859</f>
        <v>0</v>
      </c>
      <c r="D787" s="742">
        <f>Calculs!BZ859</f>
        <v>0</v>
      </c>
      <c r="E787" s="742">
        <f>Calculs!CA859</f>
        <v>0</v>
      </c>
      <c r="F787" s="742">
        <f>Calculs!CB859</f>
        <v>0</v>
      </c>
      <c r="G787" s="742">
        <f>Calculs!CC859</f>
        <v>0</v>
      </c>
      <c r="H787" s="742"/>
      <c r="I787" s="742">
        <f>Calculs!CE859</f>
        <v>0</v>
      </c>
      <c r="J787" s="742">
        <f>Calculs!CF859</f>
        <v>0</v>
      </c>
      <c r="K787" s="742"/>
      <c r="L787" s="742">
        <f>Calculs!CH859</f>
        <v>0</v>
      </c>
    </row>
    <row r="788" spans="2:12">
      <c r="B788" s="742">
        <f>Calculs!B860</f>
        <v>0</v>
      </c>
      <c r="C788" s="742">
        <f>Calculs!BY860</f>
        <v>0</v>
      </c>
      <c r="D788" s="742">
        <f>Calculs!BZ860</f>
        <v>0</v>
      </c>
      <c r="E788" s="742">
        <f>Calculs!CA860</f>
        <v>0</v>
      </c>
      <c r="F788" s="742">
        <f>Calculs!CB860</f>
        <v>0</v>
      </c>
      <c r="G788" s="742">
        <f>Calculs!CC860</f>
        <v>0</v>
      </c>
      <c r="H788" s="742"/>
      <c r="I788" s="742">
        <f>Calculs!CE860</f>
        <v>0</v>
      </c>
      <c r="J788" s="742">
        <f>Calculs!CF860</f>
        <v>0</v>
      </c>
      <c r="K788" s="742"/>
      <c r="L788" s="742">
        <f>Calculs!CH860</f>
        <v>0</v>
      </c>
    </row>
    <row r="789" spans="2:12">
      <c r="B789" s="742">
        <f>Calculs!B861</f>
        <v>0</v>
      </c>
      <c r="C789" s="742">
        <f>Calculs!BY861</f>
        <v>0</v>
      </c>
      <c r="D789" s="742">
        <f>Calculs!BZ861</f>
        <v>0</v>
      </c>
      <c r="E789" s="742">
        <f>Calculs!CA861</f>
        <v>0</v>
      </c>
      <c r="F789" s="742">
        <f>Calculs!CB861</f>
        <v>0</v>
      </c>
      <c r="G789" s="742">
        <f>Calculs!CC861</f>
        <v>0</v>
      </c>
      <c r="H789" s="742"/>
      <c r="I789" s="742">
        <f>Calculs!CE861</f>
        <v>0</v>
      </c>
      <c r="J789" s="742">
        <f>Calculs!CF861</f>
        <v>0</v>
      </c>
      <c r="K789" s="742"/>
      <c r="L789" s="742">
        <f>Calculs!CH861</f>
        <v>0</v>
      </c>
    </row>
    <row r="790" spans="2:12">
      <c r="B790" s="742">
        <f>Calculs!B862</f>
        <v>0</v>
      </c>
      <c r="C790" s="742">
        <f>Calculs!BY862</f>
        <v>0</v>
      </c>
      <c r="D790" s="742">
        <f>Calculs!BZ862</f>
        <v>0</v>
      </c>
      <c r="E790" s="742">
        <f>Calculs!CA862</f>
        <v>0</v>
      </c>
      <c r="F790" s="742">
        <f>Calculs!CB862</f>
        <v>0</v>
      </c>
      <c r="G790" s="742">
        <f>Calculs!CC862</f>
        <v>0</v>
      </c>
      <c r="H790" s="742"/>
      <c r="I790" s="742">
        <f>Calculs!CE862</f>
        <v>0</v>
      </c>
      <c r="J790" s="742">
        <f>Calculs!CF862</f>
        <v>0</v>
      </c>
      <c r="K790" s="742"/>
      <c r="L790" s="742">
        <f>Calculs!CH862</f>
        <v>0</v>
      </c>
    </row>
    <row r="791" spans="2:12">
      <c r="B791" s="742">
        <f>Calculs!B863</f>
        <v>0</v>
      </c>
      <c r="C791" s="742">
        <f>Calculs!BY863</f>
        <v>0</v>
      </c>
      <c r="D791" s="742">
        <f>Calculs!BZ863</f>
        <v>0</v>
      </c>
      <c r="E791" s="742">
        <f>Calculs!CA863</f>
        <v>0</v>
      </c>
      <c r="F791" s="742">
        <f>Calculs!CB863</f>
        <v>0</v>
      </c>
      <c r="G791" s="742">
        <f>Calculs!CC863</f>
        <v>0</v>
      </c>
      <c r="H791" s="742"/>
      <c r="I791" s="742">
        <f>Calculs!CE863</f>
        <v>0</v>
      </c>
      <c r="J791" s="742">
        <f>Calculs!CF863</f>
        <v>0</v>
      </c>
      <c r="K791" s="742"/>
      <c r="L791" s="742">
        <f>Calculs!CH863</f>
        <v>0</v>
      </c>
    </row>
    <row r="792" spans="2:12">
      <c r="B792" s="742">
        <f>Calculs!B864</f>
        <v>0</v>
      </c>
      <c r="C792" s="742">
        <f>Calculs!BY864</f>
        <v>0</v>
      </c>
      <c r="D792" s="742">
        <f>Calculs!BZ864</f>
        <v>0</v>
      </c>
      <c r="E792" s="742">
        <f>Calculs!CA864</f>
        <v>0</v>
      </c>
      <c r="F792" s="742">
        <f>Calculs!CB864</f>
        <v>0</v>
      </c>
      <c r="G792" s="742">
        <f>Calculs!CC864</f>
        <v>0</v>
      </c>
      <c r="H792" s="742"/>
      <c r="I792" s="742">
        <f>Calculs!CE864</f>
        <v>0</v>
      </c>
      <c r="J792" s="742">
        <f>Calculs!CF864</f>
        <v>0</v>
      </c>
      <c r="K792" s="742"/>
      <c r="L792" s="742">
        <f>Calculs!CH864</f>
        <v>0</v>
      </c>
    </row>
    <row r="793" spans="2:12">
      <c r="B793" s="742">
        <f>Calculs!B865</f>
        <v>0</v>
      </c>
      <c r="C793" s="742">
        <f>Calculs!BY865</f>
        <v>0</v>
      </c>
      <c r="D793" s="742">
        <f>Calculs!BZ865</f>
        <v>0</v>
      </c>
      <c r="E793" s="742">
        <f>Calculs!CA865</f>
        <v>0</v>
      </c>
      <c r="F793" s="742">
        <f>Calculs!CB865</f>
        <v>0</v>
      </c>
      <c r="G793" s="742">
        <f>Calculs!CC865</f>
        <v>0</v>
      </c>
      <c r="H793" s="742"/>
      <c r="I793" s="742">
        <f>Calculs!CE865</f>
        <v>0</v>
      </c>
      <c r="J793" s="742">
        <f>Calculs!CF865</f>
        <v>0</v>
      </c>
      <c r="K793" s="742"/>
      <c r="L793" s="742">
        <f>Calculs!CH865</f>
        <v>0</v>
      </c>
    </row>
    <row r="794" spans="2:12">
      <c r="B794" s="742">
        <f>Calculs!B866</f>
        <v>0</v>
      </c>
      <c r="C794" s="742">
        <f>Calculs!BY866</f>
        <v>0</v>
      </c>
      <c r="D794" s="742">
        <f>Calculs!BZ866</f>
        <v>0</v>
      </c>
      <c r="E794" s="742">
        <f>Calculs!CA866</f>
        <v>0</v>
      </c>
      <c r="F794" s="742">
        <f>Calculs!CB866</f>
        <v>0</v>
      </c>
      <c r="G794" s="742">
        <f>Calculs!CC866</f>
        <v>0</v>
      </c>
      <c r="H794" s="742"/>
      <c r="I794" s="742">
        <f>Calculs!CE866</f>
        <v>0</v>
      </c>
      <c r="J794" s="742">
        <f>Calculs!CF866</f>
        <v>0</v>
      </c>
      <c r="K794" s="742"/>
      <c r="L794" s="742">
        <f>Calculs!CH866</f>
        <v>0</v>
      </c>
    </row>
    <row r="795" spans="2:12">
      <c r="B795" s="742">
        <f>Calculs!B867</f>
        <v>0</v>
      </c>
      <c r="C795" s="742">
        <f>Calculs!BY867</f>
        <v>0</v>
      </c>
      <c r="D795" s="742">
        <f>Calculs!BZ867</f>
        <v>0</v>
      </c>
      <c r="E795" s="742">
        <f>Calculs!CA867</f>
        <v>0</v>
      </c>
      <c r="F795" s="742">
        <f>Calculs!CB867</f>
        <v>0</v>
      </c>
      <c r="G795" s="742">
        <f>Calculs!CC867</f>
        <v>0</v>
      </c>
      <c r="H795" s="742"/>
      <c r="I795" s="742">
        <f>Calculs!CE867</f>
        <v>0</v>
      </c>
      <c r="J795" s="742">
        <f>Calculs!CF867</f>
        <v>0</v>
      </c>
      <c r="K795" s="742"/>
      <c r="L795" s="742">
        <f>Calculs!CH867</f>
        <v>0</v>
      </c>
    </row>
    <row r="796" spans="2:12">
      <c r="B796" s="742">
        <f>Calculs!B868</f>
        <v>0</v>
      </c>
      <c r="C796" s="742">
        <f>Calculs!BY868</f>
        <v>0</v>
      </c>
      <c r="D796" s="742">
        <f>Calculs!BZ868</f>
        <v>0</v>
      </c>
      <c r="E796" s="742">
        <f>Calculs!CA868</f>
        <v>0</v>
      </c>
      <c r="F796" s="742">
        <f>Calculs!CB868</f>
        <v>0</v>
      </c>
      <c r="G796" s="742">
        <f>Calculs!CC868</f>
        <v>0</v>
      </c>
      <c r="H796" s="742"/>
      <c r="I796" s="742">
        <f>Calculs!CE868</f>
        <v>0</v>
      </c>
      <c r="J796" s="742">
        <f>Calculs!CF868</f>
        <v>0</v>
      </c>
      <c r="K796" s="742"/>
      <c r="L796" s="742">
        <f>Calculs!CH868</f>
        <v>0</v>
      </c>
    </row>
    <row r="797" spans="2:12">
      <c r="B797" s="742">
        <f>Calculs!B869</f>
        <v>0</v>
      </c>
      <c r="C797" s="742">
        <f>Calculs!BY869</f>
        <v>0</v>
      </c>
      <c r="D797" s="742">
        <f>Calculs!BZ869</f>
        <v>0</v>
      </c>
      <c r="E797" s="742">
        <f>Calculs!CA869</f>
        <v>0</v>
      </c>
      <c r="F797" s="742">
        <f>Calculs!CB869</f>
        <v>0</v>
      </c>
      <c r="G797" s="742">
        <f>Calculs!CC869</f>
        <v>0</v>
      </c>
      <c r="H797" s="742"/>
      <c r="I797" s="742">
        <f>Calculs!CE869</f>
        <v>0</v>
      </c>
      <c r="J797" s="742">
        <f>Calculs!CF869</f>
        <v>0</v>
      </c>
      <c r="K797" s="742"/>
      <c r="L797" s="742">
        <f>Calculs!CH869</f>
        <v>0</v>
      </c>
    </row>
    <row r="798" spans="2:12">
      <c r="B798" s="742">
        <f>Calculs!B870</f>
        <v>0</v>
      </c>
      <c r="C798" s="742">
        <f>Calculs!BY870</f>
        <v>0</v>
      </c>
      <c r="D798" s="742">
        <f>Calculs!BZ870</f>
        <v>0</v>
      </c>
      <c r="E798" s="742">
        <f>Calculs!CA870</f>
        <v>0</v>
      </c>
      <c r="F798" s="742">
        <f>Calculs!CB870</f>
        <v>0</v>
      </c>
      <c r="G798" s="742">
        <f>Calculs!CC870</f>
        <v>0</v>
      </c>
      <c r="H798" s="742"/>
      <c r="I798" s="742">
        <f>Calculs!CE870</f>
        <v>0</v>
      </c>
      <c r="J798" s="742">
        <f>Calculs!CF870</f>
        <v>0</v>
      </c>
      <c r="K798" s="742"/>
      <c r="L798" s="742">
        <f>Calculs!CH870</f>
        <v>0</v>
      </c>
    </row>
    <row r="799" spans="2:12">
      <c r="B799" s="742">
        <f>Calculs!B871</f>
        <v>0</v>
      </c>
      <c r="C799" s="742">
        <f>Calculs!BY871</f>
        <v>0</v>
      </c>
      <c r="D799" s="742">
        <f>Calculs!BZ871</f>
        <v>0</v>
      </c>
      <c r="E799" s="742">
        <f>Calculs!CA871</f>
        <v>0</v>
      </c>
      <c r="F799" s="742">
        <f>Calculs!CB871</f>
        <v>0</v>
      </c>
      <c r="G799" s="742">
        <f>Calculs!CC871</f>
        <v>0</v>
      </c>
      <c r="H799" s="742"/>
      <c r="I799" s="742">
        <f>Calculs!CE871</f>
        <v>0</v>
      </c>
      <c r="J799" s="742">
        <f>Calculs!CF871</f>
        <v>0</v>
      </c>
      <c r="K799" s="742"/>
      <c r="L799" s="742">
        <f>Calculs!CH871</f>
        <v>0</v>
      </c>
    </row>
    <row r="800" spans="2:12">
      <c r="B800" s="742">
        <f>Calculs!B872</f>
        <v>0</v>
      </c>
      <c r="C800" s="742">
        <f>Calculs!BY872</f>
        <v>0</v>
      </c>
      <c r="D800" s="742">
        <f>Calculs!BZ872</f>
        <v>0</v>
      </c>
      <c r="E800" s="742">
        <f>Calculs!CA872</f>
        <v>0</v>
      </c>
      <c r="F800" s="742">
        <f>Calculs!CB872</f>
        <v>0</v>
      </c>
      <c r="G800" s="742">
        <f>Calculs!CC872</f>
        <v>0</v>
      </c>
      <c r="H800" s="742"/>
      <c r="I800" s="742">
        <f>Calculs!CE872</f>
        <v>0</v>
      </c>
      <c r="J800" s="742">
        <f>Calculs!CF872</f>
        <v>0</v>
      </c>
      <c r="K800" s="742"/>
      <c r="L800" s="742">
        <f>Calculs!CH872</f>
        <v>0</v>
      </c>
    </row>
    <row r="801" spans="2:12">
      <c r="B801" s="742">
        <f>Calculs!B873</f>
        <v>0</v>
      </c>
      <c r="C801" s="742">
        <f>Calculs!BY873</f>
        <v>0</v>
      </c>
      <c r="D801" s="742">
        <f>Calculs!BZ873</f>
        <v>0</v>
      </c>
      <c r="E801" s="742">
        <f>Calculs!CA873</f>
        <v>0</v>
      </c>
      <c r="F801" s="742">
        <f>Calculs!CB873</f>
        <v>0</v>
      </c>
      <c r="G801" s="742">
        <f>Calculs!CC873</f>
        <v>0</v>
      </c>
      <c r="H801" s="742"/>
      <c r="I801" s="742">
        <f>Calculs!CE873</f>
        <v>0</v>
      </c>
      <c r="J801" s="742">
        <f>Calculs!CF873</f>
        <v>0</v>
      </c>
      <c r="K801" s="742"/>
      <c r="L801" s="742">
        <f>Calculs!CH873</f>
        <v>0</v>
      </c>
    </row>
    <row r="802" spans="2:12">
      <c r="B802" s="742">
        <f>Calculs!B874</f>
        <v>0</v>
      </c>
      <c r="C802" s="742">
        <f>Calculs!BY874</f>
        <v>0</v>
      </c>
      <c r="D802" s="742">
        <f>Calculs!BZ874</f>
        <v>0</v>
      </c>
      <c r="E802" s="742">
        <f>Calculs!CA874</f>
        <v>0</v>
      </c>
      <c r="F802" s="742">
        <f>Calculs!CB874</f>
        <v>0</v>
      </c>
      <c r="G802" s="742">
        <f>Calculs!CC874</f>
        <v>0</v>
      </c>
      <c r="H802" s="742"/>
      <c r="I802" s="742">
        <f>Calculs!CE874</f>
        <v>0</v>
      </c>
      <c r="J802" s="742">
        <f>Calculs!CF874</f>
        <v>0</v>
      </c>
      <c r="K802" s="742"/>
      <c r="L802" s="742">
        <f>Calculs!CH874</f>
        <v>0</v>
      </c>
    </row>
    <row r="803" spans="2:12">
      <c r="B803" s="742">
        <f>Calculs!B875</f>
        <v>0</v>
      </c>
      <c r="C803" s="742">
        <f>Calculs!BY875</f>
        <v>0</v>
      </c>
      <c r="D803" s="742">
        <f>Calculs!BZ875</f>
        <v>0</v>
      </c>
      <c r="E803" s="742">
        <f>Calculs!CA875</f>
        <v>0</v>
      </c>
      <c r="F803" s="742">
        <f>Calculs!CB875</f>
        <v>0</v>
      </c>
      <c r="G803" s="742">
        <f>Calculs!CC875</f>
        <v>0</v>
      </c>
      <c r="H803" s="742"/>
      <c r="I803" s="742">
        <f>Calculs!CE875</f>
        <v>0</v>
      </c>
      <c r="J803" s="742">
        <f>Calculs!CF875</f>
        <v>0</v>
      </c>
      <c r="K803" s="742"/>
      <c r="L803" s="742">
        <f>Calculs!CH875</f>
        <v>0</v>
      </c>
    </row>
    <row r="804" spans="2:12">
      <c r="B804" s="742">
        <f>Calculs!B876</f>
        <v>0</v>
      </c>
      <c r="C804" s="742">
        <f>Calculs!BY876</f>
        <v>0</v>
      </c>
      <c r="D804" s="742">
        <f>Calculs!BZ876</f>
        <v>0</v>
      </c>
      <c r="E804" s="742">
        <f>Calculs!CA876</f>
        <v>0</v>
      </c>
      <c r="F804" s="742">
        <f>Calculs!CB876</f>
        <v>0</v>
      </c>
      <c r="G804" s="742">
        <f>Calculs!CC876</f>
        <v>0</v>
      </c>
      <c r="H804" s="742"/>
      <c r="I804" s="742">
        <f>Calculs!CE876</f>
        <v>0</v>
      </c>
      <c r="J804" s="742">
        <f>Calculs!CF876</f>
        <v>0</v>
      </c>
      <c r="K804" s="742"/>
      <c r="L804" s="742">
        <f>Calculs!CH876</f>
        <v>0</v>
      </c>
    </row>
    <row r="805" spans="2:12">
      <c r="B805" s="742">
        <f>Calculs!B877</f>
        <v>0</v>
      </c>
      <c r="C805" s="742">
        <f>Calculs!BY877</f>
        <v>0</v>
      </c>
      <c r="D805" s="742">
        <f>Calculs!BZ877</f>
        <v>0</v>
      </c>
      <c r="E805" s="742">
        <f>Calculs!CA877</f>
        <v>0</v>
      </c>
      <c r="F805" s="742">
        <f>Calculs!CB877</f>
        <v>0</v>
      </c>
      <c r="G805" s="742">
        <f>Calculs!CC877</f>
        <v>0</v>
      </c>
      <c r="H805" s="742"/>
      <c r="I805" s="742">
        <f>Calculs!CE877</f>
        <v>0</v>
      </c>
      <c r="J805" s="742">
        <f>Calculs!CF877</f>
        <v>0</v>
      </c>
      <c r="K805" s="742"/>
      <c r="L805" s="742">
        <f>Calculs!CH877</f>
        <v>0</v>
      </c>
    </row>
    <row r="806" spans="2:12">
      <c r="B806" s="742">
        <f>Calculs!B878</f>
        <v>0</v>
      </c>
      <c r="C806" s="742">
        <f>Calculs!BY878</f>
        <v>0</v>
      </c>
      <c r="D806" s="742">
        <f>Calculs!BZ878</f>
        <v>0</v>
      </c>
      <c r="E806" s="742">
        <f>Calculs!CA878</f>
        <v>0</v>
      </c>
      <c r="F806" s="742">
        <f>Calculs!CB878</f>
        <v>0</v>
      </c>
      <c r="G806" s="742">
        <f>Calculs!CC878</f>
        <v>0</v>
      </c>
      <c r="H806" s="742"/>
      <c r="I806" s="742">
        <f>Calculs!CE878</f>
        <v>0</v>
      </c>
      <c r="J806" s="742">
        <f>Calculs!CF878</f>
        <v>0</v>
      </c>
      <c r="K806" s="742"/>
      <c r="L806" s="742">
        <f>Calculs!CH878</f>
        <v>0</v>
      </c>
    </row>
    <row r="807" spans="2:12">
      <c r="B807" s="742">
        <f>Calculs!B879</f>
        <v>0</v>
      </c>
      <c r="C807" s="742">
        <f>Calculs!BY879</f>
        <v>0</v>
      </c>
      <c r="D807" s="742">
        <f>Calculs!BZ879</f>
        <v>0</v>
      </c>
      <c r="E807" s="742">
        <f>Calculs!CA879</f>
        <v>0</v>
      </c>
      <c r="F807" s="742">
        <f>Calculs!CB879</f>
        <v>0</v>
      </c>
      <c r="G807" s="742">
        <f>Calculs!CC879</f>
        <v>0</v>
      </c>
      <c r="H807" s="742"/>
      <c r="I807" s="742">
        <f>Calculs!CE879</f>
        <v>0</v>
      </c>
      <c r="J807" s="742">
        <f>Calculs!CF879</f>
        <v>0</v>
      </c>
      <c r="K807" s="742"/>
      <c r="L807" s="742">
        <f>Calculs!CH879</f>
        <v>0</v>
      </c>
    </row>
    <row r="808" spans="2:12">
      <c r="B808" s="742">
        <f>Calculs!B880</f>
        <v>0</v>
      </c>
      <c r="C808" s="742">
        <f>Calculs!BY880</f>
        <v>0</v>
      </c>
      <c r="D808" s="742">
        <f>Calculs!BZ880</f>
        <v>0</v>
      </c>
      <c r="E808" s="742">
        <f>Calculs!CA880</f>
        <v>0</v>
      </c>
      <c r="F808" s="742">
        <f>Calculs!CB880</f>
        <v>0</v>
      </c>
      <c r="G808" s="742">
        <f>Calculs!CC880</f>
        <v>0</v>
      </c>
      <c r="H808" s="742"/>
      <c r="I808" s="742">
        <f>Calculs!CE880</f>
        <v>0</v>
      </c>
      <c r="J808" s="742">
        <f>Calculs!CF880</f>
        <v>0</v>
      </c>
      <c r="K808" s="742"/>
      <c r="L808" s="742">
        <f>Calculs!CH880</f>
        <v>0</v>
      </c>
    </row>
    <row r="809" spans="2:12">
      <c r="B809" s="742">
        <f>Calculs!B881</f>
        <v>0</v>
      </c>
      <c r="C809" s="742">
        <f>Calculs!BY881</f>
        <v>0</v>
      </c>
      <c r="D809" s="742">
        <f>Calculs!BZ881</f>
        <v>0</v>
      </c>
      <c r="E809" s="742">
        <f>Calculs!CA881</f>
        <v>0</v>
      </c>
      <c r="F809" s="742">
        <f>Calculs!CB881</f>
        <v>0</v>
      </c>
      <c r="G809" s="742">
        <f>Calculs!CC881</f>
        <v>0</v>
      </c>
      <c r="H809" s="742"/>
      <c r="I809" s="742">
        <f>Calculs!CE881</f>
        <v>0</v>
      </c>
      <c r="J809" s="742">
        <f>Calculs!CF881</f>
        <v>0</v>
      </c>
      <c r="K809" s="742"/>
      <c r="L809" s="742">
        <f>Calculs!CH881</f>
        <v>0</v>
      </c>
    </row>
    <row r="810" spans="2:12">
      <c r="B810" s="742">
        <f>Calculs!B882</f>
        <v>0</v>
      </c>
      <c r="C810" s="742">
        <f>Calculs!BY882</f>
        <v>0</v>
      </c>
      <c r="D810" s="742">
        <f>Calculs!BZ882</f>
        <v>0</v>
      </c>
      <c r="E810" s="742">
        <f>Calculs!CA882</f>
        <v>0</v>
      </c>
      <c r="F810" s="742">
        <f>Calculs!CB882</f>
        <v>0</v>
      </c>
      <c r="G810" s="742">
        <f>Calculs!CC882</f>
        <v>0</v>
      </c>
      <c r="H810" s="742"/>
      <c r="I810" s="742">
        <f>Calculs!CE882</f>
        <v>0</v>
      </c>
      <c r="J810" s="742">
        <f>Calculs!CF882</f>
        <v>0</v>
      </c>
      <c r="K810" s="742"/>
      <c r="L810" s="742">
        <f>Calculs!CH882</f>
        <v>0</v>
      </c>
    </row>
    <row r="811" spans="2:12">
      <c r="B811" s="742">
        <f>Calculs!B883</f>
        <v>0</v>
      </c>
      <c r="C811" s="742">
        <f>Calculs!BY883</f>
        <v>0</v>
      </c>
      <c r="D811" s="742">
        <f>Calculs!BZ883</f>
        <v>0</v>
      </c>
      <c r="E811" s="742">
        <f>Calculs!CA883</f>
        <v>0</v>
      </c>
      <c r="F811" s="742">
        <f>Calculs!CB883</f>
        <v>0</v>
      </c>
      <c r="G811" s="742">
        <f>Calculs!CC883</f>
        <v>0</v>
      </c>
      <c r="H811" s="742"/>
      <c r="I811" s="742">
        <f>Calculs!CE883</f>
        <v>0</v>
      </c>
      <c r="J811" s="742">
        <f>Calculs!CF883</f>
        <v>0</v>
      </c>
      <c r="K811" s="742"/>
      <c r="L811" s="742">
        <f>Calculs!CH883</f>
        <v>0</v>
      </c>
    </row>
    <row r="812" spans="2:12">
      <c r="B812" s="742">
        <f>Calculs!B884</f>
        <v>0</v>
      </c>
      <c r="C812" s="742">
        <f>Calculs!BY884</f>
        <v>0</v>
      </c>
      <c r="D812" s="742">
        <f>Calculs!BZ884</f>
        <v>0</v>
      </c>
      <c r="E812" s="742">
        <f>Calculs!CA884</f>
        <v>0</v>
      </c>
      <c r="F812" s="742">
        <f>Calculs!CB884</f>
        <v>0</v>
      </c>
      <c r="G812" s="742">
        <f>Calculs!CC884</f>
        <v>0</v>
      </c>
      <c r="H812" s="742"/>
      <c r="I812" s="742">
        <f>Calculs!CE884</f>
        <v>0</v>
      </c>
      <c r="J812" s="742">
        <f>Calculs!CF884</f>
        <v>0</v>
      </c>
      <c r="K812" s="742"/>
      <c r="L812" s="742">
        <f>Calculs!CH884</f>
        <v>0</v>
      </c>
    </row>
    <row r="813" spans="2:12">
      <c r="B813" s="742">
        <f>Calculs!B885</f>
        <v>0</v>
      </c>
      <c r="C813" s="742">
        <f>Calculs!BY885</f>
        <v>0</v>
      </c>
      <c r="D813" s="742">
        <f>Calculs!BZ885</f>
        <v>0</v>
      </c>
      <c r="E813" s="742">
        <f>Calculs!CA885</f>
        <v>0</v>
      </c>
      <c r="F813" s="742">
        <f>Calculs!CB885</f>
        <v>0</v>
      </c>
      <c r="G813" s="742">
        <f>Calculs!CC885</f>
        <v>0</v>
      </c>
      <c r="H813" s="742"/>
      <c r="I813" s="742">
        <f>Calculs!CE885</f>
        <v>0</v>
      </c>
      <c r="J813" s="742">
        <f>Calculs!CF885</f>
        <v>0</v>
      </c>
      <c r="K813" s="742"/>
      <c r="L813" s="742">
        <f>Calculs!CH885</f>
        <v>0</v>
      </c>
    </row>
    <row r="814" spans="2:12">
      <c r="B814" s="742">
        <f>Calculs!B886</f>
        <v>0</v>
      </c>
      <c r="C814" s="742">
        <f>Calculs!BY886</f>
        <v>0</v>
      </c>
      <c r="D814" s="742">
        <f>Calculs!BZ886</f>
        <v>0</v>
      </c>
      <c r="E814" s="742">
        <f>Calculs!CA886</f>
        <v>0</v>
      </c>
      <c r="F814" s="742">
        <f>Calculs!CB886</f>
        <v>0</v>
      </c>
      <c r="G814" s="742">
        <f>Calculs!CC886</f>
        <v>0</v>
      </c>
      <c r="H814" s="742"/>
      <c r="I814" s="742">
        <f>Calculs!CE886</f>
        <v>0</v>
      </c>
      <c r="J814" s="742">
        <f>Calculs!CF886</f>
        <v>0</v>
      </c>
      <c r="K814" s="742"/>
      <c r="L814" s="742">
        <f>Calculs!CH886</f>
        <v>0</v>
      </c>
    </row>
    <row r="815" spans="2:12">
      <c r="B815" s="742">
        <f>Calculs!B887</f>
        <v>0</v>
      </c>
      <c r="C815" s="742">
        <f>Calculs!BY887</f>
        <v>0</v>
      </c>
      <c r="D815" s="742">
        <f>Calculs!BZ887</f>
        <v>0</v>
      </c>
      <c r="E815" s="742">
        <f>Calculs!CA887</f>
        <v>0</v>
      </c>
      <c r="F815" s="742">
        <f>Calculs!CB887</f>
        <v>0</v>
      </c>
      <c r="G815" s="742">
        <f>Calculs!CC887</f>
        <v>0</v>
      </c>
      <c r="H815" s="742"/>
      <c r="I815" s="742">
        <f>Calculs!CE887</f>
        <v>0</v>
      </c>
      <c r="J815" s="742">
        <f>Calculs!CF887</f>
        <v>0</v>
      </c>
      <c r="K815" s="742"/>
      <c r="L815" s="742">
        <f>Calculs!CH887</f>
        <v>0</v>
      </c>
    </row>
    <row r="816" spans="2:12">
      <c r="B816" s="742">
        <f>Calculs!B888</f>
        <v>0</v>
      </c>
      <c r="C816" s="742">
        <f>Calculs!BY888</f>
        <v>0</v>
      </c>
      <c r="D816" s="742">
        <f>Calculs!BZ888</f>
        <v>0</v>
      </c>
      <c r="E816" s="742">
        <f>Calculs!CA888</f>
        <v>0</v>
      </c>
      <c r="F816" s="742">
        <f>Calculs!CB888</f>
        <v>0</v>
      </c>
      <c r="G816" s="742">
        <f>Calculs!CC888</f>
        <v>0</v>
      </c>
      <c r="H816" s="742"/>
      <c r="I816" s="742">
        <f>Calculs!CE888</f>
        <v>0</v>
      </c>
      <c r="J816" s="742">
        <f>Calculs!CF888</f>
        <v>0</v>
      </c>
      <c r="K816" s="742"/>
      <c r="L816" s="742">
        <f>Calculs!CH888</f>
        <v>0</v>
      </c>
    </row>
    <row r="817" spans="2:12">
      <c r="B817" s="742">
        <f>Calculs!B889</f>
        <v>0</v>
      </c>
      <c r="C817" s="742">
        <f>Calculs!BY889</f>
        <v>0</v>
      </c>
      <c r="D817" s="742">
        <f>Calculs!BZ889</f>
        <v>0</v>
      </c>
      <c r="E817" s="742">
        <f>Calculs!CA889</f>
        <v>0</v>
      </c>
      <c r="F817" s="742">
        <f>Calculs!CB889</f>
        <v>0</v>
      </c>
      <c r="G817" s="742">
        <f>Calculs!CC889</f>
        <v>0</v>
      </c>
      <c r="H817" s="742"/>
      <c r="I817" s="742">
        <f>Calculs!CE889</f>
        <v>0</v>
      </c>
      <c r="J817" s="742">
        <f>Calculs!CF889</f>
        <v>0</v>
      </c>
      <c r="K817" s="742"/>
      <c r="L817" s="742">
        <f>Calculs!CH889</f>
        <v>0</v>
      </c>
    </row>
    <row r="818" spans="2:12">
      <c r="B818" s="742">
        <f>Calculs!B890</f>
        <v>0</v>
      </c>
      <c r="C818" s="742">
        <f>Calculs!BY890</f>
        <v>0</v>
      </c>
      <c r="D818" s="742">
        <f>Calculs!BZ890</f>
        <v>0</v>
      </c>
      <c r="E818" s="742">
        <f>Calculs!CA890</f>
        <v>0</v>
      </c>
      <c r="F818" s="742">
        <f>Calculs!CB890</f>
        <v>0</v>
      </c>
      <c r="G818" s="742">
        <f>Calculs!CC890</f>
        <v>0</v>
      </c>
      <c r="H818" s="742"/>
      <c r="I818" s="742">
        <f>Calculs!CE890</f>
        <v>0</v>
      </c>
      <c r="J818" s="742">
        <f>Calculs!CF890</f>
        <v>0</v>
      </c>
      <c r="K818" s="742"/>
      <c r="L818" s="742">
        <f>Calculs!CH890</f>
        <v>0</v>
      </c>
    </row>
    <row r="819" spans="2:12">
      <c r="B819" s="742">
        <f>Calculs!B891</f>
        <v>0</v>
      </c>
      <c r="C819" s="742">
        <f>Calculs!BY891</f>
        <v>0</v>
      </c>
      <c r="D819" s="742">
        <f>Calculs!BZ891</f>
        <v>0</v>
      </c>
      <c r="E819" s="742">
        <f>Calculs!CA891</f>
        <v>0</v>
      </c>
      <c r="F819" s="742">
        <f>Calculs!CB891</f>
        <v>0</v>
      </c>
      <c r="G819" s="742">
        <f>Calculs!CC891</f>
        <v>0</v>
      </c>
      <c r="H819" s="742"/>
      <c r="I819" s="742">
        <f>Calculs!CE891</f>
        <v>0</v>
      </c>
      <c r="J819" s="742">
        <f>Calculs!CF891</f>
        <v>0</v>
      </c>
      <c r="K819" s="742"/>
      <c r="L819" s="742">
        <f>Calculs!CH891</f>
        <v>0</v>
      </c>
    </row>
    <row r="820" spans="2:12">
      <c r="B820" s="742">
        <f>Calculs!B892</f>
        <v>0</v>
      </c>
      <c r="C820" s="742">
        <f>Calculs!BY892</f>
        <v>0</v>
      </c>
      <c r="D820" s="742">
        <f>Calculs!BZ892</f>
        <v>0</v>
      </c>
      <c r="E820" s="742">
        <f>Calculs!CA892</f>
        <v>0</v>
      </c>
      <c r="F820" s="742">
        <f>Calculs!CB892</f>
        <v>0</v>
      </c>
      <c r="G820" s="742">
        <f>Calculs!CC892</f>
        <v>0</v>
      </c>
      <c r="H820" s="742"/>
      <c r="I820" s="742">
        <f>Calculs!CE892</f>
        <v>0</v>
      </c>
      <c r="J820" s="742">
        <f>Calculs!CF892</f>
        <v>0</v>
      </c>
      <c r="K820" s="742"/>
      <c r="L820" s="742">
        <f>Calculs!CH892</f>
        <v>0</v>
      </c>
    </row>
    <row r="821" spans="2:12">
      <c r="B821" s="742">
        <f>Calculs!B893</f>
        <v>0</v>
      </c>
      <c r="C821" s="742">
        <f>Calculs!BY893</f>
        <v>0</v>
      </c>
      <c r="D821" s="742">
        <f>Calculs!BZ893</f>
        <v>0</v>
      </c>
      <c r="E821" s="742">
        <f>Calculs!CA893</f>
        <v>0</v>
      </c>
      <c r="F821" s="742">
        <f>Calculs!CB893</f>
        <v>0</v>
      </c>
      <c r="G821" s="742">
        <f>Calculs!CC893</f>
        <v>0</v>
      </c>
      <c r="H821" s="742"/>
      <c r="I821" s="742">
        <f>Calculs!CE893</f>
        <v>0</v>
      </c>
      <c r="J821" s="742">
        <f>Calculs!CF893</f>
        <v>0</v>
      </c>
      <c r="K821" s="742"/>
      <c r="L821" s="742">
        <f>Calculs!CH893</f>
        <v>0</v>
      </c>
    </row>
    <row r="822" spans="2:12">
      <c r="B822" s="742">
        <f>Calculs!B894</f>
        <v>0</v>
      </c>
      <c r="C822" s="742">
        <f>Calculs!BY894</f>
        <v>0</v>
      </c>
      <c r="D822" s="742">
        <f>Calculs!BZ894</f>
        <v>0</v>
      </c>
      <c r="E822" s="742">
        <f>Calculs!CA894</f>
        <v>0</v>
      </c>
      <c r="F822" s="742">
        <f>Calculs!CB894</f>
        <v>0</v>
      </c>
      <c r="G822" s="742">
        <f>Calculs!CC894</f>
        <v>0</v>
      </c>
      <c r="H822" s="742"/>
      <c r="I822" s="742">
        <f>Calculs!CE894</f>
        <v>0</v>
      </c>
      <c r="J822" s="742">
        <f>Calculs!CF894</f>
        <v>0</v>
      </c>
      <c r="K822" s="742"/>
      <c r="L822" s="742">
        <f>Calculs!CH894</f>
        <v>0</v>
      </c>
    </row>
    <row r="823" spans="2:12">
      <c r="B823" s="742">
        <f>Calculs!B895</f>
        <v>0</v>
      </c>
      <c r="C823" s="742">
        <f>Calculs!BY895</f>
        <v>0</v>
      </c>
      <c r="D823" s="742">
        <f>Calculs!BZ895</f>
        <v>0</v>
      </c>
      <c r="E823" s="742">
        <f>Calculs!CA895</f>
        <v>0</v>
      </c>
      <c r="F823" s="742">
        <f>Calculs!CB895</f>
        <v>0</v>
      </c>
      <c r="G823" s="742">
        <f>Calculs!CC895</f>
        <v>0</v>
      </c>
      <c r="H823" s="742"/>
      <c r="I823" s="742">
        <f>Calculs!CE895</f>
        <v>0</v>
      </c>
      <c r="J823" s="742">
        <f>Calculs!CF895</f>
        <v>0</v>
      </c>
      <c r="K823" s="742"/>
      <c r="L823" s="742">
        <f>Calculs!CH895</f>
        <v>0</v>
      </c>
    </row>
    <row r="824" spans="2:12">
      <c r="B824" s="742">
        <f>Calculs!B896</f>
        <v>0</v>
      </c>
      <c r="C824" s="742">
        <f>Calculs!BY896</f>
        <v>0</v>
      </c>
      <c r="D824" s="742">
        <f>Calculs!BZ896</f>
        <v>0</v>
      </c>
      <c r="E824" s="742">
        <f>Calculs!CA896</f>
        <v>0</v>
      </c>
      <c r="F824" s="742">
        <f>Calculs!CB896</f>
        <v>0</v>
      </c>
      <c r="G824" s="742">
        <f>Calculs!CC896</f>
        <v>0</v>
      </c>
      <c r="H824" s="742"/>
      <c r="I824" s="742">
        <f>Calculs!CE896</f>
        <v>0</v>
      </c>
      <c r="J824" s="742">
        <f>Calculs!CF896</f>
        <v>0</v>
      </c>
      <c r="K824" s="742"/>
      <c r="L824" s="742">
        <f>Calculs!CH896</f>
        <v>0</v>
      </c>
    </row>
    <row r="825" spans="2:12">
      <c r="B825" s="742">
        <f>Calculs!B897</f>
        <v>0</v>
      </c>
      <c r="C825" s="742">
        <f>Calculs!BY897</f>
        <v>0</v>
      </c>
      <c r="D825" s="742">
        <f>Calculs!BZ897</f>
        <v>0</v>
      </c>
      <c r="E825" s="742">
        <f>Calculs!CA897</f>
        <v>0</v>
      </c>
      <c r="F825" s="742">
        <f>Calculs!CB897</f>
        <v>0</v>
      </c>
      <c r="G825" s="742">
        <f>Calculs!CC897</f>
        <v>0</v>
      </c>
      <c r="H825" s="742"/>
      <c r="I825" s="742">
        <f>Calculs!CE897</f>
        <v>0</v>
      </c>
      <c r="J825" s="742">
        <f>Calculs!CF897</f>
        <v>0</v>
      </c>
      <c r="K825" s="742"/>
      <c r="L825" s="742">
        <f>Calculs!CH897</f>
        <v>0</v>
      </c>
    </row>
    <row r="826" spans="2:12">
      <c r="B826" s="742">
        <f>Calculs!B898</f>
        <v>0</v>
      </c>
      <c r="C826" s="742">
        <f>Calculs!BY898</f>
        <v>0</v>
      </c>
      <c r="D826" s="742">
        <f>Calculs!BZ898</f>
        <v>0</v>
      </c>
      <c r="E826" s="742">
        <f>Calculs!CA898</f>
        <v>0</v>
      </c>
      <c r="F826" s="742">
        <f>Calculs!CB898</f>
        <v>0</v>
      </c>
      <c r="G826" s="742">
        <f>Calculs!CC898</f>
        <v>0</v>
      </c>
      <c r="H826" s="742"/>
      <c r="I826" s="742">
        <f>Calculs!CE898</f>
        <v>0</v>
      </c>
      <c r="J826" s="742">
        <f>Calculs!CF898</f>
        <v>0</v>
      </c>
      <c r="K826" s="742"/>
      <c r="L826" s="742">
        <f>Calculs!CH898</f>
        <v>0</v>
      </c>
    </row>
    <row r="827" spans="2:12">
      <c r="B827" s="742">
        <f>Calculs!B899</f>
        <v>0</v>
      </c>
      <c r="C827" s="742">
        <f>Calculs!BY899</f>
        <v>0</v>
      </c>
      <c r="D827" s="742">
        <f>Calculs!BZ899</f>
        <v>0</v>
      </c>
      <c r="E827" s="742">
        <f>Calculs!CA899</f>
        <v>0</v>
      </c>
      <c r="F827" s="742">
        <f>Calculs!CB899</f>
        <v>0</v>
      </c>
      <c r="G827" s="742">
        <f>Calculs!CC899</f>
        <v>0</v>
      </c>
      <c r="H827" s="742"/>
      <c r="I827" s="742">
        <f>Calculs!CE899</f>
        <v>0</v>
      </c>
      <c r="J827" s="742">
        <f>Calculs!CF899</f>
        <v>0</v>
      </c>
      <c r="K827" s="742"/>
      <c r="L827" s="742">
        <f>Calculs!CH899</f>
        <v>0</v>
      </c>
    </row>
    <row r="828" spans="2:12">
      <c r="B828" s="742">
        <f>Calculs!B900</f>
        <v>0</v>
      </c>
      <c r="C828" s="742">
        <f>Calculs!BY900</f>
        <v>0</v>
      </c>
      <c r="D828" s="742">
        <f>Calculs!BZ900</f>
        <v>0</v>
      </c>
      <c r="E828" s="742">
        <f>Calculs!CA900</f>
        <v>0</v>
      </c>
      <c r="F828" s="742">
        <f>Calculs!CB900</f>
        <v>0</v>
      </c>
      <c r="G828" s="742">
        <f>Calculs!CC900</f>
        <v>0</v>
      </c>
      <c r="H828" s="742"/>
      <c r="I828" s="742">
        <f>Calculs!CE900</f>
        <v>0</v>
      </c>
      <c r="J828" s="742">
        <f>Calculs!CF900</f>
        <v>0</v>
      </c>
      <c r="K828" s="742"/>
      <c r="L828" s="742">
        <f>Calculs!CH900</f>
        <v>0</v>
      </c>
    </row>
    <row r="829" spans="2:12">
      <c r="B829" s="742">
        <f>Calculs!B901</f>
        <v>0</v>
      </c>
      <c r="C829" s="742">
        <f>Calculs!BY901</f>
        <v>0</v>
      </c>
      <c r="D829" s="742">
        <f>Calculs!BZ901</f>
        <v>0</v>
      </c>
      <c r="E829" s="742">
        <f>Calculs!CA901</f>
        <v>0</v>
      </c>
      <c r="F829" s="742">
        <f>Calculs!CB901</f>
        <v>0</v>
      </c>
      <c r="G829" s="742">
        <f>Calculs!CC901</f>
        <v>0</v>
      </c>
      <c r="H829" s="742"/>
      <c r="I829" s="742">
        <f>Calculs!CE901</f>
        <v>0</v>
      </c>
      <c r="J829" s="742">
        <f>Calculs!CF901</f>
        <v>0</v>
      </c>
      <c r="K829" s="742"/>
      <c r="L829" s="742">
        <f>Calculs!CH901</f>
        <v>0</v>
      </c>
    </row>
    <row r="830" spans="2:12">
      <c r="B830" s="742">
        <f>Calculs!B902</f>
        <v>0</v>
      </c>
      <c r="C830" s="742">
        <f>Calculs!BY902</f>
        <v>0</v>
      </c>
      <c r="D830" s="742">
        <f>Calculs!BZ902</f>
        <v>0</v>
      </c>
      <c r="E830" s="742">
        <f>Calculs!CA902</f>
        <v>0</v>
      </c>
      <c r="F830" s="742">
        <f>Calculs!CB902</f>
        <v>0</v>
      </c>
      <c r="G830" s="742">
        <f>Calculs!CC902</f>
        <v>0</v>
      </c>
      <c r="H830" s="742"/>
      <c r="I830" s="742">
        <f>Calculs!CE902</f>
        <v>0</v>
      </c>
      <c r="J830" s="742">
        <f>Calculs!CF902</f>
        <v>0</v>
      </c>
      <c r="K830" s="742"/>
      <c r="L830" s="742">
        <f>Calculs!CH902</f>
        <v>0</v>
      </c>
    </row>
    <row r="831" spans="2:12">
      <c r="B831" s="742">
        <f>Calculs!B903</f>
        <v>0</v>
      </c>
      <c r="C831" s="742">
        <f>Calculs!BY903</f>
        <v>0</v>
      </c>
      <c r="D831" s="742">
        <f>Calculs!BZ903</f>
        <v>0</v>
      </c>
      <c r="E831" s="742">
        <f>Calculs!CA903</f>
        <v>0</v>
      </c>
      <c r="F831" s="742">
        <f>Calculs!CB903</f>
        <v>0</v>
      </c>
      <c r="G831" s="742">
        <f>Calculs!CC903</f>
        <v>0</v>
      </c>
      <c r="H831" s="742"/>
      <c r="I831" s="742">
        <f>Calculs!CE903</f>
        <v>0</v>
      </c>
      <c r="J831" s="742">
        <f>Calculs!CF903</f>
        <v>0</v>
      </c>
      <c r="K831" s="742"/>
      <c r="L831" s="742">
        <f>Calculs!CH903</f>
        <v>0</v>
      </c>
    </row>
    <row r="832" spans="2:12">
      <c r="B832" s="742">
        <f>Calculs!B904</f>
        <v>0</v>
      </c>
      <c r="C832" s="742">
        <f>Calculs!BY904</f>
        <v>0</v>
      </c>
      <c r="D832" s="742">
        <f>Calculs!BZ904</f>
        <v>0</v>
      </c>
      <c r="E832" s="742">
        <f>Calculs!CA904</f>
        <v>0</v>
      </c>
      <c r="F832" s="742">
        <f>Calculs!CB904</f>
        <v>0</v>
      </c>
      <c r="G832" s="742">
        <f>Calculs!CC904</f>
        <v>0</v>
      </c>
      <c r="H832" s="742"/>
      <c r="I832" s="742">
        <f>Calculs!CE904</f>
        <v>0</v>
      </c>
      <c r="J832" s="742">
        <f>Calculs!CF904</f>
        <v>0</v>
      </c>
      <c r="K832" s="742"/>
      <c r="L832" s="742">
        <f>Calculs!CH904</f>
        <v>0</v>
      </c>
    </row>
    <row r="833" spans="2:12">
      <c r="B833" s="742">
        <f>Calculs!B905</f>
        <v>0</v>
      </c>
      <c r="C833" s="742">
        <f>Calculs!BY905</f>
        <v>0</v>
      </c>
      <c r="D833" s="742">
        <f>Calculs!BZ905</f>
        <v>0</v>
      </c>
      <c r="E833" s="742">
        <f>Calculs!CA905</f>
        <v>0</v>
      </c>
      <c r="F833" s="742">
        <f>Calculs!CB905</f>
        <v>0</v>
      </c>
      <c r="G833" s="742">
        <f>Calculs!CC905</f>
        <v>0</v>
      </c>
      <c r="H833" s="742"/>
      <c r="I833" s="742">
        <f>Calculs!CE905</f>
        <v>0</v>
      </c>
      <c r="J833" s="742">
        <f>Calculs!CF905</f>
        <v>0</v>
      </c>
      <c r="K833" s="742"/>
      <c r="L833" s="742">
        <f>Calculs!CH905</f>
        <v>0</v>
      </c>
    </row>
    <row r="834" spans="2:12">
      <c r="B834" s="742">
        <f>Calculs!B906</f>
        <v>0</v>
      </c>
      <c r="C834" s="742">
        <f>Calculs!BY906</f>
        <v>0</v>
      </c>
      <c r="D834" s="742">
        <f>Calculs!BZ906</f>
        <v>0</v>
      </c>
      <c r="E834" s="742">
        <f>Calculs!CA906</f>
        <v>0</v>
      </c>
      <c r="F834" s="742">
        <f>Calculs!CB906</f>
        <v>0</v>
      </c>
      <c r="G834" s="742">
        <f>Calculs!CC906</f>
        <v>0</v>
      </c>
      <c r="H834" s="742"/>
      <c r="I834" s="742">
        <f>Calculs!CE906</f>
        <v>0</v>
      </c>
      <c r="J834" s="742">
        <f>Calculs!CF906</f>
        <v>0</v>
      </c>
      <c r="K834" s="742"/>
      <c r="L834" s="742">
        <f>Calculs!CH906</f>
        <v>0</v>
      </c>
    </row>
    <row r="835" spans="2:12">
      <c r="B835" s="742">
        <f>Calculs!B907</f>
        <v>0</v>
      </c>
      <c r="C835" s="742">
        <f>Calculs!BY907</f>
        <v>0</v>
      </c>
      <c r="D835" s="742">
        <f>Calculs!BZ907</f>
        <v>0</v>
      </c>
      <c r="E835" s="742">
        <f>Calculs!CA907</f>
        <v>0</v>
      </c>
      <c r="F835" s="742">
        <f>Calculs!CB907</f>
        <v>0</v>
      </c>
      <c r="G835" s="742">
        <f>Calculs!CC907</f>
        <v>0</v>
      </c>
      <c r="H835" s="742"/>
      <c r="I835" s="742">
        <f>Calculs!CE907</f>
        <v>0</v>
      </c>
      <c r="J835" s="742">
        <f>Calculs!CF907</f>
        <v>0</v>
      </c>
      <c r="K835" s="742"/>
      <c r="L835" s="742">
        <f>Calculs!CH907</f>
        <v>0</v>
      </c>
    </row>
    <row r="836" spans="2:12">
      <c r="B836" s="742">
        <f>Calculs!B908</f>
        <v>0</v>
      </c>
      <c r="C836" s="742">
        <f>Calculs!BY908</f>
        <v>0</v>
      </c>
      <c r="D836" s="742">
        <f>Calculs!BZ908</f>
        <v>0</v>
      </c>
      <c r="E836" s="742">
        <f>Calculs!CA908</f>
        <v>0</v>
      </c>
      <c r="F836" s="742">
        <f>Calculs!CB908</f>
        <v>0</v>
      </c>
      <c r="G836" s="742">
        <f>Calculs!CC908</f>
        <v>0</v>
      </c>
      <c r="H836" s="742"/>
      <c r="I836" s="742">
        <f>Calculs!CE908</f>
        <v>0</v>
      </c>
      <c r="J836" s="742">
        <f>Calculs!CF908</f>
        <v>0</v>
      </c>
      <c r="K836" s="742"/>
      <c r="L836" s="742">
        <f>Calculs!CH908</f>
        <v>0</v>
      </c>
    </row>
    <row r="837" spans="2:12">
      <c r="B837" s="742">
        <f>Calculs!B909</f>
        <v>0</v>
      </c>
      <c r="C837" s="742">
        <f>Calculs!BY909</f>
        <v>0</v>
      </c>
      <c r="D837" s="742">
        <f>Calculs!BZ909</f>
        <v>0</v>
      </c>
      <c r="E837" s="742">
        <f>Calculs!CA909</f>
        <v>0</v>
      </c>
      <c r="F837" s="742">
        <f>Calculs!CB909</f>
        <v>0</v>
      </c>
      <c r="G837" s="742">
        <f>Calculs!CC909</f>
        <v>0</v>
      </c>
      <c r="H837" s="742"/>
      <c r="I837" s="742">
        <f>Calculs!CE909</f>
        <v>0</v>
      </c>
      <c r="J837" s="742">
        <f>Calculs!CF909</f>
        <v>0</v>
      </c>
      <c r="K837" s="742"/>
      <c r="L837" s="742">
        <f>Calculs!CH909</f>
        <v>0</v>
      </c>
    </row>
    <row r="838" spans="2:12">
      <c r="B838" s="742">
        <f>Calculs!B910</f>
        <v>0</v>
      </c>
      <c r="C838" s="742">
        <f>Calculs!BY910</f>
        <v>0</v>
      </c>
      <c r="D838" s="742">
        <f>Calculs!BZ910</f>
        <v>0</v>
      </c>
      <c r="E838" s="742">
        <f>Calculs!CA910</f>
        <v>0</v>
      </c>
      <c r="F838" s="742">
        <f>Calculs!CB910</f>
        <v>0</v>
      </c>
      <c r="G838" s="742">
        <f>Calculs!CC910</f>
        <v>0</v>
      </c>
      <c r="H838" s="742"/>
      <c r="I838" s="742">
        <f>Calculs!CE910</f>
        <v>0</v>
      </c>
      <c r="J838" s="742">
        <f>Calculs!CF910</f>
        <v>0</v>
      </c>
      <c r="K838" s="742"/>
      <c r="L838" s="742">
        <f>Calculs!CH910</f>
        <v>0</v>
      </c>
    </row>
    <row r="839" spans="2:12">
      <c r="B839" s="742">
        <f>Calculs!B911</f>
        <v>0</v>
      </c>
      <c r="C839" s="742">
        <f>Calculs!BY911</f>
        <v>0</v>
      </c>
      <c r="D839" s="742">
        <f>Calculs!BZ911</f>
        <v>0</v>
      </c>
      <c r="E839" s="742">
        <f>Calculs!CA911</f>
        <v>0</v>
      </c>
      <c r="F839" s="742">
        <f>Calculs!CB911</f>
        <v>0</v>
      </c>
      <c r="G839" s="742">
        <f>Calculs!CC911</f>
        <v>0</v>
      </c>
      <c r="H839" s="742"/>
      <c r="I839" s="742">
        <f>Calculs!CE911</f>
        <v>0</v>
      </c>
      <c r="J839" s="742">
        <f>Calculs!CF911</f>
        <v>0</v>
      </c>
      <c r="K839" s="742"/>
      <c r="L839" s="742">
        <f>Calculs!CH911</f>
        <v>0</v>
      </c>
    </row>
    <row r="840" spans="2:12">
      <c r="B840" s="742">
        <f>Calculs!B912</f>
        <v>0</v>
      </c>
      <c r="C840" s="742">
        <f>Calculs!BY912</f>
        <v>0</v>
      </c>
      <c r="D840" s="742">
        <f>Calculs!BZ912</f>
        <v>0</v>
      </c>
      <c r="E840" s="742">
        <f>Calculs!CA912</f>
        <v>0</v>
      </c>
      <c r="F840" s="742">
        <f>Calculs!CB912</f>
        <v>0</v>
      </c>
      <c r="G840" s="742">
        <f>Calculs!CC912</f>
        <v>0</v>
      </c>
      <c r="H840" s="742"/>
      <c r="I840" s="742">
        <f>Calculs!CE912</f>
        <v>0</v>
      </c>
      <c r="J840" s="742">
        <f>Calculs!CF912</f>
        <v>0</v>
      </c>
      <c r="K840" s="742"/>
      <c r="L840" s="742">
        <f>Calculs!CH912</f>
        <v>0</v>
      </c>
    </row>
    <row r="841" spans="2:12">
      <c r="B841" s="742">
        <f>Calculs!B913</f>
        <v>0</v>
      </c>
      <c r="C841" s="742">
        <f>Calculs!BY913</f>
        <v>0</v>
      </c>
      <c r="D841" s="742">
        <f>Calculs!BZ913</f>
        <v>0</v>
      </c>
      <c r="E841" s="742">
        <f>Calculs!CA913</f>
        <v>0</v>
      </c>
      <c r="F841" s="742">
        <f>Calculs!CB913</f>
        <v>0</v>
      </c>
      <c r="G841" s="742">
        <f>Calculs!CC913</f>
        <v>0</v>
      </c>
      <c r="H841" s="742"/>
      <c r="I841" s="742">
        <f>Calculs!CE913</f>
        <v>0</v>
      </c>
      <c r="J841" s="742">
        <f>Calculs!CF913</f>
        <v>0</v>
      </c>
      <c r="K841" s="742"/>
      <c r="L841" s="742">
        <f>Calculs!CH913</f>
        <v>0</v>
      </c>
    </row>
    <row r="842" spans="2:12">
      <c r="B842" s="742">
        <f>Calculs!B914</f>
        <v>0</v>
      </c>
      <c r="C842" s="742">
        <f>Calculs!BY914</f>
        <v>0</v>
      </c>
      <c r="D842" s="742">
        <f>Calculs!BZ914</f>
        <v>0</v>
      </c>
      <c r="E842" s="742">
        <f>Calculs!CA914</f>
        <v>0</v>
      </c>
      <c r="F842" s="742">
        <f>Calculs!CB914</f>
        <v>0</v>
      </c>
      <c r="G842" s="742">
        <f>Calculs!CC914</f>
        <v>0</v>
      </c>
      <c r="H842" s="742"/>
      <c r="I842" s="742">
        <f>Calculs!CE914</f>
        <v>0</v>
      </c>
      <c r="J842" s="742">
        <f>Calculs!CF914</f>
        <v>0</v>
      </c>
      <c r="K842" s="742"/>
      <c r="L842" s="742">
        <f>Calculs!CH914</f>
        <v>0</v>
      </c>
    </row>
    <row r="843" spans="2:12">
      <c r="B843" s="742">
        <f>Calculs!B915</f>
        <v>0</v>
      </c>
      <c r="C843" s="742">
        <f>Calculs!BY915</f>
        <v>0</v>
      </c>
      <c r="D843" s="742">
        <f>Calculs!BZ915</f>
        <v>0</v>
      </c>
      <c r="E843" s="742">
        <f>Calculs!CA915</f>
        <v>0</v>
      </c>
      <c r="F843" s="742">
        <f>Calculs!CB915</f>
        <v>0</v>
      </c>
      <c r="G843" s="742">
        <f>Calculs!CC915</f>
        <v>0</v>
      </c>
      <c r="H843" s="742"/>
      <c r="I843" s="742">
        <f>Calculs!CE915</f>
        <v>0</v>
      </c>
      <c r="J843" s="742">
        <f>Calculs!CF915</f>
        <v>0</v>
      </c>
      <c r="K843" s="742"/>
      <c r="L843" s="742">
        <f>Calculs!CH915</f>
        <v>0</v>
      </c>
    </row>
    <row r="844" spans="2:12">
      <c r="B844" s="742">
        <f>Calculs!B916</f>
        <v>0</v>
      </c>
      <c r="C844" s="742">
        <f>Calculs!BY916</f>
        <v>0</v>
      </c>
      <c r="D844" s="742">
        <f>Calculs!BZ916</f>
        <v>0</v>
      </c>
      <c r="E844" s="742">
        <f>Calculs!CA916</f>
        <v>0</v>
      </c>
      <c r="F844" s="742">
        <f>Calculs!CB916</f>
        <v>0</v>
      </c>
      <c r="G844" s="742">
        <f>Calculs!CC916</f>
        <v>0</v>
      </c>
      <c r="H844" s="742"/>
      <c r="I844" s="742">
        <f>Calculs!CE916</f>
        <v>0</v>
      </c>
      <c r="J844" s="742">
        <f>Calculs!CF916</f>
        <v>0</v>
      </c>
      <c r="K844" s="742"/>
      <c r="L844" s="742">
        <f>Calculs!CH916</f>
        <v>0</v>
      </c>
    </row>
    <row r="845" spans="2:12">
      <c r="B845" s="742">
        <f>Calculs!B917</f>
        <v>0</v>
      </c>
      <c r="C845" s="742">
        <f>Calculs!BY917</f>
        <v>0</v>
      </c>
      <c r="D845" s="742">
        <f>Calculs!BZ917</f>
        <v>0</v>
      </c>
      <c r="E845" s="742">
        <f>Calculs!CA917</f>
        <v>0</v>
      </c>
      <c r="F845" s="742">
        <f>Calculs!CB917</f>
        <v>0</v>
      </c>
      <c r="G845" s="742">
        <f>Calculs!CC917</f>
        <v>0</v>
      </c>
      <c r="H845" s="742"/>
      <c r="I845" s="742">
        <f>Calculs!CE917</f>
        <v>0</v>
      </c>
      <c r="J845" s="742">
        <f>Calculs!CF917</f>
        <v>0</v>
      </c>
      <c r="K845" s="742"/>
      <c r="L845" s="742">
        <f>Calculs!CH917</f>
        <v>0</v>
      </c>
    </row>
    <row r="846" spans="2:12">
      <c r="B846" s="742">
        <f>Calculs!B918</f>
        <v>0</v>
      </c>
      <c r="C846" s="742">
        <f>Calculs!BY918</f>
        <v>0</v>
      </c>
      <c r="D846" s="742">
        <f>Calculs!BZ918</f>
        <v>0</v>
      </c>
      <c r="E846" s="742">
        <f>Calculs!CA918</f>
        <v>0</v>
      </c>
      <c r="F846" s="742">
        <f>Calculs!CB918</f>
        <v>0</v>
      </c>
      <c r="G846" s="742">
        <f>Calculs!CC918</f>
        <v>0</v>
      </c>
      <c r="H846" s="742"/>
      <c r="I846" s="742">
        <f>Calculs!CE918</f>
        <v>0</v>
      </c>
      <c r="J846" s="742">
        <f>Calculs!CF918</f>
        <v>0</v>
      </c>
      <c r="K846" s="742"/>
      <c r="L846" s="742">
        <f>Calculs!CH918</f>
        <v>0</v>
      </c>
    </row>
    <row r="847" spans="2:12">
      <c r="B847" s="742">
        <f>Calculs!B919</f>
        <v>0</v>
      </c>
      <c r="C847" s="742">
        <f>Calculs!BY919</f>
        <v>0</v>
      </c>
      <c r="D847" s="742">
        <f>Calculs!BZ919</f>
        <v>0</v>
      </c>
      <c r="E847" s="742">
        <f>Calculs!CA919</f>
        <v>0</v>
      </c>
      <c r="F847" s="742">
        <f>Calculs!CB919</f>
        <v>0</v>
      </c>
      <c r="G847" s="742">
        <f>Calculs!CC919</f>
        <v>0</v>
      </c>
      <c r="H847" s="742"/>
      <c r="I847" s="742">
        <f>Calculs!CE919</f>
        <v>0</v>
      </c>
      <c r="J847" s="742">
        <f>Calculs!CF919</f>
        <v>0</v>
      </c>
      <c r="K847" s="742"/>
      <c r="L847" s="742">
        <f>Calculs!CH919</f>
        <v>0</v>
      </c>
    </row>
    <row r="848" spans="2:12">
      <c r="B848" s="742">
        <f>Calculs!B920</f>
        <v>0</v>
      </c>
      <c r="C848" s="742">
        <f>Calculs!BY920</f>
        <v>0</v>
      </c>
      <c r="D848" s="742">
        <f>Calculs!BZ920</f>
        <v>0</v>
      </c>
      <c r="E848" s="742">
        <f>Calculs!CA920</f>
        <v>0</v>
      </c>
      <c r="F848" s="742">
        <f>Calculs!CB920</f>
        <v>0</v>
      </c>
      <c r="G848" s="742">
        <f>Calculs!CC920</f>
        <v>0</v>
      </c>
      <c r="H848" s="742"/>
      <c r="I848" s="742">
        <f>Calculs!CE920</f>
        <v>0</v>
      </c>
      <c r="J848" s="742">
        <f>Calculs!CF920</f>
        <v>0</v>
      </c>
      <c r="K848" s="742"/>
      <c r="L848" s="742">
        <f>Calculs!CH920</f>
        <v>0</v>
      </c>
    </row>
    <row r="849" spans="2:12">
      <c r="B849" s="742">
        <f>Calculs!B921</f>
        <v>0</v>
      </c>
      <c r="C849" s="742">
        <f>Calculs!BY921</f>
        <v>0</v>
      </c>
      <c r="D849" s="742">
        <f>Calculs!BZ921</f>
        <v>0</v>
      </c>
      <c r="E849" s="742">
        <f>Calculs!CA921</f>
        <v>0</v>
      </c>
      <c r="F849" s="742">
        <f>Calculs!CB921</f>
        <v>0</v>
      </c>
      <c r="G849" s="742">
        <f>Calculs!CC921</f>
        <v>0</v>
      </c>
      <c r="H849" s="742"/>
      <c r="I849" s="742">
        <f>Calculs!CE921</f>
        <v>0</v>
      </c>
      <c r="J849" s="742">
        <f>Calculs!CF921</f>
        <v>0</v>
      </c>
      <c r="K849" s="742"/>
      <c r="L849" s="742">
        <f>Calculs!CH921</f>
        <v>0</v>
      </c>
    </row>
    <row r="850" spans="2:12">
      <c r="B850" s="742">
        <f>Calculs!B922</f>
        <v>0</v>
      </c>
      <c r="C850" s="742">
        <f>Calculs!BY922</f>
        <v>0</v>
      </c>
      <c r="D850" s="742">
        <f>Calculs!BZ922</f>
        <v>0</v>
      </c>
      <c r="E850" s="742">
        <f>Calculs!CA922</f>
        <v>0</v>
      </c>
      <c r="F850" s="742">
        <f>Calculs!CB922</f>
        <v>0</v>
      </c>
      <c r="G850" s="742">
        <f>Calculs!CC922</f>
        <v>0</v>
      </c>
      <c r="H850" s="742"/>
      <c r="I850" s="742">
        <f>Calculs!CE922</f>
        <v>0</v>
      </c>
      <c r="J850" s="742">
        <f>Calculs!CF922</f>
        <v>0</v>
      </c>
      <c r="K850" s="742"/>
      <c r="L850" s="742">
        <f>Calculs!CH922</f>
        <v>0</v>
      </c>
    </row>
    <row r="851" spans="2:12">
      <c r="B851" s="742">
        <f>Calculs!B923</f>
        <v>0</v>
      </c>
      <c r="C851" s="742">
        <f>Calculs!BY923</f>
        <v>0</v>
      </c>
      <c r="D851" s="742">
        <f>Calculs!BZ923</f>
        <v>0</v>
      </c>
      <c r="E851" s="742">
        <f>Calculs!CA923</f>
        <v>0</v>
      </c>
      <c r="F851" s="742">
        <f>Calculs!CB923</f>
        <v>0</v>
      </c>
      <c r="G851" s="742">
        <f>Calculs!CC923</f>
        <v>0</v>
      </c>
      <c r="H851" s="742"/>
      <c r="I851" s="742">
        <f>Calculs!CE923</f>
        <v>0</v>
      </c>
      <c r="J851" s="742">
        <f>Calculs!CF923</f>
        <v>0</v>
      </c>
      <c r="K851" s="742"/>
      <c r="L851" s="742">
        <f>Calculs!CH923</f>
        <v>0</v>
      </c>
    </row>
    <row r="852" spans="2:12">
      <c r="B852" s="742">
        <f>Calculs!B924</f>
        <v>0</v>
      </c>
      <c r="C852" s="742">
        <f>Calculs!BY924</f>
        <v>0</v>
      </c>
      <c r="D852" s="742">
        <f>Calculs!BZ924</f>
        <v>0</v>
      </c>
      <c r="E852" s="742">
        <f>Calculs!CA924</f>
        <v>0</v>
      </c>
      <c r="F852" s="742">
        <f>Calculs!CB924</f>
        <v>0</v>
      </c>
      <c r="G852" s="742">
        <f>Calculs!CC924</f>
        <v>0</v>
      </c>
      <c r="H852" s="742"/>
      <c r="I852" s="742">
        <f>Calculs!CE924</f>
        <v>0</v>
      </c>
      <c r="J852" s="742">
        <f>Calculs!CF924</f>
        <v>0</v>
      </c>
      <c r="K852" s="742"/>
      <c r="L852" s="742">
        <f>Calculs!CH924</f>
        <v>0</v>
      </c>
    </row>
    <row r="853" spans="2:12">
      <c r="B853" s="742">
        <f>Calculs!B925</f>
        <v>0</v>
      </c>
      <c r="C853" s="742">
        <f>Calculs!BY925</f>
        <v>0</v>
      </c>
      <c r="D853" s="742">
        <f>Calculs!BZ925</f>
        <v>0</v>
      </c>
      <c r="E853" s="742">
        <f>Calculs!CA925</f>
        <v>0</v>
      </c>
      <c r="F853" s="742">
        <f>Calculs!CB925</f>
        <v>0</v>
      </c>
      <c r="G853" s="742">
        <f>Calculs!CC925</f>
        <v>0</v>
      </c>
      <c r="H853" s="742"/>
      <c r="I853" s="742">
        <f>Calculs!CE925</f>
        <v>0</v>
      </c>
      <c r="J853" s="742">
        <f>Calculs!CF925</f>
        <v>0</v>
      </c>
      <c r="K853" s="742"/>
      <c r="L853" s="742">
        <f>Calculs!CH925</f>
        <v>0</v>
      </c>
    </row>
    <row r="854" spans="2:12">
      <c r="B854" s="742">
        <f>Calculs!B926</f>
        <v>0</v>
      </c>
      <c r="C854" s="742">
        <f>Calculs!BY926</f>
        <v>0</v>
      </c>
      <c r="D854" s="742">
        <f>Calculs!BZ926</f>
        <v>0</v>
      </c>
      <c r="E854" s="742">
        <f>Calculs!CA926</f>
        <v>0</v>
      </c>
      <c r="F854" s="742">
        <f>Calculs!CB926</f>
        <v>0</v>
      </c>
      <c r="G854" s="742">
        <f>Calculs!CC926</f>
        <v>0</v>
      </c>
      <c r="H854" s="742"/>
      <c r="I854" s="742">
        <f>Calculs!CE926</f>
        <v>0</v>
      </c>
      <c r="J854" s="742">
        <f>Calculs!CF926</f>
        <v>0</v>
      </c>
      <c r="K854" s="742"/>
      <c r="L854" s="742">
        <f>Calculs!CH926</f>
        <v>0</v>
      </c>
    </row>
    <row r="855" spans="2:12">
      <c r="B855" s="742">
        <f>Calculs!B927</f>
        <v>0</v>
      </c>
      <c r="C855" s="742">
        <f>Calculs!BY927</f>
        <v>0</v>
      </c>
      <c r="D855" s="742">
        <f>Calculs!BZ927</f>
        <v>0</v>
      </c>
      <c r="E855" s="742">
        <f>Calculs!CA927</f>
        <v>0</v>
      </c>
      <c r="F855" s="742">
        <f>Calculs!CB927</f>
        <v>0</v>
      </c>
      <c r="G855" s="742">
        <f>Calculs!CC927</f>
        <v>0</v>
      </c>
      <c r="H855" s="742"/>
      <c r="I855" s="742">
        <f>Calculs!CE927</f>
        <v>0</v>
      </c>
      <c r="J855" s="742">
        <f>Calculs!CF927</f>
        <v>0</v>
      </c>
      <c r="K855" s="742"/>
      <c r="L855" s="742">
        <f>Calculs!CH927</f>
        <v>0</v>
      </c>
    </row>
    <row r="856" spans="2:12">
      <c r="B856" s="742">
        <f>Calculs!B928</f>
        <v>0</v>
      </c>
      <c r="C856" s="742">
        <f>Calculs!BY928</f>
        <v>0</v>
      </c>
      <c r="D856" s="742">
        <f>Calculs!BZ928</f>
        <v>0</v>
      </c>
      <c r="E856" s="742">
        <f>Calculs!CA928</f>
        <v>0</v>
      </c>
      <c r="F856" s="742">
        <f>Calculs!CB928</f>
        <v>0</v>
      </c>
      <c r="G856" s="742">
        <f>Calculs!CC928</f>
        <v>0</v>
      </c>
      <c r="H856" s="742"/>
      <c r="I856" s="742">
        <f>Calculs!CE928</f>
        <v>0</v>
      </c>
      <c r="J856" s="742">
        <f>Calculs!CF928</f>
        <v>0</v>
      </c>
      <c r="K856" s="742"/>
      <c r="L856" s="742">
        <f>Calculs!CH928</f>
        <v>0</v>
      </c>
    </row>
    <row r="857" spans="2:12">
      <c r="B857" s="742">
        <f>Calculs!B929</f>
        <v>0</v>
      </c>
      <c r="C857" s="742">
        <f>Calculs!BY929</f>
        <v>0</v>
      </c>
      <c r="D857" s="742">
        <f>Calculs!BZ929</f>
        <v>0</v>
      </c>
      <c r="E857" s="742">
        <f>Calculs!CA929</f>
        <v>0</v>
      </c>
      <c r="F857" s="742">
        <f>Calculs!CB929</f>
        <v>0</v>
      </c>
      <c r="G857" s="742">
        <f>Calculs!CC929</f>
        <v>0</v>
      </c>
      <c r="H857" s="742"/>
      <c r="I857" s="742">
        <f>Calculs!CE929</f>
        <v>0</v>
      </c>
      <c r="J857" s="742">
        <f>Calculs!CF929</f>
        <v>0</v>
      </c>
      <c r="K857" s="742"/>
      <c r="L857" s="742">
        <f>Calculs!CH929</f>
        <v>0</v>
      </c>
    </row>
    <row r="858" spans="2:12">
      <c r="B858" s="742">
        <f>Calculs!B930</f>
        <v>0</v>
      </c>
      <c r="C858" s="742">
        <f>Calculs!BY930</f>
        <v>0</v>
      </c>
      <c r="D858" s="742">
        <f>Calculs!BZ930</f>
        <v>0</v>
      </c>
      <c r="E858" s="742">
        <f>Calculs!CA930</f>
        <v>0</v>
      </c>
      <c r="F858" s="742">
        <f>Calculs!CB930</f>
        <v>0</v>
      </c>
      <c r="G858" s="742">
        <f>Calculs!CC930</f>
        <v>0</v>
      </c>
      <c r="H858" s="742"/>
      <c r="I858" s="742">
        <f>Calculs!CE930</f>
        <v>0</v>
      </c>
      <c r="J858" s="742">
        <f>Calculs!CF930</f>
        <v>0</v>
      </c>
      <c r="K858" s="742"/>
      <c r="L858" s="742">
        <f>Calculs!CH930</f>
        <v>0</v>
      </c>
    </row>
    <row r="859" spans="2:12">
      <c r="B859" s="742">
        <f>Calculs!B931</f>
        <v>0</v>
      </c>
      <c r="C859" s="742">
        <f>Calculs!BY931</f>
        <v>0</v>
      </c>
      <c r="D859" s="742">
        <f>Calculs!BZ931</f>
        <v>0</v>
      </c>
      <c r="E859" s="742">
        <f>Calculs!CA931</f>
        <v>0</v>
      </c>
      <c r="F859" s="742">
        <f>Calculs!CB931</f>
        <v>0</v>
      </c>
      <c r="G859" s="742">
        <f>Calculs!CC931</f>
        <v>0</v>
      </c>
      <c r="H859" s="742"/>
      <c r="I859" s="742">
        <f>Calculs!CE931</f>
        <v>0</v>
      </c>
      <c r="J859" s="742">
        <f>Calculs!CF931</f>
        <v>0</v>
      </c>
      <c r="K859" s="742"/>
      <c r="L859" s="742">
        <f>Calculs!CH931</f>
        <v>0</v>
      </c>
    </row>
    <row r="860" spans="2:12">
      <c r="B860" s="742">
        <f>Calculs!B932</f>
        <v>0</v>
      </c>
      <c r="C860" s="742">
        <f>Calculs!BY932</f>
        <v>0</v>
      </c>
      <c r="D860" s="742">
        <f>Calculs!BZ932</f>
        <v>0</v>
      </c>
      <c r="E860" s="742">
        <f>Calculs!CA932</f>
        <v>0</v>
      </c>
      <c r="F860" s="742">
        <f>Calculs!CB932</f>
        <v>0</v>
      </c>
      <c r="G860" s="742">
        <f>Calculs!CC932</f>
        <v>0</v>
      </c>
      <c r="H860" s="742"/>
      <c r="I860" s="742">
        <f>Calculs!CE932</f>
        <v>0</v>
      </c>
      <c r="J860" s="742">
        <f>Calculs!CF932</f>
        <v>0</v>
      </c>
      <c r="K860" s="742"/>
      <c r="L860" s="742">
        <f>Calculs!CH932</f>
        <v>0</v>
      </c>
    </row>
    <row r="861" spans="2:12">
      <c r="B861" s="742">
        <f>Calculs!B933</f>
        <v>0</v>
      </c>
      <c r="C861" s="742">
        <f>Calculs!BY933</f>
        <v>0</v>
      </c>
      <c r="D861" s="742">
        <f>Calculs!BZ933</f>
        <v>0</v>
      </c>
      <c r="E861" s="742">
        <f>Calculs!CA933</f>
        <v>0</v>
      </c>
      <c r="F861" s="742">
        <f>Calculs!CB933</f>
        <v>0</v>
      </c>
      <c r="G861" s="742">
        <f>Calculs!CC933</f>
        <v>0</v>
      </c>
      <c r="H861" s="742"/>
      <c r="I861" s="742">
        <f>Calculs!CE933</f>
        <v>0</v>
      </c>
      <c r="J861" s="742">
        <f>Calculs!CF933</f>
        <v>0</v>
      </c>
      <c r="K861" s="742"/>
      <c r="L861" s="742">
        <f>Calculs!CH933</f>
        <v>0</v>
      </c>
    </row>
    <row r="862" spans="2:12">
      <c r="B862" s="742">
        <f>Calculs!B934</f>
        <v>0</v>
      </c>
      <c r="C862" s="742">
        <f>Calculs!BY934</f>
        <v>0</v>
      </c>
      <c r="D862" s="742">
        <f>Calculs!BZ934</f>
        <v>0</v>
      </c>
      <c r="E862" s="742">
        <f>Calculs!CA934</f>
        <v>0</v>
      </c>
      <c r="F862" s="742">
        <f>Calculs!CB934</f>
        <v>0</v>
      </c>
      <c r="G862" s="742">
        <f>Calculs!CC934</f>
        <v>0</v>
      </c>
      <c r="H862" s="742"/>
      <c r="I862" s="742">
        <f>Calculs!CE934</f>
        <v>0</v>
      </c>
      <c r="J862" s="742">
        <f>Calculs!CF934</f>
        <v>0</v>
      </c>
      <c r="K862" s="742"/>
      <c r="L862" s="742">
        <f>Calculs!CH934</f>
        <v>0</v>
      </c>
    </row>
    <row r="863" spans="2:12">
      <c r="B863" s="742">
        <f>Calculs!B935</f>
        <v>0</v>
      </c>
      <c r="C863" s="742">
        <f>Calculs!BY935</f>
        <v>0</v>
      </c>
      <c r="D863" s="742">
        <f>Calculs!BZ935</f>
        <v>0</v>
      </c>
      <c r="E863" s="742">
        <f>Calculs!CA935</f>
        <v>0</v>
      </c>
      <c r="F863" s="742">
        <f>Calculs!CB935</f>
        <v>0</v>
      </c>
      <c r="G863" s="742">
        <f>Calculs!CC935</f>
        <v>0</v>
      </c>
      <c r="H863" s="742"/>
      <c r="I863" s="742">
        <f>Calculs!CE935</f>
        <v>0</v>
      </c>
      <c r="J863" s="742">
        <f>Calculs!CF935</f>
        <v>0</v>
      </c>
      <c r="K863" s="742"/>
      <c r="L863" s="742">
        <f>Calculs!CH935</f>
        <v>0</v>
      </c>
    </row>
    <row r="864" spans="2:12">
      <c r="B864" s="742">
        <f>Calculs!B936</f>
        <v>0</v>
      </c>
      <c r="C864" s="742">
        <f>Calculs!BY936</f>
        <v>0</v>
      </c>
      <c r="D864" s="742">
        <f>Calculs!BZ936</f>
        <v>0</v>
      </c>
      <c r="E864" s="742">
        <f>Calculs!CA936</f>
        <v>0</v>
      </c>
      <c r="F864" s="742">
        <f>Calculs!CB936</f>
        <v>0</v>
      </c>
      <c r="G864" s="742">
        <f>Calculs!CC936</f>
        <v>0</v>
      </c>
      <c r="H864" s="742"/>
      <c r="I864" s="742">
        <f>Calculs!CE936</f>
        <v>0</v>
      </c>
      <c r="J864" s="742">
        <f>Calculs!CF936</f>
        <v>0</v>
      </c>
      <c r="K864" s="742"/>
      <c r="L864" s="742">
        <f>Calculs!CH936</f>
        <v>0</v>
      </c>
    </row>
    <row r="865" spans="2:12">
      <c r="B865" s="742">
        <f>Calculs!B937</f>
        <v>0</v>
      </c>
      <c r="C865" s="742">
        <f>Calculs!BY937</f>
        <v>0</v>
      </c>
      <c r="D865" s="742">
        <f>Calculs!BZ937</f>
        <v>0</v>
      </c>
      <c r="E865" s="742">
        <f>Calculs!CA937</f>
        <v>0</v>
      </c>
      <c r="F865" s="742">
        <f>Calculs!CB937</f>
        <v>0</v>
      </c>
      <c r="G865" s="742">
        <f>Calculs!CC937</f>
        <v>0</v>
      </c>
      <c r="H865" s="742"/>
      <c r="I865" s="742">
        <f>Calculs!CE937</f>
        <v>0</v>
      </c>
      <c r="J865" s="742">
        <f>Calculs!CF937</f>
        <v>0</v>
      </c>
      <c r="K865" s="742"/>
      <c r="L865" s="742">
        <f>Calculs!CH937</f>
        <v>0</v>
      </c>
    </row>
    <row r="866" spans="2:12">
      <c r="B866" s="742">
        <f>Calculs!B938</f>
        <v>0</v>
      </c>
      <c r="C866" s="742">
        <f>Calculs!BY938</f>
        <v>0</v>
      </c>
      <c r="D866" s="742">
        <f>Calculs!BZ938</f>
        <v>0</v>
      </c>
      <c r="E866" s="742">
        <f>Calculs!CA938</f>
        <v>0</v>
      </c>
      <c r="F866" s="742">
        <f>Calculs!CB938</f>
        <v>0</v>
      </c>
      <c r="G866" s="742">
        <f>Calculs!CC938</f>
        <v>0</v>
      </c>
      <c r="H866" s="742"/>
      <c r="I866" s="742">
        <f>Calculs!CE938</f>
        <v>0</v>
      </c>
      <c r="J866" s="742">
        <f>Calculs!CF938</f>
        <v>0</v>
      </c>
      <c r="K866" s="742"/>
      <c r="L866" s="742">
        <f>Calculs!CH938</f>
        <v>0</v>
      </c>
    </row>
    <row r="867" spans="2:12">
      <c r="B867" s="742">
        <f>Calculs!B939</f>
        <v>0</v>
      </c>
      <c r="C867" s="742">
        <f>Calculs!BY939</f>
        <v>0</v>
      </c>
      <c r="D867" s="742">
        <f>Calculs!BZ939</f>
        <v>0</v>
      </c>
      <c r="E867" s="742">
        <f>Calculs!CA939</f>
        <v>0</v>
      </c>
      <c r="F867" s="742">
        <f>Calculs!CB939</f>
        <v>0</v>
      </c>
      <c r="G867" s="742">
        <f>Calculs!CC939</f>
        <v>0</v>
      </c>
      <c r="H867" s="742"/>
      <c r="I867" s="742">
        <f>Calculs!CE939</f>
        <v>0</v>
      </c>
      <c r="J867" s="742">
        <f>Calculs!CF939</f>
        <v>0</v>
      </c>
      <c r="K867" s="742"/>
      <c r="L867" s="742">
        <f>Calculs!CH939</f>
        <v>0</v>
      </c>
    </row>
    <row r="868" spans="2:12">
      <c r="B868" s="742">
        <f>Calculs!B940</f>
        <v>0</v>
      </c>
      <c r="C868" s="742">
        <f>Calculs!BY940</f>
        <v>0</v>
      </c>
      <c r="D868" s="742">
        <f>Calculs!BZ940</f>
        <v>0</v>
      </c>
      <c r="E868" s="742">
        <f>Calculs!CA940</f>
        <v>0</v>
      </c>
      <c r="F868" s="742">
        <f>Calculs!CB940</f>
        <v>0</v>
      </c>
      <c r="G868" s="742">
        <f>Calculs!CC940</f>
        <v>0</v>
      </c>
      <c r="H868" s="742"/>
      <c r="I868" s="742">
        <f>Calculs!CE940</f>
        <v>0</v>
      </c>
      <c r="J868" s="742">
        <f>Calculs!CF940</f>
        <v>0</v>
      </c>
      <c r="K868" s="742"/>
      <c r="L868" s="742">
        <f>Calculs!CH940</f>
        <v>0</v>
      </c>
    </row>
    <row r="869" spans="2:12">
      <c r="B869" s="742">
        <f>Calculs!B941</f>
        <v>0</v>
      </c>
      <c r="C869" s="742">
        <f>Calculs!BY941</f>
        <v>0</v>
      </c>
      <c r="D869" s="742">
        <f>Calculs!BZ941</f>
        <v>0</v>
      </c>
      <c r="E869" s="742">
        <f>Calculs!CA941</f>
        <v>0</v>
      </c>
      <c r="F869" s="742">
        <f>Calculs!CB941</f>
        <v>0</v>
      </c>
      <c r="G869" s="742">
        <f>Calculs!CC941</f>
        <v>0</v>
      </c>
      <c r="H869" s="742"/>
      <c r="I869" s="742">
        <f>Calculs!CE941</f>
        <v>0</v>
      </c>
      <c r="J869" s="742">
        <f>Calculs!CF941</f>
        <v>0</v>
      </c>
      <c r="K869" s="742"/>
      <c r="L869" s="742">
        <f>Calculs!CH941</f>
        <v>0</v>
      </c>
    </row>
    <row r="870" spans="2:12">
      <c r="B870" s="742">
        <f>Calculs!B942</f>
        <v>0</v>
      </c>
      <c r="C870" s="742">
        <f>Calculs!BY942</f>
        <v>0</v>
      </c>
      <c r="D870" s="742">
        <f>Calculs!BZ942</f>
        <v>0</v>
      </c>
      <c r="E870" s="742">
        <f>Calculs!CA942</f>
        <v>0</v>
      </c>
      <c r="F870" s="742">
        <f>Calculs!CB942</f>
        <v>0</v>
      </c>
      <c r="G870" s="742">
        <f>Calculs!CC942</f>
        <v>0</v>
      </c>
      <c r="H870" s="742"/>
      <c r="I870" s="742">
        <f>Calculs!CE942</f>
        <v>0</v>
      </c>
      <c r="J870" s="742">
        <f>Calculs!CF942</f>
        <v>0</v>
      </c>
      <c r="K870" s="742"/>
      <c r="L870" s="742">
        <f>Calculs!CH942</f>
        <v>0</v>
      </c>
    </row>
    <row r="871" spans="2:12">
      <c r="B871" s="742">
        <f>Calculs!B943</f>
        <v>0</v>
      </c>
      <c r="C871" s="742">
        <f>Calculs!BY943</f>
        <v>0</v>
      </c>
      <c r="D871" s="742">
        <f>Calculs!BZ943</f>
        <v>0</v>
      </c>
      <c r="E871" s="742">
        <f>Calculs!CA943</f>
        <v>0</v>
      </c>
      <c r="F871" s="742">
        <f>Calculs!CB943</f>
        <v>0</v>
      </c>
      <c r="G871" s="742">
        <f>Calculs!CC943</f>
        <v>0</v>
      </c>
      <c r="H871" s="742"/>
      <c r="I871" s="742">
        <f>Calculs!CE943</f>
        <v>0</v>
      </c>
      <c r="J871" s="742">
        <f>Calculs!CF943</f>
        <v>0</v>
      </c>
      <c r="K871" s="742"/>
      <c r="L871" s="742">
        <f>Calculs!CH943</f>
        <v>0</v>
      </c>
    </row>
    <row r="872" spans="2:12">
      <c r="B872" s="742">
        <f>Calculs!B944</f>
        <v>0</v>
      </c>
      <c r="C872" s="742">
        <f>Calculs!BY944</f>
        <v>0</v>
      </c>
      <c r="D872" s="742">
        <f>Calculs!BZ944</f>
        <v>0</v>
      </c>
      <c r="E872" s="742">
        <f>Calculs!CA944</f>
        <v>0</v>
      </c>
      <c r="F872" s="742">
        <f>Calculs!CB944</f>
        <v>0</v>
      </c>
      <c r="G872" s="742">
        <f>Calculs!CC944</f>
        <v>0</v>
      </c>
      <c r="H872" s="742"/>
      <c r="I872" s="742">
        <f>Calculs!CE944</f>
        <v>0</v>
      </c>
      <c r="J872" s="742">
        <f>Calculs!CF944</f>
        <v>0</v>
      </c>
      <c r="K872" s="742"/>
      <c r="L872" s="742">
        <f>Calculs!CH944</f>
        <v>0</v>
      </c>
    </row>
    <row r="873" spans="2:12">
      <c r="B873" s="742">
        <f>Calculs!B945</f>
        <v>0</v>
      </c>
      <c r="C873" s="742">
        <f>Calculs!BY945</f>
        <v>0</v>
      </c>
      <c r="D873" s="742">
        <f>Calculs!BZ945</f>
        <v>0</v>
      </c>
      <c r="E873" s="742">
        <f>Calculs!CA945</f>
        <v>0</v>
      </c>
      <c r="F873" s="742">
        <f>Calculs!CB945</f>
        <v>0</v>
      </c>
      <c r="G873" s="742">
        <f>Calculs!CC945</f>
        <v>0</v>
      </c>
      <c r="H873" s="742"/>
      <c r="I873" s="742">
        <f>Calculs!CE945</f>
        <v>0</v>
      </c>
      <c r="J873" s="742">
        <f>Calculs!CF945</f>
        <v>0</v>
      </c>
      <c r="K873" s="742"/>
      <c r="L873" s="742">
        <f>Calculs!CH945</f>
        <v>0</v>
      </c>
    </row>
    <row r="874" spans="2:12">
      <c r="B874" s="742">
        <f>Calculs!B946</f>
        <v>0</v>
      </c>
      <c r="C874" s="742">
        <f>Calculs!BY946</f>
        <v>0</v>
      </c>
      <c r="D874" s="742">
        <f>Calculs!BZ946</f>
        <v>0</v>
      </c>
      <c r="E874" s="742">
        <f>Calculs!CA946</f>
        <v>0</v>
      </c>
      <c r="F874" s="742">
        <f>Calculs!CB946</f>
        <v>0</v>
      </c>
      <c r="G874" s="742">
        <f>Calculs!CC946</f>
        <v>0</v>
      </c>
      <c r="H874" s="742"/>
      <c r="I874" s="742">
        <f>Calculs!CE946</f>
        <v>0</v>
      </c>
      <c r="J874" s="742">
        <f>Calculs!CF946</f>
        <v>0</v>
      </c>
      <c r="K874" s="742"/>
      <c r="L874" s="742">
        <f>Calculs!CH946</f>
        <v>0</v>
      </c>
    </row>
    <row r="875" spans="2:12">
      <c r="B875" s="742">
        <f>Calculs!B947</f>
        <v>0</v>
      </c>
      <c r="C875" s="742">
        <f>Calculs!BY947</f>
        <v>0</v>
      </c>
      <c r="D875" s="742">
        <f>Calculs!BZ947</f>
        <v>0</v>
      </c>
      <c r="E875" s="742">
        <f>Calculs!CA947</f>
        <v>0</v>
      </c>
      <c r="F875" s="742">
        <f>Calculs!CB947</f>
        <v>0</v>
      </c>
      <c r="G875" s="742">
        <f>Calculs!CC947</f>
        <v>0</v>
      </c>
      <c r="H875" s="742"/>
      <c r="I875" s="742">
        <f>Calculs!CE947</f>
        <v>0</v>
      </c>
      <c r="J875" s="742">
        <f>Calculs!CF947</f>
        <v>0</v>
      </c>
      <c r="K875" s="742"/>
      <c r="L875" s="742">
        <f>Calculs!CH947</f>
        <v>0</v>
      </c>
    </row>
    <row r="876" spans="2:12">
      <c r="B876" s="742">
        <f>Calculs!B948</f>
        <v>0</v>
      </c>
      <c r="C876" s="742">
        <f>Calculs!BY948</f>
        <v>0</v>
      </c>
      <c r="D876" s="742">
        <f>Calculs!BZ948</f>
        <v>0</v>
      </c>
      <c r="E876" s="742">
        <f>Calculs!CA948</f>
        <v>0</v>
      </c>
      <c r="F876" s="742">
        <f>Calculs!CB948</f>
        <v>0</v>
      </c>
      <c r="G876" s="742">
        <f>Calculs!CC948</f>
        <v>0</v>
      </c>
      <c r="H876" s="742"/>
      <c r="I876" s="742">
        <f>Calculs!CE948</f>
        <v>0</v>
      </c>
      <c r="J876" s="742">
        <f>Calculs!CF948</f>
        <v>0</v>
      </c>
      <c r="K876" s="742"/>
      <c r="L876" s="742">
        <f>Calculs!CH948</f>
        <v>0</v>
      </c>
    </row>
    <row r="877" spans="2:12">
      <c r="B877" s="742">
        <f>Calculs!B949</f>
        <v>0</v>
      </c>
      <c r="C877" s="742">
        <f>Calculs!BY949</f>
        <v>0</v>
      </c>
      <c r="D877" s="742">
        <f>Calculs!BZ949</f>
        <v>0</v>
      </c>
      <c r="E877" s="742">
        <f>Calculs!CA949</f>
        <v>0</v>
      </c>
      <c r="F877" s="742">
        <f>Calculs!CB949</f>
        <v>0</v>
      </c>
      <c r="G877" s="742">
        <f>Calculs!CC949</f>
        <v>0</v>
      </c>
      <c r="H877" s="742"/>
      <c r="I877" s="742">
        <f>Calculs!CE949</f>
        <v>0</v>
      </c>
      <c r="J877" s="742">
        <f>Calculs!CF949</f>
        <v>0</v>
      </c>
      <c r="K877" s="742"/>
      <c r="L877" s="742">
        <f>Calculs!CH949</f>
        <v>0</v>
      </c>
    </row>
    <row r="878" spans="2:12">
      <c r="B878" s="742">
        <f>Calculs!B950</f>
        <v>0</v>
      </c>
      <c r="C878" s="742">
        <f>Calculs!BY950</f>
        <v>0</v>
      </c>
      <c r="D878" s="742">
        <f>Calculs!BZ950</f>
        <v>0</v>
      </c>
      <c r="E878" s="742">
        <f>Calculs!CA950</f>
        <v>0</v>
      </c>
      <c r="F878" s="742">
        <f>Calculs!CB950</f>
        <v>0</v>
      </c>
      <c r="G878" s="742">
        <f>Calculs!CC950</f>
        <v>0</v>
      </c>
      <c r="H878" s="742"/>
      <c r="I878" s="742">
        <f>Calculs!CE950</f>
        <v>0</v>
      </c>
      <c r="J878" s="742">
        <f>Calculs!CF950</f>
        <v>0</v>
      </c>
      <c r="K878" s="742"/>
      <c r="L878" s="742">
        <f>Calculs!CH950</f>
        <v>0</v>
      </c>
    </row>
    <row r="879" spans="2:12">
      <c r="B879" s="742">
        <f>Calculs!B951</f>
        <v>0</v>
      </c>
      <c r="C879" s="742">
        <f>Calculs!BY951</f>
        <v>0</v>
      </c>
      <c r="D879" s="742">
        <f>Calculs!BZ951</f>
        <v>0</v>
      </c>
      <c r="E879" s="742">
        <f>Calculs!CA951</f>
        <v>0</v>
      </c>
      <c r="F879" s="742">
        <f>Calculs!CB951</f>
        <v>0</v>
      </c>
      <c r="G879" s="742">
        <f>Calculs!CC951</f>
        <v>0</v>
      </c>
      <c r="H879" s="742"/>
      <c r="I879" s="742">
        <f>Calculs!CE951</f>
        <v>0</v>
      </c>
      <c r="J879" s="742">
        <f>Calculs!CF951</f>
        <v>0</v>
      </c>
      <c r="K879" s="742"/>
      <c r="L879" s="742">
        <f>Calculs!CH951</f>
        <v>0</v>
      </c>
    </row>
    <row r="880" spans="2:12">
      <c r="B880" s="742">
        <f>Calculs!B952</f>
        <v>0</v>
      </c>
      <c r="C880" s="742">
        <f>Calculs!BY952</f>
        <v>0</v>
      </c>
      <c r="D880" s="742">
        <f>Calculs!BZ952</f>
        <v>0</v>
      </c>
      <c r="E880" s="742">
        <f>Calculs!CA952</f>
        <v>0</v>
      </c>
      <c r="F880" s="742">
        <f>Calculs!CB952</f>
        <v>0</v>
      </c>
      <c r="G880" s="742">
        <f>Calculs!CC952</f>
        <v>0</v>
      </c>
      <c r="H880" s="742"/>
      <c r="I880" s="742">
        <f>Calculs!CE952</f>
        <v>0</v>
      </c>
      <c r="J880" s="742">
        <f>Calculs!CF952</f>
        <v>0</v>
      </c>
      <c r="K880" s="742"/>
      <c r="L880" s="742">
        <f>Calculs!CH952</f>
        <v>0</v>
      </c>
    </row>
    <row r="881" spans="2:12">
      <c r="B881" s="742">
        <f>Calculs!B953</f>
        <v>0</v>
      </c>
      <c r="C881" s="742">
        <f>Calculs!BY953</f>
        <v>0</v>
      </c>
      <c r="D881" s="742">
        <f>Calculs!BZ953</f>
        <v>0</v>
      </c>
      <c r="E881" s="742">
        <f>Calculs!CA953</f>
        <v>0</v>
      </c>
      <c r="F881" s="742">
        <f>Calculs!CB953</f>
        <v>0</v>
      </c>
      <c r="G881" s="742">
        <f>Calculs!CC953</f>
        <v>0</v>
      </c>
      <c r="H881" s="742"/>
      <c r="I881" s="742">
        <f>Calculs!CE953</f>
        <v>0</v>
      </c>
      <c r="J881" s="742">
        <f>Calculs!CF953</f>
        <v>0</v>
      </c>
      <c r="K881" s="742"/>
      <c r="L881" s="742">
        <f>Calculs!CH953</f>
        <v>0</v>
      </c>
    </row>
    <row r="882" spans="2:12">
      <c r="B882" s="742">
        <f>Calculs!B954</f>
        <v>0</v>
      </c>
      <c r="C882" s="742">
        <f>Calculs!BY954</f>
        <v>0</v>
      </c>
      <c r="D882" s="742">
        <f>Calculs!BZ954</f>
        <v>0</v>
      </c>
      <c r="E882" s="742">
        <f>Calculs!CA954</f>
        <v>0</v>
      </c>
      <c r="F882" s="742">
        <f>Calculs!CB954</f>
        <v>0</v>
      </c>
      <c r="G882" s="742">
        <f>Calculs!CC954</f>
        <v>0</v>
      </c>
      <c r="H882" s="742"/>
      <c r="I882" s="742">
        <f>Calculs!CE954</f>
        <v>0</v>
      </c>
      <c r="J882" s="742">
        <f>Calculs!CF954</f>
        <v>0</v>
      </c>
      <c r="K882" s="742"/>
      <c r="L882" s="742">
        <f>Calculs!CH954</f>
        <v>0</v>
      </c>
    </row>
    <row r="883" spans="2:12">
      <c r="B883" s="742">
        <f>Calculs!B955</f>
        <v>0</v>
      </c>
      <c r="C883" s="742">
        <f>Calculs!BY955</f>
        <v>0</v>
      </c>
      <c r="D883" s="742">
        <f>Calculs!BZ955</f>
        <v>0</v>
      </c>
      <c r="E883" s="742">
        <f>Calculs!CA955</f>
        <v>0</v>
      </c>
      <c r="F883" s="742">
        <f>Calculs!CB955</f>
        <v>0</v>
      </c>
      <c r="G883" s="742">
        <f>Calculs!CC955</f>
        <v>0</v>
      </c>
      <c r="H883" s="742"/>
      <c r="I883" s="742">
        <f>Calculs!CE955</f>
        <v>0</v>
      </c>
      <c r="J883" s="742">
        <f>Calculs!CF955</f>
        <v>0</v>
      </c>
      <c r="K883" s="742"/>
      <c r="L883" s="742">
        <f>Calculs!CH955</f>
        <v>0</v>
      </c>
    </row>
    <row r="884" spans="2:12">
      <c r="B884" s="742">
        <f>Calculs!B956</f>
        <v>0</v>
      </c>
      <c r="C884" s="742">
        <f>Calculs!BY956</f>
        <v>0</v>
      </c>
      <c r="D884" s="742">
        <f>Calculs!BZ956</f>
        <v>0</v>
      </c>
      <c r="E884" s="742">
        <f>Calculs!CA956</f>
        <v>0</v>
      </c>
      <c r="F884" s="742">
        <f>Calculs!CB956</f>
        <v>0</v>
      </c>
      <c r="G884" s="742">
        <f>Calculs!CC956</f>
        <v>0</v>
      </c>
      <c r="H884" s="742"/>
      <c r="I884" s="742">
        <f>Calculs!CE956</f>
        <v>0</v>
      </c>
      <c r="J884" s="742">
        <f>Calculs!CF956</f>
        <v>0</v>
      </c>
      <c r="K884" s="742"/>
      <c r="L884" s="742">
        <f>Calculs!CH956</f>
        <v>0</v>
      </c>
    </row>
    <row r="885" spans="2:12">
      <c r="B885" s="742">
        <f>Calculs!B957</f>
        <v>0</v>
      </c>
      <c r="C885" s="742">
        <f>Calculs!BY957</f>
        <v>0</v>
      </c>
      <c r="D885" s="742">
        <f>Calculs!BZ957</f>
        <v>0</v>
      </c>
      <c r="E885" s="742">
        <f>Calculs!CA957</f>
        <v>0</v>
      </c>
      <c r="F885" s="742">
        <f>Calculs!CB957</f>
        <v>0</v>
      </c>
      <c r="G885" s="742">
        <f>Calculs!CC957</f>
        <v>0</v>
      </c>
      <c r="H885" s="742"/>
      <c r="I885" s="742">
        <f>Calculs!CE957</f>
        <v>0</v>
      </c>
      <c r="J885" s="742">
        <f>Calculs!CF957</f>
        <v>0</v>
      </c>
      <c r="K885" s="742"/>
      <c r="L885" s="742">
        <f>Calculs!CH957</f>
        <v>0</v>
      </c>
    </row>
    <row r="886" spans="2:12">
      <c r="B886" s="742">
        <f>Calculs!B958</f>
        <v>0</v>
      </c>
      <c r="C886" s="742">
        <f>Calculs!BY958</f>
        <v>0</v>
      </c>
      <c r="D886" s="742">
        <f>Calculs!BZ958</f>
        <v>0</v>
      </c>
      <c r="E886" s="742">
        <f>Calculs!CA958</f>
        <v>0</v>
      </c>
      <c r="F886" s="742">
        <f>Calculs!CB958</f>
        <v>0</v>
      </c>
      <c r="G886" s="742">
        <f>Calculs!CC958</f>
        <v>0</v>
      </c>
      <c r="H886" s="742"/>
      <c r="I886" s="742">
        <f>Calculs!CE958</f>
        <v>0</v>
      </c>
      <c r="J886" s="742">
        <f>Calculs!CF958</f>
        <v>0</v>
      </c>
      <c r="K886" s="742"/>
      <c r="L886" s="742">
        <f>Calculs!CH958</f>
        <v>0</v>
      </c>
    </row>
    <row r="887" spans="2:12">
      <c r="B887" s="742">
        <f>Calculs!B959</f>
        <v>0</v>
      </c>
      <c r="C887" s="742">
        <f>Calculs!BY959</f>
        <v>0</v>
      </c>
      <c r="D887" s="742">
        <f>Calculs!BZ959</f>
        <v>0</v>
      </c>
      <c r="E887" s="742">
        <f>Calculs!CA959</f>
        <v>0</v>
      </c>
      <c r="F887" s="742">
        <f>Calculs!CB959</f>
        <v>0</v>
      </c>
      <c r="G887" s="742">
        <f>Calculs!CC959</f>
        <v>0</v>
      </c>
      <c r="H887" s="742"/>
      <c r="I887" s="742">
        <f>Calculs!CE959</f>
        <v>0</v>
      </c>
      <c r="J887" s="742">
        <f>Calculs!CF959</f>
        <v>0</v>
      </c>
      <c r="K887" s="742"/>
      <c r="L887" s="742">
        <f>Calculs!CH959</f>
        <v>0</v>
      </c>
    </row>
    <row r="888" spans="2:12">
      <c r="B888" s="742">
        <f>Calculs!B960</f>
        <v>0</v>
      </c>
      <c r="C888" s="742">
        <f>Calculs!BY960</f>
        <v>0</v>
      </c>
      <c r="D888" s="742">
        <f>Calculs!BZ960</f>
        <v>0</v>
      </c>
      <c r="E888" s="742">
        <f>Calculs!CA960</f>
        <v>0</v>
      </c>
      <c r="F888" s="742">
        <f>Calculs!CB960</f>
        <v>0</v>
      </c>
      <c r="G888" s="742">
        <f>Calculs!CC960</f>
        <v>0</v>
      </c>
      <c r="H888" s="742"/>
      <c r="I888" s="742">
        <f>Calculs!CE960</f>
        <v>0</v>
      </c>
      <c r="J888" s="742">
        <f>Calculs!CF960</f>
        <v>0</v>
      </c>
      <c r="K888" s="742"/>
      <c r="L888" s="742">
        <f>Calculs!CH960</f>
        <v>0</v>
      </c>
    </row>
    <row r="889" spans="2:12">
      <c r="B889" s="742">
        <f>Calculs!B961</f>
        <v>0</v>
      </c>
      <c r="C889" s="742">
        <f>Calculs!BY961</f>
        <v>0</v>
      </c>
      <c r="D889" s="742">
        <f>Calculs!BZ961</f>
        <v>0</v>
      </c>
      <c r="E889" s="742">
        <f>Calculs!CA961</f>
        <v>0</v>
      </c>
      <c r="F889" s="742">
        <f>Calculs!CB961</f>
        <v>0</v>
      </c>
      <c r="G889" s="742">
        <f>Calculs!CC961</f>
        <v>0</v>
      </c>
      <c r="H889" s="742"/>
      <c r="I889" s="742">
        <f>Calculs!CE961</f>
        <v>0</v>
      </c>
      <c r="J889" s="742">
        <f>Calculs!CF961</f>
        <v>0</v>
      </c>
      <c r="K889" s="742"/>
      <c r="L889" s="742">
        <f>Calculs!CH961</f>
        <v>0</v>
      </c>
    </row>
    <row r="890" spans="2:12">
      <c r="B890" s="742">
        <f>Calculs!B962</f>
        <v>0</v>
      </c>
      <c r="C890" s="742">
        <f>Calculs!BY962</f>
        <v>0</v>
      </c>
      <c r="D890" s="742">
        <f>Calculs!BZ962</f>
        <v>0</v>
      </c>
      <c r="E890" s="742">
        <f>Calculs!CA962</f>
        <v>0</v>
      </c>
      <c r="F890" s="742">
        <f>Calculs!CB962</f>
        <v>0</v>
      </c>
      <c r="G890" s="742">
        <f>Calculs!CC962</f>
        <v>0</v>
      </c>
      <c r="H890" s="742"/>
      <c r="I890" s="742">
        <f>Calculs!CE962</f>
        <v>0</v>
      </c>
      <c r="J890" s="742">
        <f>Calculs!CF962</f>
        <v>0</v>
      </c>
      <c r="K890" s="742"/>
      <c r="L890" s="742">
        <f>Calculs!CH962</f>
        <v>0</v>
      </c>
    </row>
    <row r="891" spans="2:12">
      <c r="B891" s="742">
        <f>Calculs!B963</f>
        <v>0</v>
      </c>
      <c r="C891" s="742">
        <f>Calculs!BY963</f>
        <v>0</v>
      </c>
      <c r="D891" s="742">
        <f>Calculs!BZ963</f>
        <v>0</v>
      </c>
      <c r="E891" s="742">
        <f>Calculs!CA963</f>
        <v>0</v>
      </c>
      <c r="F891" s="742">
        <f>Calculs!CB963</f>
        <v>0</v>
      </c>
      <c r="G891" s="742">
        <f>Calculs!CC963</f>
        <v>0</v>
      </c>
      <c r="H891" s="742"/>
      <c r="I891" s="742">
        <f>Calculs!CE963</f>
        <v>0</v>
      </c>
      <c r="J891" s="742">
        <f>Calculs!CF963</f>
        <v>0</v>
      </c>
      <c r="K891" s="742"/>
      <c r="L891" s="742">
        <f>Calculs!CH963</f>
        <v>0</v>
      </c>
    </row>
    <row r="892" spans="2:12">
      <c r="B892" s="742">
        <f>Calculs!B964</f>
        <v>0</v>
      </c>
      <c r="C892" s="742">
        <f>Calculs!BY964</f>
        <v>0</v>
      </c>
      <c r="D892" s="742">
        <f>Calculs!BZ964</f>
        <v>0</v>
      </c>
      <c r="E892" s="742">
        <f>Calculs!CA964</f>
        <v>0</v>
      </c>
      <c r="F892" s="742">
        <f>Calculs!CB964</f>
        <v>0</v>
      </c>
      <c r="G892" s="742">
        <f>Calculs!CC964</f>
        <v>0</v>
      </c>
      <c r="H892" s="742"/>
      <c r="I892" s="742">
        <f>Calculs!CE964</f>
        <v>0</v>
      </c>
      <c r="J892" s="742">
        <f>Calculs!CF964</f>
        <v>0</v>
      </c>
      <c r="K892" s="742"/>
      <c r="L892" s="742">
        <f>Calculs!CH964</f>
        <v>0</v>
      </c>
    </row>
    <row r="893" spans="2:12">
      <c r="B893" s="742">
        <f>Calculs!B965</f>
        <v>0</v>
      </c>
      <c r="C893" s="742">
        <f>Calculs!BY965</f>
        <v>0</v>
      </c>
      <c r="D893" s="742">
        <f>Calculs!BZ965</f>
        <v>0</v>
      </c>
      <c r="E893" s="742">
        <f>Calculs!CA965</f>
        <v>0</v>
      </c>
      <c r="F893" s="742">
        <f>Calculs!CB965</f>
        <v>0</v>
      </c>
      <c r="G893" s="742">
        <f>Calculs!CC965</f>
        <v>0</v>
      </c>
      <c r="H893" s="742"/>
      <c r="I893" s="742">
        <f>Calculs!CE965</f>
        <v>0</v>
      </c>
      <c r="J893" s="742">
        <f>Calculs!CF965</f>
        <v>0</v>
      </c>
      <c r="K893" s="742"/>
      <c r="L893" s="742">
        <f>Calculs!CH965</f>
        <v>0</v>
      </c>
    </row>
    <row r="894" spans="2:12">
      <c r="B894" s="742">
        <f>Calculs!B966</f>
        <v>0</v>
      </c>
      <c r="C894" s="742">
        <f>Calculs!BY966</f>
        <v>0</v>
      </c>
      <c r="D894" s="742">
        <f>Calculs!BZ966</f>
        <v>0</v>
      </c>
      <c r="E894" s="742">
        <f>Calculs!CA966</f>
        <v>0</v>
      </c>
      <c r="F894" s="742">
        <f>Calculs!CB966</f>
        <v>0</v>
      </c>
      <c r="G894" s="742">
        <f>Calculs!CC966</f>
        <v>0</v>
      </c>
      <c r="H894" s="742"/>
      <c r="I894" s="742">
        <f>Calculs!CE966</f>
        <v>0</v>
      </c>
      <c r="J894" s="742">
        <f>Calculs!CF966</f>
        <v>0</v>
      </c>
      <c r="K894" s="742"/>
      <c r="L894" s="742">
        <f>Calculs!CH966</f>
        <v>0</v>
      </c>
    </row>
    <row r="895" spans="2:12">
      <c r="B895" s="742">
        <f>Calculs!B967</f>
        <v>0</v>
      </c>
      <c r="C895" s="742">
        <f>Calculs!BY967</f>
        <v>0</v>
      </c>
      <c r="D895" s="742">
        <f>Calculs!BZ967</f>
        <v>0</v>
      </c>
      <c r="E895" s="742">
        <f>Calculs!CA967</f>
        <v>0</v>
      </c>
      <c r="F895" s="742">
        <f>Calculs!CB967</f>
        <v>0</v>
      </c>
      <c r="G895" s="742">
        <f>Calculs!CC967</f>
        <v>0</v>
      </c>
      <c r="H895" s="742"/>
      <c r="I895" s="742">
        <f>Calculs!CE967</f>
        <v>0</v>
      </c>
      <c r="J895" s="742">
        <f>Calculs!CF967</f>
        <v>0</v>
      </c>
      <c r="K895" s="742"/>
      <c r="L895" s="742">
        <f>Calculs!CH967</f>
        <v>0</v>
      </c>
    </row>
    <row r="896" spans="2:12">
      <c r="B896" s="742">
        <f>Calculs!B968</f>
        <v>0</v>
      </c>
      <c r="C896" s="742">
        <f>Calculs!BY968</f>
        <v>0</v>
      </c>
      <c r="D896" s="742">
        <f>Calculs!BZ968</f>
        <v>0</v>
      </c>
      <c r="E896" s="742">
        <f>Calculs!CA968</f>
        <v>0</v>
      </c>
      <c r="F896" s="742">
        <f>Calculs!CB968</f>
        <v>0</v>
      </c>
      <c r="G896" s="742">
        <f>Calculs!CC968</f>
        <v>0</v>
      </c>
      <c r="H896" s="742"/>
      <c r="I896" s="742">
        <f>Calculs!CE968</f>
        <v>0</v>
      </c>
      <c r="J896" s="742">
        <f>Calculs!CF968</f>
        <v>0</v>
      </c>
      <c r="K896" s="742"/>
      <c r="L896" s="742">
        <f>Calculs!CH968</f>
        <v>0</v>
      </c>
    </row>
    <row r="897" spans="2:12">
      <c r="B897" s="742">
        <f>Calculs!B969</f>
        <v>0</v>
      </c>
      <c r="C897" s="742">
        <f>Calculs!BY969</f>
        <v>0</v>
      </c>
      <c r="D897" s="742">
        <f>Calculs!BZ969</f>
        <v>0</v>
      </c>
      <c r="E897" s="742">
        <f>Calculs!CA969</f>
        <v>0</v>
      </c>
      <c r="F897" s="742">
        <f>Calculs!CB969</f>
        <v>0</v>
      </c>
      <c r="G897" s="742">
        <f>Calculs!CC969</f>
        <v>0</v>
      </c>
      <c r="H897" s="742"/>
      <c r="I897" s="742">
        <f>Calculs!CE969</f>
        <v>0</v>
      </c>
      <c r="J897" s="742">
        <f>Calculs!CF969</f>
        <v>0</v>
      </c>
      <c r="K897" s="742"/>
      <c r="L897" s="742">
        <f>Calculs!CH969</f>
        <v>0</v>
      </c>
    </row>
    <row r="898" spans="2:12">
      <c r="B898" s="742">
        <f>Calculs!B970</f>
        <v>0</v>
      </c>
      <c r="C898" s="742">
        <f>Calculs!BY970</f>
        <v>0</v>
      </c>
      <c r="D898" s="742">
        <f>Calculs!BZ970</f>
        <v>0</v>
      </c>
      <c r="E898" s="742">
        <f>Calculs!CA970</f>
        <v>0</v>
      </c>
      <c r="F898" s="742">
        <f>Calculs!CB970</f>
        <v>0</v>
      </c>
      <c r="G898" s="742">
        <f>Calculs!CC970</f>
        <v>0</v>
      </c>
      <c r="H898" s="742"/>
      <c r="I898" s="742">
        <f>Calculs!CE970</f>
        <v>0</v>
      </c>
      <c r="J898" s="742">
        <f>Calculs!CF970</f>
        <v>0</v>
      </c>
      <c r="K898" s="742"/>
      <c r="L898" s="742">
        <f>Calculs!CH970</f>
        <v>0</v>
      </c>
    </row>
    <row r="899" spans="2:12">
      <c r="B899" s="742">
        <f>Calculs!B971</f>
        <v>0</v>
      </c>
      <c r="C899" s="742">
        <f>Calculs!BY971</f>
        <v>0</v>
      </c>
      <c r="D899" s="742">
        <f>Calculs!BZ971</f>
        <v>0</v>
      </c>
      <c r="E899" s="742">
        <f>Calculs!CA971</f>
        <v>0</v>
      </c>
      <c r="F899" s="742">
        <f>Calculs!CB971</f>
        <v>0</v>
      </c>
      <c r="G899" s="742">
        <f>Calculs!CC971</f>
        <v>0</v>
      </c>
      <c r="H899" s="742"/>
      <c r="I899" s="742">
        <f>Calculs!CE971</f>
        <v>0</v>
      </c>
      <c r="J899" s="742">
        <f>Calculs!CF971</f>
        <v>0</v>
      </c>
      <c r="K899" s="742"/>
      <c r="L899" s="742">
        <f>Calculs!CH971</f>
        <v>0</v>
      </c>
    </row>
    <row r="900" spans="2:12">
      <c r="B900" s="742">
        <f>Calculs!B972</f>
        <v>0</v>
      </c>
      <c r="C900" s="742">
        <f>Calculs!BY972</f>
        <v>0</v>
      </c>
      <c r="D900" s="742">
        <f>Calculs!BZ972</f>
        <v>0</v>
      </c>
      <c r="E900" s="742">
        <f>Calculs!CA972</f>
        <v>0</v>
      </c>
      <c r="F900" s="742">
        <f>Calculs!CB972</f>
        <v>0</v>
      </c>
      <c r="G900" s="742">
        <f>Calculs!CC972</f>
        <v>0</v>
      </c>
      <c r="H900" s="742"/>
      <c r="I900" s="742">
        <f>Calculs!CE972</f>
        <v>0</v>
      </c>
      <c r="J900" s="742">
        <f>Calculs!CF972</f>
        <v>0</v>
      </c>
      <c r="K900" s="742"/>
      <c r="L900" s="742">
        <f>Calculs!CH972</f>
        <v>0</v>
      </c>
    </row>
    <row r="901" spans="2:12">
      <c r="B901" s="742">
        <f>Calculs!B973</f>
        <v>0</v>
      </c>
      <c r="C901" s="742">
        <f>Calculs!BY973</f>
        <v>0</v>
      </c>
      <c r="D901" s="742">
        <f>Calculs!BZ973</f>
        <v>0</v>
      </c>
      <c r="E901" s="742">
        <f>Calculs!CA973</f>
        <v>0</v>
      </c>
      <c r="F901" s="742">
        <f>Calculs!CB973</f>
        <v>0</v>
      </c>
      <c r="G901" s="742">
        <f>Calculs!CC973</f>
        <v>0</v>
      </c>
      <c r="H901" s="742"/>
      <c r="I901" s="742">
        <f>Calculs!CE973</f>
        <v>0</v>
      </c>
      <c r="J901" s="742">
        <f>Calculs!CF973</f>
        <v>0</v>
      </c>
      <c r="K901" s="742"/>
      <c r="L901" s="742">
        <f>Calculs!CH973</f>
        <v>0</v>
      </c>
    </row>
    <row r="902" spans="2:12">
      <c r="B902" s="742">
        <f>Calculs!B974</f>
        <v>0</v>
      </c>
      <c r="C902" s="742">
        <f>Calculs!BY974</f>
        <v>0</v>
      </c>
      <c r="D902" s="742">
        <f>Calculs!BZ974</f>
        <v>0</v>
      </c>
      <c r="E902" s="742">
        <f>Calculs!CA974</f>
        <v>0</v>
      </c>
      <c r="F902" s="742">
        <f>Calculs!CB974</f>
        <v>0</v>
      </c>
      <c r="G902" s="742">
        <f>Calculs!CC974</f>
        <v>0</v>
      </c>
      <c r="H902" s="742"/>
      <c r="I902" s="742">
        <f>Calculs!CE974</f>
        <v>0</v>
      </c>
      <c r="J902" s="742">
        <f>Calculs!CF974</f>
        <v>0</v>
      </c>
      <c r="K902" s="742"/>
      <c r="L902" s="742">
        <f>Calculs!CH974</f>
        <v>0</v>
      </c>
    </row>
    <row r="903" spans="2:12">
      <c r="B903" s="742">
        <f>Calculs!B975</f>
        <v>0</v>
      </c>
      <c r="C903" s="742">
        <f>Calculs!BY975</f>
        <v>0</v>
      </c>
      <c r="D903" s="742">
        <f>Calculs!BZ975</f>
        <v>0</v>
      </c>
      <c r="E903" s="742">
        <f>Calculs!CA975</f>
        <v>0</v>
      </c>
      <c r="F903" s="742">
        <f>Calculs!CB975</f>
        <v>0</v>
      </c>
      <c r="G903" s="742">
        <f>Calculs!CC975</f>
        <v>0</v>
      </c>
      <c r="H903" s="742"/>
      <c r="I903" s="742">
        <f>Calculs!CE975</f>
        <v>0</v>
      </c>
      <c r="J903" s="742">
        <f>Calculs!CF975</f>
        <v>0</v>
      </c>
      <c r="K903" s="742"/>
      <c r="L903" s="742">
        <f>Calculs!CH975</f>
        <v>0</v>
      </c>
    </row>
    <row r="904" spans="2:12">
      <c r="B904" s="742">
        <f>Calculs!B976</f>
        <v>0</v>
      </c>
      <c r="C904" s="742">
        <f>Calculs!BY976</f>
        <v>0</v>
      </c>
      <c r="D904" s="742">
        <f>Calculs!BZ976</f>
        <v>0</v>
      </c>
      <c r="E904" s="742">
        <f>Calculs!CA976</f>
        <v>0</v>
      </c>
      <c r="F904" s="742">
        <f>Calculs!CB976</f>
        <v>0</v>
      </c>
      <c r="G904" s="742">
        <f>Calculs!CC976</f>
        <v>0</v>
      </c>
      <c r="H904" s="742"/>
      <c r="I904" s="742">
        <f>Calculs!CE976</f>
        <v>0</v>
      </c>
      <c r="J904" s="742">
        <f>Calculs!CF976</f>
        <v>0</v>
      </c>
      <c r="K904" s="742"/>
      <c r="L904" s="742">
        <f>Calculs!CH976</f>
        <v>0</v>
      </c>
    </row>
    <row r="905" spans="2:12">
      <c r="B905" s="742">
        <f>Calculs!B977</f>
        <v>0</v>
      </c>
      <c r="C905" s="742">
        <f>Calculs!BY977</f>
        <v>0</v>
      </c>
      <c r="D905" s="742">
        <f>Calculs!BZ977</f>
        <v>0</v>
      </c>
      <c r="E905" s="742">
        <f>Calculs!CA977</f>
        <v>0</v>
      </c>
      <c r="F905" s="742">
        <f>Calculs!CB977</f>
        <v>0</v>
      </c>
      <c r="G905" s="742">
        <f>Calculs!CC977</f>
        <v>0</v>
      </c>
      <c r="H905" s="742"/>
      <c r="I905" s="742">
        <f>Calculs!CE977</f>
        <v>0</v>
      </c>
      <c r="J905" s="742">
        <f>Calculs!CF977</f>
        <v>0</v>
      </c>
      <c r="K905" s="742"/>
      <c r="L905" s="742">
        <f>Calculs!CH977</f>
        <v>0</v>
      </c>
    </row>
    <row r="906" spans="2:12">
      <c r="B906" s="742">
        <f>Calculs!B978</f>
        <v>0</v>
      </c>
      <c r="C906" s="742">
        <f>Calculs!BY978</f>
        <v>0</v>
      </c>
      <c r="D906" s="742">
        <f>Calculs!BZ978</f>
        <v>0</v>
      </c>
      <c r="E906" s="742">
        <f>Calculs!CA978</f>
        <v>0</v>
      </c>
      <c r="F906" s="742">
        <f>Calculs!CB978</f>
        <v>0</v>
      </c>
      <c r="G906" s="742">
        <f>Calculs!CC978</f>
        <v>0</v>
      </c>
      <c r="H906" s="742"/>
      <c r="I906" s="742">
        <f>Calculs!CE978</f>
        <v>0</v>
      </c>
      <c r="J906" s="742">
        <f>Calculs!CF978</f>
        <v>0</v>
      </c>
      <c r="K906" s="742"/>
      <c r="L906" s="742">
        <f>Calculs!CH978</f>
        <v>0</v>
      </c>
    </row>
    <row r="907" spans="2:12">
      <c r="B907" s="742">
        <f>Calculs!B979</f>
        <v>0</v>
      </c>
      <c r="C907" s="742">
        <f>Calculs!BY979</f>
        <v>0</v>
      </c>
      <c r="D907" s="742">
        <f>Calculs!BZ979</f>
        <v>0</v>
      </c>
      <c r="E907" s="742">
        <f>Calculs!CA979</f>
        <v>0</v>
      </c>
      <c r="F907" s="742">
        <f>Calculs!CB979</f>
        <v>0</v>
      </c>
      <c r="G907" s="742">
        <f>Calculs!CC979</f>
        <v>0</v>
      </c>
      <c r="H907" s="742"/>
      <c r="I907" s="742">
        <f>Calculs!CE979</f>
        <v>0</v>
      </c>
      <c r="J907" s="742">
        <f>Calculs!CF979</f>
        <v>0</v>
      </c>
      <c r="K907" s="742"/>
      <c r="L907" s="742">
        <f>Calculs!CH979</f>
        <v>0</v>
      </c>
    </row>
    <row r="908" spans="2:12">
      <c r="B908" s="742">
        <f>Calculs!B980</f>
        <v>0</v>
      </c>
      <c r="C908" s="742">
        <f>Calculs!BY980</f>
        <v>0</v>
      </c>
      <c r="D908" s="742">
        <f>Calculs!BZ980</f>
        <v>0</v>
      </c>
      <c r="E908" s="742">
        <f>Calculs!CA980</f>
        <v>0</v>
      </c>
      <c r="F908" s="742">
        <f>Calculs!CB980</f>
        <v>0</v>
      </c>
      <c r="G908" s="742">
        <f>Calculs!CC980</f>
        <v>0</v>
      </c>
      <c r="H908" s="742"/>
      <c r="I908" s="742">
        <f>Calculs!CE980</f>
        <v>0</v>
      </c>
      <c r="J908" s="742">
        <f>Calculs!CF980</f>
        <v>0</v>
      </c>
      <c r="K908" s="742"/>
      <c r="L908" s="742">
        <f>Calculs!CH980</f>
        <v>0</v>
      </c>
    </row>
    <row r="909" spans="2:12">
      <c r="B909" s="742">
        <f>Calculs!B981</f>
        <v>0</v>
      </c>
      <c r="C909" s="742">
        <f>Calculs!BY981</f>
        <v>0</v>
      </c>
      <c r="D909" s="742">
        <f>Calculs!BZ981</f>
        <v>0</v>
      </c>
      <c r="E909" s="742">
        <f>Calculs!CA981</f>
        <v>0</v>
      </c>
      <c r="F909" s="742">
        <f>Calculs!CB981</f>
        <v>0</v>
      </c>
      <c r="G909" s="742">
        <f>Calculs!CC981</f>
        <v>0</v>
      </c>
      <c r="H909" s="742"/>
      <c r="I909" s="742">
        <f>Calculs!CE981</f>
        <v>0</v>
      </c>
      <c r="J909" s="742">
        <f>Calculs!CF981</f>
        <v>0</v>
      </c>
      <c r="K909" s="742"/>
      <c r="L909" s="742">
        <f>Calculs!CH981</f>
        <v>0</v>
      </c>
    </row>
    <row r="910" spans="2:12">
      <c r="B910" s="742">
        <f>Calculs!B982</f>
        <v>0</v>
      </c>
      <c r="C910" s="742">
        <f>Calculs!BY982</f>
        <v>0</v>
      </c>
      <c r="D910" s="742">
        <f>Calculs!BZ982</f>
        <v>0</v>
      </c>
      <c r="E910" s="742">
        <f>Calculs!CA982</f>
        <v>0</v>
      </c>
      <c r="F910" s="742">
        <f>Calculs!CB982</f>
        <v>0</v>
      </c>
      <c r="G910" s="742">
        <f>Calculs!CC982</f>
        <v>0</v>
      </c>
      <c r="H910" s="742"/>
      <c r="I910" s="742">
        <f>Calculs!CE982</f>
        <v>0</v>
      </c>
      <c r="J910" s="742">
        <f>Calculs!CF982</f>
        <v>0</v>
      </c>
      <c r="K910" s="742"/>
      <c r="L910" s="742">
        <f>Calculs!CH982</f>
        <v>0</v>
      </c>
    </row>
    <row r="911" spans="2:12">
      <c r="B911" s="742">
        <f>Calculs!B983</f>
        <v>0</v>
      </c>
      <c r="C911" s="742">
        <f>Calculs!BY983</f>
        <v>0</v>
      </c>
      <c r="D911" s="742">
        <f>Calculs!BZ983</f>
        <v>0</v>
      </c>
      <c r="E911" s="742">
        <f>Calculs!CA983</f>
        <v>0</v>
      </c>
      <c r="F911" s="742">
        <f>Calculs!CB983</f>
        <v>0</v>
      </c>
      <c r="G911" s="742">
        <f>Calculs!CC983</f>
        <v>0</v>
      </c>
      <c r="H911" s="742"/>
      <c r="I911" s="742">
        <f>Calculs!CE983</f>
        <v>0</v>
      </c>
      <c r="J911" s="742">
        <f>Calculs!CF983</f>
        <v>0</v>
      </c>
      <c r="K911" s="742"/>
      <c r="L911" s="742">
        <f>Calculs!CH983</f>
        <v>0</v>
      </c>
    </row>
    <row r="912" spans="2:12">
      <c r="B912" s="742">
        <f>Calculs!B984</f>
        <v>0</v>
      </c>
      <c r="C912" s="742">
        <f>Calculs!BY984</f>
        <v>0</v>
      </c>
      <c r="D912" s="742">
        <f>Calculs!BZ984</f>
        <v>0</v>
      </c>
      <c r="E912" s="742">
        <f>Calculs!CA984</f>
        <v>0</v>
      </c>
      <c r="F912" s="742">
        <f>Calculs!CB984</f>
        <v>0</v>
      </c>
      <c r="G912" s="742">
        <f>Calculs!CC984</f>
        <v>0</v>
      </c>
      <c r="H912" s="742"/>
      <c r="I912" s="742">
        <f>Calculs!CE984</f>
        <v>0</v>
      </c>
      <c r="J912" s="742">
        <f>Calculs!CF984</f>
        <v>0</v>
      </c>
      <c r="K912" s="742"/>
      <c r="L912" s="742">
        <f>Calculs!CH984</f>
        <v>0</v>
      </c>
    </row>
    <row r="913" spans="2:12">
      <c r="B913" s="742">
        <f>Calculs!B985</f>
        <v>0</v>
      </c>
      <c r="C913" s="742">
        <f>Calculs!BY985</f>
        <v>0</v>
      </c>
      <c r="D913" s="742">
        <f>Calculs!BZ985</f>
        <v>0</v>
      </c>
      <c r="E913" s="742">
        <f>Calculs!CA985</f>
        <v>0</v>
      </c>
      <c r="F913" s="742">
        <f>Calculs!CB985</f>
        <v>0</v>
      </c>
      <c r="G913" s="742">
        <f>Calculs!CC985</f>
        <v>0</v>
      </c>
      <c r="H913" s="742"/>
      <c r="I913" s="742">
        <f>Calculs!CE985</f>
        <v>0</v>
      </c>
      <c r="J913" s="742">
        <f>Calculs!CF985</f>
        <v>0</v>
      </c>
      <c r="K913" s="742"/>
      <c r="L913" s="742">
        <f>Calculs!CH985</f>
        <v>0</v>
      </c>
    </row>
    <row r="914" spans="2:12">
      <c r="B914" s="742">
        <f>Calculs!B986</f>
        <v>0</v>
      </c>
      <c r="C914" s="742">
        <f>Calculs!BY986</f>
        <v>0</v>
      </c>
      <c r="D914" s="742">
        <f>Calculs!BZ986</f>
        <v>0</v>
      </c>
      <c r="E914" s="742">
        <f>Calculs!CA986</f>
        <v>0</v>
      </c>
      <c r="F914" s="742">
        <f>Calculs!CB986</f>
        <v>0</v>
      </c>
      <c r="G914" s="742">
        <f>Calculs!CC986</f>
        <v>0</v>
      </c>
      <c r="H914" s="742"/>
      <c r="I914" s="742">
        <f>Calculs!CE986</f>
        <v>0</v>
      </c>
      <c r="J914" s="742">
        <f>Calculs!CF986</f>
        <v>0</v>
      </c>
      <c r="K914" s="742"/>
      <c r="L914" s="742">
        <f>Calculs!CH986</f>
        <v>0</v>
      </c>
    </row>
    <row r="915" spans="2:12">
      <c r="B915" s="742">
        <f>Calculs!B987</f>
        <v>0</v>
      </c>
      <c r="C915" s="742">
        <f>Calculs!BY987</f>
        <v>0</v>
      </c>
      <c r="D915" s="742">
        <f>Calculs!BZ987</f>
        <v>0</v>
      </c>
      <c r="E915" s="742">
        <f>Calculs!CA987</f>
        <v>0</v>
      </c>
      <c r="F915" s="742">
        <f>Calculs!CB987</f>
        <v>0</v>
      </c>
      <c r="G915" s="742">
        <f>Calculs!CC987</f>
        <v>0</v>
      </c>
      <c r="H915" s="742"/>
      <c r="I915" s="742">
        <f>Calculs!CE987</f>
        <v>0</v>
      </c>
      <c r="J915" s="742">
        <f>Calculs!CF987</f>
        <v>0</v>
      </c>
      <c r="K915" s="742"/>
      <c r="L915" s="742">
        <f>Calculs!CH987</f>
        <v>0</v>
      </c>
    </row>
    <row r="916" spans="2:12">
      <c r="B916" s="742">
        <f>Calculs!B988</f>
        <v>0</v>
      </c>
      <c r="C916" s="742">
        <f>Calculs!BY988</f>
        <v>0</v>
      </c>
      <c r="D916" s="742">
        <f>Calculs!BZ988</f>
        <v>0</v>
      </c>
      <c r="E916" s="742">
        <f>Calculs!CA988</f>
        <v>0</v>
      </c>
      <c r="F916" s="742">
        <f>Calculs!CB988</f>
        <v>0</v>
      </c>
      <c r="G916" s="742">
        <f>Calculs!CC988</f>
        <v>0</v>
      </c>
      <c r="H916" s="742"/>
      <c r="I916" s="742">
        <f>Calculs!CE988</f>
        <v>0</v>
      </c>
      <c r="J916" s="742">
        <f>Calculs!CF988</f>
        <v>0</v>
      </c>
      <c r="K916" s="742"/>
      <c r="L916" s="742">
        <f>Calculs!CH988</f>
        <v>0</v>
      </c>
    </row>
    <row r="917" spans="2:12">
      <c r="B917" s="742">
        <f>Calculs!B989</f>
        <v>0</v>
      </c>
      <c r="C917" s="742">
        <f>Calculs!BY989</f>
        <v>0</v>
      </c>
      <c r="D917" s="742">
        <f>Calculs!BZ989</f>
        <v>0</v>
      </c>
      <c r="E917" s="742">
        <f>Calculs!CA989</f>
        <v>0</v>
      </c>
      <c r="F917" s="742">
        <f>Calculs!CB989</f>
        <v>0</v>
      </c>
      <c r="G917" s="742">
        <f>Calculs!CC989</f>
        <v>0</v>
      </c>
      <c r="H917" s="742"/>
      <c r="I917" s="742">
        <f>Calculs!CE989</f>
        <v>0</v>
      </c>
      <c r="J917" s="742">
        <f>Calculs!CF989</f>
        <v>0</v>
      </c>
      <c r="K917" s="742"/>
      <c r="L917" s="742">
        <f>Calculs!CH989</f>
        <v>0</v>
      </c>
    </row>
    <row r="918" spans="2:12">
      <c r="B918" s="742">
        <f>Calculs!B990</f>
        <v>0</v>
      </c>
      <c r="C918" s="742">
        <f>Calculs!BY990</f>
        <v>0</v>
      </c>
      <c r="D918" s="742">
        <f>Calculs!BZ990</f>
        <v>0</v>
      </c>
      <c r="E918" s="742">
        <f>Calculs!CA990</f>
        <v>0</v>
      </c>
      <c r="F918" s="742">
        <f>Calculs!CB990</f>
        <v>0</v>
      </c>
      <c r="G918" s="742">
        <f>Calculs!CC990</f>
        <v>0</v>
      </c>
      <c r="H918" s="742"/>
      <c r="I918" s="742">
        <f>Calculs!CE990</f>
        <v>0</v>
      </c>
      <c r="J918" s="742">
        <f>Calculs!CF990</f>
        <v>0</v>
      </c>
      <c r="K918" s="742"/>
      <c r="L918" s="742">
        <f>Calculs!CH990</f>
        <v>0</v>
      </c>
    </row>
    <row r="919" spans="2:12">
      <c r="B919" s="742">
        <f>Calculs!B991</f>
        <v>0</v>
      </c>
      <c r="C919" s="742">
        <f>Calculs!BY991</f>
        <v>0</v>
      </c>
      <c r="D919" s="742">
        <f>Calculs!BZ991</f>
        <v>0</v>
      </c>
      <c r="E919" s="742">
        <f>Calculs!CA991</f>
        <v>0</v>
      </c>
      <c r="F919" s="742">
        <f>Calculs!CB991</f>
        <v>0</v>
      </c>
      <c r="G919" s="742">
        <f>Calculs!CC991</f>
        <v>0</v>
      </c>
      <c r="H919" s="742"/>
      <c r="I919" s="742">
        <f>Calculs!CE991</f>
        <v>0</v>
      </c>
      <c r="J919" s="742">
        <f>Calculs!CF991</f>
        <v>0</v>
      </c>
      <c r="K919" s="742"/>
      <c r="L919" s="742">
        <f>Calculs!CH991</f>
        <v>0</v>
      </c>
    </row>
    <row r="920" spans="2:12">
      <c r="B920" s="742">
        <f>Calculs!B992</f>
        <v>0</v>
      </c>
      <c r="C920" s="742">
        <f>Calculs!BY992</f>
        <v>0</v>
      </c>
      <c r="D920" s="742">
        <f>Calculs!BZ992</f>
        <v>0</v>
      </c>
      <c r="E920" s="742">
        <f>Calculs!CA992</f>
        <v>0</v>
      </c>
      <c r="F920" s="742">
        <f>Calculs!CB992</f>
        <v>0</v>
      </c>
      <c r="G920" s="742">
        <f>Calculs!CC992</f>
        <v>0</v>
      </c>
      <c r="H920" s="742"/>
      <c r="I920" s="742">
        <f>Calculs!CE992</f>
        <v>0</v>
      </c>
      <c r="J920" s="742">
        <f>Calculs!CF992</f>
        <v>0</v>
      </c>
      <c r="K920" s="742"/>
      <c r="L920" s="742">
        <f>Calculs!CH992</f>
        <v>0</v>
      </c>
    </row>
    <row r="921" spans="2:12">
      <c r="B921" s="742">
        <f>Calculs!B993</f>
        <v>0</v>
      </c>
      <c r="C921" s="742">
        <f>Calculs!BY993</f>
        <v>0</v>
      </c>
      <c r="D921" s="742">
        <f>Calculs!BZ993</f>
        <v>0</v>
      </c>
      <c r="E921" s="742">
        <f>Calculs!CA993</f>
        <v>0</v>
      </c>
      <c r="F921" s="742">
        <f>Calculs!CB993</f>
        <v>0</v>
      </c>
      <c r="G921" s="742">
        <f>Calculs!CC993</f>
        <v>0</v>
      </c>
      <c r="H921" s="742"/>
      <c r="I921" s="742">
        <f>Calculs!CE993</f>
        <v>0</v>
      </c>
      <c r="J921" s="742">
        <f>Calculs!CF993</f>
        <v>0</v>
      </c>
      <c r="K921" s="742"/>
      <c r="L921" s="742">
        <f>Calculs!CH993</f>
        <v>0</v>
      </c>
    </row>
    <row r="922" spans="2:12">
      <c r="B922" s="742">
        <f>Calculs!B994</f>
        <v>0</v>
      </c>
      <c r="C922" s="742">
        <f>Calculs!BY994</f>
        <v>0</v>
      </c>
      <c r="D922" s="742">
        <f>Calculs!BZ994</f>
        <v>0</v>
      </c>
      <c r="E922" s="742">
        <f>Calculs!CA994</f>
        <v>0</v>
      </c>
      <c r="F922" s="742">
        <f>Calculs!CB994</f>
        <v>0</v>
      </c>
      <c r="G922" s="742">
        <f>Calculs!CC994</f>
        <v>0</v>
      </c>
      <c r="H922" s="742"/>
      <c r="I922" s="742">
        <f>Calculs!CE994</f>
        <v>0</v>
      </c>
      <c r="J922" s="742">
        <f>Calculs!CF994</f>
        <v>0</v>
      </c>
      <c r="K922" s="742"/>
      <c r="L922" s="742">
        <f>Calculs!CH994</f>
        <v>0</v>
      </c>
    </row>
    <row r="923" spans="2:12">
      <c r="B923" s="742">
        <f>Calculs!B995</f>
        <v>0</v>
      </c>
      <c r="C923" s="742">
        <f>Calculs!BY995</f>
        <v>0</v>
      </c>
      <c r="D923" s="742">
        <f>Calculs!BZ995</f>
        <v>0</v>
      </c>
      <c r="E923" s="742">
        <f>Calculs!CA995</f>
        <v>0</v>
      </c>
      <c r="F923" s="742">
        <f>Calculs!CB995</f>
        <v>0</v>
      </c>
      <c r="G923" s="742">
        <f>Calculs!CC995</f>
        <v>0</v>
      </c>
      <c r="H923" s="742"/>
      <c r="I923" s="742">
        <f>Calculs!CE995</f>
        <v>0</v>
      </c>
      <c r="J923" s="742">
        <f>Calculs!CF995</f>
        <v>0</v>
      </c>
      <c r="K923" s="742"/>
      <c r="L923" s="742">
        <f>Calculs!CH995</f>
        <v>0</v>
      </c>
    </row>
    <row r="924" spans="2:12">
      <c r="B924" s="742">
        <f>Calculs!B996</f>
        <v>0</v>
      </c>
      <c r="C924" s="742">
        <f>Calculs!BY996</f>
        <v>0</v>
      </c>
      <c r="D924" s="742">
        <f>Calculs!BZ996</f>
        <v>0</v>
      </c>
      <c r="E924" s="742">
        <f>Calculs!CA996</f>
        <v>0</v>
      </c>
      <c r="F924" s="742">
        <f>Calculs!CB996</f>
        <v>0</v>
      </c>
      <c r="G924" s="742">
        <f>Calculs!CC996</f>
        <v>0</v>
      </c>
      <c r="H924" s="742"/>
      <c r="I924" s="742">
        <f>Calculs!CE996</f>
        <v>0</v>
      </c>
      <c r="J924" s="742">
        <f>Calculs!CF996</f>
        <v>0</v>
      </c>
      <c r="K924" s="742"/>
      <c r="L924" s="742">
        <f>Calculs!CH996</f>
        <v>0</v>
      </c>
    </row>
    <row r="925" spans="2:12">
      <c r="B925" s="742">
        <f>Calculs!B997</f>
        <v>0</v>
      </c>
      <c r="C925" s="742">
        <f>Calculs!BY997</f>
        <v>0</v>
      </c>
      <c r="D925" s="742">
        <f>Calculs!BZ997</f>
        <v>0</v>
      </c>
      <c r="E925" s="742">
        <f>Calculs!CA997</f>
        <v>0</v>
      </c>
      <c r="F925" s="742">
        <f>Calculs!CB997</f>
        <v>0</v>
      </c>
      <c r="G925" s="742">
        <f>Calculs!CC997</f>
        <v>0</v>
      </c>
      <c r="H925" s="742"/>
      <c r="I925" s="742">
        <f>Calculs!CE997</f>
        <v>0</v>
      </c>
      <c r="J925" s="742">
        <f>Calculs!CF997</f>
        <v>0</v>
      </c>
      <c r="K925" s="742"/>
      <c r="L925" s="742">
        <f>Calculs!CH997</f>
        <v>0</v>
      </c>
    </row>
    <row r="926" spans="2:12">
      <c r="B926" s="742">
        <f>Calculs!B998</f>
        <v>0</v>
      </c>
      <c r="C926" s="742">
        <f>Calculs!BY998</f>
        <v>0</v>
      </c>
      <c r="D926" s="742">
        <f>Calculs!BZ998</f>
        <v>0</v>
      </c>
      <c r="E926" s="742">
        <f>Calculs!CA998</f>
        <v>0</v>
      </c>
      <c r="F926" s="742">
        <f>Calculs!CB998</f>
        <v>0</v>
      </c>
      <c r="G926" s="742">
        <f>Calculs!CC998</f>
        <v>0</v>
      </c>
      <c r="H926" s="742"/>
      <c r="I926" s="742">
        <f>Calculs!CE998</f>
        <v>0</v>
      </c>
      <c r="J926" s="742">
        <f>Calculs!CF998</f>
        <v>0</v>
      </c>
      <c r="K926" s="742"/>
      <c r="L926" s="742">
        <f>Calculs!CH998</f>
        <v>0</v>
      </c>
    </row>
    <row r="927" spans="2:12">
      <c r="B927" s="742">
        <f>Calculs!B999</f>
        <v>0</v>
      </c>
      <c r="C927" s="742">
        <f>Calculs!BY999</f>
        <v>0</v>
      </c>
      <c r="D927" s="742">
        <f>Calculs!BZ999</f>
        <v>0</v>
      </c>
      <c r="E927" s="742">
        <f>Calculs!CA999</f>
        <v>0</v>
      </c>
      <c r="F927" s="742">
        <f>Calculs!CB999</f>
        <v>0</v>
      </c>
      <c r="G927" s="742">
        <f>Calculs!CC999</f>
        <v>0</v>
      </c>
      <c r="H927" s="742"/>
      <c r="I927" s="742">
        <f>Calculs!CE999</f>
        <v>0</v>
      </c>
      <c r="J927" s="742">
        <f>Calculs!CF999</f>
        <v>0</v>
      </c>
      <c r="K927" s="742"/>
      <c r="L927" s="742">
        <f>Calculs!CH999</f>
        <v>0</v>
      </c>
    </row>
    <row r="928" spans="2:12">
      <c r="B928" s="742">
        <f>Calculs!B1000</f>
        <v>0</v>
      </c>
      <c r="C928" s="742">
        <f>Calculs!BY1000</f>
        <v>0</v>
      </c>
      <c r="D928" s="742">
        <f>Calculs!BZ1000</f>
        <v>0</v>
      </c>
      <c r="E928" s="742">
        <f>Calculs!CA1000</f>
        <v>0</v>
      </c>
      <c r="F928" s="742">
        <f>Calculs!CB1000</f>
        <v>0</v>
      </c>
      <c r="G928" s="742">
        <f>Calculs!CC1000</f>
        <v>0</v>
      </c>
      <c r="H928" s="742"/>
      <c r="I928" s="742">
        <f>Calculs!CE1000</f>
        <v>0</v>
      </c>
      <c r="J928" s="742">
        <f>Calculs!CF1000</f>
        <v>0</v>
      </c>
      <c r="K928" s="742"/>
      <c r="L928" s="742">
        <f>Calculs!CH1000</f>
        <v>0</v>
      </c>
    </row>
    <row r="929" spans="2:12">
      <c r="B929" s="742">
        <f>Calculs!B1001</f>
        <v>0</v>
      </c>
      <c r="C929" s="742">
        <f>Calculs!BY1001</f>
        <v>0</v>
      </c>
      <c r="D929" s="742">
        <f>Calculs!BZ1001</f>
        <v>0</v>
      </c>
      <c r="E929" s="742">
        <f>Calculs!CA1001</f>
        <v>0</v>
      </c>
      <c r="F929" s="742">
        <f>Calculs!CB1001</f>
        <v>0</v>
      </c>
      <c r="G929" s="742">
        <f>Calculs!CC1001</f>
        <v>0</v>
      </c>
      <c r="H929" s="742"/>
      <c r="I929" s="742">
        <f>Calculs!CE1001</f>
        <v>0</v>
      </c>
      <c r="J929" s="742">
        <f>Calculs!CF1001</f>
        <v>0</v>
      </c>
      <c r="K929" s="742"/>
      <c r="L929" s="742">
        <f>Calculs!CH1001</f>
        <v>0</v>
      </c>
    </row>
    <row r="930" spans="2:12">
      <c r="B930" s="742">
        <f>Calculs!B1002</f>
        <v>0</v>
      </c>
      <c r="C930" s="742">
        <f>Calculs!BY1002</f>
        <v>0</v>
      </c>
      <c r="D930" s="742">
        <f>Calculs!BZ1002</f>
        <v>0</v>
      </c>
      <c r="E930" s="742">
        <f>Calculs!CA1002</f>
        <v>0</v>
      </c>
      <c r="F930" s="742">
        <f>Calculs!CB1002</f>
        <v>0</v>
      </c>
      <c r="G930" s="742">
        <f>Calculs!CC1002</f>
        <v>0</v>
      </c>
      <c r="H930" s="742"/>
      <c r="I930" s="742">
        <f>Calculs!CE1002</f>
        <v>0</v>
      </c>
      <c r="J930" s="742">
        <f>Calculs!CF1002</f>
        <v>0</v>
      </c>
      <c r="K930" s="742"/>
      <c r="L930" s="742">
        <f>Calculs!CH1002</f>
        <v>0</v>
      </c>
    </row>
    <row r="931" spans="2:12">
      <c r="B931" s="742">
        <f>Calculs!B1003</f>
        <v>0</v>
      </c>
      <c r="C931" s="742">
        <f>Calculs!BY1003</f>
        <v>0</v>
      </c>
      <c r="D931" s="742">
        <f>Calculs!BZ1003</f>
        <v>0</v>
      </c>
      <c r="E931" s="742">
        <f>Calculs!CA1003</f>
        <v>0</v>
      </c>
      <c r="F931" s="742">
        <f>Calculs!CB1003</f>
        <v>0</v>
      </c>
      <c r="G931" s="742">
        <f>Calculs!CC1003</f>
        <v>0</v>
      </c>
      <c r="H931" s="742"/>
      <c r="I931" s="742">
        <f>Calculs!CE1003</f>
        <v>0</v>
      </c>
      <c r="J931" s="742">
        <f>Calculs!CF1003</f>
        <v>0</v>
      </c>
      <c r="K931" s="742"/>
      <c r="L931" s="742">
        <f>Calculs!CH1003</f>
        <v>0</v>
      </c>
    </row>
    <row r="932" spans="2:12">
      <c r="B932" s="742">
        <f>Calculs!B1004</f>
        <v>0</v>
      </c>
      <c r="C932" s="742">
        <f>Calculs!BY1004</f>
        <v>0</v>
      </c>
      <c r="D932" s="742">
        <f>Calculs!BZ1004</f>
        <v>0</v>
      </c>
      <c r="E932" s="742">
        <f>Calculs!CA1004</f>
        <v>0</v>
      </c>
      <c r="F932" s="742">
        <f>Calculs!CB1004</f>
        <v>0</v>
      </c>
      <c r="G932" s="742">
        <f>Calculs!CC1004</f>
        <v>0</v>
      </c>
      <c r="H932" s="742"/>
      <c r="I932" s="742">
        <f>Calculs!CE1004</f>
        <v>0</v>
      </c>
      <c r="J932" s="742">
        <f>Calculs!CF1004</f>
        <v>0</v>
      </c>
      <c r="K932" s="742"/>
      <c r="L932" s="742">
        <f>Calculs!CH1004</f>
        <v>0</v>
      </c>
    </row>
    <row r="933" spans="2:12">
      <c r="B933" s="742">
        <f>Calculs!B1005</f>
        <v>0</v>
      </c>
      <c r="C933" s="742">
        <f>Calculs!BY1005</f>
        <v>0</v>
      </c>
      <c r="D933" s="742">
        <f>Calculs!BZ1005</f>
        <v>0</v>
      </c>
      <c r="E933" s="742">
        <f>Calculs!CA1005</f>
        <v>0</v>
      </c>
      <c r="F933" s="742">
        <f>Calculs!CB1005</f>
        <v>0</v>
      </c>
      <c r="G933" s="742">
        <f>Calculs!CC1005</f>
        <v>0</v>
      </c>
      <c r="H933" s="742"/>
      <c r="I933" s="742">
        <f>Calculs!CE1005</f>
        <v>0</v>
      </c>
      <c r="J933" s="742">
        <f>Calculs!CF1005</f>
        <v>0</v>
      </c>
      <c r="K933" s="742"/>
      <c r="L933" s="742">
        <f>Calculs!CH1005</f>
        <v>0</v>
      </c>
    </row>
    <row r="934" spans="2:12">
      <c r="B934" s="742">
        <f>Calculs!B1006</f>
        <v>0</v>
      </c>
      <c r="C934" s="742">
        <f>Calculs!BY1006</f>
        <v>0</v>
      </c>
      <c r="D934" s="742">
        <f>Calculs!BZ1006</f>
        <v>0</v>
      </c>
      <c r="E934" s="742">
        <f>Calculs!CA1006</f>
        <v>0</v>
      </c>
      <c r="F934" s="742">
        <f>Calculs!CB1006</f>
        <v>0</v>
      </c>
      <c r="G934" s="742">
        <f>Calculs!CC1006</f>
        <v>0</v>
      </c>
      <c r="H934" s="742"/>
      <c r="I934" s="742">
        <f>Calculs!CE1006</f>
        <v>0</v>
      </c>
      <c r="J934" s="742">
        <f>Calculs!CF1006</f>
        <v>0</v>
      </c>
      <c r="K934" s="742"/>
      <c r="L934" s="742">
        <f>Calculs!CH1006</f>
        <v>0</v>
      </c>
    </row>
    <row r="935" spans="2:12">
      <c r="B935" s="742">
        <f>Calculs!B1007</f>
        <v>0</v>
      </c>
      <c r="C935" s="742">
        <f>Calculs!BY1007</f>
        <v>0</v>
      </c>
      <c r="D935" s="742">
        <f>Calculs!BZ1007</f>
        <v>0</v>
      </c>
      <c r="E935" s="742">
        <f>Calculs!CA1007</f>
        <v>0</v>
      </c>
      <c r="F935" s="742">
        <f>Calculs!CB1007</f>
        <v>0</v>
      </c>
      <c r="G935" s="742">
        <f>Calculs!CC1007</f>
        <v>0</v>
      </c>
      <c r="H935" s="742"/>
      <c r="I935" s="742">
        <f>Calculs!CE1007</f>
        <v>0</v>
      </c>
      <c r="J935" s="742">
        <f>Calculs!CF1007</f>
        <v>0</v>
      </c>
      <c r="K935" s="742"/>
      <c r="L935" s="742">
        <f>Calculs!CH1007</f>
        <v>0</v>
      </c>
    </row>
    <row r="936" spans="2:12">
      <c r="B936" s="742">
        <f>Calculs!B1008</f>
        <v>0</v>
      </c>
      <c r="C936" s="742">
        <f>Calculs!BY1008</f>
        <v>0</v>
      </c>
      <c r="D936" s="742">
        <f>Calculs!BZ1008</f>
        <v>0</v>
      </c>
      <c r="E936" s="742">
        <f>Calculs!CA1008</f>
        <v>0</v>
      </c>
      <c r="F936" s="742">
        <f>Calculs!CB1008</f>
        <v>0</v>
      </c>
      <c r="G936" s="742">
        <f>Calculs!CC1008</f>
        <v>0</v>
      </c>
      <c r="H936" s="742"/>
      <c r="I936" s="742">
        <f>Calculs!CE1008</f>
        <v>0</v>
      </c>
      <c r="J936" s="742">
        <f>Calculs!CF1008</f>
        <v>0</v>
      </c>
      <c r="K936" s="742"/>
      <c r="L936" s="742">
        <f>Calculs!CH1008</f>
        <v>0</v>
      </c>
    </row>
    <row r="937" spans="2:12">
      <c r="B937" s="742">
        <f>Calculs!B1009</f>
        <v>0</v>
      </c>
      <c r="C937" s="742">
        <f>Calculs!BY1009</f>
        <v>0</v>
      </c>
      <c r="D937" s="742">
        <f>Calculs!BZ1009</f>
        <v>0</v>
      </c>
      <c r="E937" s="742">
        <f>Calculs!CA1009</f>
        <v>0</v>
      </c>
      <c r="F937" s="742">
        <f>Calculs!CB1009</f>
        <v>0</v>
      </c>
      <c r="G937" s="742">
        <f>Calculs!CC1009</f>
        <v>0</v>
      </c>
      <c r="H937" s="742"/>
      <c r="I937" s="742">
        <f>Calculs!CE1009</f>
        <v>0</v>
      </c>
      <c r="J937" s="742">
        <f>Calculs!CF1009</f>
        <v>0</v>
      </c>
      <c r="K937" s="742"/>
      <c r="L937" s="742">
        <f>Calculs!CH1009</f>
        <v>0</v>
      </c>
    </row>
    <row r="938" spans="2:12">
      <c r="B938" s="742">
        <f>Calculs!B1010</f>
        <v>0</v>
      </c>
      <c r="C938" s="742">
        <f>Calculs!BY1010</f>
        <v>0</v>
      </c>
      <c r="D938" s="742">
        <f>Calculs!BZ1010</f>
        <v>0</v>
      </c>
      <c r="E938" s="742">
        <f>Calculs!CA1010</f>
        <v>0</v>
      </c>
      <c r="F938" s="742">
        <f>Calculs!CB1010</f>
        <v>0</v>
      </c>
      <c r="G938" s="742">
        <f>Calculs!CC1010</f>
        <v>0</v>
      </c>
      <c r="H938" s="742"/>
      <c r="I938" s="742">
        <f>Calculs!CE1010</f>
        <v>0</v>
      </c>
      <c r="J938" s="742">
        <f>Calculs!CF1010</f>
        <v>0</v>
      </c>
      <c r="K938" s="742"/>
      <c r="L938" s="742">
        <f>Calculs!CH1010</f>
        <v>0</v>
      </c>
    </row>
    <row r="939" spans="2:12">
      <c r="B939" s="742">
        <f>Calculs!B1011</f>
        <v>0</v>
      </c>
      <c r="C939" s="742">
        <f>Calculs!BY1011</f>
        <v>0</v>
      </c>
      <c r="D939" s="742">
        <f>Calculs!BZ1011</f>
        <v>0</v>
      </c>
      <c r="E939" s="742">
        <f>Calculs!CA1011</f>
        <v>0</v>
      </c>
      <c r="F939" s="742">
        <f>Calculs!CB1011</f>
        <v>0</v>
      </c>
      <c r="G939" s="742">
        <f>Calculs!CC1011</f>
        <v>0</v>
      </c>
      <c r="H939" s="742"/>
      <c r="I939" s="742">
        <f>Calculs!CE1011</f>
        <v>0</v>
      </c>
      <c r="J939" s="742">
        <f>Calculs!CF1011</f>
        <v>0</v>
      </c>
      <c r="K939" s="742"/>
      <c r="L939" s="742">
        <f>Calculs!CH1011</f>
        <v>0</v>
      </c>
    </row>
    <row r="940" spans="2:12">
      <c r="B940" s="742">
        <f>Calculs!B1012</f>
        <v>0</v>
      </c>
      <c r="C940" s="742">
        <f>Calculs!BY1012</f>
        <v>0</v>
      </c>
      <c r="D940" s="742">
        <f>Calculs!BZ1012</f>
        <v>0</v>
      </c>
      <c r="E940" s="742">
        <f>Calculs!CA1012</f>
        <v>0</v>
      </c>
      <c r="F940" s="742">
        <f>Calculs!CB1012</f>
        <v>0</v>
      </c>
      <c r="G940" s="742">
        <f>Calculs!CC1012</f>
        <v>0</v>
      </c>
      <c r="H940" s="742"/>
      <c r="I940" s="742">
        <f>Calculs!CE1012</f>
        <v>0</v>
      </c>
      <c r="J940" s="742">
        <f>Calculs!CF1012</f>
        <v>0</v>
      </c>
      <c r="K940" s="742"/>
      <c r="L940" s="742">
        <f>Calculs!CH1012</f>
        <v>0</v>
      </c>
    </row>
    <row r="941" spans="2:12">
      <c r="B941" s="742">
        <f>Calculs!B1013</f>
        <v>0</v>
      </c>
      <c r="C941" s="742">
        <f>Calculs!BY1013</f>
        <v>0</v>
      </c>
      <c r="D941" s="742">
        <f>Calculs!BZ1013</f>
        <v>0</v>
      </c>
      <c r="E941" s="742">
        <f>Calculs!CA1013</f>
        <v>0</v>
      </c>
      <c r="F941" s="742">
        <f>Calculs!CB1013</f>
        <v>0</v>
      </c>
      <c r="G941" s="742">
        <f>Calculs!CC1013</f>
        <v>0</v>
      </c>
      <c r="H941" s="742"/>
      <c r="I941" s="742">
        <f>Calculs!CE1013</f>
        <v>0</v>
      </c>
      <c r="J941" s="742">
        <f>Calculs!CF1013</f>
        <v>0</v>
      </c>
      <c r="K941" s="742"/>
      <c r="L941" s="742">
        <f>Calculs!CH1013</f>
        <v>0</v>
      </c>
    </row>
    <row r="942" spans="2:12">
      <c r="B942" s="742">
        <f>Calculs!B1014</f>
        <v>0</v>
      </c>
      <c r="C942" s="742">
        <f>Calculs!BY1014</f>
        <v>0</v>
      </c>
      <c r="D942" s="742">
        <f>Calculs!BZ1014</f>
        <v>0</v>
      </c>
      <c r="E942" s="742">
        <f>Calculs!CA1014</f>
        <v>0</v>
      </c>
      <c r="F942" s="742">
        <f>Calculs!CB1014</f>
        <v>0</v>
      </c>
      <c r="G942" s="742">
        <f>Calculs!CC1014</f>
        <v>0</v>
      </c>
      <c r="H942" s="742"/>
      <c r="I942" s="742">
        <f>Calculs!CE1014</f>
        <v>0</v>
      </c>
      <c r="J942" s="742">
        <f>Calculs!CF1014</f>
        <v>0</v>
      </c>
      <c r="K942" s="742"/>
      <c r="L942" s="742">
        <f>Calculs!CH1014</f>
        <v>0</v>
      </c>
    </row>
    <row r="943" spans="2:12">
      <c r="B943" s="742">
        <f>Calculs!B1015</f>
        <v>0</v>
      </c>
      <c r="C943" s="742">
        <f>Calculs!BY1015</f>
        <v>0</v>
      </c>
      <c r="D943" s="742">
        <f>Calculs!BZ1015</f>
        <v>0</v>
      </c>
      <c r="E943" s="742">
        <f>Calculs!CA1015</f>
        <v>0</v>
      </c>
      <c r="F943" s="742">
        <f>Calculs!CB1015</f>
        <v>0</v>
      </c>
      <c r="G943" s="742">
        <f>Calculs!CC1015</f>
        <v>0</v>
      </c>
      <c r="H943" s="742"/>
      <c r="I943" s="742">
        <f>Calculs!CE1015</f>
        <v>0</v>
      </c>
      <c r="J943" s="742">
        <f>Calculs!CF1015</f>
        <v>0</v>
      </c>
      <c r="K943" s="742"/>
      <c r="L943" s="742">
        <f>Calculs!CH1015</f>
        <v>0</v>
      </c>
    </row>
    <row r="944" spans="2:12">
      <c r="B944" s="742">
        <f>Calculs!B1016</f>
        <v>0</v>
      </c>
      <c r="C944" s="742">
        <f>Calculs!BY1016</f>
        <v>0</v>
      </c>
      <c r="D944" s="742">
        <f>Calculs!BZ1016</f>
        <v>0</v>
      </c>
      <c r="E944" s="742">
        <f>Calculs!CA1016</f>
        <v>0</v>
      </c>
      <c r="F944" s="742">
        <f>Calculs!CB1016</f>
        <v>0</v>
      </c>
      <c r="G944" s="742">
        <f>Calculs!CC1016</f>
        <v>0</v>
      </c>
      <c r="H944" s="742"/>
      <c r="I944" s="742">
        <f>Calculs!CE1016</f>
        <v>0</v>
      </c>
      <c r="J944" s="742">
        <f>Calculs!CF1016</f>
        <v>0</v>
      </c>
      <c r="K944" s="742"/>
      <c r="L944" s="742">
        <f>Calculs!CH1016</f>
        <v>0</v>
      </c>
    </row>
    <row r="945" spans="2:12">
      <c r="B945" s="742">
        <f>Calculs!B1017</f>
        <v>0</v>
      </c>
      <c r="C945" s="742">
        <f>Calculs!BY1017</f>
        <v>0</v>
      </c>
      <c r="D945" s="742">
        <f>Calculs!BZ1017</f>
        <v>0</v>
      </c>
      <c r="E945" s="742">
        <f>Calculs!CA1017</f>
        <v>0</v>
      </c>
      <c r="F945" s="742">
        <f>Calculs!CB1017</f>
        <v>0</v>
      </c>
      <c r="G945" s="742">
        <f>Calculs!CC1017</f>
        <v>0</v>
      </c>
      <c r="H945" s="742"/>
      <c r="I945" s="742">
        <f>Calculs!CE1017</f>
        <v>0</v>
      </c>
      <c r="J945" s="742">
        <f>Calculs!CF1017</f>
        <v>0</v>
      </c>
      <c r="K945" s="742"/>
      <c r="L945" s="742">
        <f>Calculs!CH1017</f>
        <v>0</v>
      </c>
    </row>
    <row r="946" spans="2:12">
      <c r="B946" s="742">
        <f>Calculs!B1018</f>
        <v>0</v>
      </c>
      <c r="C946" s="742">
        <f>Calculs!BY1018</f>
        <v>0</v>
      </c>
      <c r="D946" s="742">
        <f>Calculs!BZ1018</f>
        <v>0</v>
      </c>
      <c r="E946" s="742">
        <f>Calculs!CA1018</f>
        <v>0</v>
      </c>
      <c r="F946" s="742">
        <f>Calculs!CB1018</f>
        <v>0</v>
      </c>
      <c r="G946" s="742">
        <f>Calculs!CC1018</f>
        <v>0</v>
      </c>
      <c r="H946" s="742"/>
      <c r="I946" s="742">
        <f>Calculs!CE1018</f>
        <v>0</v>
      </c>
      <c r="J946" s="742">
        <f>Calculs!CF1018</f>
        <v>0</v>
      </c>
      <c r="K946" s="742"/>
      <c r="L946" s="742">
        <f>Calculs!CH1018</f>
        <v>0</v>
      </c>
    </row>
    <row r="947" spans="2:12">
      <c r="B947" s="742">
        <f>Calculs!B1019</f>
        <v>0</v>
      </c>
      <c r="C947" s="742">
        <f>Calculs!BY1019</f>
        <v>0</v>
      </c>
      <c r="D947" s="742">
        <f>Calculs!BZ1019</f>
        <v>0</v>
      </c>
      <c r="E947" s="742">
        <f>Calculs!CA1019</f>
        <v>0</v>
      </c>
      <c r="F947" s="742">
        <f>Calculs!CB1019</f>
        <v>0</v>
      </c>
      <c r="G947" s="742">
        <f>Calculs!CC1019</f>
        <v>0</v>
      </c>
      <c r="H947" s="742"/>
      <c r="I947" s="742">
        <f>Calculs!CE1019</f>
        <v>0</v>
      </c>
      <c r="J947" s="742">
        <f>Calculs!CF1019</f>
        <v>0</v>
      </c>
      <c r="K947" s="742"/>
      <c r="L947" s="742">
        <f>Calculs!CH1019</f>
        <v>0</v>
      </c>
    </row>
    <row r="948" spans="2:12">
      <c r="B948" s="742">
        <f>Calculs!B1020</f>
        <v>0</v>
      </c>
      <c r="C948" s="742">
        <f>Calculs!BY1020</f>
        <v>0</v>
      </c>
      <c r="D948" s="742">
        <f>Calculs!BZ1020</f>
        <v>0</v>
      </c>
      <c r="E948" s="742">
        <f>Calculs!CA1020</f>
        <v>0</v>
      </c>
      <c r="F948" s="742">
        <f>Calculs!CB1020</f>
        <v>0</v>
      </c>
      <c r="G948" s="742">
        <f>Calculs!CC1020</f>
        <v>0</v>
      </c>
      <c r="H948" s="742"/>
      <c r="I948" s="742">
        <f>Calculs!CE1020</f>
        <v>0</v>
      </c>
      <c r="J948" s="742">
        <f>Calculs!CF1020</f>
        <v>0</v>
      </c>
      <c r="K948" s="742"/>
      <c r="L948" s="742">
        <f>Calculs!CH1020</f>
        <v>0</v>
      </c>
    </row>
    <row r="949" spans="2:12">
      <c r="B949" s="742">
        <f>Calculs!B1021</f>
        <v>0</v>
      </c>
      <c r="C949" s="742">
        <f>Calculs!BY1021</f>
        <v>0</v>
      </c>
      <c r="D949" s="742">
        <f>Calculs!BZ1021</f>
        <v>0</v>
      </c>
      <c r="E949" s="742">
        <f>Calculs!CA1021</f>
        <v>0</v>
      </c>
      <c r="F949" s="742">
        <f>Calculs!CB1021</f>
        <v>0</v>
      </c>
      <c r="G949" s="742">
        <f>Calculs!CC1021</f>
        <v>0</v>
      </c>
      <c r="H949" s="742"/>
      <c r="I949" s="742">
        <f>Calculs!CE1021</f>
        <v>0</v>
      </c>
      <c r="J949" s="742">
        <f>Calculs!CF1021</f>
        <v>0</v>
      </c>
      <c r="K949" s="742"/>
      <c r="L949" s="742">
        <f>Calculs!CH1021</f>
        <v>0</v>
      </c>
    </row>
    <row r="950" spans="2:12">
      <c r="B950" s="742">
        <f>Calculs!B1022</f>
        <v>0</v>
      </c>
      <c r="C950" s="742">
        <f>Calculs!BY1022</f>
        <v>0</v>
      </c>
      <c r="D950" s="742">
        <f>Calculs!BZ1022</f>
        <v>0</v>
      </c>
      <c r="E950" s="742">
        <f>Calculs!CA1022</f>
        <v>0</v>
      </c>
      <c r="F950" s="742">
        <f>Calculs!CB1022</f>
        <v>0</v>
      </c>
      <c r="G950" s="742">
        <f>Calculs!CC1022</f>
        <v>0</v>
      </c>
      <c r="H950" s="742"/>
      <c r="I950" s="742">
        <f>Calculs!CE1022</f>
        <v>0</v>
      </c>
      <c r="J950" s="742">
        <f>Calculs!CF1022</f>
        <v>0</v>
      </c>
      <c r="K950" s="742"/>
      <c r="L950" s="742">
        <f>Calculs!CH1022</f>
        <v>0</v>
      </c>
    </row>
    <row r="951" spans="2:12">
      <c r="B951" s="742">
        <f>Calculs!B1023</f>
        <v>0</v>
      </c>
      <c r="C951" s="742">
        <f>Calculs!BY1023</f>
        <v>0</v>
      </c>
      <c r="D951" s="742">
        <f>Calculs!BZ1023</f>
        <v>0</v>
      </c>
      <c r="E951" s="742">
        <f>Calculs!CA1023</f>
        <v>0</v>
      </c>
      <c r="F951" s="742">
        <f>Calculs!CB1023</f>
        <v>0</v>
      </c>
      <c r="G951" s="742">
        <f>Calculs!CC1023</f>
        <v>0</v>
      </c>
      <c r="H951" s="742"/>
      <c r="I951" s="742">
        <f>Calculs!CE1023</f>
        <v>0</v>
      </c>
      <c r="J951" s="742">
        <f>Calculs!CF1023</f>
        <v>0</v>
      </c>
      <c r="K951" s="742"/>
      <c r="L951" s="742">
        <f>Calculs!CH1023</f>
        <v>0</v>
      </c>
    </row>
    <row r="952" spans="2:12">
      <c r="B952" s="742">
        <f>Calculs!B1024</f>
        <v>0</v>
      </c>
      <c r="C952" s="742">
        <f>Calculs!BY1024</f>
        <v>0</v>
      </c>
      <c r="D952" s="742">
        <f>Calculs!BZ1024</f>
        <v>0</v>
      </c>
      <c r="E952" s="742">
        <f>Calculs!CA1024</f>
        <v>0</v>
      </c>
      <c r="F952" s="742">
        <f>Calculs!CB1024</f>
        <v>0</v>
      </c>
      <c r="G952" s="742">
        <f>Calculs!CC1024</f>
        <v>0</v>
      </c>
      <c r="H952" s="742"/>
      <c r="I952" s="742">
        <f>Calculs!CE1024</f>
        <v>0</v>
      </c>
      <c r="J952" s="742">
        <f>Calculs!CF1024</f>
        <v>0</v>
      </c>
      <c r="K952" s="742"/>
      <c r="L952" s="742">
        <f>Calculs!CH1024</f>
        <v>0</v>
      </c>
    </row>
    <row r="953" spans="2:12">
      <c r="B953" s="742">
        <f>Calculs!B1025</f>
        <v>0</v>
      </c>
      <c r="C953" s="742">
        <f>Calculs!BY1025</f>
        <v>0</v>
      </c>
      <c r="D953" s="742">
        <f>Calculs!BZ1025</f>
        <v>0</v>
      </c>
      <c r="E953" s="742">
        <f>Calculs!CA1025</f>
        <v>0</v>
      </c>
      <c r="F953" s="742">
        <f>Calculs!CB1025</f>
        <v>0</v>
      </c>
      <c r="G953" s="742">
        <f>Calculs!CC1025</f>
        <v>0</v>
      </c>
      <c r="H953" s="742"/>
      <c r="I953" s="742">
        <f>Calculs!CE1025</f>
        <v>0</v>
      </c>
      <c r="J953" s="742">
        <f>Calculs!CF1025</f>
        <v>0</v>
      </c>
      <c r="K953" s="742"/>
      <c r="L953" s="742">
        <f>Calculs!CH1025</f>
        <v>0</v>
      </c>
    </row>
    <row r="954" spans="2:12">
      <c r="B954" s="742">
        <f>Calculs!B1026</f>
        <v>0</v>
      </c>
      <c r="C954" s="742">
        <f>Calculs!BY1026</f>
        <v>0</v>
      </c>
      <c r="D954" s="742">
        <f>Calculs!BZ1026</f>
        <v>0</v>
      </c>
      <c r="E954" s="742">
        <f>Calculs!CA1026</f>
        <v>0</v>
      </c>
      <c r="F954" s="742">
        <f>Calculs!CB1026</f>
        <v>0</v>
      </c>
      <c r="G954" s="742">
        <f>Calculs!CC1026</f>
        <v>0</v>
      </c>
      <c r="H954" s="742"/>
      <c r="I954" s="742">
        <f>Calculs!CE1026</f>
        <v>0</v>
      </c>
      <c r="J954" s="742">
        <f>Calculs!CF1026</f>
        <v>0</v>
      </c>
      <c r="K954" s="742"/>
      <c r="L954" s="742">
        <f>Calculs!CH1026</f>
        <v>0</v>
      </c>
    </row>
    <row r="955" spans="2:12">
      <c r="B955" s="742">
        <f>Calculs!B1027</f>
        <v>0</v>
      </c>
      <c r="C955" s="742">
        <f>Calculs!BY1027</f>
        <v>0</v>
      </c>
      <c r="D955" s="742">
        <f>Calculs!BZ1027</f>
        <v>0</v>
      </c>
      <c r="E955" s="742">
        <f>Calculs!CA1027</f>
        <v>0</v>
      </c>
      <c r="F955" s="742">
        <f>Calculs!CB1027</f>
        <v>0</v>
      </c>
      <c r="G955" s="742">
        <f>Calculs!CC1027</f>
        <v>0</v>
      </c>
      <c r="H955" s="742"/>
      <c r="I955" s="742">
        <f>Calculs!CE1027</f>
        <v>0</v>
      </c>
      <c r="J955" s="742">
        <f>Calculs!CF1027</f>
        <v>0</v>
      </c>
      <c r="K955" s="742"/>
      <c r="L955" s="742">
        <f>Calculs!CH1027</f>
        <v>0</v>
      </c>
    </row>
    <row r="956" spans="2:12">
      <c r="B956" s="742">
        <f>Calculs!B1028</f>
        <v>0</v>
      </c>
      <c r="C956" s="742">
        <f>Calculs!BY1028</f>
        <v>0</v>
      </c>
      <c r="D956" s="742">
        <f>Calculs!BZ1028</f>
        <v>0</v>
      </c>
      <c r="E956" s="742">
        <f>Calculs!CA1028</f>
        <v>0</v>
      </c>
      <c r="F956" s="742">
        <f>Calculs!CB1028</f>
        <v>0</v>
      </c>
      <c r="G956" s="742">
        <f>Calculs!CC1028</f>
        <v>0</v>
      </c>
      <c r="H956" s="742"/>
      <c r="I956" s="742">
        <f>Calculs!CE1028</f>
        <v>0</v>
      </c>
      <c r="J956" s="742">
        <f>Calculs!CF1028</f>
        <v>0</v>
      </c>
      <c r="K956" s="742"/>
      <c r="L956" s="742">
        <f>Calculs!CH1028</f>
        <v>0</v>
      </c>
    </row>
    <row r="957" spans="2:12">
      <c r="B957" s="742">
        <f>Calculs!B1029</f>
        <v>0</v>
      </c>
      <c r="C957" s="742">
        <f>Calculs!BY1029</f>
        <v>0</v>
      </c>
      <c r="D957" s="742">
        <f>Calculs!BZ1029</f>
        <v>0</v>
      </c>
      <c r="E957" s="742">
        <f>Calculs!CA1029</f>
        <v>0</v>
      </c>
      <c r="F957" s="742">
        <f>Calculs!CB1029</f>
        <v>0</v>
      </c>
      <c r="G957" s="742">
        <f>Calculs!CC1029</f>
        <v>0</v>
      </c>
      <c r="H957" s="742"/>
      <c r="I957" s="742">
        <f>Calculs!CE1029</f>
        <v>0</v>
      </c>
      <c r="J957" s="742">
        <f>Calculs!CF1029</f>
        <v>0</v>
      </c>
      <c r="K957" s="742"/>
      <c r="L957" s="742">
        <f>Calculs!CH1029</f>
        <v>0</v>
      </c>
    </row>
    <row r="958" spans="2:12">
      <c r="B958" s="742">
        <f>Calculs!B1030</f>
        <v>0</v>
      </c>
      <c r="C958" s="742">
        <f>Calculs!BY1030</f>
        <v>0</v>
      </c>
      <c r="D958" s="742">
        <f>Calculs!BZ1030</f>
        <v>0</v>
      </c>
      <c r="E958" s="742">
        <f>Calculs!CA1030</f>
        <v>0</v>
      </c>
      <c r="F958" s="742">
        <f>Calculs!CB1030</f>
        <v>0</v>
      </c>
      <c r="G958" s="742">
        <f>Calculs!CC1030</f>
        <v>0</v>
      </c>
      <c r="H958" s="742"/>
      <c r="I958" s="742">
        <f>Calculs!CE1030</f>
        <v>0</v>
      </c>
      <c r="J958" s="742">
        <f>Calculs!CF1030</f>
        <v>0</v>
      </c>
      <c r="K958" s="742"/>
      <c r="L958" s="742">
        <f>Calculs!CH1030</f>
        <v>0</v>
      </c>
    </row>
    <row r="959" spans="2:12">
      <c r="B959" s="742">
        <f>Calculs!B1031</f>
        <v>0</v>
      </c>
      <c r="C959" s="742">
        <f>Calculs!BY1031</f>
        <v>0</v>
      </c>
      <c r="D959" s="742">
        <f>Calculs!BZ1031</f>
        <v>0</v>
      </c>
      <c r="E959" s="742">
        <f>Calculs!CA1031</f>
        <v>0</v>
      </c>
      <c r="F959" s="742">
        <f>Calculs!CB1031</f>
        <v>0</v>
      </c>
      <c r="G959" s="742">
        <f>Calculs!CC1031</f>
        <v>0</v>
      </c>
      <c r="H959" s="742"/>
      <c r="I959" s="742">
        <f>Calculs!CE1031</f>
        <v>0</v>
      </c>
      <c r="J959" s="742">
        <f>Calculs!CF1031</f>
        <v>0</v>
      </c>
      <c r="K959" s="742"/>
      <c r="L959" s="742">
        <f>Calculs!CH1031</f>
        <v>0</v>
      </c>
    </row>
    <row r="960" spans="2:12">
      <c r="B960" s="742">
        <f>Calculs!B1032</f>
        <v>0</v>
      </c>
      <c r="C960" s="742">
        <f>Calculs!BY1032</f>
        <v>0</v>
      </c>
      <c r="D960" s="742">
        <f>Calculs!BZ1032</f>
        <v>0</v>
      </c>
      <c r="E960" s="742">
        <f>Calculs!CA1032</f>
        <v>0</v>
      </c>
      <c r="F960" s="742">
        <f>Calculs!CB1032</f>
        <v>0</v>
      </c>
      <c r="G960" s="742">
        <f>Calculs!CC1032</f>
        <v>0</v>
      </c>
      <c r="H960" s="742"/>
      <c r="I960" s="742">
        <f>Calculs!CE1032</f>
        <v>0</v>
      </c>
      <c r="J960" s="742">
        <f>Calculs!CF1032</f>
        <v>0</v>
      </c>
      <c r="K960" s="742"/>
      <c r="L960" s="742">
        <f>Calculs!CH1032</f>
        <v>0</v>
      </c>
    </row>
    <row r="961" spans="2:12">
      <c r="B961" s="742">
        <f>Calculs!B1033</f>
        <v>0</v>
      </c>
      <c r="C961" s="742">
        <f>Calculs!BY1033</f>
        <v>0</v>
      </c>
      <c r="D961" s="742">
        <f>Calculs!BZ1033</f>
        <v>0</v>
      </c>
      <c r="E961" s="742">
        <f>Calculs!CA1033</f>
        <v>0</v>
      </c>
      <c r="F961" s="742">
        <f>Calculs!CB1033</f>
        <v>0</v>
      </c>
      <c r="G961" s="742">
        <f>Calculs!CC1033</f>
        <v>0</v>
      </c>
      <c r="H961" s="742"/>
      <c r="I961" s="742">
        <f>Calculs!CE1033</f>
        <v>0</v>
      </c>
      <c r="J961" s="742">
        <f>Calculs!CF1033</f>
        <v>0</v>
      </c>
      <c r="K961" s="742"/>
      <c r="L961" s="742">
        <f>Calculs!CH1033</f>
        <v>0</v>
      </c>
    </row>
    <row r="962" spans="2:12">
      <c r="B962" s="742">
        <f>Calculs!B1034</f>
        <v>0</v>
      </c>
      <c r="C962" s="742">
        <f>Calculs!BY1034</f>
        <v>0</v>
      </c>
      <c r="D962" s="742">
        <f>Calculs!BZ1034</f>
        <v>0</v>
      </c>
      <c r="E962" s="742">
        <f>Calculs!CA1034</f>
        <v>0</v>
      </c>
      <c r="F962" s="742">
        <f>Calculs!CB1034</f>
        <v>0</v>
      </c>
      <c r="G962" s="742">
        <f>Calculs!CC1034</f>
        <v>0</v>
      </c>
      <c r="H962" s="742"/>
      <c r="I962" s="742">
        <f>Calculs!CE1034</f>
        <v>0</v>
      </c>
      <c r="J962" s="742">
        <f>Calculs!CF1034</f>
        <v>0</v>
      </c>
      <c r="K962" s="742"/>
      <c r="L962" s="742">
        <f>Calculs!CH1034</f>
        <v>0</v>
      </c>
    </row>
    <row r="963" spans="2:12">
      <c r="B963" s="742">
        <f>Calculs!B1035</f>
        <v>0</v>
      </c>
      <c r="C963" s="742">
        <f>Calculs!BY1035</f>
        <v>0</v>
      </c>
      <c r="D963" s="742">
        <f>Calculs!BZ1035</f>
        <v>0</v>
      </c>
      <c r="E963" s="742">
        <f>Calculs!CA1035</f>
        <v>0</v>
      </c>
      <c r="F963" s="742">
        <f>Calculs!CB1035</f>
        <v>0</v>
      </c>
      <c r="G963" s="742">
        <f>Calculs!CC1035</f>
        <v>0</v>
      </c>
      <c r="H963" s="742"/>
      <c r="I963" s="742">
        <f>Calculs!CE1035</f>
        <v>0</v>
      </c>
      <c r="J963" s="742">
        <f>Calculs!CF1035</f>
        <v>0</v>
      </c>
      <c r="K963" s="742"/>
      <c r="L963" s="742">
        <f>Calculs!CH1035</f>
        <v>0</v>
      </c>
    </row>
    <row r="964" spans="2:12">
      <c r="B964" s="742">
        <f>Calculs!B1036</f>
        <v>0</v>
      </c>
      <c r="C964" s="742">
        <f>Calculs!BY1036</f>
        <v>0</v>
      </c>
      <c r="D964" s="742">
        <f>Calculs!BZ1036</f>
        <v>0</v>
      </c>
      <c r="E964" s="742">
        <f>Calculs!CA1036</f>
        <v>0</v>
      </c>
      <c r="F964" s="742">
        <f>Calculs!CB1036</f>
        <v>0</v>
      </c>
      <c r="G964" s="742">
        <f>Calculs!CC1036</f>
        <v>0</v>
      </c>
      <c r="H964" s="742"/>
      <c r="I964" s="742">
        <f>Calculs!CE1036</f>
        <v>0</v>
      </c>
      <c r="J964" s="742">
        <f>Calculs!CF1036</f>
        <v>0</v>
      </c>
      <c r="K964" s="742"/>
      <c r="L964" s="742">
        <f>Calculs!CH1036</f>
        <v>0</v>
      </c>
    </row>
    <row r="965" spans="2:12">
      <c r="B965" s="742">
        <f>Calculs!B1037</f>
        <v>0</v>
      </c>
      <c r="C965" s="742">
        <f>Calculs!BY1037</f>
        <v>0</v>
      </c>
      <c r="D965" s="742">
        <f>Calculs!BZ1037</f>
        <v>0</v>
      </c>
      <c r="E965" s="742">
        <f>Calculs!CA1037</f>
        <v>0</v>
      </c>
      <c r="F965" s="742">
        <f>Calculs!CB1037</f>
        <v>0</v>
      </c>
      <c r="G965" s="742">
        <f>Calculs!CC1037</f>
        <v>0</v>
      </c>
      <c r="H965" s="742"/>
      <c r="I965" s="742">
        <f>Calculs!CE1037</f>
        <v>0</v>
      </c>
      <c r="J965" s="742">
        <f>Calculs!CF1037</f>
        <v>0</v>
      </c>
      <c r="K965" s="742"/>
      <c r="L965" s="742">
        <f>Calculs!CH1037</f>
        <v>0</v>
      </c>
    </row>
    <row r="966" spans="2:12">
      <c r="B966" s="742">
        <f>Calculs!B1038</f>
        <v>0</v>
      </c>
      <c r="C966" s="742">
        <f>Calculs!BY1038</f>
        <v>0</v>
      </c>
      <c r="D966" s="742">
        <f>Calculs!BZ1038</f>
        <v>0</v>
      </c>
      <c r="E966" s="742">
        <f>Calculs!CA1038</f>
        <v>0</v>
      </c>
      <c r="F966" s="742">
        <f>Calculs!CB1038</f>
        <v>0</v>
      </c>
      <c r="G966" s="742">
        <f>Calculs!CC1038</f>
        <v>0</v>
      </c>
      <c r="H966" s="742"/>
      <c r="I966" s="742">
        <f>Calculs!CE1038</f>
        <v>0</v>
      </c>
      <c r="J966" s="742">
        <f>Calculs!CF1038</f>
        <v>0</v>
      </c>
      <c r="K966" s="742"/>
      <c r="L966" s="742">
        <f>Calculs!CH1038</f>
        <v>0</v>
      </c>
    </row>
    <row r="967" spans="2:12">
      <c r="B967" s="742">
        <f>Calculs!B1039</f>
        <v>0</v>
      </c>
      <c r="C967" s="742">
        <f>Calculs!BY1039</f>
        <v>0</v>
      </c>
      <c r="D967" s="742">
        <f>Calculs!BZ1039</f>
        <v>0</v>
      </c>
      <c r="E967" s="742">
        <f>Calculs!CA1039</f>
        <v>0</v>
      </c>
      <c r="F967" s="742">
        <f>Calculs!CB1039</f>
        <v>0</v>
      </c>
      <c r="G967" s="742">
        <f>Calculs!CC1039</f>
        <v>0</v>
      </c>
      <c r="H967" s="742"/>
      <c r="I967" s="742">
        <f>Calculs!CE1039</f>
        <v>0</v>
      </c>
      <c r="J967" s="742">
        <f>Calculs!CF1039</f>
        <v>0</v>
      </c>
      <c r="K967" s="742"/>
      <c r="L967" s="742">
        <f>Calculs!CH1039</f>
        <v>0</v>
      </c>
    </row>
    <row r="968" spans="2:12">
      <c r="B968" s="742">
        <f>Calculs!B1040</f>
        <v>0</v>
      </c>
      <c r="C968" s="742">
        <f>Calculs!BY1040</f>
        <v>0</v>
      </c>
      <c r="D968" s="742">
        <f>Calculs!BZ1040</f>
        <v>0</v>
      </c>
      <c r="E968" s="742">
        <f>Calculs!CA1040</f>
        <v>0</v>
      </c>
      <c r="F968" s="742">
        <f>Calculs!CB1040</f>
        <v>0</v>
      </c>
      <c r="G968" s="742">
        <f>Calculs!CC1040</f>
        <v>0</v>
      </c>
      <c r="H968" s="742"/>
      <c r="I968" s="742">
        <f>Calculs!CE1040</f>
        <v>0</v>
      </c>
      <c r="J968" s="742">
        <f>Calculs!CF1040</f>
        <v>0</v>
      </c>
      <c r="K968" s="742"/>
      <c r="L968" s="742">
        <f>Calculs!CH1040</f>
        <v>0</v>
      </c>
    </row>
    <row r="969" spans="2:12">
      <c r="B969" s="742">
        <f>Calculs!B1041</f>
        <v>0</v>
      </c>
      <c r="C969" s="742">
        <f>Calculs!BY1041</f>
        <v>0</v>
      </c>
      <c r="D969" s="742">
        <f>Calculs!BZ1041</f>
        <v>0</v>
      </c>
      <c r="E969" s="742">
        <f>Calculs!CA1041</f>
        <v>0</v>
      </c>
      <c r="F969" s="742">
        <f>Calculs!CB1041</f>
        <v>0</v>
      </c>
      <c r="G969" s="742">
        <f>Calculs!CC1041</f>
        <v>0</v>
      </c>
      <c r="H969" s="742"/>
      <c r="I969" s="742">
        <f>Calculs!CE1041</f>
        <v>0</v>
      </c>
      <c r="J969" s="742">
        <f>Calculs!CF1041</f>
        <v>0</v>
      </c>
      <c r="K969" s="742"/>
      <c r="L969" s="742">
        <f>Calculs!CH1041</f>
        <v>0</v>
      </c>
    </row>
    <row r="970" spans="2:12">
      <c r="B970" s="742">
        <f>Calculs!B1042</f>
        <v>0</v>
      </c>
      <c r="C970" s="742">
        <f>Calculs!BY1042</f>
        <v>0</v>
      </c>
      <c r="D970" s="742">
        <f>Calculs!BZ1042</f>
        <v>0</v>
      </c>
      <c r="E970" s="742">
        <f>Calculs!CA1042</f>
        <v>0</v>
      </c>
      <c r="F970" s="742">
        <f>Calculs!CB1042</f>
        <v>0</v>
      </c>
      <c r="G970" s="742">
        <f>Calculs!CC1042</f>
        <v>0</v>
      </c>
      <c r="H970" s="742"/>
      <c r="I970" s="742">
        <f>Calculs!CE1042</f>
        <v>0</v>
      </c>
      <c r="J970" s="742">
        <f>Calculs!CF1042</f>
        <v>0</v>
      </c>
      <c r="K970" s="742"/>
      <c r="L970" s="742">
        <f>Calculs!CH1042</f>
        <v>0</v>
      </c>
    </row>
    <row r="971" spans="2:12">
      <c r="B971" s="742">
        <f>Calculs!B1043</f>
        <v>0</v>
      </c>
      <c r="C971" s="742">
        <f>Calculs!BY1043</f>
        <v>0</v>
      </c>
      <c r="D971" s="742">
        <f>Calculs!BZ1043</f>
        <v>0</v>
      </c>
      <c r="E971" s="742">
        <f>Calculs!CA1043</f>
        <v>0</v>
      </c>
      <c r="F971" s="742">
        <f>Calculs!CB1043</f>
        <v>0</v>
      </c>
      <c r="G971" s="742">
        <f>Calculs!CC1043</f>
        <v>0</v>
      </c>
      <c r="H971" s="742"/>
      <c r="I971" s="742">
        <f>Calculs!CE1043</f>
        <v>0</v>
      </c>
      <c r="J971" s="742">
        <f>Calculs!CF1043</f>
        <v>0</v>
      </c>
      <c r="K971" s="742"/>
      <c r="L971" s="742">
        <f>Calculs!CH1043</f>
        <v>0</v>
      </c>
    </row>
    <row r="972" spans="2:12">
      <c r="B972" s="742">
        <f>Calculs!B1044</f>
        <v>0</v>
      </c>
      <c r="C972" s="742">
        <f>Calculs!BY1044</f>
        <v>0</v>
      </c>
      <c r="D972" s="742">
        <f>Calculs!BZ1044</f>
        <v>0</v>
      </c>
      <c r="E972" s="742">
        <f>Calculs!CA1044</f>
        <v>0</v>
      </c>
      <c r="F972" s="742">
        <f>Calculs!CB1044</f>
        <v>0</v>
      </c>
      <c r="G972" s="742">
        <f>Calculs!CC1044</f>
        <v>0</v>
      </c>
      <c r="H972" s="742"/>
      <c r="I972" s="742">
        <f>Calculs!CE1044</f>
        <v>0</v>
      </c>
      <c r="J972" s="742">
        <f>Calculs!CF1044</f>
        <v>0</v>
      </c>
      <c r="K972" s="742"/>
      <c r="L972" s="742">
        <f>Calculs!CH1044</f>
        <v>0</v>
      </c>
    </row>
    <row r="973" spans="2:12">
      <c r="B973" s="742">
        <f>Calculs!B1045</f>
        <v>0</v>
      </c>
      <c r="C973" s="742">
        <f>Calculs!BY1045</f>
        <v>0</v>
      </c>
      <c r="D973" s="742">
        <f>Calculs!BZ1045</f>
        <v>0</v>
      </c>
      <c r="E973" s="742">
        <f>Calculs!CA1045</f>
        <v>0</v>
      </c>
      <c r="F973" s="742">
        <f>Calculs!CB1045</f>
        <v>0</v>
      </c>
      <c r="G973" s="742">
        <f>Calculs!CC1045</f>
        <v>0</v>
      </c>
      <c r="H973" s="742"/>
      <c r="I973" s="742">
        <f>Calculs!CE1045</f>
        <v>0</v>
      </c>
      <c r="J973" s="742">
        <f>Calculs!CF1045</f>
        <v>0</v>
      </c>
      <c r="K973" s="742"/>
      <c r="L973" s="742">
        <f>Calculs!CH1045</f>
        <v>0</v>
      </c>
    </row>
    <row r="974" spans="2:12">
      <c r="B974" s="742">
        <f>Calculs!B1046</f>
        <v>0</v>
      </c>
      <c r="C974" s="742">
        <f>Calculs!BY1046</f>
        <v>0</v>
      </c>
      <c r="D974" s="742">
        <f>Calculs!BZ1046</f>
        <v>0</v>
      </c>
      <c r="E974" s="742">
        <f>Calculs!CA1046</f>
        <v>0</v>
      </c>
      <c r="F974" s="742">
        <f>Calculs!CB1046</f>
        <v>0</v>
      </c>
      <c r="G974" s="742">
        <f>Calculs!CC1046</f>
        <v>0</v>
      </c>
      <c r="H974" s="742"/>
      <c r="I974" s="742">
        <f>Calculs!CE1046</f>
        <v>0</v>
      </c>
      <c r="J974" s="742">
        <f>Calculs!CF1046</f>
        <v>0</v>
      </c>
      <c r="K974" s="742"/>
      <c r="L974" s="742">
        <f>Calculs!CH1046</f>
        <v>0</v>
      </c>
    </row>
    <row r="975" spans="2:12">
      <c r="B975" s="742">
        <f>Calculs!B1047</f>
        <v>0</v>
      </c>
      <c r="C975" s="742">
        <f>Calculs!BY1047</f>
        <v>0</v>
      </c>
      <c r="D975" s="742">
        <f>Calculs!BZ1047</f>
        <v>0</v>
      </c>
      <c r="E975" s="742">
        <f>Calculs!CA1047</f>
        <v>0</v>
      </c>
      <c r="F975" s="742">
        <f>Calculs!CB1047</f>
        <v>0</v>
      </c>
      <c r="G975" s="742">
        <f>Calculs!CC1047</f>
        <v>0</v>
      </c>
      <c r="H975" s="742"/>
      <c r="I975" s="742">
        <f>Calculs!CE1047</f>
        <v>0</v>
      </c>
      <c r="J975" s="742">
        <f>Calculs!CF1047</f>
        <v>0</v>
      </c>
      <c r="K975" s="742"/>
      <c r="L975" s="742">
        <f>Calculs!CH1047</f>
        <v>0</v>
      </c>
    </row>
    <row r="976" spans="2:12">
      <c r="B976" s="742">
        <f>Calculs!B1048</f>
        <v>0</v>
      </c>
      <c r="C976" s="742">
        <f>Calculs!BY1048</f>
        <v>0</v>
      </c>
      <c r="D976" s="742">
        <f>Calculs!BZ1048</f>
        <v>0</v>
      </c>
      <c r="E976" s="742">
        <f>Calculs!CA1048</f>
        <v>0</v>
      </c>
      <c r="F976" s="742">
        <f>Calculs!CB1048</f>
        <v>0</v>
      </c>
      <c r="G976" s="742">
        <f>Calculs!CC1048</f>
        <v>0</v>
      </c>
      <c r="H976" s="742"/>
      <c r="I976" s="742">
        <f>Calculs!CE1048</f>
        <v>0</v>
      </c>
      <c r="J976" s="742">
        <f>Calculs!CF1048</f>
        <v>0</v>
      </c>
      <c r="K976" s="742"/>
      <c r="L976" s="742">
        <f>Calculs!CH1048</f>
        <v>0</v>
      </c>
    </row>
    <row r="977" spans="2:12">
      <c r="B977" s="742">
        <f>Calculs!B1049</f>
        <v>0</v>
      </c>
      <c r="C977" s="742">
        <f>Calculs!BY1049</f>
        <v>0</v>
      </c>
      <c r="D977" s="742">
        <f>Calculs!BZ1049</f>
        <v>0</v>
      </c>
      <c r="E977" s="742">
        <f>Calculs!CA1049</f>
        <v>0</v>
      </c>
      <c r="F977" s="742">
        <f>Calculs!CB1049</f>
        <v>0</v>
      </c>
      <c r="G977" s="742">
        <f>Calculs!CC1049</f>
        <v>0</v>
      </c>
      <c r="H977" s="742"/>
      <c r="I977" s="742">
        <f>Calculs!CE1049</f>
        <v>0</v>
      </c>
      <c r="J977" s="742">
        <f>Calculs!CF1049</f>
        <v>0</v>
      </c>
      <c r="K977" s="742"/>
      <c r="L977" s="742">
        <f>Calculs!CH1049</f>
        <v>0</v>
      </c>
    </row>
    <row r="978" spans="2:12">
      <c r="B978" s="742">
        <f>Calculs!B1050</f>
        <v>0</v>
      </c>
      <c r="C978" s="742">
        <f>Calculs!BY1050</f>
        <v>0</v>
      </c>
      <c r="D978" s="742">
        <f>Calculs!BZ1050</f>
        <v>0</v>
      </c>
      <c r="E978" s="742">
        <f>Calculs!CA1050</f>
        <v>0</v>
      </c>
      <c r="F978" s="742">
        <f>Calculs!CB1050</f>
        <v>0</v>
      </c>
      <c r="G978" s="742">
        <f>Calculs!CC1050</f>
        <v>0</v>
      </c>
      <c r="H978" s="742"/>
      <c r="I978" s="742">
        <f>Calculs!CE1050</f>
        <v>0</v>
      </c>
      <c r="J978" s="742">
        <f>Calculs!CF1050</f>
        <v>0</v>
      </c>
      <c r="K978" s="742"/>
      <c r="L978" s="742">
        <f>Calculs!CH1050</f>
        <v>0</v>
      </c>
    </row>
    <row r="979" spans="2:12">
      <c r="B979" s="742">
        <f>Calculs!B1051</f>
        <v>0</v>
      </c>
      <c r="C979" s="742">
        <f>Calculs!BY1051</f>
        <v>0</v>
      </c>
      <c r="D979" s="742">
        <f>Calculs!BZ1051</f>
        <v>0</v>
      </c>
      <c r="E979" s="742">
        <f>Calculs!CA1051</f>
        <v>0</v>
      </c>
      <c r="F979" s="742">
        <f>Calculs!CB1051</f>
        <v>0</v>
      </c>
      <c r="G979" s="742">
        <f>Calculs!CC1051</f>
        <v>0</v>
      </c>
      <c r="H979" s="742"/>
      <c r="I979" s="742">
        <f>Calculs!CE1051</f>
        <v>0</v>
      </c>
      <c r="J979" s="742">
        <f>Calculs!CF1051</f>
        <v>0</v>
      </c>
      <c r="K979" s="742"/>
      <c r="L979" s="742">
        <f>Calculs!CH1051</f>
        <v>0</v>
      </c>
    </row>
    <row r="980" spans="2:12">
      <c r="B980" s="742">
        <f>Calculs!B1052</f>
        <v>0</v>
      </c>
      <c r="C980" s="742">
        <f>Calculs!BY1052</f>
        <v>0</v>
      </c>
      <c r="D980" s="742">
        <f>Calculs!BZ1052</f>
        <v>0</v>
      </c>
      <c r="E980" s="742">
        <f>Calculs!CA1052</f>
        <v>0</v>
      </c>
      <c r="F980" s="742">
        <f>Calculs!CB1052</f>
        <v>0</v>
      </c>
      <c r="G980" s="742">
        <f>Calculs!CC1052</f>
        <v>0</v>
      </c>
      <c r="H980" s="742"/>
      <c r="I980" s="742">
        <f>Calculs!CE1052</f>
        <v>0</v>
      </c>
      <c r="J980" s="742">
        <f>Calculs!CF1052</f>
        <v>0</v>
      </c>
      <c r="K980" s="742"/>
      <c r="L980" s="742">
        <f>Calculs!CH1052</f>
        <v>0</v>
      </c>
    </row>
    <row r="981" spans="2:12">
      <c r="B981" s="742">
        <f>Calculs!B1053</f>
        <v>0</v>
      </c>
      <c r="C981" s="742">
        <f>Calculs!BY1053</f>
        <v>0</v>
      </c>
      <c r="D981" s="742">
        <f>Calculs!BZ1053</f>
        <v>0</v>
      </c>
      <c r="E981" s="742">
        <f>Calculs!CA1053</f>
        <v>0</v>
      </c>
      <c r="F981" s="742">
        <f>Calculs!CB1053</f>
        <v>0</v>
      </c>
      <c r="G981" s="742">
        <f>Calculs!CC1053</f>
        <v>0</v>
      </c>
      <c r="H981" s="742"/>
      <c r="I981" s="742">
        <f>Calculs!CE1053</f>
        <v>0</v>
      </c>
      <c r="J981" s="742">
        <f>Calculs!CF1053</f>
        <v>0</v>
      </c>
      <c r="K981" s="742"/>
      <c r="L981" s="742">
        <f>Calculs!CH1053</f>
        <v>0</v>
      </c>
    </row>
    <row r="982" spans="2:12">
      <c r="B982" s="742">
        <f>Calculs!B1054</f>
        <v>0</v>
      </c>
      <c r="C982" s="742">
        <f>Calculs!BY1054</f>
        <v>0</v>
      </c>
      <c r="D982" s="742">
        <f>Calculs!BZ1054</f>
        <v>0</v>
      </c>
      <c r="E982" s="742">
        <f>Calculs!CA1054</f>
        <v>0</v>
      </c>
      <c r="F982" s="742">
        <f>Calculs!CB1054</f>
        <v>0</v>
      </c>
      <c r="G982" s="742">
        <f>Calculs!CC1054</f>
        <v>0</v>
      </c>
      <c r="H982" s="742"/>
      <c r="I982" s="742">
        <f>Calculs!CE1054</f>
        <v>0</v>
      </c>
      <c r="J982" s="742">
        <f>Calculs!CF1054</f>
        <v>0</v>
      </c>
      <c r="K982" s="742"/>
      <c r="L982" s="742">
        <f>Calculs!CH1054</f>
        <v>0</v>
      </c>
    </row>
    <row r="983" spans="2:12">
      <c r="B983" s="742">
        <f>Calculs!B1055</f>
        <v>0</v>
      </c>
      <c r="C983" s="742">
        <f>Calculs!BY1055</f>
        <v>0</v>
      </c>
      <c r="D983" s="742">
        <f>Calculs!BZ1055</f>
        <v>0</v>
      </c>
      <c r="E983" s="742">
        <f>Calculs!CA1055</f>
        <v>0</v>
      </c>
      <c r="F983" s="742">
        <f>Calculs!CB1055</f>
        <v>0</v>
      </c>
      <c r="G983" s="742">
        <f>Calculs!CC1055</f>
        <v>0</v>
      </c>
      <c r="H983" s="742"/>
      <c r="I983" s="742">
        <f>Calculs!CE1055</f>
        <v>0</v>
      </c>
      <c r="J983" s="742">
        <f>Calculs!CF1055</f>
        <v>0</v>
      </c>
      <c r="K983" s="742"/>
      <c r="L983" s="742">
        <f>Calculs!CH1055</f>
        <v>0</v>
      </c>
    </row>
    <row r="984" spans="2:12">
      <c r="B984" s="742">
        <f>Calculs!B1056</f>
        <v>0</v>
      </c>
      <c r="C984" s="742">
        <f>Calculs!BY1056</f>
        <v>0</v>
      </c>
      <c r="D984" s="742">
        <f>Calculs!BZ1056</f>
        <v>0</v>
      </c>
      <c r="E984" s="742">
        <f>Calculs!CA1056</f>
        <v>0</v>
      </c>
      <c r="F984" s="742">
        <f>Calculs!CB1056</f>
        <v>0</v>
      </c>
      <c r="G984" s="742">
        <f>Calculs!CC1056</f>
        <v>0</v>
      </c>
      <c r="H984" s="742"/>
      <c r="I984" s="742">
        <f>Calculs!CE1056</f>
        <v>0</v>
      </c>
      <c r="J984" s="742">
        <f>Calculs!CF1056</f>
        <v>0</v>
      </c>
      <c r="K984" s="742"/>
      <c r="L984" s="742">
        <f>Calculs!CH1056</f>
        <v>0</v>
      </c>
    </row>
    <row r="985" spans="2:12">
      <c r="B985" s="742">
        <f>Calculs!B1057</f>
        <v>0</v>
      </c>
      <c r="C985" s="742">
        <f>Calculs!BY1057</f>
        <v>0</v>
      </c>
      <c r="D985" s="742">
        <f>Calculs!BZ1057</f>
        <v>0</v>
      </c>
      <c r="E985" s="742">
        <f>Calculs!CA1057</f>
        <v>0</v>
      </c>
      <c r="F985" s="742">
        <f>Calculs!CB1057</f>
        <v>0</v>
      </c>
      <c r="G985" s="742">
        <f>Calculs!CC1057</f>
        <v>0</v>
      </c>
      <c r="H985" s="742"/>
      <c r="I985" s="742">
        <f>Calculs!CE1057</f>
        <v>0</v>
      </c>
      <c r="J985" s="742">
        <f>Calculs!CF1057</f>
        <v>0</v>
      </c>
      <c r="K985" s="742"/>
      <c r="L985" s="742">
        <f>Calculs!CH1057</f>
        <v>0</v>
      </c>
    </row>
    <row r="986" spans="2:12">
      <c r="B986" s="742">
        <f>Calculs!B1058</f>
        <v>0</v>
      </c>
      <c r="C986" s="742">
        <f>Calculs!BY1058</f>
        <v>0</v>
      </c>
      <c r="D986" s="742">
        <f>Calculs!BZ1058</f>
        <v>0</v>
      </c>
      <c r="E986" s="742">
        <f>Calculs!CA1058</f>
        <v>0</v>
      </c>
      <c r="F986" s="742">
        <f>Calculs!CB1058</f>
        <v>0</v>
      </c>
      <c r="G986" s="742">
        <f>Calculs!CC1058</f>
        <v>0</v>
      </c>
      <c r="H986" s="742"/>
      <c r="I986" s="742">
        <f>Calculs!CE1058</f>
        <v>0</v>
      </c>
      <c r="J986" s="742">
        <f>Calculs!CF1058</f>
        <v>0</v>
      </c>
      <c r="K986" s="742"/>
      <c r="L986" s="742">
        <f>Calculs!CH1058</f>
        <v>0</v>
      </c>
    </row>
    <row r="987" spans="2:12">
      <c r="B987" s="742">
        <f>Calculs!B1059</f>
        <v>0</v>
      </c>
      <c r="C987" s="742">
        <f>Calculs!BY1059</f>
        <v>0</v>
      </c>
      <c r="D987" s="742">
        <f>Calculs!BZ1059</f>
        <v>0</v>
      </c>
      <c r="E987" s="742">
        <f>Calculs!CA1059</f>
        <v>0</v>
      </c>
      <c r="F987" s="742">
        <f>Calculs!CB1059</f>
        <v>0</v>
      </c>
      <c r="G987" s="742">
        <f>Calculs!CC1059</f>
        <v>0</v>
      </c>
      <c r="H987" s="742"/>
      <c r="I987" s="742">
        <f>Calculs!CE1059</f>
        <v>0</v>
      </c>
      <c r="J987" s="742">
        <f>Calculs!CF1059</f>
        <v>0</v>
      </c>
      <c r="K987" s="742"/>
      <c r="L987" s="742">
        <f>Calculs!CH1059</f>
        <v>0</v>
      </c>
    </row>
    <row r="988" spans="2:12">
      <c r="B988" s="742">
        <f>Calculs!B1060</f>
        <v>0</v>
      </c>
      <c r="C988" s="742">
        <f>Calculs!BY1060</f>
        <v>0</v>
      </c>
      <c r="D988" s="742">
        <f>Calculs!BZ1060</f>
        <v>0</v>
      </c>
      <c r="E988" s="742">
        <f>Calculs!CA1060</f>
        <v>0</v>
      </c>
      <c r="F988" s="742">
        <f>Calculs!CB1060</f>
        <v>0</v>
      </c>
      <c r="G988" s="742">
        <f>Calculs!CC1060</f>
        <v>0</v>
      </c>
      <c r="H988" s="742"/>
      <c r="I988" s="742">
        <f>Calculs!CE1060</f>
        <v>0</v>
      </c>
      <c r="J988" s="742">
        <f>Calculs!CF1060</f>
        <v>0</v>
      </c>
      <c r="K988" s="742"/>
      <c r="L988" s="742">
        <f>Calculs!CH1060</f>
        <v>0</v>
      </c>
    </row>
    <row r="989" spans="2:12">
      <c r="B989" s="742">
        <f>Calculs!B1061</f>
        <v>0</v>
      </c>
      <c r="C989" s="742">
        <f>Calculs!BY1061</f>
        <v>0</v>
      </c>
      <c r="D989" s="742">
        <f>Calculs!BZ1061</f>
        <v>0</v>
      </c>
      <c r="E989" s="742">
        <f>Calculs!CA1061</f>
        <v>0</v>
      </c>
      <c r="F989" s="742">
        <f>Calculs!CB1061</f>
        <v>0</v>
      </c>
      <c r="G989" s="742">
        <f>Calculs!CC1061</f>
        <v>0</v>
      </c>
      <c r="H989" s="742"/>
      <c r="I989" s="742">
        <f>Calculs!CE1061</f>
        <v>0</v>
      </c>
      <c r="J989" s="742">
        <f>Calculs!CF1061</f>
        <v>0</v>
      </c>
      <c r="K989" s="742"/>
      <c r="L989" s="742">
        <f>Calculs!CH1061</f>
        <v>0</v>
      </c>
    </row>
    <row r="990" spans="2:12">
      <c r="B990" s="742">
        <f>Calculs!B1062</f>
        <v>0</v>
      </c>
      <c r="C990" s="742">
        <f>Calculs!BY1062</f>
        <v>0</v>
      </c>
      <c r="D990" s="742">
        <f>Calculs!BZ1062</f>
        <v>0</v>
      </c>
      <c r="E990" s="742">
        <f>Calculs!CA1062</f>
        <v>0</v>
      </c>
      <c r="F990" s="742">
        <f>Calculs!CB1062</f>
        <v>0</v>
      </c>
      <c r="G990" s="742">
        <f>Calculs!CC1062</f>
        <v>0</v>
      </c>
      <c r="H990" s="742"/>
      <c r="I990" s="742">
        <f>Calculs!CE1062</f>
        <v>0</v>
      </c>
      <c r="J990" s="742">
        <f>Calculs!CF1062</f>
        <v>0</v>
      </c>
      <c r="K990" s="742"/>
      <c r="L990" s="742">
        <f>Calculs!CH1062</f>
        <v>0</v>
      </c>
    </row>
    <row r="991" spans="2:12">
      <c r="B991" s="742">
        <f>Calculs!B1063</f>
        <v>0</v>
      </c>
      <c r="C991" s="742">
        <f>Calculs!BY1063</f>
        <v>0</v>
      </c>
      <c r="D991" s="742">
        <f>Calculs!BZ1063</f>
        <v>0</v>
      </c>
      <c r="E991" s="742">
        <f>Calculs!CA1063</f>
        <v>0</v>
      </c>
      <c r="F991" s="742">
        <f>Calculs!CB1063</f>
        <v>0</v>
      </c>
      <c r="G991" s="742">
        <f>Calculs!CC1063</f>
        <v>0</v>
      </c>
      <c r="H991" s="742"/>
      <c r="I991" s="742">
        <f>Calculs!CE1063</f>
        <v>0</v>
      </c>
      <c r="J991" s="742">
        <f>Calculs!CF1063</f>
        <v>0</v>
      </c>
      <c r="K991" s="742"/>
      <c r="L991" s="742">
        <f>Calculs!CH1063</f>
        <v>0</v>
      </c>
    </row>
    <row r="992" spans="2:12">
      <c r="B992" s="742">
        <f>Calculs!B1064</f>
        <v>0</v>
      </c>
      <c r="C992" s="742">
        <f>Calculs!BY1064</f>
        <v>0</v>
      </c>
      <c r="D992" s="742">
        <f>Calculs!BZ1064</f>
        <v>0</v>
      </c>
      <c r="E992" s="742">
        <f>Calculs!CA1064</f>
        <v>0</v>
      </c>
      <c r="F992" s="742">
        <f>Calculs!CB1064</f>
        <v>0</v>
      </c>
      <c r="G992" s="742">
        <f>Calculs!CC1064</f>
        <v>0</v>
      </c>
      <c r="H992" s="742"/>
      <c r="I992" s="742">
        <f>Calculs!CE1064</f>
        <v>0</v>
      </c>
      <c r="J992" s="742">
        <f>Calculs!CF1064</f>
        <v>0</v>
      </c>
      <c r="K992" s="742"/>
      <c r="L992" s="742">
        <f>Calculs!CH1064</f>
        <v>0</v>
      </c>
    </row>
    <row r="993" spans="2:12">
      <c r="B993" s="742">
        <f>Calculs!B1065</f>
        <v>0</v>
      </c>
      <c r="C993" s="742">
        <f>Calculs!BY1065</f>
        <v>0</v>
      </c>
      <c r="D993" s="742">
        <f>Calculs!BZ1065</f>
        <v>0</v>
      </c>
      <c r="E993" s="742">
        <f>Calculs!CA1065</f>
        <v>0</v>
      </c>
      <c r="F993" s="742">
        <f>Calculs!CB1065</f>
        <v>0</v>
      </c>
      <c r="G993" s="742">
        <f>Calculs!CC1065</f>
        <v>0</v>
      </c>
      <c r="H993" s="742"/>
      <c r="I993" s="742">
        <f>Calculs!CE1065</f>
        <v>0</v>
      </c>
      <c r="J993" s="742">
        <f>Calculs!CF1065</f>
        <v>0</v>
      </c>
      <c r="K993" s="742"/>
      <c r="L993" s="742">
        <f>Calculs!CH1065</f>
        <v>0</v>
      </c>
    </row>
    <row r="994" spans="2:12">
      <c r="B994" s="742">
        <f>Calculs!B1066</f>
        <v>0</v>
      </c>
      <c r="C994" s="742">
        <f>Calculs!BY1066</f>
        <v>0</v>
      </c>
      <c r="D994" s="742">
        <f>Calculs!BZ1066</f>
        <v>0</v>
      </c>
      <c r="E994" s="742">
        <f>Calculs!CA1066</f>
        <v>0</v>
      </c>
      <c r="F994" s="742">
        <f>Calculs!CB1066</f>
        <v>0</v>
      </c>
      <c r="G994" s="742">
        <f>Calculs!CC1066</f>
        <v>0</v>
      </c>
      <c r="H994" s="742"/>
      <c r="I994" s="742">
        <f>Calculs!CE1066</f>
        <v>0</v>
      </c>
      <c r="J994" s="742">
        <f>Calculs!CF1066</f>
        <v>0</v>
      </c>
      <c r="K994" s="742"/>
      <c r="L994" s="742">
        <f>Calculs!CH1066</f>
        <v>0</v>
      </c>
    </row>
    <row r="995" spans="2:12">
      <c r="B995" s="742">
        <f>Calculs!B1067</f>
        <v>0</v>
      </c>
      <c r="C995" s="742">
        <f>Calculs!BY1067</f>
        <v>0</v>
      </c>
      <c r="D995" s="742">
        <f>Calculs!BZ1067</f>
        <v>0</v>
      </c>
      <c r="E995" s="742">
        <f>Calculs!CA1067</f>
        <v>0</v>
      </c>
      <c r="F995" s="742">
        <f>Calculs!CB1067</f>
        <v>0</v>
      </c>
      <c r="G995" s="742">
        <f>Calculs!CC1067</f>
        <v>0</v>
      </c>
      <c r="H995" s="742"/>
      <c r="I995" s="742">
        <f>Calculs!CE1067</f>
        <v>0</v>
      </c>
      <c r="J995" s="742">
        <f>Calculs!CF1067</f>
        <v>0</v>
      </c>
      <c r="K995" s="742"/>
      <c r="L995" s="742">
        <f>Calculs!CH1067</f>
        <v>0</v>
      </c>
    </row>
    <row r="996" spans="2:12">
      <c r="B996" s="742">
        <f>Calculs!B1068</f>
        <v>0</v>
      </c>
      <c r="C996" s="742">
        <f>Calculs!BY1068</f>
        <v>0</v>
      </c>
      <c r="D996" s="742">
        <f>Calculs!BZ1068</f>
        <v>0</v>
      </c>
      <c r="E996" s="742">
        <f>Calculs!CA1068</f>
        <v>0</v>
      </c>
      <c r="F996" s="742">
        <f>Calculs!CB1068</f>
        <v>0</v>
      </c>
      <c r="G996" s="742">
        <f>Calculs!CC1068</f>
        <v>0</v>
      </c>
      <c r="H996" s="742"/>
      <c r="I996" s="742">
        <f>Calculs!CE1068</f>
        <v>0</v>
      </c>
      <c r="J996" s="742">
        <f>Calculs!CF1068</f>
        <v>0</v>
      </c>
      <c r="K996" s="742"/>
      <c r="L996" s="742">
        <f>Calculs!CH1068</f>
        <v>0</v>
      </c>
    </row>
    <row r="997" spans="2:12">
      <c r="B997" s="742">
        <f>Calculs!B1069</f>
        <v>0</v>
      </c>
      <c r="C997" s="742">
        <f>Calculs!BY1069</f>
        <v>0</v>
      </c>
      <c r="D997" s="742">
        <f>Calculs!BZ1069</f>
        <v>0</v>
      </c>
      <c r="E997" s="742">
        <f>Calculs!CA1069</f>
        <v>0</v>
      </c>
      <c r="F997" s="742">
        <f>Calculs!CB1069</f>
        <v>0</v>
      </c>
      <c r="G997" s="742">
        <f>Calculs!CC1069</f>
        <v>0</v>
      </c>
      <c r="H997" s="742"/>
      <c r="I997" s="742">
        <f>Calculs!CE1069</f>
        <v>0</v>
      </c>
      <c r="J997" s="742">
        <f>Calculs!CF1069</f>
        <v>0</v>
      </c>
      <c r="K997" s="742"/>
      <c r="L997" s="742">
        <f>Calculs!CH1069</f>
        <v>0</v>
      </c>
    </row>
    <row r="998" spans="2:12">
      <c r="B998" s="742">
        <f>Calculs!B1070</f>
        <v>0</v>
      </c>
      <c r="C998" s="742">
        <f>Calculs!BY1070</f>
        <v>0</v>
      </c>
      <c r="D998" s="742">
        <f>Calculs!BZ1070</f>
        <v>0</v>
      </c>
      <c r="E998" s="742">
        <f>Calculs!CA1070</f>
        <v>0</v>
      </c>
      <c r="F998" s="742">
        <f>Calculs!CB1070</f>
        <v>0</v>
      </c>
      <c r="G998" s="742">
        <f>Calculs!CC1070</f>
        <v>0</v>
      </c>
      <c r="H998" s="742"/>
      <c r="I998" s="742">
        <f>Calculs!CE1070</f>
        <v>0</v>
      </c>
      <c r="J998" s="742">
        <f>Calculs!CF1070</f>
        <v>0</v>
      </c>
      <c r="K998" s="742"/>
      <c r="L998" s="742">
        <f>Calculs!CH1070</f>
        <v>0</v>
      </c>
    </row>
    <row r="999" spans="2:12">
      <c r="B999" s="742">
        <f>Calculs!B1071</f>
        <v>0</v>
      </c>
      <c r="C999" s="742">
        <f>Calculs!BY1071</f>
        <v>0</v>
      </c>
      <c r="D999" s="742">
        <f>Calculs!BZ1071</f>
        <v>0</v>
      </c>
      <c r="E999" s="742">
        <f>Calculs!CA1071</f>
        <v>0</v>
      </c>
      <c r="F999" s="742">
        <f>Calculs!CB1071</f>
        <v>0</v>
      </c>
      <c r="G999" s="742">
        <f>Calculs!CC1071</f>
        <v>0</v>
      </c>
      <c r="H999" s="742"/>
      <c r="I999" s="742">
        <f>Calculs!CE1071</f>
        <v>0</v>
      </c>
      <c r="J999" s="742">
        <f>Calculs!CF1071</f>
        <v>0</v>
      </c>
      <c r="K999" s="742"/>
      <c r="L999" s="742">
        <f>Calculs!CH1071</f>
        <v>0</v>
      </c>
    </row>
    <row r="1000" spans="2:12">
      <c r="B1000" s="742">
        <f>Calculs!B1072</f>
        <v>0</v>
      </c>
      <c r="C1000" s="742">
        <f>Calculs!BY1072</f>
        <v>0</v>
      </c>
      <c r="D1000" s="742">
        <f>Calculs!BZ1072</f>
        <v>0</v>
      </c>
      <c r="E1000" s="742">
        <f>Calculs!CA1072</f>
        <v>0</v>
      </c>
      <c r="F1000" s="742">
        <f>Calculs!CB1072</f>
        <v>0</v>
      </c>
      <c r="G1000" s="742">
        <f>Calculs!CC1072</f>
        <v>0</v>
      </c>
      <c r="H1000" s="742"/>
      <c r="I1000" s="742">
        <f>Calculs!CE1072</f>
        <v>0</v>
      </c>
      <c r="J1000" s="742">
        <f>Calculs!CF1072</f>
        <v>0</v>
      </c>
      <c r="K1000" s="742"/>
      <c r="L1000" s="742">
        <f>Calculs!CH1072</f>
        <v>0</v>
      </c>
    </row>
    <row r="1001" spans="2:12">
      <c r="B1001" s="742">
        <f>Calculs!B1073</f>
        <v>0</v>
      </c>
      <c r="C1001" s="742">
        <f>Calculs!BY1073</f>
        <v>0</v>
      </c>
      <c r="D1001" s="742">
        <f>Calculs!BZ1073</f>
        <v>0</v>
      </c>
      <c r="E1001" s="742">
        <f>Calculs!CA1073</f>
        <v>0</v>
      </c>
      <c r="F1001" s="742">
        <f>Calculs!CB1073</f>
        <v>0</v>
      </c>
      <c r="G1001" s="742">
        <f>Calculs!CC1073</f>
        <v>0</v>
      </c>
      <c r="H1001" s="742"/>
      <c r="I1001" s="742">
        <f>Calculs!CE1073</f>
        <v>0</v>
      </c>
      <c r="J1001" s="742">
        <f>Calculs!CF1073</f>
        <v>0</v>
      </c>
      <c r="K1001" s="742"/>
      <c r="L1001" s="742">
        <f>Calculs!CH1073</f>
        <v>0</v>
      </c>
    </row>
    <row r="1002" spans="2:12">
      <c r="B1002" s="742">
        <f>Calculs!B1074</f>
        <v>0</v>
      </c>
      <c r="C1002" s="742">
        <f>Calculs!BY1074</f>
        <v>0</v>
      </c>
      <c r="D1002" s="742">
        <f>Calculs!BZ1074</f>
        <v>0</v>
      </c>
      <c r="E1002" s="742">
        <f>Calculs!CA1074</f>
        <v>0</v>
      </c>
      <c r="F1002" s="742">
        <f>Calculs!CB1074</f>
        <v>0</v>
      </c>
      <c r="G1002" s="742">
        <f>Calculs!CC1074</f>
        <v>0</v>
      </c>
      <c r="H1002" s="742"/>
      <c r="I1002" s="742">
        <f>Calculs!CE1074</f>
        <v>0</v>
      </c>
      <c r="J1002" s="742">
        <f>Calculs!CF1074</f>
        <v>0</v>
      </c>
      <c r="K1002" s="742"/>
      <c r="L1002" s="742">
        <f>Calculs!CH1074</f>
        <v>0</v>
      </c>
    </row>
    <row r="1003" spans="2:12">
      <c r="B1003" s="742">
        <f>Calculs!B1075</f>
        <v>0</v>
      </c>
      <c r="C1003" s="742">
        <f>Calculs!BY1075</f>
        <v>0</v>
      </c>
      <c r="D1003" s="742">
        <f>Calculs!BZ1075</f>
        <v>0</v>
      </c>
      <c r="E1003" s="742">
        <f>Calculs!CA1075</f>
        <v>0</v>
      </c>
      <c r="F1003" s="742">
        <f>Calculs!CB1075</f>
        <v>0</v>
      </c>
      <c r="G1003" s="742">
        <f>Calculs!CC1075</f>
        <v>0</v>
      </c>
      <c r="H1003" s="742"/>
      <c r="I1003" s="742">
        <f>Calculs!CE1075</f>
        <v>0</v>
      </c>
      <c r="J1003" s="742">
        <f>Calculs!CF1075</f>
        <v>0</v>
      </c>
      <c r="K1003" s="742"/>
      <c r="L1003" s="742">
        <f>Calculs!CH1075</f>
        <v>0</v>
      </c>
    </row>
    <row r="1004" spans="2:12">
      <c r="B1004" s="742">
        <f>Calculs!B1076</f>
        <v>0</v>
      </c>
      <c r="C1004" s="742">
        <f>Calculs!BY1076</f>
        <v>0</v>
      </c>
      <c r="D1004" s="742">
        <f>Calculs!BZ1076</f>
        <v>0</v>
      </c>
      <c r="E1004" s="742">
        <f>Calculs!CA1076</f>
        <v>0</v>
      </c>
      <c r="F1004" s="742">
        <f>Calculs!CB1076</f>
        <v>0</v>
      </c>
      <c r="G1004" s="742">
        <f>Calculs!CC1076</f>
        <v>0</v>
      </c>
      <c r="H1004" s="742"/>
      <c r="I1004" s="742">
        <f>Calculs!CE1076</f>
        <v>0</v>
      </c>
      <c r="J1004" s="742">
        <f>Calculs!CF1076</f>
        <v>0</v>
      </c>
      <c r="K1004" s="742"/>
      <c r="L1004" s="742">
        <f>Calculs!CH1076</f>
        <v>0</v>
      </c>
    </row>
    <row r="1005" spans="2:12">
      <c r="B1005" s="742">
        <f>Calculs!B1077</f>
        <v>0</v>
      </c>
      <c r="C1005" s="742">
        <f>Calculs!BY1077</f>
        <v>0</v>
      </c>
      <c r="D1005" s="742">
        <f>Calculs!BZ1077</f>
        <v>0</v>
      </c>
      <c r="E1005" s="742">
        <f>Calculs!CA1077</f>
        <v>0</v>
      </c>
      <c r="F1005" s="742">
        <f>Calculs!CB1077</f>
        <v>0</v>
      </c>
      <c r="G1005" s="742">
        <f>Calculs!CC1077</f>
        <v>0</v>
      </c>
      <c r="H1005" s="742"/>
      <c r="I1005" s="742">
        <f>Calculs!CE1077</f>
        <v>0</v>
      </c>
      <c r="J1005" s="742">
        <f>Calculs!CF1077</f>
        <v>0</v>
      </c>
      <c r="K1005" s="742"/>
      <c r="L1005" s="742">
        <f>Calculs!CH1077</f>
        <v>0</v>
      </c>
    </row>
    <row r="1006" spans="2:12">
      <c r="B1006" s="742">
        <f>Calculs!B1078</f>
        <v>0</v>
      </c>
      <c r="C1006" s="742">
        <f>Calculs!BY1078</f>
        <v>0</v>
      </c>
      <c r="D1006" s="742">
        <f>Calculs!BZ1078</f>
        <v>0</v>
      </c>
      <c r="E1006" s="742">
        <f>Calculs!CA1078</f>
        <v>0</v>
      </c>
      <c r="F1006" s="742">
        <f>Calculs!CB1078</f>
        <v>0</v>
      </c>
      <c r="G1006" s="742">
        <f>Calculs!CC1078</f>
        <v>0</v>
      </c>
      <c r="H1006" s="742"/>
      <c r="I1006" s="742">
        <f>Calculs!CE1078</f>
        <v>0</v>
      </c>
      <c r="J1006" s="742">
        <f>Calculs!CF1078</f>
        <v>0</v>
      </c>
      <c r="K1006" s="742"/>
      <c r="L1006" s="742">
        <f>Calculs!CH1078</f>
        <v>0</v>
      </c>
    </row>
    <row r="1007" spans="2:12">
      <c r="B1007" s="742">
        <f>Calculs!B1079</f>
        <v>0</v>
      </c>
      <c r="C1007" s="742">
        <f>Calculs!BY1079</f>
        <v>0</v>
      </c>
      <c r="D1007" s="742">
        <f>Calculs!BZ1079</f>
        <v>0</v>
      </c>
      <c r="E1007" s="742">
        <f>Calculs!CA1079</f>
        <v>0</v>
      </c>
      <c r="F1007" s="742">
        <f>Calculs!CB1079</f>
        <v>0</v>
      </c>
      <c r="G1007" s="742">
        <f>Calculs!CC1079</f>
        <v>0</v>
      </c>
      <c r="H1007" s="742"/>
      <c r="I1007" s="742">
        <f>Calculs!CE1079</f>
        <v>0</v>
      </c>
      <c r="J1007" s="742">
        <f>Calculs!CF1079</f>
        <v>0</v>
      </c>
      <c r="K1007" s="742"/>
      <c r="L1007" s="742">
        <f>Calculs!CH1079</f>
        <v>0</v>
      </c>
    </row>
    <row r="1008" spans="2:12">
      <c r="B1008" s="742">
        <f>Calculs!B1080</f>
        <v>0</v>
      </c>
      <c r="C1008" s="742">
        <f>Calculs!BY1080</f>
        <v>0</v>
      </c>
      <c r="D1008" s="742">
        <f>Calculs!BZ1080</f>
        <v>0</v>
      </c>
      <c r="E1008" s="742">
        <f>Calculs!CA1080</f>
        <v>0</v>
      </c>
      <c r="F1008" s="742">
        <f>Calculs!CB1080</f>
        <v>0</v>
      </c>
      <c r="G1008" s="742">
        <f>Calculs!CC1080</f>
        <v>0</v>
      </c>
      <c r="H1008" s="742"/>
      <c r="I1008" s="742">
        <f>Calculs!CE1080</f>
        <v>0</v>
      </c>
      <c r="J1008" s="742">
        <f>Calculs!CF1080</f>
        <v>0</v>
      </c>
      <c r="K1008" s="742"/>
      <c r="L1008" s="742">
        <f>Calculs!CH1080</f>
        <v>0</v>
      </c>
    </row>
    <row r="1009" spans="2:12">
      <c r="B1009" s="742">
        <f>Calculs!B1081</f>
        <v>0</v>
      </c>
      <c r="C1009" s="742">
        <f>Calculs!BY1081</f>
        <v>0</v>
      </c>
      <c r="D1009" s="742">
        <f>Calculs!BZ1081</f>
        <v>0</v>
      </c>
      <c r="E1009" s="742">
        <f>Calculs!CA1081</f>
        <v>0</v>
      </c>
      <c r="F1009" s="742">
        <f>Calculs!CB1081</f>
        <v>0</v>
      </c>
      <c r="G1009" s="742">
        <f>Calculs!CC1081</f>
        <v>0</v>
      </c>
      <c r="H1009" s="742"/>
      <c r="I1009" s="742">
        <f>Calculs!CE1081</f>
        <v>0</v>
      </c>
      <c r="J1009" s="742">
        <f>Calculs!CF1081</f>
        <v>0</v>
      </c>
      <c r="K1009" s="742"/>
      <c r="L1009" s="742">
        <f>Calculs!CH1081</f>
        <v>0</v>
      </c>
    </row>
    <row r="1010" spans="2:12">
      <c r="B1010" s="742">
        <f>Calculs!B1082</f>
        <v>0</v>
      </c>
      <c r="C1010" s="742">
        <f>Calculs!BY1082</f>
        <v>0</v>
      </c>
      <c r="D1010" s="742">
        <f>Calculs!BZ1082</f>
        <v>0</v>
      </c>
      <c r="E1010" s="742">
        <f>Calculs!CA1082</f>
        <v>0</v>
      </c>
      <c r="F1010" s="742">
        <f>Calculs!CB1082</f>
        <v>0</v>
      </c>
      <c r="G1010" s="742">
        <f>Calculs!CC1082</f>
        <v>0</v>
      </c>
      <c r="H1010" s="742"/>
      <c r="I1010" s="742">
        <f>Calculs!CE1082</f>
        <v>0</v>
      </c>
      <c r="J1010" s="742">
        <f>Calculs!CF1082</f>
        <v>0</v>
      </c>
      <c r="K1010" s="742"/>
      <c r="L1010" s="742">
        <f>Calculs!CH1082</f>
        <v>0</v>
      </c>
    </row>
    <row r="1011" spans="2:12">
      <c r="B1011" s="742">
        <f>Calculs!B1083</f>
        <v>0</v>
      </c>
      <c r="C1011" s="742">
        <f>Calculs!BY1083</f>
        <v>0</v>
      </c>
      <c r="D1011" s="742">
        <f>Calculs!BZ1083</f>
        <v>0</v>
      </c>
      <c r="E1011" s="742">
        <f>Calculs!CA1083</f>
        <v>0</v>
      </c>
      <c r="F1011" s="742">
        <f>Calculs!CB1083</f>
        <v>0</v>
      </c>
      <c r="G1011" s="742">
        <f>Calculs!CC1083</f>
        <v>0</v>
      </c>
      <c r="H1011" s="742"/>
      <c r="I1011" s="742">
        <f>Calculs!CE1083</f>
        <v>0</v>
      </c>
      <c r="J1011" s="742">
        <f>Calculs!CF1083</f>
        <v>0</v>
      </c>
      <c r="K1011" s="742"/>
      <c r="L1011" s="742">
        <f>Calculs!CH1083</f>
        <v>0</v>
      </c>
    </row>
    <row r="1012" spans="2:12">
      <c r="B1012" s="742">
        <f>Calculs!B1084</f>
        <v>0</v>
      </c>
      <c r="C1012" s="742">
        <f>Calculs!BY1084</f>
        <v>0</v>
      </c>
      <c r="D1012" s="742">
        <f>Calculs!BZ1084</f>
        <v>0</v>
      </c>
      <c r="E1012" s="742">
        <f>Calculs!CA1084</f>
        <v>0</v>
      </c>
      <c r="F1012" s="742">
        <f>Calculs!CB1084</f>
        <v>0</v>
      </c>
      <c r="G1012" s="742">
        <f>Calculs!CC1084</f>
        <v>0</v>
      </c>
      <c r="H1012" s="742"/>
      <c r="I1012" s="742">
        <f>Calculs!CE1084</f>
        <v>0</v>
      </c>
      <c r="J1012" s="742">
        <f>Calculs!CF1084</f>
        <v>0</v>
      </c>
      <c r="K1012" s="742"/>
      <c r="L1012" s="742">
        <f>Calculs!CH1084</f>
        <v>0</v>
      </c>
    </row>
    <row r="1013" spans="2:12">
      <c r="B1013" s="742">
        <f>Calculs!B1085</f>
        <v>0</v>
      </c>
      <c r="C1013" s="742">
        <f>Calculs!BY1085</f>
        <v>0</v>
      </c>
      <c r="D1013" s="742">
        <f>Calculs!BZ1085</f>
        <v>0</v>
      </c>
      <c r="E1013" s="742">
        <f>Calculs!CA1085</f>
        <v>0</v>
      </c>
      <c r="F1013" s="742">
        <f>Calculs!CB1085</f>
        <v>0</v>
      </c>
      <c r="G1013" s="742">
        <f>Calculs!CC1085</f>
        <v>0</v>
      </c>
      <c r="H1013" s="742"/>
      <c r="I1013" s="742">
        <f>Calculs!CE1085</f>
        <v>0</v>
      </c>
      <c r="J1013" s="742">
        <f>Calculs!CF1085</f>
        <v>0</v>
      </c>
      <c r="K1013" s="742"/>
      <c r="L1013" s="742">
        <f>Calculs!CH1085</f>
        <v>0</v>
      </c>
    </row>
    <row r="1014" spans="2:12">
      <c r="B1014" s="742">
        <f>Calculs!B1086</f>
        <v>0</v>
      </c>
      <c r="C1014" s="742">
        <f>Calculs!BY1086</f>
        <v>0</v>
      </c>
      <c r="D1014" s="742">
        <f>Calculs!BZ1086</f>
        <v>0</v>
      </c>
      <c r="E1014" s="742">
        <f>Calculs!CA1086</f>
        <v>0</v>
      </c>
      <c r="F1014" s="742">
        <f>Calculs!CB1086</f>
        <v>0</v>
      </c>
      <c r="G1014" s="742">
        <f>Calculs!CC1086</f>
        <v>0</v>
      </c>
      <c r="H1014" s="742"/>
      <c r="I1014" s="742">
        <f>Calculs!CE1086</f>
        <v>0</v>
      </c>
      <c r="J1014" s="742">
        <f>Calculs!CF1086</f>
        <v>0</v>
      </c>
      <c r="K1014" s="742"/>
      <c r="L1014" s="742">
        <f>Calculs!CH1086</f>
        <v>0</v>
      </c>
    </row>
    <row r="1015" spans="2:12">
      <c r="B1015" s="742">
        <f>Calculs!B1087</f>
        <v>0</v>
      </c>
      <c r="C1015" s="742">
        <f>Calculs!BY1087</f>
        <v>0</v>
      </c>
      <c r="D1015" s="742">
        <f>Calculs!BZ1087</f>
        <v>0</v>
      </c>
      <c r="E1015" s="742">
        <f>Calculs!CA1087</f>
        <v>0</v>
      </c>
      <c r="F1015" s="742">
        <f>Calculs!CB1087</f>
        <v>0</v>
      </c>
      <c r="G1015" s="742">
        <f>Calculs!CC1087</f>
        <v>0</v>
      </c>
      <c r="H1015" s="742"/>
      <c r="I1015" s="742">
        <f>Calculs!CE1087</f>
        <v>0</v>
      </c>
      <c r="J1015" s="742">
        <f>Calculs!CF1087</f>
        <v>0</v>
      </c>
      <c r="K1015" s="742"/>
      <c r="L1015" s="742">
        <f>Calculs!CH1087</f>
        <v>0</v>
      </c>
    </row>
    <row r="1016" spans="2:12">
      <c r="B1016" s="742">
        <f>Calculs!B1088</f>
        <v>0</v>
      </c>
      <c r="C1016" s="742">
        <f>Calculs!BY1088</f>
        <v>0</v>
      </c>
      <c r="D1016" s="742">
        <f>Calculs!BZ1088</f>
        <v>0</v>
      </c>
      <c r="E1016" s="742">
        <f>Calculs!CA1088</f>
        <v>0</v>
      </c>
      <c r="F1016" s="742">
        <f>Calculs!CB1088</f>
        <v>0</v>
      </c>
      <c r="G1016" s="742">
        <f>Calculs!CC1088</f>
        <v>0</v>
      </c>
      <c r="H1016" s="742"/>
      <c r="I1016" s="742">
        <f>Calculs!CE1088</f>
        <v>0</v>
      </c>
      <c r="J1016" s="742">
        <f>Calculs!CF1088</f>
        <v>0</v>
      </c>
      <c r="K1016" s="742"/>
      <c r="L1016" s="742">
        <f>Calculs!CH1088</f>
        <v>0</v>
      </c>
    </row>
    <row r="1017" spans="2:12">
      <c r="B1017" s="742">
        <f>Calculs!B1089</f>
        <v>0</v>
      </c>
      <c r="C1017" s="742">
        <f>Calculs!BY1089</f>
        <v>0</v>
      </c>
      <c r="D1017" s="742">
        <f>Calculs!BZ1089</f>
        <v>0</v>
      </c>
      <c r="E1017" s="742">
        <f>Calculs!CA1089</f>
        <v>0</v>
      </c>
      <c r="F1017" s="742">
        <f>Calculs!CB1089</f>
        <v>0</v>
      </c>
      <c r="G1017" s="742">
        <f>Calculs!CC1089</f>
        <v>0</v>
      </c>
      <c r="H1017" s="742"/>
      <c r="I1017" s="742">
        <f>Calculs!CE1089</f>
        <v>0</v>
      </c>
      <c r="J1017" s="742">
        <f>Calculs!CF1089</f>
        <v>0</v>
      </c>
      <c r="K1017" s="742"/>
      <c r="L1017" s="742">
        <f>Calculs!CH1089</f>
        <v>0</v>
      </c>
    </row>
    <row r="1018" spans="2:12">
      <c r="B1018" s="742">
        <f>Calculs!B1090</f>
        <v>0</v>
      </c>
      <c r="C1018" s="742">
        <f>Calculs!BY1090</f>
        <v>0</v>
      </c>
      <c r="D1018" s="742">
        <f>Calculs!BZ1090</f>
        <v>0</v>
      </c>
      <c r="E1018" s="742">
        <f>Calculs!CA1090</f>
        <v>0</v>
      </c>
      <c r="F1018" s="742">
        <f>Calculs!CB1090</f>
        <v>0</v>
      </c>
      <c r="G1018" s="742">
        <f>Calculs!CC1090</f>
        <v>0</v>
      </c>
      <c r="H1018" s="742"/>
      <c r="I1018" s="742">
        <f>Calculs!CE1090</f>
        <v>0</v>
      </c>
      <c r="J1018" s="742">
        <f>Calculs!CF1090</f>
        <v>0</v>
      </c>
      <c r="K1018" s="742"/>
      <c r="L1018" s="742">
        <f>Calculs!CH1090</f>
        <v>0</v>
      </c>
    </row>
    <row r="1019" spans="2:12">
      <c r="B1019" s="742">
        <f>Calculs!B1091</f>
        <v>0</v>
      </c>
      <c r="C1019" s="742">
        <f>Calculs!BY1091</f>
        <v>0</v>
      </c>
      <c r="D1019" s="742">
        <f>Calculs!BZ1091</f>
        <v>0</v>
      </c>
      <c r="E1019" s="742">
        <f>Calculs!CA1091</f>
        <v>0</v>
      </c>
      <c r="F1019" s="742">
        <f>Calculs!CB1091</f>
        <v>0</v>
      </c>
      <c r="G1019" s="742">
        <f>Calculs!CC1091</f>
        <v>0</v>
      </c>
      <c r="H1019" s="742"/>
      <c r="I1019" s="742">
        <f>Calculs!CE1091</f>
        <v>0</v>
      </c>
      <c r="J1019" s="742">
        <f>Calculs!CF1091</f>
        <v>0</v>
      </c>
      <c r="K1019" s="742"/>
      <c r="L1019" s="742">
        <f>Calculs!CH1091</f>
        <v>0</v>
      </c>
    </row>
    <row r="1020" spans="2:12">
      <c r="B1020" s="742">
        <f>Calculs!B1092</f>
        <v>0</v>
      </c>
      <c r="C1020" s="742">
        <f>Calculs!BY1092</f>
        <v>0</v>
      </c>
      <c r="D1020" s="742">
        <f>Calculs!BZ1092</f>
        <v>0</v>
      </c>
      <c r="E1020" s="742">
        <f>Calculs!CA1092</f>
        <v>0</v>
      </c>
      <c r="F1020" s="742">
        <f>Calculs!CB1092</f>
        <v>0</v>
      </c>
      <c r="G1020" s="742">
        <f>Calculs!CC1092</f>
        <v>0</v>
      </c>
      <c r="H1020" s="742"/>
      <c r="I1020" s="742">
        <f>Calculs!CE1092</f>
        <v>0</v>
      </c>
      <c r="J1020" s="742">
        <f>Calculs!CF1092</f>
        <v>0</v>
      </c>
      <c r="K1020" s="742"/>
      <c r="L1020" s="742">
        <f>Calculs!CH1092</f>
        <v>0</v>
      </c>
    </row>
    <row r="1021" spans="2:12">
      <c r="B1021" s="742">
        <f>Calculs!B1093</f>
        <v>0</v>
      </c>
      <c r="C1021" s="742">
        <f>Calculs!BY1093</f>
        <v>0</v>
      </c>
      <c r="D1021" s="742">
        <f>Calculs!BZ1093</f>
        <v>0</v>
      </c>
      <c r="E1021" s="742">
        <f>Calculs!CA1093</f>
        <v>0</v>
      </c>
      <c r="F1021" s="742">
        <f>Calculs!CB1093</f>
        <v>0</v>
      </c>
      <c r="G1021" s="742">
        <f>Calculs!CC1093</f>
        <v>0</v>
      </c>
      <c r="H1021" s="742"/>
      <c r="I1021" s="742">
        <f>Calculs!CE1093</f>
        <v>0</v>
      </c>
      <c r="J1021" s="742">
        <f>Calculs!CF1093</f>
        <v>0</v>
      </c>
      <c r="K1021" s="742"/>
      <c r="L1021" s="742">
        <f>Calculs!CH1093</f>
        <v>0</v>
      </c>
    </row>
    <row r="1022" spans="2:12">
      <c r="B1022" s="742">
        <f>Calculs!B1094</f>
        <v>0</v>
      </c>
      <c r="C1022" s="742">
        <f>Calculs!BY1094</f>
        <v>0</v>
      </c>
      <c r="D1022" s="742">
        <f>Calculs!BZ1094</f>
        <v>0</v>
      </c>
      <c r="E1022" s="742">
        <f>Calculs!CA1094</f>
        <v>0</v>
      </c>
      <c r="F1022" s="742">
        <f>Calculs!CB1094</f>
        <v>0</v>
      </c>
      <c r="G1022" s="742">
        <f>Calculs!CC1094</f>
        <v>0</v>
      </c>
      <c r="H1022" s="742"/>
      <c r="I1022" s="742">
        <f>Calculs!CE1094</f>
        <v>0</v>
      </c>
      <c r="J1022" s="742">
        <f>Calculs!CF1094</f>
        <v>0</v>
      </c>
      <c r="K1022" s="742"/>
      <c r="L1022" s="742">
        <f>Calculs!CH1094</f>
        <v>0</v>
      </c>
    </row>
    <row r="1023" spans="2:12">
      <c r="B1023" s="742">
        <f>Calculs!B1095</f>
        <v>0</v>
      </c>
      <c r="C1023" s="742">
        <f>Calculs!BY1095</f>
        <v>0</v>
      </c>
      <c r="D1023" s="742">
        <f>Calculs!BZ1095</f>
        <v>0</v>
      </c>
      <c r="E1023" s="742">
        <f>Calculs!CA1095</f>
        <v>0</v>
      </c>
      <c r="F1023" s="742">
        <f>Calculs!CB1095</f>
        <v>0</v>
      </c>
      <c r="G1023" s="742">
        <f>Calculs!CC1095</f>
        <v>0</v>
      </c>
      <c r="H1023" s="742"/>
      <c r="I1023" s="742">
        <f>Calculs!CE1095</f>
        <v>0</v>
      </c>
      <c r="J1023" s="742">
        <f>Calculs!CF1095</f>
        <v>0</v>
      </c>
      <c r="K1023" s="742"/>
      <c r="L1023" s="742">
        <f>Calculs!CH1095</f>
        <v>0</v>
      </c>
    </row>
    <row r="1024" spans="2:12">
      <c r="B1024" s="742">
        <f>Calculs!B1096</f>
        <v>0</v>
      </c>
      <c r="C1024" s="742">
        <f>Calculs!BY1096</f>
        <v>0</v>
      </c>
      <c r="D1024" s="742">
        <f>Calculs!BZ1096</f>
        <v>0</v>
      </c>
      <c r="E1024" s="742">
        <f>Calculs!CA1096</f>
        <v>0</v>
      </c>
      <c r="F1024" s="742">
        <f>Calculs!CB1096</f>
        <v>0</v>
      </c>
      <c r="G1024" s="742">
        <f>Calculs!CC1096</f>
        <v>0</v>
      </c>
      <c r="H1024" s="742"/>
      <c r="I1024" s="742">
        <f>Calculs!CE1096</f>
        <v>0</v>
      </c>
      <c r="J1024" s="742">
        <f>Calculs!CF1096</f>
        <v>0</v>
      </c>
      <c r="K1024" s="742"/>
      <c r="L1024" s="742">
        <f>Calculs!CH1096</f>
        <v>0</v>
      </c>
    </row>
    <row r="1025" spans="2:12">
      <c r="B1025" s="742">
        <f>Calculs!B1097</f>
        <v>0</v>
      </c>
      <c r="C1025" s="742">
        <f>Calculs!BY1097</f>
        <v>0</v>
      </c>
      <c r="D1025" s="742">
        <f>Calculs!BZ1097</f>
        <v>0</v>
      </c>
      <c r="E1025" s="742">
        <f>Calculs!CA1097</f>
        <v>0</v>
      </c>
      <c r="F1025" s="742">
        <f>Calculs!CB1097</f>
        <v>0</v>
      </c>
      <c r="G1025" s="742">
        <f>Calculs!CC1097</f>
        <v>0</v>
      </c>
      <c r="H1025" s="742"/>
      <c r="I1025" s="742">
        <f>Calculs!CE1097</f>
        <v>0</v>
      </c>
      <c r="J1025" s="742">
        <f>Calculs!CF1097</f>
        <v>0</v>
      </c>
      <c r="K1025" s="742"/>
      <c r="L1025" s="742">
        <f>Calculs!CH1097</f>
        <v>0</v>
      </c>
    </row>
    <row r="1026" spans="2:12">
      <c r="B1026" s="742">
        <f>Calculs!B1098</f>
        <v>0</v>
      </c>
      <c r="C1026" s="742">
        <f>Calculs!BY1098</f>
        <v>0</v>
      </c>
      <c r="D1026" s="742">
        <f>Calculs!BZ1098</f>
        <v>0</v>
      </c>
      <c r="E1026" s="742">
        <f>Calculs!CA1098</f>
        <v>0</v>
      </c>
      <c r="F1026" s="742">
        <f>Calculs!CB1098</f>
        <v>0</v>
      </c>
      <c r="G1026" s="742">
        <f>Calculs!CC1098</f>
        <v>0</v>
      </c>
      <c r="H1026" s="742"/>
      <c r="I1026" s="742">
        <f>Calculs!CE1098</f>
        <v>0</v>
      </c>
      <c r="J1026" s="742">
        <f>Calculs!CF1098</f>
        <v>0</v>
      </c>
      <c r="K1026" s="742"/>
      <c r="L1026" s="742">
        <f>Calculs!CH1098</f>
        <v>0</v>
      </c>
    </row>
    <row r="1027" spans="2:12">
      <c r="B1027" s="742">
        <f>Calculs!B1099</f>
        <v>0</v>
      </c>
      <c r="C1027" s="742">
        <f>Calculs!BY1099</f>
        <v>0</v>
      </c>
      <c r="D1027" s="742">
        <f>Calculs!BZ1099</f>
        <v>0</v>
      </c>
      <c r="E1027" s="742">
        <f>Calculs!CA1099</f>
        <v>0</v>
      </c>
      <c r="F1027" s="742">
        <f>Calculs!CB1099</f>
        <v>0</v>
      </c>
      <c r="G1027" s="742">
        <f>Calculs!CC1099</f>
        <v>0</v>
      </c>
      <c r="H1027" s="742"/>
      <c r="I1027" s="742">
        <f>Calculs!CE1099</f>
        <v>0</v>
      </c>
      <c r="J1027" s="742">
        <f>Calculs!CF1099</f>
        <v>0</v>
      </c>
      <c r="K1027" s="742"/>
      <c r="L1027" s="742">
        <f>Calculs!CH1099</f>
        <v>0</v>
      </c>
    </row>
    <row r="1028" spans="2:12">
      <c r="B1028" s="742">
        <f>Calculs!B1100</f>
        <v>0</v>
      </c>
      <c r="C1028" s="742">
        <f>Calculs!BY1100</f>
        <v>0</v>
      </c>
      <c r="D1028" s="742">
        <f>Calculs!BZ1100</f>
        <v>0</v>
      </c>
      <c r="E1028" s="742">
        <f>Calculs!CA1100</f>
        <v>0</v>
      </c>
      <c r="F1028" s="742">
        <f>Calculs!CB1100</f>
        <v>0</v>
      </c>
      <c r="G1028" s="742">
        <f>Calculs!CC1100</f>
        <v>0</v>
      </c>
      <c r="H1028" s="742"/>
      <c r="I1028" s="742">
        <f>Calculs!CE1100</f>
        <v>0</v>
      </c>
      <c r="J1028" s="742">
        <f>Calculs!CF1100</f>
        <v>0</v>
      </c>
      <c r="K1028" s="742"/>
      <c r="L1028" s="742">
        <f>Calculs!CH1100</f>
        <v>0</v>
      </c>
    </row>
    <row r="1029" spans="2:12">
      <c r="B1029" s="742">
        <f>Calculs!B1101</f>
        <v>0</v>
      </c>
      <c r="C1029" s="742">
        <f>Calculs!BY1101</f>
        <v>0</v>
      </c>
      <c r="D1029" s="742">
        <f>Calculs!BZ1101</f>
        <v>0</v>
      </c>
      <c r="E1029" s="742">
        <f>Calculs!CA1101</f>
        <v>0</v>
      </c>
      <c r="F1029" s="742">
        <f>Calculs!CB1101</f>
        <v>0</v>
      </c>
      <c r="G1029" s="742">
        <f>Calculs!CC1101</f>
        <v>0</v>
      </c>
      <c r="H1029" s="742"/>
      <c r="I1029" s="742">
        <f>Calculs!CE1101</f>
        <v>0</v>
      </c>
      <c r="J1029" s="742">
        <f>Calculs!CF1101</f>
        <v>0</v>
      </c>
      <c r="K1029" s="742"/>
      <c r="L1029" s="742">
        <f>Calculs!CH1101</f>
        <v>0</v>
      </c>
    </row>
    <row r="1030" spans="2:12">
      <c r="B1030" s="742">
        <f>Calculs!B1102</f>
        <v>0</v>
      </c>
      <c r="C1030" s="742">
        <f>Calculs!BY1102</f>
        <v>0</v>
      </c>
      <c r="D1030" s="742">
        <f>Calculs!BZ1102</f>
        <v>0</v>
      </c>
      <c r="E1030" s="742">
        <f>Calculs!CA1102</f>
        <v>0</v>
      </c>
      <c r="F1030" s="742">
        <f>Calculs!CB1102</f>
        <v>0</v>
      </c>
      <c r="G1030" s="742">
        <f>Calculs!CC1102</f>
        <v>0</v>
      </c>
      <c r="H1030" s="742"/>
      <c r="I1030" s="742">
        <f>Calculs!CE1102</f>
        <v>0</v>
      </c>
      <c r="J1030" s="742">
        <f>Calculs!CF1102</f>
        <v>0</v>
      </c>
      <c r="K1030" s="742"/>
      <c r="L1030" s="742">
        <f>Calculs!CH1102</f>
        <v>0</v>
      </c>
    </row>
    <row r="1031" spans="2:12">
      <c r="B1031" s="742">
        <f>Calculs!B1103</f>
        <v>0</v>
      </c>
      <c r="C1031" s="742">
        <f>Calculs!BY1103</f>
        <v>0</v>
      </c>
      <c r="D1031" s="742">
        <f>Calculs!BZ1103</f>
        <v>0</v>
      </c>
      <c r="E1031" s="742">
        <f>Calculs!CA1103</f>
        <v>0</v>
      </c>
      <c r="F1031" s="742">
        <f>Calculs!CB1103</f>
        <v>0</v>
      </c>
      <c r="G1031" s="742">
        <f>Calculs!CC1103</f>
        <v>0</v>
      </c>
      <c r="H1031" s="742"/>
      <c r="I1031" s="742">
        <f>Calculs!CE1103</f>
        <v>0</v>
      </c>
      <c r="J1031" s="742">
        <f>Calculs!CF1103</f>
        <v>0</v>
      </c>
      <c r="K1031" s="742"/>
      <c r="L1031" s="742">
        <f>Calculs!CH1103</f>
        <v>0</v>
      </c>
    </row>
    <row r="1032" spans="2:12">
      <c r="B1032" s="742">
        <f>Calculs!B1104</f>
        <v>0</v>
      </c>
      <c r="C1032" s="742">
        <f>Calculs!BY1104</f>
        <v>0</v>
      </c>
      <c r="D1032" s="742">
        <f>Calculs!BZ1104</f>
        <v>0</v>
      </c>
      <c r="E1032" s="742">
        <f>Calculs!CA1104</f>
        <v>0</v>
      </c>
      <c r="F1032" s="742">
        <f>Calculs!CB1104</f>
        <v>0</v>
      </c>
      <c r="G1032" s="742">
        <f>Calculs!CC1104</f>
        <v>0</v>
      </c>
      <c r="H1032" s="742"/>
      <c r="I1032" s="742">
        <f>Calculs!CE1104</f>
        <v>0</v>
      </c>
      <c r="J1032" s="742">
        <f>Calculs!CF1104</f>
        <v>0</v>
      </c>
      <c r="K1032" s="742"/>
      <c r="L1032" s="742">
        <f>Calculs!CH1104</f>
        <v>0</v>
      </c>
    </row>
    <row r="1033" spans="2:12">
      <c r="B1033" s="742">
        <f>Calculs!B1105</f>
        <v>0</v>
      </c>
      <c r="C1033" s="742">
        <f>Calculs!BY1105</f>
        <v>0</v>
      </c>
      <c r="D1033" s="742">
        <f>Calculs!BZ1105</f>
        <v>0</v>
      </c>
      <c r="E1033" s="742">
        <f>Calculs!CA1105</f>
        <v>0</v>
      </c>
      <c r="F1033" s="742">
        <f>Calculs!CB1105</f>
        <v>0</v>
      </c>
      <c r="G1033" s="742">
        <f>Calculs!CC1105</f>
        <v>0</v>
      </c>
      <c r="H1033" s="742"/>
      <c r="I1033" s="742">
        <f>Calculs!CE1105</f>
        <v>0</v>
      </c>
      <c r="J1033" s="742">
        <f>Calculs!CF1105</f>
        <v>0</v>
      </c>
      <c r="K1033" s="742"/>
      <c r="L1033" s="742">
        <f>Calculs!CH1105</f>
        <v>0</v>
      </c>
    </row>
    <row r="1034" spans="2:12">
      <c r="B1034" s="742">
        <f>Calculs!B1106</f>
        <v>0</v>
      </c>
      <c r="C1034" s="742">
        <f>Calculs!BY1106</f>
        <v>0</v>
      </c>
      <c r="D1034" s="742">
        <f>Calculs!BZ1106</f>
        <v>0</v>
      </c>
      <c r="E1034" s="742">
        <f>Calculs!CA1106</f>
        <v>0</v>
      </c>
      <c r="F1034" s="742">
        <f>Calculs!CB1106</f>
        <v>0</v>
      </c>
      <c r="G1034" s="742">
        <f>Calculs!CC1106</f>
        <v>0</v>
      </c>
      <c r="H1034" s="742"/>
      <c r="I1034" s="742">
        <f>Calculs!CE1106</f>
        <v>0</v>
      </c>
      <c r="J1034" s="742">
        <f>Calculs!CF1106</f>
        <v>0</v>
      </c>
      <c r="K1034" s="742"/>
      <c r="L1034" s="742">
        <f>Calculs!CH1106</f>
        <v>0</v>
      </c>
    </row>
    <row r="1035" spans="2:12">
      <c r="B1035" s="742">
        <f>Calculs!B1107</f>
        <v>0</v>
      </c>
      <c r="C1035" s="742">
        <f>Calculs!BY1107</f>
        <v>0</v>
      </c>
      <c r="D1035" s="742">
        <f>Calculs!BZ1107</f>
        <v>0</v>
      </c>
      <c r="E1035" s="742">
        <f>Calculs!CA1107</f>
        <v>0</v>
      </c>
      <c r="F1035" s="742">
        <f>Calculs!CB1107</f>
        <v>0</v>
      </c>
      <c r="G1035" s="742">
        <f>Calculs!CC1107</f>
        <v>0</v>
      </c>
      <c r="H1035" s="742"/>
      <c r="I1035" s="742">
        <f>Calculs!CE1107</f>
        <v>0</v>
      </c>
      <c r="J1035" s="742">
        <f>Calculs!CF1107</f>
        <v>0</v>
      </c>
      <c r="K1035" s="742"/>
      <c r="L1035" s="742">
        <f>Calculs!CH1107</f>
        <v>0</v>
      </c>
    </row>
    <row r="1036" spans="2:12">
      <c r="B1036" s="742">
        <f>Calculs!B1108</f>
        <v>0</v>
      </c>
      <c r="C1036" s="742">
        <f>Calculs!BY1108</f>
        <v>0</v>
      </c>
      <c r="D1036" s="742">
        <f>Calculs!BZ1108</f>
        <v>0</v>
      </c>
      <c r="E1036" s="742">
        <f>Calculs!CA1108</f>
        <v>0</v>
      </c>
      <c r="F1036" s="742">
        <f>Calculs!CB1108</f>
        <v>0</v>
      </c>
      <c r="G1036" s="742">
        <f>Calculs!CC1108</f>
        <v>0</v>
      </c>
      <c r="H1036" s="742"/>
      <c r="I1036" s="742">
        <f>Calculs!CE1108</f>
        <v>0</v>
      </c>
      <c r="J1036" s="742">
        <f>Calculs!CF1108</f>
        <v>0</v>
      </c>
      <c r="K1036" s="742"/>
      <c r="L1036" s="742">
        <f>Calculs!CH1108</f>
        <v>0</v>
      </c>
    </row>
    <row r="1037" spans="2:12">
      <c r="B1037" s="742">
        <f>Calculs!B1109</f>
        <v>0</v>
      </c>
      <c r="C1037" s="742">
        <f>Calculs!BY1109</f>
        <v>0</v>
      </c>
      <c r="D1037" s="742">
        <f>Calculs!BZ1109</f>
        <v>0</v>
      </c>
      <c r="E1037" s="742">
        <f>Calculs!CA1109</f>
        <v>0</v>
      </c>
      <c r="F1037" s="742">
        <f>Calculs!CB1109</f>
        <v>0</v>
      </c>
      <c r="G1037" s="742">
        <f>Calculs!CC1109</f>
        <v>0</v>
      </c>
      <c r="H1037" s="742"/>
      <c r="I1037" s="742">
        <f>Calculs!CE1109</f>
        <v>0</v>
      </c>
      <c r="J1037" s="742">
        <f>Calculs!CF1109</f>
        <v>0</v>
      </c>
      <c r="K1037" s="742"/>
      <c r="L1037" s="742">
        <f>Calculs!CH1109</f>
        <v>0</v>
      </c>
    </row>
    <row r="1038" spans="2:12">
      <c r="B1038" s="742">
        <f>Calculs!B1110</f>
        <v>0</v>
      </c>
      <c r="C1038" s="742">
        <f>Calculs!BY1110</f>
        <v>0</v>
      </c>
      <c r="D1038" s="742">
        <f>Calculs!BZ1110</f>
        <v>0</v>
      </c>
      <c r="E1038" s="742">
        <f>Calculs!CA1110</f>
        <v>0</v>
      </c>
      <c r="F1038" s="742">
        <f>Calculs!CB1110</f>
        <v>0</v>
      </c>
      <c r="G1038" s="742">
        <f>Calculs!CC1110</f>
        <v>0</v>
      </c>
      <c r="H1038" s="742"/>
      <c r="I1038" s="742">
        <f>Calculs!CE1110</f>
        <v>0</v>
      </c>
      <c r="J1038" s="742">
        <f>Calculs!CF1110</f>
        <v>0</v>
      </c>
      <c r="K1038" s="742"/>
      <c r="L1038" s="742">
        <f>Calculs!CH1110</f>
        <v>0</v>
      </c>
    </row>
    <row r="1039" spans="2:12">
      <c r="B1039" s="742">
        <f>Calculs!B1111</f>
        <v>0</v>
      </c>
      <c r="C1039" s="742">
        <f>Calculs!BY1111</f>
        <v>0</v>
      </c>
      <c r="D1039" s="742">
        <f>Calculs!BZ1111</f>
        <v>0</v>
      </c>
      <c r="E1039" s="742">
        <f>Calculs!CA1111</f>
        <v>0</v>
      </c>
      <c r="F1039" s="742">
        <f>Calculs!CB1111</f>
        <v>0</v>
      </c>
      <c r="G1039" s="742">
        <f>Calculs!CC1111</f>
        <v>0</v>
      </c>
      <c r="H1039" s="742"/>
      <c r="I1039" s="742">
        <f>Calculs!CE1111</f>
        <v>0</v>
      </c>
      <c r="J1039" s="742">
        <f>Calculs!CF1111</f>
        <v>0</v>
      </c>
      <c r="K1039" s="742"/>
      <c r="L1039" s="742">
        <f>Calculs!CH1111</f>
        <v>0</v>
      </c>
    </row>
    <row r="1040" spans="2:12">
      <c r="B1040" s="742">
        <f>Calculs!B1112</f>
        <v>0</v>
      </c>
      <c r="C1040" s="742">
        <f>Calculs!BY1112</f>
        <v>0</v>
      </c>
      <c r="D1040" s="742">
        <f>Calculs!BZ1112</f>
        <v>0</v>
      </c>
      <c r="E1040" s="742">
        <f>Calculs!CA1112</f>
        <v>0</v>
      </c>
      <c r="F1040" s="742">
        <f>Calculs!CB1112</f>
        <v>0</v>
      </c>
      <c r="G1040" s="742">
        <f>Calculs!CC1112</f>
        <v>0</v>
      </c>
      <c r="H1040" s="742"/>
      <c r="I1040" s="742">
        <f>Calculs!CE1112</f>
        <v>0</v>
      </c>
      <c r="J1040" s="742">
        <f>Calculs!CF1112</f>
        <v>0</v>
      </c>
      <c r="K1040" s="742"/>
      <c r="L1040" s="742">
        <f>Calculs!CH1112</f>
        <v>0</v>
      </c>
    </row>
    <row r="1041" spans="2:12">
      <c r="B1041" s="742">
        <f>Calculs!B1113</f>
        <v>0</v>
      </c>
      <c r="C1041" s="742">
        <f>Calculs!BY1113</f>
        <v>0</v>
      </c>
      <c r="D1041" s="742">
        <f>Calculs!BZ1113</f>
        <v>0</v>
      </c>
      <c r="E1041" s="742">
        <f>Calculs!CA1113</f>
        <v>0</v>
      </c>
      <c r="F1041" s="742">
        <f>Calculs!CB1113</f>
        <v>0</v>
      </c>
      <c r="G1041" s="742">
        <f>Calculs!CC1113</f>
        <v>0</v>
      </c>
      <c r="H1041" s="742"/>
      <c r="I1041" s="742">
        <f>Calculs!CE1113</f>
        <v>0</v>
      </c>
      <c r="J1041" s="742">
        <f>Calculs!CF1113</f>
        <v>0</v>
      </c>
      <c r="K1041" s="742"/>
      <c r="L1041" s="742">
        <f>Calculs!CH1113</f>
        <v>0</v>
      </c>
    </row>
    <row r="1042" spans="2:12">
      <c r="B1042" s="742">
        <f>Calculs!B1114</f>
        <v>0</v>
      </c>
      <c r="C1042" s="742">
        <f>Calculs!BY1114</f>
        <v>0</v>
      </c>
      <c r="D1042" s="742">
        <f>Calculs!BZ1114</f>
        <v>0</v>
      </c>
      <c r="E1042" s="742">
        <f>Calculs!CA1114</f>
        <v>0</v>
      </c>
      <c r="F1042" s="742">
        <f>Calculs!CB1114</f>
        <v>0</v>
      </c>
      <c r="G1042" s="742">
        <f>Calculs!CC1114</f>
        <v>0</v>
      </c>
      <c r="H1042" s="742"/>
      <c r="I1042" s="742">
        <f>Calculs!CE1114</f>
        <v>0</v>
      </c>
      <c r="J1042" s="742">
        <f>Calculs!CF1114</f>
        <v>0</v>
      </c>
      <c r="K1042" s="742"/>
      <c r="L1042" s="742">
        <f>Calculs!CH1114</f>
        <v>0</v>
      </c>
    </row>
    <row r="1043" spans="2:12">
      <c r="B1043" s="742">
        <f>Calculs!B1115</f>
        <v>0</v>
      </c>
      <c r="C1043" s="742">
        <f>Calculs!BY1115</f>
        <v>0</v>
      </c>
      <c r="D1043" s="742">
        <f>Calculs!BZ1115</f>
        <v>0</v>
      </c>
      <c r="E1043" s="742">
        <f>Calculs!CA1115</f>
        <v>0</v>
      </c>
      <c r="F1043" s="742">
        <f>Calculs!CB1115</f>
        <v>0</v>
      </c>
      <c r="G1043" s="742">
        <f>Calculs!CC1115</f>
        <v>0</v>
      </c>
      <c r="H1043" s="742"/>
      <c r="I1043" s="742">
        <f>Calculs!CE1115</f>
        <v>0</v>
      </c>
      <c r="J1043" s="742">
        <f>Calculs!CF1115</f>
        <v>0</v>
      </c>
      <c r="K1043" s="742"/>
      <c r="L1043" s="742">
        <f>Calculs!CH1115</f>
        <v>0</v>
      </c>
    </row>
    <row r="1044" spans="2:12">
      <c r="B1044" s="742">
        <f>Calculs!B1116</f>
        <v>0</v>
      </c>
      <c r="C1044" s="742">
        <f>Calculs!BY1116</f>
        <v>0</v>
      </c>
      <c r="D1044" s="742">
        <f>Calculs!BZ1116</f>
        <v>0</v>
      </c>
      <c r="E1044" s="742">
        <f>Calculs!CA1116</f>
        <v>0</v>
      </c>
      <c r="F1044" s="742">
        <f>Calculs!CB1116</f>
        <v>0</v>
      </c>
      <c r="G1044" s="742">
        <f>Calculs!CC1116</f>
        <v>0</v>
      </c>
      <c r="H1044" s="742"/>
      <c r="I1044" s="742">
        <f>Calculs!CE1116</f>
        <v>0</v>
      </c>
      <c r="J1044" s="742">
        <f>Calculs!CF1116</f>
        <v>0</v>
      </c>
      <c r="K1044" s="742"/>
      <c r="L1044" s="742">
        <f>Calculs!CH1116</f>
        <v>0</v>
      </c>
    </row>
    <row r="1045" spans="2:12">
      <c r="B1045" s="742">
        <f>Calculs!B1117</f>
        <v>0</v>
      </c>
      <c r="C1045" s="742">
        <f>Calculs!BY1117</f>
        <v>0</v>
      </c>
      <c r="D1045" s="742">
        <f>Calculs!BZ1117</f>
        <v>0</v>
      </c>
      <c r="E1045" s="742">
        <f>Calculs!CA1117</f>
        <v>0</v>
      </c>
      <c r="F1045" s="742">
        <f>Calculs!CB1117</f>
        <v>0</v>
      </c>
      <c r="G1045" s="742">
        <f>Calculs!CC1117</f>
        <v>0</v>
      </c>
      <c r="H1045" s="742"/>
      <c r="I1045" s="742">
        <f>Calculs!CE1117</f>
        <v>0</v>
      </c>
      <c r="J1045" s="742">
        <f>Calculs!CF1117</f>
        <v>0</v>
      </c>
      <c r="K1045" s="742"/>
      <c r="L1045" s="742">
        <f>Calculs!CH1117</f>
        <v>0</v>
      </c>
    </row>
    <row r="1046" spans="2:12">
      <c r="B1046" s="742">
        <f>Calculs!B1118</f>
        <v>0</v>
      </c>
      <c r="C1046" s="742">
        <f>Calculs!BY1118</f>
        <v>0</v>
      </c>
      <c r="D1046" s="742">
        <f>Calculs!BZ1118</f>
        <v>0</v>
      </c>
      <c r="E1046" s="742">
        <f>Calculs!CA1118</f>
        <v>0</v>
      </c>
      <c r="F1046" s="742">
        <f>Calculs!CB1118</f>
        <v>0</v>
      </c>
      <c r="G1046" s="742">
        <f>Calculs!CC1118</f>
        <v>0</v>
      </c>
      <c r="H1046" s="742"/>
      <c r="I1046" s="742">
        <f>Calculs!CE1118</f>
        <v>0</v>
      </c>
      <c r="J1046" s="742">
        <f>Calculs!CF1118</f>
        <v>0</v>
      </c>
      <c r="K1046" s="742"/>
      <c r="L1046" s="742">
        <f>Calculs!CH1118</f>
        <v>0</v>
      </c>
    </row>
    <row r="1047" spans="2:12">
      <c r="B1047" s="742">
        <f>Calculs!B1119</f>
        <v>0</v>
      </c>
      <c r="C1047" s="742">
        <f>Calculs!BY1119</f>
        <v>0</v>
      </c>
      <c r="D1047" s="742">
        <f>Calculs!BZ1119</f>
        <v>0</v>
      </c>
      <c r="E1047" s="742">
        <f>Calculs!CA1119</f>
        <v>0</v>
      </c>
      <c r="F1047" s="742">
        <f>Calculs!CB1119</f>
        <v>0</v>
      </c>
      <c r="G1047" s="742">
        <f>Calculs!CC1119</f>
        <v>0</v>
      </c>
      <c r="H1047" s="742"/>
      <c r="I1047" s="742">
        <f>Calculs!CE1119</f>
        <v>0</v>
      </c>
      <c r="J1047" s="742">
        <f>Calculs!CF1119</f>
        <v>0</v>
      </c>
      <c r="K1047" s="742"/>
      <c r="L1047" s="742">
        <f>Calculs!CH1119</f>
        <v>0</v>
      </c>
    </row>
    <row r="1048" spans="2:12">
      <c r="B1048" s="742">
        <f>Calculs!B1120</f>
        <v>0</v>
      </c>
      <c r="C1048" s="742">
        <f>Calculs!BY1120</f>
        <v>0</v>
      </c>
      <c r="D1048" s="742">
        <f>Calculs!BZ1120</f>
        <v>0</v>
      </c>
      <c r="E1048" s="742">
        <f>Calculs!CA1120</f>
        <v>0</v>
      </c>
      <c r="F1048" s="742">
        <f>Calculs!CB1120</f>
        <v>0</v>
      </c>
      <c r="G1048" s="742">
        <f>Calculs!CC1120</f>
        <v>0</v>
      </c>
      <c r="H1048" s="742"/>
      <c r="I1048" s="742">
        <f>Calculs!CE1120</f>
        <v>0</v>
      </c>
      <c r="J1048" s="742">
        <f>Calculs!CF1120</f>
        <v>0</v>
      </c>
      <c r="K1048" s="742"/>
      <c r="L1048" s="742">
        <f>Calculs!CH1120</f>
        <v>0</v>
      </c>
    </row>
    <row r="1049" spans="2:12">
      <c r="B1049" s="742">
        <f>Calculs!B1121</f>
        <v>0</v>
      </c>
      <c r="C1049" s="742">
        <f>Calculs!BY1121</f>
        <v>0</v>
      </c>
      <c r="D1049" s="742">
        <f>Calculs!BZ1121</f>
        <v>0</v>
      </c>
      <c r="E1049" s="742">
        <f>Calculs!CA1121</f>
        <v>0</v>
      </c>
      <c r="F1049" s="742">
        <f>Calculs!CB1121</f>
        <v>0</v>
      </c>
      <c r="G1049" s="742">
        <f>Calculs!CC1121</f>
        <v>0</v>
      </c>
      <c r="H1049" s="742"/>
      <c r="I1049" s="742">
        <f>Calculs!CE1121</f>
        <v>0</v>
      </c>
      <c r="J1049" s="742">
        <f>Calculs!CF1121</f>
        <v>0</v>
      </c>
      <c r="K1049" s="742"/>
      <c r="L1049" s="742">
        <f>Calculs!CH1121</f>
        <v>0</v>
      </c>
    </row>
    <row r="1050" spans="2:12">
      <c r="B1050" s="742">
        <f>Calculs!B1122</f>
        <v>0</v>
      </c>
      <c r="C1050" s="742">
        <f>Calculs!BY1122</f>
        <v>0</v>
      </c>
      <c r="D1050" s="742">
        <f>Calculs!BZ1122</f>
        <v>0</v>
      </c>
      <c r="E1050" s="742">
        <f>Calculs!CA1122</f>
        <v>0</v>
      </c>
      <c r="F1050" s="742">
        <f>Calculs!CB1122</f>
        <v>0</v>
      </c>
      <c r="G1050" s="742">
        <f>Calculs!CC1122</f>
        <v>0</v>
      </c>
      <c r="H1050" s="742"/>
      <c r="I1050" s="742">
        <f>Calculs!CE1122</f>
        <v>0</v>
      </c>
      <c r="J1050" s="742">
        <f>Calculs!CF1122</f>
        <v>0</v>
      </c>
      <c r="K1050" s="742"/>
      <c r="L1050" s="742">
        <f>Calculs!CH1122</f>
        <v>0</v>
      </c>
    </row>
    <row r="1051" spans="2:12">
      <c r="B1051" s="742">
        <f>Calculs!B1123</f>
        <v>0</v>
      </c>
      <c r="C1051" s="742">
        <f>Calculs!BY1123</f>
        <v>0</v>
      </c>
      <c r="D1051" s="742">
        <f>Calculs!BZ1123</f>
        <v>0</v>
      </c>
      <c r="E1051" s="742">
        <f>Calculs!CA1123</f>
        <v>0</v>
      </c>
      <c r="F1051" s="742">
        <f>Calculs!CB1123</f>
        <v>0</v>
      </c>
      <c r="G1051" s="742">
        <f>Calculs!CC1123</f>
        <v>0</v>
      </c>
      <c r="H1051" s="742"/>
      <c r="I1051" s="742">
        <f>Calculs!CE1123</f>
        <v>0</v>
      </c>
      <c r="J1051" s="742">
        <f>Calculs!CF1123</f>
        <v>0</v>
      </c>
      <c r="K1051" s="742"/>
      <c r="L1051" s="742">
        <f>Calculs!CH1123</f>
        <v>0</v>
      </c>
    </row>
    <row r="1052" spans="2:12">
      <c r="B1052" s="742">
        <f>Calculs!B1124</f>
        <v>0</v>
      </c>
      <c r="C1052" s="742">
        <f>Calculs!BY1124</f>
        <v>0</v>
      </c>
      <c r="D1052" s="742">
        <f>Calculs!BZ1124</f>
        <v>0</v>
      </c>
      <c r="E1052" s="742">
        <f>Calculs!CA1124</f>
        <v>0</v>
      </c>
      <c r="F1052" s="742">
        <f>Calculs!CB1124</f>
        <v>0</v>
      </c>
      <c r="G1052" s="742">
        <f>Calculs!CC1124</f>
        <v>0</v>
      </c>
      <c r="H1052" s="742"/>
      <c r="I1052" s="742">
        <f>Calculs!CE1124</f>
        <v>0</v>
      </c>
      <c r="J1052" s="742">
        <f>Calculs!CF1124</f>
        <v>0</v>
      </c>
      <c r="K1052" s="742"/>
      <c r="L1052" s="742">
        <f>Calculs!CH1124</f>
        <v>0</v>
      </c>
    </row>
    <row r="1053" spans="2:12">
      <c r="B1053" s="742">
        <f>Calculs!B1125</f>
        <v>0</v>
      </c>
      <c r="C1053" s="742">
        <f>Calculs!BY1125</f>
        <v>0</v>
      </c>
      <c r="D1053" s="742">
        <f>Calculs!BZ1125</f>
        <v>0</v>
      </c>
      <c r="E1053" s="742">
        <f>Calculs!CA1125</f>
        <v>0</v>
      </c>
      <c r="F1053" s="742">
        <f>Calculs!CB1125</f>
        <v>0</v>
      </c>
      <c r="G1053" s="742">
        <f>Calculs!CC1125</f>
        <v>0</v>
      </c>
      <c r="H1053" s="742"/>
      <c r="I1053" s="742">
        <f>Calculs!CE1125</f>
        <v>0</v>
      </c>
      <c r="J1053" s="742">
        <f>Calculs!CF1125</f>
        <v>0</v>
      </c>
      <c r="K1053" s="742"/>
      <c r="L1053" s="742">
        <f>Calculs!CH1125</f>
        <v>0</v>
      </c>
    </row>
    <row r="1054" spans="2:12">
      <c r="B1054" s="742">
        <f>Calculs!B1126</f>
        <v>0</v>
      </c>
      <c r="C1054" s="742">
        <f>Calculs!BY1126</f>
        <v>0</v>
      </c>
      <c r="D1054" s="742">
        <f>Calculs!BZ1126</f>
        <v>0</v>
      </c>
      <c r="E1054" s="742">
        <f>Calculs!CA1126</f>
        <v>0</v>
      </c>
      <c r="F1054" s="742">
        <f>Calculs!CB1126</f>
        <v>0</v>
      </c>
      <c r="G1054" s="742">
        <f>Calculs!CC1126</f>
        <v>0</v>
      </c>
      <c r="H1054" s="742"/>
      <c r="I1054" s="742">
        <f>Calculs!CE1126</f>
        <v>0</v>
      </c>
      <c r="J1054" s="742">
        <f>Calculs!CF1126</f>
        <v>0</v>
      </c>
      <c r="K1054" s="742"/>
      <c r="L1054" s="742">
        <f>Calculs!CH1126</f>
        <v>0</v>
      </c>
    </row>
    <row r="1055" spans="2:12">
      <c r="B1055" s="742">
        <f>Calculs!B1127</f>
        <v>0</v>
      </c>
      <c r="C1055" s="742">
        <f>Calculs!BY1127</f>
        <v>0</v>
      </c>
      <c r="D1055" s="742">
        <f>Calculs!BZ1127</f>
        <v>0</v>
      </c>
      <c r="E1055" s="742">
        <f>Calculs!CA1127</f>
        <v>0</v>
      </c>
      <c r="F1055" s="742">
        <f>Calculs!CB1127</f>
        <v>0</v>
      </c>
      <c r="G1055" s="742">
        <f>Calculs!CC1127</f>
        <v>0</v>
      </c>
      <c r="H1055" s="742"/>
      <c r="I1055" s="742">
        <f>Calculs!CE1127</f>
        <v>0</v>
      </c>
      <c r="J1055" s="742">
        <f>Calculs!CF1127</f>
        <v>0</v>
      </c>
      <c r="K1055" s="742"/>
      <c r="L1055" s="742">
        <f>Calculs!CH1127</f>
        <v>0</v>
      </c>
    </row>
    <row r="1056" spans="2:12">
      <c r="B1056" s="742">
        <f>Calculs!B1128</f>
        <v>0</v>
      </c>
      <c r="C1056" s="742">
        <f>Calculs!BY1128</f>
        <v>0</v>
      </c>
      <c r="D1056" s="742">
        <f>Calculs!BZ1128</f>
        <v>0</v>
      </c>
      <c r="E1056" s="742">
        <f>Calculs!CA1128</f>
        <v>0</v>
      </c>
      <c r="F1056" s="742">
        <f>Calculs!CB1128</f>
        <v>0</v>
      </c>
      <c r="G1056" s="742">
        <f>Calculs!CC1128</f>
        <v>0</v>
      </c>
      <c r="H1056" s="742"/>
      <c r="I1056" s="742">
        <f>Calculs!CE1128</f>
        <v>0</v>
      </c>
      <c r="J1056" s="742">
        <f>Calculs!CF1128</f>
        <v>0</v>
      </c>
      <c r="K1056" s="742"/>
      <c r="L1056" s="742">
        <f>Calculs!CH1128</f>
        <v>0</v>
      </c>
    </row>
    <row r="1057" spans="2:12">
      <c r="B1057" s="742">
        <f>Calculs!B1129</f>
        <v>0</v>
      </c>
      <c r="C1057" s="742">
        <f>Calculs!BY1129</f>
        <v>0</v>
      </c>
      <c r="D1057" s="742">
        <f>Calculs!BZ1129</f>
        <v>0</v>
      </c>
      <c r="E1057" s="742">
        <f>Calculs!CA1129</f>
        <v>0</v>
      </c>
      <c r="F1057" s="742">
        <f>Calculs!CB1129</f>
        <v>0</v>
      </c>
      <c r="G1057" s="742">
        <f>Calculs!CC1129</f>
        <v>0</v>
      </c>
      <c r="H1057" s="742"/>
      <c r="I1057" s="742">
        <f>Calculs!CE1129</f>
        <v>0</v>
      </c>
      <c r="J1057" s="742">
        <f>Calculs!CF1129</f>
        <v>0</v>
      </c>
      <c r="K1057" s="742"/>
      <c r="L1057" s="742">
        <f>Calculs!CH1129</f>
        <v>0</v>
      </c>
    </row>
    <row r="1058" spans="2:12">
      <c r="B1058" s="742">
        <f>Calculs!B1130</f>
        <v>0</v>
      </c>
      <c r="C1058" s="742">
        <f>Calculs!BY1130</f>
        <v>0</v>
      </c>
      <c r="D1058" s="742">
        <f>Calculs!BZ1130</f>
        <v>0</v>
      </c>
      <c r="E1058" s="742">
        <f>Calculs!CA1130</f>
        <v>0</v>
      </c>
      <c r="F1058" s="742">
        <f>Calculs!CB1130</f>
        <v>0</v>
      </c>
      <c r="G1058" s="742">
        <f>Calculs!CC1130</f>
        <v>0</v>
      </c>
      <c r="H1058" s="742"/>
      <c r="I1058" s="742">
        <f>Calculs!CE1130</f>
        <v>0</v>
      </c>
      <c r="J1058" s="742">
        <f>Calculs!CF1130</f>
        <v>0</v>
      </c>
      <c r="K1058" s="742"/>
      <c r="L1058" s="742">
        <f>Calculs!CH1130</f>
        <v>0</v>
      </c>
    </row>
    <row r="1059" spans="2:12">
      <c r="B1059" s="742">
        <f>Calculs!B1131</f>
        <v>0</v>
      </c>
      <c r="C1059" s="742">
        <f>Calculs!BY1131</f>
        <v>0</v>
      </c>
      <c r="D1059" s="742">
        <f>Calculs!BZ1131</f>
        <v>0</v>
      </c>
      <c r="E1059" s="742">
        <f>Calculs!CA1131</f>
        <v>0</v>
      </c>
      <c r="F1059" s="742">
        <f>Calculs!CB1131</f>
        <v>0</v>
      </c>
      <c r="G1059" s="742">
        <f>Calculs!CC1131</f>
        <v>0</v>
      </c>
      <c r="H1059" s="742"/>
      <c r="I1059" s="742">
        <f>Calculs!CE1131</f>
        <v>0</v>
      </c>
      <c r="J1059" s="742">
        <f>Calculs!CF1131</f>
        <v>0</v>
      </c>
      <c r="K1059" s="742"/>
      <c r="L1059" s="742">
        <f>Calculs!CH1131</f>
        <v>0</v>
      </c>
    </row>
    <row r="1060" spans="2:12">
      <c r="B1060" s="742">
        <f>Calculs!B1132</f>
        <v>0</v>
      </c>
      <c r="C1060" s="742">
        <f>Calculs!BY1132</f>
        <v>0</v>
      </c>
      <c r="D1060" s="742">
        <f>Calculs!BZ1132</f>
        <v>0</v>
      </c>
      <c r="E1060" s="742">
        <f>Calculs!CA1132</f>
        <v>0</v>
      </c>
      <c r="F1060" s="742">
        <f>Calculs!CB1132</f>
        <v>0</v>
      </c>
      <c r="G1060" s="742">
        <f>Calculs!CC1132</f>
        <v>0</v>
      </c>
      <c r="H1060" s="742"/>
      <c r="I1060" s="742">
        <f>Calculs!CE1132</f>
        <v>0</v>
      </c>
      <c r="J1060" s="742">
        <f>Calculs!CF1132</f>
        <v>0</v>
      </c>
      <c r="K1060" s="742"/>
      <c r="L1060" s="742">
        <f>Calculs!CH1132</f>
        <v>0</v>
      </c>
    </row>
    <row r="1061" spans="2:12">
      <c r="B1061" s="742">
        <f>Calculs!B1133</f>
        <v>0</v>
      </c>
      <c r="C1061" s="742">
        <f>Calculs!BY1133</f>
        <v>0</v>
      </c>
      <c r="D1061" s="742">
        <f>Calculs!BZ1133</f>
        <v>0</v>
      </c>
      <c r="E1061" s="742">
        <f>Calculs!CA1133</f>
        <v>0</v>
      </c>
      <c r="F1061" s="742">
        <f>Calculs!CB1133</f>
        <v>0</v>
      </c>
      <c r="G1061" s="742">
        <f>Calculs!CC1133</f>
        <v>0</v>
      </c>
      <c r="H1061" s="742"/>
      <c r="I1061" s="742">
        <f>Calculs!CE1133</f>
        <v>0</v>
      </c>
      <c r="J1061" s="742">
        <f>Calculs!CF1133</f>
        <v>0</v>
      </c>
      <c r="K1061" s="742"/>
      <c r="L1061" s="742">
        <f>Calculs!CH1133</f>
        <v>0</v>
      </c>
    </row>
    <row r="1062" spans="2:12">
      <c r="B1062" s="742">
        <f>Calculs!B1134</f>
        <v>0</v>
      </c>
      <c r="C1062" s="742">
        <f>Calculs!BY1134</f>
        <v>0</v>
      </c>
      <c r="D1062" s="742">
        <f>Calculs!BZ1134</f>
        <v>0</v>
      </c>
      <c r="E1062" s="742">
        <f>Calculs!CA1134</f>
        <v>0</v>
      </c>
      <c r="F1062" s="742">
        <f>Calculs!CB1134</f>
        <v>0</v>
      </c>
      <c r="G1062" s="742">
        <f>Calculs!CC1134</f>
        <v>0</v>
      </c>
      <c r="H1062" s="742"/>
      <c r="I1062" s="742">
        <f>Calculs!CE1134</f>
        <v>0</v>
      </c>
      <c r="J1062" s="742">
        <f>Calculs!CF1134</f>
        <v>0</v>
      </c>
      <c r="K1062" s="742"/>
      <c r="L1062" s="742">
        <f>Calculs!CH1134</f>
        <v>0</v>
      </c>
    </row>
    <row r="1063" spans="2:12">
      <c r="B1063" s="742">
        <f>Calculs!B1135</f>
        <v>0</v>
      </c>
      <c r="C1063" s="742">
        <f>Calculs!BY1135</f>
        <v>0</v>
      </c>
      <c r="D1063" s="742">
        <f>Calculs!BZ1135</f>
        <v>0</v>
      </c>
      <c r="E1063" s="742">
        <f>Calculs!CA1135</f>
        <v>0</v>
      </c>
      <c r="F1063" s="742">
        <f>Calculs!CB1135</f>
        <v>0</v>
      </c>
      <c r="G1063" s="742">
        <f>Calculs!CC1135</f>
        <v>0</v>
      </c>
      <c r="H1063" s="742"/>
      <c r="I1063" s="742">
        <f>Calculs!CE1135</f>
        <v>0</v>
      </c>
      <c r="J1063" s="742">
        <f>Calculs!CF1135</f>
        <v>0</v>
      </c>
      <c r="K1063" s="742"/>
      <c r="L1063" s="742">
        <f>Calculs!CH1135</f>
        <v>0</v>
      </c>
    </row>
    <row r="1064" spans="2:12">
      <c r="B1064" s="742">
        <f>Calculs!B1136</f>
        <v>0</v>
      </c>
      <c r="C1064" s="742">
        <f>Calculs!BY1136</f>
        <v>0</v>
      </c>
      <c r="D1064" s="742">
        <f>Calculs!BZ1136</f>
        <v>0</v>
      </c>
      <c r="E1064" s="742">
        <f>Calculs!CA1136</f>
        <v>0</v>
      </c>
      <c r="F1064" s="742">
        <f>Calculs!CB1136</f>
        <v>0</v>
      </c>
      <c r="G1064" s="742">
        <f>Calculs!CC1136</f>
        <v>0</v>
      </c>
      <c r="H1064" s="742"/>
      <c r="I1064" s="742">
        <f>Calculs!CE1136</f>
        <v>0</v>
      </c>
      <c r="J1064" s="742">
        <f>Calculs!CF1136</f>
        <v>0</v>
      </c>
      <c r="K1064" s="742"/>
      <c r="L1064" s="742">
        <f>Calculs!CH1136</f>
        <v>0</v>
      </c>
    </row>
    <row r="1065" spans="2:12">
      <c r="B1065" s="742">
        <f>Calculs!B1137</f>
        <v>0</v>
      </c>
      <c r="C1065" s="742">
        <f>Calculs!BY1137</f>
        <v>0</v>
      </c>
      <c r="D1065" s="742">
        <f>Calculs!BZ1137</f>
        <v>0</v>
      </c>
      <c r="E1065" s="742">
        <f>Calculs!CA1137</f>
        <v>0</v>
      </c>
      <c r="F1065" s="742">
        <f>Calculs!CB1137</f>
        <v>0</v>
      </c>
      <c r="G1065" s="742">
        <f>Calculs!CC1137</f>
        <v>0</v>
      </c>
      <c r="H1065" s="742"/>
      <c r="I1065" s="742">
        <f>Calculs!CE1137</f>
        <v>0</v>
      </c>
      <c r="J1065" s="742">
        <f>Calculs!CF1137</f>
        <v>0</v>
      </c>
      <c r="K1065" s="742"/>
      <c r="L1065" s="742">
        <f>Calculs!CH1137</f>
        <v>0</v>
      </c>
    </row>
    <row r="1066" spans="2:12">
      <c r="B1066" s="742">
        <f>Calculs!B1138</f>
        <v>0</v>
      </c>
      <c r="C1066" s="742">
        <f>Calculs!BY1138</f>
        <v>0</v>
      </c>
      <c r="D1066" s="742">
        <f>Calculs!BZ1138</f>
        <v>0</v>
      </c>
      <c r="E1066" s="742">
        <f>Calculs!CA1138</f>
        <v>0</v>
      </c>
      <c r="F1066" s="742">
        <f>Calculs!CB1138</f>
        <v>0</v>
      </c>
      <c r="G1066" s="742">
        <f>Calculs!CC1138</f>
        <v>0</v>
      </c>
      <c r="H1066" s="742"/>
      <c r="I1066" s="742">
        <f>Calculs!CE1138</f>
        <v>0</v>
      </c>
      <c r="J1066" s="742">
        <f>Calculs!CF1138</f>
        <v>0</v>
      </c>
      <c r="K1066" s="742"/>
      <c r="L1066" s="742">
        <f>Calculs!CH1138</f>
        <v>0</v>
      </c>
    </row>
    <row r="1067" spans="2:12">
      <c r="B1067" s="742">
        <f>Calculs!B1139</f>
        <v>0</v>
      </c>
      <c r="C1067" s="742">
        <f>Calculs!BY1139</f>
        <v>0</v>
      </c>
      <c r="D1067" s="742">
        <f>Calculs!BZ1139</f>
        <v>0</v>
      </c>
      <c r="E1067" s="742">
        <f>Calculs!CA1139</f>
        <v>0</v>
      </c>
      <c r="F1067" s="742">
        <f>Calculs!CB1139</f>
        <v>0</v>
      </c>
      <c r="G1067" s="742">
        <f>Calculs!CC1139</f>
        <v>0</v>
      </c>
      <c r="H1067" s="742"/>
      <c r="I1067" s="742">
        <f>Calculs!CE1139</f>
        <v>0</v>
      </c>
      <c r="J1067" s="742">
        <f>Calculs!CF1139</f>
        <v>0</v>
      </c>
      <c r="K1067" s="742"/>
      <c r="L1067" s="742">
        <f>Calculs!CH1139</f>
        <v>0</v>
      </c>
    </row>
    <row r="1068" spans="2:12">
      <c r="B1068" s="742">
        <f>Calculs!B1140</f>
        <v>0</v>
      </c>
      <c r="C1068" s="742">
        <f>Calculs!BY1140</f>
        <v>0</v>
      </c>
      <c r="D1068" s="742">
        <f>Calculs!BZ1140</f>
        <v>0</v>
      </c>
      <c r="E1068" s="742">
        <f>Calculs!CA1140</f>
        <v>0</v>
      </c>
      <c r="F1068" s="742">
        <f>Calculs!CB1140</f>
        <v>0</v>
      </c>
      <c r="G1068" s="742">
        <f>Calculs!CC1140</f>
        <v>0</v>
      </c>
      <c r="H1068" s="742"/>
      <c r="I1068" s="742">
        <f>Calculs!CE1140</f>
        <v>0</v>
      </c>
      <c r="J1068" s="742">
        <f>Calculs!CF1140</f>
        <v>0</v>
      </c>
      <c r="K1068" s="742"/>
      <c r="L1068" s="742">
        <f>Calculs!CH1140</f>
        <v>0</v>
      </c>
    </row>
    <row r="1069" spans="2:12">
      <c r="B1069" s="742">
        <f>Calculs!B1141</f>
        <v>0</v>
      </c>
      <c r="C1069" s="742">
        <f>Calculs!BY1141</f>
        <v>0</v>
      </c>
      <c r="D1069" s="742">
        <f>Calculs!BZ1141</f>
        <v>0</v>
      </c>
      <c r="E1069" s="742">
        <f>Calculs!CA1141</f>
        <v>0</v>
      </c>
      <c r="F1069" s="742">
        <f>Calculs!CB1141</f>
        <v>0</v>
      </c>
      <c r="G1069" s="742">
        <f>Calculs!CC1141</f>
        <v>0</v>
      </c>
      <c r="H1069" s="742"/>
      <c r="I1069" s="742">
        <f>Calculs!CE1141</f>
        <v>0</v>
      </c>
      <c r="J1069" s="742">
        <f>Calculs!CF1141</f>
        <v>0</v>
      </c>
      <c r="K1069" s="742"/>
      <c r="L1069" s="742">
        <f>Calculs!CH1141</f>
        <v>0</v>
      </c>
    </row>
    <row r="1070" spans="2:12">
      <c r="B1070" s="742">
        <f>Calculs!B1142</f>
        <v>0</v>
      </c>
      <c r="C1070" s="742">
        <f>Calculs!BY1142</f>
        <v>0</v>
      </c>
      <c r="D1070" s="742">
        <f>Calculs!BZ1142</f>
        <v>0</v>
      </c>
      <c r="E1070" s="742">
        <f>Calculs!CA1142</f>
        <v>0</v>
      </c>
      <c r="F1070" s="742">
        <f>Calculs!CB1142</f>
        <v>0</v>
      </c>
      <c r="G1070" s="742">
        <f>Calculs!CC1142</f>
        <v>0</v>
      </c>
      <c r="H1070" s="742"/>
      <c r="I1070" s="742">
        <f>Calculs!CE1142</f>
        <v>0</v>
      </c>
      <c r="J1070" s="742">
        <f>Calculs!CF1142</f>
        <v>0</v>
      </c>
      <c r="K1070" s="742"/>
      <c r="L1070" s="742">
        <f>Calculs!CH1142</f>
        <v>0</v>
      </c>
    </row>
    <row r="1071" spans="2:12">
      <c r="B1071" s="742">
        <f>Calculs!B1143</f>
        <v>0</v>
      </c>
      <c r="C1071" s="742">
        <f>Calculs!BY1143</f>
        <v>0</v>
      </c>
      <c r="D1071" s="742">
        <f>Calculs!BZ1143</f>
        <v>0</v>
      </c>
      <c r="E1071" s="742">
        <f>Calculs!CA1143</f>
        <v>0</v>
      </c>
      <c r="F1071" s="742">
        <f>Calculs!CB1143</f>
        <v>0</v>
      </c>
      <c r="G1071" s="742">
        <f>Calculs!CC1143</f>
        <v>0</v>
      </c>
      <c r="H1071" s="742"/>
      <c r="I1071" s="742">
        <f>Calculs!CE1143</f>
        <v>0</v>
      </c>
      <c r="J1071" s="742">
        <f>Calculs!CF1143</f>
        <v>0</v>
      </c>
      <c r="K1071" s="742"/>
      <c r="L1071" s="742">
        <f>Calculs!CH1143</f>
        <v>0</v>
      </c>
    </row>
    <row r="1072" spans="2:12">
      <c r="B1072" s="742">
        <f>Calculs!B1144</f>
        <v>0</v>
      </c>
      <c r="C1072" s="742">
        <f>Calculs!BY1144</f>
        <v>0</v>
      </c>
      <c r="D1072" s="742">
        <f>Calculs!BZ1144</f>
        <v>0</v>
      </c>
      <c r="E1072" s="742">
        <f>Calculs!CA1144</f>
        <v>0</v>
      </c>
      <c r="F1072" s="742">
        <f>Calculs!CB1144</f>
        <v>0</v>
      </c>
      <c r="G1072" s="742">
        <f>Calculs!CC1144</f>
        <v>0</v>
      </c>
      <c r="H1072" s="742"/>
      <c r="I1072" s="742">
        <f>Calculs!CE1144</f>
        <v>0</v>
      </c>
      <c r="J1072" s="742">
        <f>Calculs!CF1144</f>
        <v>0</v>
      </c>
      <c r="K1072" s="742"/>
      <c r="L1072" s="742">
        <f>Calculs!CH1144</f>
        <v>0</v>
      </c>
    </row>
    <row r="1073" spans="2:12">
      <c r="B1073" s="742">
        <f>Calculs!B1145</f>
        <v>0</v>
      </c>
      <c r="C1073" s="742">
        <f>Calculs!BY1145</f>
        <v>0</v>
      </c>
      <c r="D1073" s="742">
        <f>Calculs!BZ1145</f>
        <v>0</v>
      </c>
      <c r="E1073" s="742">
        <f>Calculs!CA1145</f>
        <v>0</v>
      </c>
      <c r="F1073" s="742">
        <f>Calculs!CB1145</f>
        <v>0</v>
      </c>
      <c r="G1073" s="742">
        <f>Calculs!CC1145</f>
        <v>0</v>
      </c>
      <c r="H1073" s="742"/>
      <c r="I1073" s="742">
        <f>Calculs!CE1145</f>
        <v>0</v>
      </c>
      <c r="J1073" s="742">
        <f>Calculs!CF1145</f>
        <v>0</v>
      </c>
      <c r="K1073" s="742"/>
      <c r="L1073" s="742">
        <f>Calculs!CH1145</f>
        <v>0</v>
      </c>
    </row>
    <row r="1074" spans="2:12">
      <c r="B1074" s="742">
        <f>Calculs!B1146</f>
        <v>0</v>
      </c>
      <c r="C1074" s="742">
        <f>Calculs!BY1146</f>
        <v>0</v>
      </c>
      <c r="D1074" s="742">
        <f>Calculs!BZ1146</f>
        <v>0</v>
      </c>
      <c r="E1074" s="742">
        <f>Calculs!CA1146</f>
        <v>0</v>
      </c>
      <c r="F1074" s="742">
        <f>Calculs!CB1146</f>
        <v>0</v>
      </c>
      <c r="G1074" s="742">
        <f>Calculs!CC1146</f>
        <v>0</v>
      </c>
      <c r="H1074" s="742"/>
      <c r="I1074" s="742">
        <f>Calculs!CE1146</f>
        <v>0</v>
      </c>
      <c r="J1074" s="742">
        <f>Calculs!CF1146</f>
        <v>0</v>
      </c>
      <c r="K1074" s="742"/>
      <c r="L1074" s="742">
        <f>Calculs!CH1146</f>
        <v>0</v>
      </c>
    </row>
    <row r="1075" spans="2:12">
      <c r="B1075" s="742">
        <f>Calculs!B1147</f>
        <v>0</v>
      </c>
      <c r="C1075" s="742">
        <f>Calculs!BY1147</f>
        <v>0</v>
      </c>
      <c r="D1075" s="742">
        <f>Calculs!BZ1147</f>
        <v>0</v>
      </c>
      <c r="E1075" s="742">
        <f>Calculs!CA1147</f>
        <v>0</v>
      </c>
      <c r="F1075" s="742">
        <f>Calculs!CB1147</f>
        <v>0</v>
      </c>
      <c r="G1075" s="742">
        <f>Calculs!CC1147</f>
        <v>0</v>
      </c>
      <c r="H1075" s="742"/>
      <c r="I1075" s="742">
        <f>Calculs!CE1147</f>
        <v>0</v>
      </c>
      <c r="J1075" s="742">
        <f>Calculs!CF1147</f>
        <v>0</v>
      </c>
      <c r="K1075" s="742"/>
      <c r="L1075" s="742">
        <f>Calculs!CH1147</f>
        <v>0</v>
      </c>
    </row>
    <row r="1076" spans="2:12">
      <c r="B1076" s="742">
        <f>Calculs!B1148</f>
        <v>0</v>
      </c>
      <c r="C1076" s="742">
        <f>Calculs!BY1148</f>
        <v>0</v>
      </c>
      <c r="D1076" s="742">
        <f>Calculs!BZ1148</f>
        <v>0</v>
      </c>
      <c r="E1076" s="742">
        <f>Calculs!CA1148</f>
        <v>0</v>
      </c>
      <c r="F1076" s="742">
        <f>Calculs!CB1148</f>
        <v>0</v>
      </c>
      <c r="G1076" s="742">
        <f>Calculs!CC1148</f>
        <v>0</v>
      </c>
      <c r="H1076" s="742"/>
      <c r="I1076" s="742">
        <f>Calculs!CE1148</f>
        <v>0</v>
      </c>
      <c r="J1076" s="742">
        <f>Calculs!CF1148</f>
        <v>0</v>
      </c>
      <c r="K1076" s="742"/>
      <c r="L1076" s="742">
        <f>Calculs!CH1148</f>
        <v>0</v>
      </c>
    </row>
    <row r="1077" spans="2:12">
      <c r="B1077" s="742">
        <f>Calculs!B1149</f>
        <v>0</v>
      </c>
      <c r="C1077" s="742">
        <f>Calculs!BY1149</f>
        <v>0</v>
      </c>
      <c r="D1077" s="742">
        <f>Calculs!BZ1149</f>
        <v>0</v>
      </c>
      <c r="E1077" s="742">
        <f>Calculs!CA1149</f>
        <v>0</v>
      </c>
      <c r="F1077" s="742">
        <f>Calculs!CB1149</f>
        <v>0</v>
      </c>
      <c r="G1077" s="742">
        <f>Calculs!CC1149</f>
        <v>0</v>
      </c>
      <c r="H1077" s="742"/>
      <c r="I1077" s="742">
        <f>Calculs!CE1149</f>
        <v>0</v>
      </c>
      <c r="J1077" s="742">
        <f>Calculs!CF1149</f>
        <v>0</v>
      </c>
      <c r="K1077" s="742"/>
      <c r="L1077" s="742">
        <f>Calculs!CH1149</f>
        <v>0</v>
      </c>
    </row>
    <row r="1078" spans="2:12">
      <c r="B1078" s="742">
        <f>Calculs!B1150</f>
        <v>0</v>
      </c>
      <c r="C1078" s="742">
        <f>Calculs!BY1150</f>
        <v>0</v>
      </c>
      <c r="D1078" s="742">
        <f>Calculs!BZ1150</f>
        <v>0</v>
      </c>
      <c r="E1078" s="742">
        <f>Calculs!CA1150</f>
        <v>0</v>
      </c>
      <c r="F1078" s="742">
        <f>Calculs!CB1150</f>
        <v>0</v>
      </c>
      <c r="G1078" s="742">
        <f>Calculs!CC1150</f>
        <v>0</v>
      </c>
      <c r="H1078" s="742"/>
      <c r="I1078" s="742">
        <f>Calculs!CE1150</f>
        <v>0</v>
      </c>
      <c r="J1078" s="742">
        <f>Calculs!CF1150</f>
        <v>0</v>
      </c>
      <c r="K1078" s="742"/>
      <c r="L1078" s="742">
        <f>Calculs!CH1150</f>
        <v>0</v>
      </c>
    </row>
    <row r="1079" spans="2:12">
      <c r="B1079" s="742">
        <f>Calculs!B1151</f>
        <v>0</v>
      </c>
      <c r="C1079" s="742">
        <f>Calculs!BY1151</f>
        <v>0</v>
      </c>
      <c r="D1079" s="742">
        <f>Calculs!BZ1151</f>
        <v>0</v>
      </c>
      <c r="E1079" s="742">
        <f>Calculs!CA1151</f>
        <v>0</v>
      </c>
      <c r="F1079" s="742">
        <f>Calculs!CB1151</f>
        <v>0</v>
      </c>
      <c r="G1079" s="742">
        <f>Calculs!CC1151</f>
        <v>0</v>
      </c>
      <c r="H1079" s="742"/>
      <c r="I1079" s="742">
        <f>Calculs!CE1151</f>
        <v>0</v>
      </c>
      <c r="J1079" s="742">
        <f>Calculs!CF1151</f>
        <v>0</v>
      </c>
      <c r="K1079" s="742"/>
      <c r="L1079" s="742">
        <f>Calculs!CH1151</f>
        <v>0</v>
      </c>
    </row>
    <row r="1080" spans="2:12">
      <c r="B1080" s="742">
        <f>Calculs!B1152</f>
        <v>0</v>
      </c>
      <c r="C1080" s="742">
        <f>Calculs!BY1152</f>
        <v>0</v>
      </c>
      <c r="D1080" s="742">
        <f>Calculs!BZ1152</f>
        <v>0</v>
      </c>
      <c r="E1080" s="742">
        <f>Calculs!CA1152</f>
        <v>0</v>
      </c>
      <c r="F1080" s="742">
        <f>Calculs!CB1152</f>
        <v>0</v>
      </c>
      <c r="G1080" s="742">
        <f>Calculs!CC1152</f>
        <v>0</v>
      </c>
      <c r="H1080" s="742"/>
      <c r="I1080" s="742">
        <f>Calculs!CE1152</f>
        <v>0</v>
      </c>
      <c r="J1080" s="742">
        <f>Calculs!CF1152</f>
        <v>0</v>
      </c>
      <c r="K1080" s="742"/>
      <c r="L1080" s="742">
        <f>Calculs!CH1152</f>
        <v>0</v>
      </c>
    </row>
    <row r="1081" spans="2:12">
      <c r="B1081" s="742">
        <f>Calculs!B1153</f>
        <v>0</v>
      </c>
      <c r="C1081" s="742">
        <f>Calculs!BY1153</f>
        <v>0</v>
      </c>
      <c r="D1081" s="742">
        <f>Calculs!BZ1153</f>
        <v>0</v>
      </c>
      <c r="E1081" s="742">
        <f>Calculs!CA1153</f>
        <v>0</v>
      </c>
      <c r="F1081" s="742">
        <f>Calculs!CB1153</f>
        <v>0</v>
      </c>
      <c r="G1081" s="742">
        <f>Calculs!CC1153</f>
        <v>0</v>
      </c>
      <c r="H1081" s="742"/>
      <c r="I1081" s="742">
        <f>Calculs!CE1153</f>
        <v>0</v>
      </c>
      <c r="J1081" s="742">
        <f>Calculs!CF1153</f>
        <v>0</v>
      </c>
      <c r="K1081" s="742"/>
      <c r="L1081" s="742">
        <f>Calculs!CH1153</f>
        <v>0</v>
      </c>
    </row>
    <row r="1082" spans="2:12">
      <c r="B1082" s="742">
        <f>Calculs!B1154</f>
        <v>0</v>
      </c>
      <c r="C1082" s="742">
        <f>Calculs!BY1154</f>
        <v>0</v>
      </c>
      <c r="D1082" s="742">
        <f>Calculs!BZ1154</f>
        <v>0</v>
      </c>
      <c r="E1082" s="742">
        <f>Calculs!CA1154</f>
        <v>0</v>
      </c>
      <c r="F1082" s="742">
        <f>Calculs!CB1154</f>
        <v>0</v>
      </c>
      <c r="G1082" s="742">
        <f>Calculs!CC1154</f>
        <v>0</v>
      </c>
      <c r="H1082" s="742"/>
      <c r="I1082" s="742">
        <f>Calculs!CE1154</f>
        <v>0</v>
      </c>
      <c r="J1082" s="742">
        <f>Calculs!CF1154</f>
        <v>0</v>
      </c>
      <c r="K1082" s="742"/>
      <c r="L1082" s="742">
        <f>Calculs!CH1154</f>
        <v>0</v>
      </c>
    </row>
    <row r="1083" spans="2:12">
      <c r="B1083" s="742">
        <f>Calculs!B1155</f>
        <v>0</v>
      </c>
      <c r="C1083" s="742">
        <f>Calculs!BY1155</f>
        <v>0</v>
      </c>
      <c r="D1083" s="742">
        <f>Calculs!BZ1155</f>
        <v>0</v>
      </c>
      <c r="E1083" s="742">
        <f>Calculs!CA1155</f>
        <v>0</v>
      </c>
      <c r="F1083" s="742">
        <f>Calculs!CB1155</f>
        <v>0</v>
      </c>
      <c r="G1083" s="742">
        <f>Calculs!CC1155</f>
        <v>0</v>
      </c>
      <c r="H1083" s="742"/>
      <c r="I1083" s="742">
        <f>Calculs!CE1155</f>
        <v>0</v>
      </c>
      <c r="J1083" s="742">
        <f>Calculs!CF1155</f>
        <v>0</v>
      </c>
      <c r="K1083" s="742"/>
      <c r="L1083" s="742">
        <f>Calculs!CH1155</f>
        <v>0</v>
      </c>
    </row>
    <row r="1084" spans="2:12">
      <c r="B1084" s="742">
        <f>Calculs!B1156</f>
        <v>0</v>
      </c>
      <c r="C1084" s="742">
        <f>Calculs!BY1156</f>
        <v>0</v>
      </c>
      <c r="D1084" s="742">
        <f>Calculs!BZ1156</f>
        <v>0</v>
      </c>
      <c r="E1084" s="742">
        <f>Calculs!CA1156</f>
        <v>0</v>
      </c>
      <c r="F1084" s="742">
        <f>Calculs!CB1156</f>
        <v>0</v>
      </c>
      <c r="G1084" s="742">
        <f>Calculs!CC1156</f>
        <v>0</v>
      </c>
      <c r="H1084" s="742"/>
      <c r="I1084" s="742">
        <f>Calculs!CE1156</f>
        <v>0</v>
      </c>
      <c r="J1084" s="742">
        <f>Calculs!CF1156</f>
        <v>0</v>
      </c>
      <c r="K1084" s="742"/>
      <c r="L1084" s="742">
        <f>Calculs!CH1156</f>
        <v>0</v>
      </c>
    </row>
    <row r="1085" spans="2:12">
      <c r="B1085" s="742">
        <f>Calculs!B1157</f>
        <v>0</v>
      </c>
      <c r="C1085" s="742">
        <f>Calculs!BY1157</f>
        <v>0</v>
      </c>
      <c r="D1085" s="742">
        <f>Calculs!BZ1157</f>
        <v>0</v>
      </c>
      <c r="E1085" s="742">
        <f>Calculs!CA1157</f>
        <v>0</v>
      </c>
      <c r="F1085" s="742">
        <f>Calculs!CB1157</f>
        <v>0</v>
      </c>
      <c r="G1085" s="742">
        <f>Calculs!CC1157</f>
        <v>0</v>
      </c>
      <c r="H1085" s="742"/>
      <c r="I1085" s="742">
        <f>Calculs!CE1157</f>
        <v>0</v>
      </c>
      <c r="J1085" s="742">
        <f>Calculs!CF1157</f>
        <v>0</v>
      </c>
      <c r="K1085" s="742"/>
      <c r="L1085" s="742">
        <f>Calculs!CH1157</f>
        <v>0</v>
      </c>
    </row>
    <row r="1086" spans="2:12">
      <c r="B1086" s="742">
        <f>Calculs!B1158</f>
        <v>0</v>
      </c>
      <c r="C1086" s="742">
        <f>Calculs!BY1158</f>
        <v>0</v>
      </c>
      <c r="D1086" s="742">
        <f>Calculs!BZ1158</f>
        <v>0</v>
      </c>
      <c r="E1086" s="742">
        <f>Calculs!CA1158</f>
        <v>0</v>
      </c>
      <c r="F1086" s="742">
        <f>Calculs!CB1158</f>
        <v>0</v>
      </c>
      <c r="G1086" s="742">
        <f>Calculs!CC1158</f>
        <v>0</v>
      </c>
      <c r="H1086" s="742"/>
      <c r="I1086" s="742">
        <f>Calculs!CE1158</f>
        <v>0</v>
      </c>
      <c r="J1086" s="742">
        <f>Calculs!CF1158</f>
        <v>0</v>
      </c>
      <c r="K1086" s="742"/>
      <c r="L1086" s="742">
        <f>Calculs!CH1158</f>
        <v>0</v>
      </c>
    </row>
    <row r="1087" spans="2:12">
      <c r="B1087" s="742">
        <f>Calculs!B1159</f>
        <v>0</v>
      </c>
      <c r="C1087" s="742">
        <f>Calculs!BY1159</f>
        <v>0</v>
      </c>
      <c r="D1087" s="742">
        <f>Calculs!BZ1159</f>
        <v>0</v>
      </c>
      <c r="E1087" s="742">
        <f>Calculs!CA1159</f>
        <v>0</v>
      </c>
      <c r="F1087" s="742">
        <f>Calculs!CB1159</f>
        <v>0</v>
      </c>
      <c r="G1087" s="742">
        <f>Calculs!CC1159</f>
        <v>0</v>
      </c>
      <c r="H1087" s="742"/>
      <c r="I1087" s="742">
        <f>Calculs!CE1159</f>
        <v>0</v>
      </c>
      <c r="J1087" s="742">
        <f>Calculs!CF1159</f>
        <v>0</v>
      </c>
      <c r="K1087" s="742"/>
      <c r="L1087" s="742">
        <f>Calculs!CH1159</f>
        <v>0</v>
      </c>
    </row>
    <row r="1088" spans="2:12">
      <c r="B1088" s="742">
        <f>Calculs!B1160</f>
        <v>0</v>
      </c>
      <c r="C1088" s="742">
        <f>Calculs!BY1160</f>
        <v>0</v>
      </c>
      <c r="D1088" s="742">
        <f>Calculs!BZ1160</f>
        <v>0</v>
      </c>
      <c r="E1088" s="742">
        <f>Calculs!CA1160</f>
        <v>0</v>
      </c>
      <c r="F1088" s="742">
        <f>Calculs!CB1160</f>
        <v>0</v>
      </c>
      <c r="G1088" s="742">
        <f>Calculs!CC1160</f>
        <v>0</v>
      </c>
      <c r="H1088" s="742"/>
      <c r="I1088" s="742">
        <f>Calculs!CE1160</f>
        <v>0</v>
      </c>
      <c r="J1088" s="742">
        <f>Calculs!CF1160</f>
        <v>0</v>
      </c>
      <c r="K1088" s="742"/>
      <c r="L1088" s="742">
        <f>Calculs!CH1160</f>
        <v>0</v>
      </c>
    </row>
    <row r="1089" spans="2:12">
      <c r="B1089" s="742">
        <f>Calculs!B1161</f>
        <v>0</v>
      </c>
      <c r="C1089" s="742">
        <f>Calculs!BY1161</f>
        <v>0</v>
      </c>
      <c r="D1089" s="742">
        <f>Calculs!BZ1161</f>
        <v>0</v>
      </c>
      <c r="E1089" s="742">
        <f>Calculs!CA1161</f>
        <v>0</v>
      </c>
      <c r="F1089" s="742">
        <f>Calculs!CB1161</f>
        <v>0</v>
      </c>
      <c r="G1089" s="742">
        <f>Calculs!CC1161</f>
        <v>0</v>
      </c>
      <c r="H1089" s="742"/>
      <c r="I1089" s="742">
        <f>Calculs!CE1161</f>
        <v>0</v>
      </c>
      <c r="J1089" s="742">
        <f>Calculs!CF1161</f>
        <v>0</v>
      </c>
      <c r="K1089" s="742"/>
      <c r="L1089" s="742">
        <f>Calculs!CH1161</f>
        <v>0</v>
      </c>
    </row>
    <row r="1090" spans="2:12">
      <c r="B1090" s="742">
        <f>Calculs!B1162</f>
        <v>0</v>
      </c>
      <c r="C1090" s="742">
        <f>Calculs!BY1162</f>
        <v>0</v>
      </c>
      <c r="D1090" s="742">
        <f>Calculs!BZ1162</f>
        <v>0</v>
      </c>
      <c r="E1090" s="742">
        <f>Calculs!CA1162</f>
        <v>0</v>
      </c>
      <c r="F1090" s="742">
        <f>Calculs!CB1162</f>
        <v>0</v>
      </c>
      <c r="G1090" s="742">
        <f>Calculs!CC1162</f>
        <v>0</v>
      </c>
      <c r="H1090" s="742"/>
      <c r="I1090" s="742">
        <f>Calculs!CE1162</f>
        <v>0</v>
      </c>
      <c r="J1090" s="742">
        <f>Calculs!CF1162</f>
        <v>0</v>
      </c>
      <c r="K1090" s="742"/>
      <c r="L1090" s="742">
        <f>Calculs!CH1162</f>
        <v>0</v>
      </c>
    </row>
    <row r="1091" spans="2:12">
      <c r="B1091" s="742">
        <f>Calculs!B1163</f>
        <v>0</v>
      </c>
      <c r="C1091" s="742">
        <f>Calculs!BY1163</f>
        <v>0</v>
      </c>
      <c r="D1091" s="742">
        <f>Calculs!BZ1163</f>
        <v>0</v>
      </c>
      <c r="E1091" s="742">
        <f>Calculs!CA1163</f>
        <v>0</v>
      </c>
      <c r="F1091" s="742">
        <f>Calculs!CB1163</f>
        <v>0</v>
      </c>
      <c r="G1091" s="742">
        <f>Calculs!CC1163</f>
        <v>0</v>
      </c>
      <c r="H1091" s="742"/>
      <c r="I1091" s="742">
        <f>Calculs!CE1163</f>
        <v>0</v>
      </c>
      <c r="J1091" s="742">
        <f>Calculs!CF1163</f>
        <v>0</v>
      </c>
      <c r="K1091" s="742"/>
      <c r="L1091" s="742">
        <f>Calculs!CH1163</f>
        <v>0</v>
      </c>
    </row>
    <row r="1092" spans="2:12">
      <c r="B1092" s="742">
        <f>Calculs!B1164</f>
        <v>0</v>
      </c>
      <c r="C1092" s="742">
        <f>Calculs!BY1164</f>
        <v>0</v>
      </c>
      <c r="D1092" s="742">
        <f>Calculs!BZ1164</f>
        <v>0</v>
      </c>
      <c r="E1092" s="742">
        <f>Calculs!CA1164</f>
        <v>0</v>
      </c>
      <c r="F1092" s="742">
        <f>Calculs!CB1164</f>
        <v>0</v>
      </c>
      <c r="G1092" s="742">
        <f>Calculs!CC1164</f>
        <v>0</v>
      </c>
      <c r="H1092" s="742"/>
      <c r="I1092" s="742">
        <f>Calculs!CE1164</f>
        <v>0</v>
      </c>
      <c r="J1092" s="742">
        <f>Calculs!CF1164</f>
        <v>0</v>
      </c>
      <c r="K1092" s="742"/>
      <c r="L1092" s="742">
        <f>Calculs!CH1164</f>
        <v>0</v>
      </c>
    </row>
    <row r="1093" spans="2:12">
      <c r="B1093" s="742">
        <f>Calculs!B1165</f>
        <v>0</v>
      </c>
      <c r="C1093" s="742">
        <f>Calculs!BY1165</f>
        <v>0</v>
      </c>
      <c r="D1093" s="742">
        <f>Calculs!BZ1165</f>
        <v>0</v>
      </c>
      <c r="E1093" s="742">
        <f>Calculs!CA1165</f>
        <v>0</v>
      </c>
      <c r="F1093" s="742">
        <f>Calculs!CB1165</f>
        <v>0</v>
      </c>
      <c r="G1093" s="742">
        <f>Calculs!CC1165</f>
        <v>0</v>
      </c>
      <c r="H1093" s="742"/>
      <c r="I1093" s="742">
        <f>Calculs!CE1165</f>
        <v>0</v>
      </c>
      <c r="J1093" s="742">
        <f>Calculs!CF1165</f>
        <v>0</v>
      </c>
      <c r="K1093" s="742"/>
      <c r="L1093" s="742">
        <f>Calculs!CH1165</f>
        <v>0</v>
      </c>
    </row>
    <row r="1094" spans="2:12">
      <c r="B1094" s="742">
        <f>Calculs!B1166</f>
        <v>0</v>
      </c>
      <c r="C1094" s="742">
        <f>Calculs!BY1166</f>
        <v>0</v>
      </c>
      <c r="D1094" s="742">
        <f>Calculs!BZ1166</f>
        <v>0</v>
      </c>
      <c r="E1094" s="742">
        <f>Calculs!CA1166</f>
        <v>0</v>
      </c>
      <c r="F1094" s="742">
        <f>Calculs!CB1166</f>
        <v>0</v>
      </c>
      <c r="G1094" s="742">
        <f>Calculs!CC1166</f>
        <v>0</v>
      </c>
      <c r="H1094" s="742"/>
      <c r="I1094" s="742">
        <f>Calculs!CE1166</f>
        <v>0</v>
      </c>
      <c r="J1094" s="742">
        <f>Calculs!CF1166</f>
        <v>0</v>
      </c>
      <c r="K1094" s="742"/>
      <c r="L1094" s="742">
        <f>Calculs!CH1166</f>
        <v>0</v>
      </c>
    </row>
    <row r="1095" spans="2:12">
      <c r="B1095" s="742">
        <f>Calculs!B1167</f>
        <v>0</v>
      </c>
      <c r="C1095" s="742">
        <f>Calculs!BY1167</f>
        <v>0</v>
      </c>
      <c r="D1095" s="742">
        <f>Calculs!BZ1167</f>
        <v>0</v>
      </c>
      <c r="E1095" s="742">
        <f>Calculs!CA1167</f>
        <v>0</v>
      </c>
      <c r="F1095" s="742">
        <f>Calculs!CB1167</f>
        <v>0</v>
      </c>
      <c r="G1095" s="742">
        <f>Calculs!CC1167</f>
        <v>0</v>
      </c>
      <c r="H1095" s="742"/>
      <c r="I1095" s="742">
        <f>Calculs!CE1167</f>
        <v>0</v>
      </c>
      <c r="J1095" s="742">
        <f>Calculs!CF1167</f>
        <v>0</v>
      </c>
      <c r="K1095" s="742"/>
      <c r="L1095" s="742">
        <f>Calculs!CH1167</f>
        <v>0</v>
      </c>
    </row>
    <row r="1096" spans="2:12">
      <c r="B1096" s="742">
        <f>Calculs!B1168</f>
        <v>0</v>
      </c>
      <c r="C1096" s="742">
        <f>Calculs!BY1168</f>
        <v>0</v>
      </c>
      <c r="D1096" s="742">
        <f>Calculs!BZ1168</f>
        <v>0</v>
      </c>
      <c r="E1096" s="742">
        <f>Calculs!CA1168</f>
        <v>0</v>
      </c>
      <c r="F1096" s="742">
        <f>Calculs!CB1168</f>
        <v>0</v>
      </c>
      <c r="G1096" s="742">
        <f>Calculs!CC1168</f>
        <v>0</v>
      </c>
      <c r="H1096" s="742"/>
      <c r="I1096" s="742">
        <f>Calculs!CE1168</f>
        <v>0</v>
      </c>
      <c r="J1096" s="742">
        <f>Calculs!CF1168</f>
        <v>0</v>
      </c>
      <c r="K1096" s="742"/>
      <c r="L1096" s="742">
        <f>Calculs!CH1168</f>
        <v>0</v>
      </c>
    </row>
    <row r="1097" spans="2:12">
      <c r="B1097" s="742">
        <f>Calculs!B1169</f>
        <v>0</v>
      </c>
      <c r="C1097" s="742">
        <f>Calculs!BY1169</f>
        <v>0</v>
      </c>
      <c r="D1097" s="742">
        <f>Calculs!BZ1169</f>
        <v>0</v>
      </c>
      <c r="E1097" s="742">
        <f>Calculs!CA1169</f>
        <v>0</v>
      </c>
      <c r="F1097" s="742">
        <f>Calculs!CB1169</f>
        <v>0</v>
      </c>
      <c r="G1097" s="742">
        <f>Calculs!CC1169</f>
        <v>0</v>
      </c>
      <c r="H1097" s="742"/>
      <c r="I1097" s="742">
        <f>Calculs!CE1169</f>
        <v>0</v>
      </c>
      <c r="J1097" s="742">
        <f>Calculs!CF1169</f>
        <v>0</v>
      </c>
      <c r="K1097" s="742"/>
      <c r="L1097" s="742">
        <f>Calculs!CH1169</f>
        <v>0</v>
      </c>
    </row>
    <row r="1098" spans="2:12">
      <c r="B1098" s="742">
        <f>Calculs!B1170</f>
        <v>0</v>
      </c>
      <c r="C1098" s="742">
        <f>Calculs!BY1170</f>
        <v>0</v>
      </c>
      <c r="D1098" s="742">
        <f>Calculs!BZ1170</f>
        <v>0</v>
      </c>
      <c r="E1098" s="742">
        <f>Calculs!CA1170</f>
        <v>0</v>
      </c>
      <c r="F1098" s="742">
        <f>Calculs!CB1170</f>
        <v>0</v>
      </c>
      <c r="G1098" s="742">
        <f>Calculs!CC1170</f>
        <v>0</v>
      </c>
      <c r="H1098" s="742"/>
      <c r="I1098" s="742">
        <f>Calculs!CE1170</f>
        <v>0</v>
      </c>
      <c r="J1098" s="742">
        <f>Calculs!CF1170</f>
        <v>0</v>
      </c>
      <c r="K1098" s="742"/>
      <c r="L1098" s="742">
        <f>Calculs!CH1170</f>
        <v>0</v>
      </c>
    </row>
    <row r="1099" spans="2:12">
      <c r="B1099" s="742">
        <f>Calculs!B1171</f>
        <v>0</v>
      </c>
      <c r="C1099" s="742">
        <f>Calculs!BY1171</f>
        <v>0</v>
      </c>
      <c r="D1099" s="742">
        <f>Calculs!BZ1171</f>
        <v>0</v>
      </c>
      <c r="E1099" s="742">
        <f>Calculs!CA1171</f>
        <v>0</v>
      </c>
      <c r="F1099" s="742">
        <f>Calculs!CB1171</f>
        <v>0</v>
      </c>
      <c r="G1099" s="742">
        <f>Calculs!CC1171</f>
        <v>0</v>
      </c>
      <c r="H1099" s="742"/>
      <c r="I1099" s="742">
        <f>Calculs!CE1171</f>
        <v>0</v>
      </c>
      <c r="J1099" s="742">
        <f>Calculs!CF1171</f>
        <v>0</v>
      </c>
      <c r="K1099" s="742"/>
      <c r="L1099" s="742">
        <f>Calculs!CH1171</f>
        <v>0</v>
      </c>
    </row>
    <row r="1100" spans="2:12">
      <c r="B1100" s="742">
        <f>Calculs!B1172</f>
        <v>0</v>
      </c>
      <c r="C1100" s="742">
        <f>Calculs!BY1172</f>
        <v>0</v>
      </c>
      <c r="D1100" s="742">
        <f>Calculs!BZ1172</f>
        <v>0</v>
      </c>
      <c r="E1100" s="742">
        <f>Calculs!CA1172</f>
        <v>0</v>
      </c>
      <c r="F1100" s="742">
        <f>Calculs!CB1172</f>
        <v>0</v>
      </c>
      <c r="G1100" s="742">
        <f>Calculs!CC1172</f>
        <v>0</v>
      </c>
      <c r="H1100" s="742"/>
      <c r="I1100" s="742">
        <f>Calculs!CE1172</f>
        <v>0</v>
      </c>
      <c r="J1100" s="742">
        <f>Calculs!CF1172</f>
        <v>0</v>
      </c>
      <c r="K1100" s="742"/>
      <c r="L1100" s="742">
        <f>Calculs!CH1172</f>
        <v>0</v>
      </c>
    </row>
    <row r="1101" spans="2:12">
      <c r="B1101" s="742">
        <f>Calculs!B1173</f>
        <v>0</v>
      </c>
      <c r="C1101" s="742">
        <f>Calculs!BY1173</f>
        <v>0</v>
      </c>
      <c r="D1101" s="742">
        <f>Calculs!BZ1173</f>
        <v>0</v>
      </c>
      <c r="E1101" s="742">
        <f>Calculs!CA1173</f>
        <v>0</v>
      </c>
      <c r="F1101" s="742">
        <f>Calculs!CB1173</f>
        <v>0</v>
      </c>
      <c r="G1101" s="742">
        <f>Calculs!CC1173</f>
        <v>0</v>
      </c>
      <c r="H1101" s="742"/>
      <c r="I1101" s="742">
        <f>Calculs!CE1173</f>
        <v>0</v>
      </c>
      <c r="J1101" s="742">
        <f>Calculs!CF1173</f>
        <v>0</v>
      </c>
      <c r="K1101" s="742"/>
      <c r="L1101" s="742">
        <f>Calculs!CH1173</f>
        <v>0</v>
      </c>
    </row>
    <row r="1102" spans="2:12">
      <c r="B1102" s="742">
        <f>Calculs!B1174</f>
        <v>0</v>
      </c>
      <c r="C1102" s="742">
        <f>Calculs!BY1174</f>
        <v>0</v>
      </c>
      <c r="D1102" s="742">
        <f>Calculs!BZ1174</f>
        <v>0</v>
      </c>
      <c r="E1102" s="742">
        <f>Calculs!CA1174</f>
        <v>0</v>
      </c>
      <c r="F1102" s="742">
        <f>Calculs!CB1174</f>
        <v>0</v>
      </c>
      <c r="G1102" s="742">
        <f>Calculs!CC1174</f>
        <v>0</v>
      </c>
      <c r="H1102" s="742"/>
      <c r="I1102" s="742">
        <f>Calculs!CE1174</f>
        <v>0</v>
      </c>
      <c r="J1102" s="742">
        <f>Calculs!CF1174</f>
        <v>0</v>
      </c>
      <c r="K1102" s="742"/>
      <c r="L1102" s="742">
        <f>Calculs!CH1174</f>
        <v>0</v>
      </c>
    </row>
    <row r="1103" spans="2:12">
      <c r="B1103" s="742">
        <f>Calculs!B1175</f>
        <v>0</v>
      </c>
      <c r="C1103" s="742">
        <f>Calculs!BY1175</f>
        <v>0</v>
      </c>
      <c r="D1103" s="742">
        <f>Calculs!BZ1175</f>
        <v>0</v>
      </c>
      <c r="E1103" s="742">
        <f>Calculs!CA1175</f>
        <v>0</v>
      </c>
      <c r="F1103" s="742">
        <f>Calculs!CB1175</f>
        <v>0</v>
      </c>
      <c r="G1103" s="742">
        <f>Calculs!CC1175</f>
        <v>0</v>
      </c>
      <c r="H1103" s="742"/>
      <c r="I1103" s="742">
        <f>Calculs!CE1175</f>
        <v>0</v>
      </c>
      <c r="J1103" s="742">
        <f>Calculs!CF1175</f>
        <v>0</v>
      </c>
      <c r="K1103" s="742"/>
      <c r="L1103" s="742">
        <f>Calculs!CH1175</f>
        <v>0</v>
      </c>
    </row>
    <row r="1104" spans="2:12">
      <c r="B1104" s="742">
        <f>Calculs!B1176</f>
        <v>0</v>
      </c>
      <c r="C1104" s="742">
        <f>Calculs!BY1176</f>
        <v>0</v>
      </c>
      <c r="D1104" s="742">
        <f>Calculs!BZ1176</f>
        <v>0</v>
      </c>
      <c r="E1104" s="742">
        <f>Calculs!CA1176</f>
        <v>0</v>
      </c>
      <c r="F1104" s="742">
        <f>Calculs!CB1176</f>
        <v>0</v>
      </c>
      <c r="G1104" s="742">
        <f>Calculs!CC1176</f>
        <v>0</v>
      </c>
      <c r="H1104" s="742"/>
      <c r="I1104" s="742">
        <f>Calculs!CE1176</f>
        <v>0</v>
      </c>
      <c r="J1104" s="742">
        <f>Calculs!CF1176</f>
        <v>0</v>
      </c>
      <c r="K1104" s="742"/>
      <c r="L1104" s="742">
        <f>Calculs!CH1176</f>
        <v>0</v>
      </c>
    </row>
    <row r="1105" spans="2:12">
      <c r="B1105" s="742">
        <f>Calculs!B1177</f>
        <v>0</v>
      </c>
      <c r="C1105" s="742">
        <f>Calculs!BY1177</f>
        <v>0</v>
      </c>
      <c r="D1105" s="742">
        <f>Calculs!BZ1177</f>
        <v>0</v>
      </c>
      <c r="E1105" s="742">
        <f>Calculs!CA1177</f>
        <v>0</v>
      </c>
      <c r="F1105" s="742">
        <f>Calculs!CB1177</f>
        <v>0</v>
      </c>
      <c r="G1105" s="742">
        <f>Calculs!CC1177</f>
        <v>0</v>
      </c>
      <c r="H1105" s="742"/>
      <c r="I1105" s="742">
        <f>Calculs!CE1177</f>
        <v>0</v>
      </c>
      <c r="J1105" s="742">
        <f>Calculs!CF1177</f>
        <v>0</v>
      </c>
      <c r="K1105" s="742"/>
      <c r="L1105" s="742">
        <f>Calculs!CH1177</f>
        <v>0</v>
      </c>
    </row>
    <row r="1106" spans="2:12">
      <c r="B1106" s="742">
        <f>Calculs!B1178</f>
        <v>0</v>
      </c>
      <c r="C1106" s="742">
        <f>Calculs!BY1178</f>
        <v>0</v>
      </c>
      <c r="D1106" s="742">
        <f>Calculs!BZ1178</f>
        <v>0</v>
      </c>
      <c r="E1106" s="742">
        <f>Calculs!CA1178</f>
        <v>0</v>
      </c>
      <c r="F1106" s="742">
        <f>Calculs!CB1178</f>
        <v>0</v>
      </c>
      <c r="G1106" s="742">
        <f>Calculs!CC1178</f>
        <v>0</v>
      </c>
      <c r="H1106" s="742"/>
      <c r="I1106" s="742">
        <f>Calculs!CE1178</f>
        <v>0</v>
      </c>
      <c r="J1106" s="742">
        <f>Calculs!CF1178</f>
        <v>0</v>
      </c>
      <c r="K1106" s="742"/>
      <c r="L1106" s="742">
        <f>Calculs!CH1178</f>
        <v>0</v>
      </c>
    </row>
    <row r="1107" spans="2:12">
      <c r="B1107" s="742">
        <f>Calculs!B1179</f>
        <v>0</v>
      </c>
      <c r="C1107" s="742">
        <f>Calculs!BY1179</f>
        <v>0</v>
      </c>
      <c r="D1107" s="742">
        <f>Calculs!BZ1179</f>
        <v>0</v>
      </c>
      <c r="E1107" s="742">
        <f>Calculs!CA1179</f>
        <v>0</v>
      </c>
      <c r="F1107" s="742">
        <f>Calculs!CB1179</f>
        <v>0</v>
      </c>
      <c r="G1107" s="742">
        <f>Calculs!CC1179</f>
        <v>0</v>
      </c>
      <c r="H1107" s="742"/>
      <c r="I1107" s="742">
        <f>Calculs!CE1179</f>
        <v>0</v>
      </c>
      <c r="J1107" s="742">
        <f>Calculs!CF1179</f>
        <v>0</v>
      </c>
      <c r="K1107" s="742"/>
      <c r="L1107" s="742">
        <f>Calculs!CH1179</f>
        <v>0</v>
      </c>
    </row>
    <row r="1108" spans="2:12">
      <c r="B1108" s="742">
        <f>Calculs!B1180</f>
        <v>0</v>
      </c>
      <c r="C1108" s="742">
        <f>Calculs!BY1180</f>
        <v>0</v>
      </c>
      <c r="D1108" s="742">
        <f>Calculs!BZ1180</f>
        <v>0</v>
      </c>
      <c r="E1108" s="742">
        <f>Calculs!CA1180</f>
        <v>0</v>
      </c>
      <c r="F1108" s="742">
        <f>Calculs!CB1180</f>
        <v>0</v>
      </c>
      <c r="G1108" s="742">
        <f>Calculs!CC1180</f>
        <v>0</v>
      </c>
      <c r="H1108" s="742"/>
      <c r="I1108" s="742">
        <f>Calculs!CE1180</f>
        <v>0</v>
      </c>
      <c r="J1108" s="742">
        <f>Calculs!CF1180</f>
        <v>0</v>
      </c>
      <c r="K1108" s="742"/>
      <c r="L1108" s="742">
        <f>Calculs!CH1180</f>
        <v>0</v>
      </c>
    </row>
    <row r="1109" spans="2:12">
      <c r="B1109" s="742">
        <f>Calculs!B1181</f>
        <v>0</v>
      </c>
      <c r="C1109" s="742">
        <f>Calculs!BY1181</f>
        <v>0</v>
      </c>
      <c r="D1109" s="742">
        <f>Calculs!BZ1181</f>
        <v>0</v>
      </c>
      <c r="E1109" s="742">
        <f>Calculs!CA1181</f>
        <v>0</v>
      </c>
      <c r="F1109" s="742">
        <f>Calculs!CB1181</f>
        <v>0</v>
      </c>
      <c r="G1109" s="742">
        <f>Calculs!CC1181</f>
        <v>0</v>
      </c>
      <c r="H1109" s="742"/>
      <c r="I1109" s="742">
        <f>Calculs!CE1181</f>
        <v>0</v>
      </c>
      <c r="J1109" s="742">
        <f>Calculs!CF1181</f>
        <v>0</v>
      </c>
      <c r="K1109" s="742"/>
      <c r="L1109" s="742">
        <f>Calculs!CH1181</f>
        <v>0</v>
      </c>
    </row>
    <row r="1110" spans="2:12">
      <c r="B1110" s="742">
        <f>Calculs!B1182</f>
        <v>0</v>
      </c>
      <c r="C1110" s="742">
        <f>Calculs!BY1182</f>
        <v>0</v>
      </c>
      <c r="D1110" s="742">
        <f>Calculs!BZ1182</f>
        <v>0</v>
      </c>
      <c r="E1110" s="742">
        <f>Calculs!CA1182</f>
        <v>0</v>
      </c>
      <c r="F1110" s="742">
        <f>Calculs!CB1182</f>
        <v>0</v>
      </c>
      <c r="G1110" s="742">
        <f>Calculs!CC1182</f>
        <v>0</v>
      </c>
      <c r="H1110" s="742"/>
      <c r="I1110" s="742">
        <f>Calculs!CE1182</f>
        <v>0</v>
      </c>
      <c r="J1110" s="742">
        <f>Calculs!CF1182</f>
        <v>0</v>
      </c>
      <c r="K1110" s="742"/>
      <c r="L1110" s="742">
        <f>Calculs!CH1182</f>
        <v>0</v>
      </c>
    </row>
    <row r="1111" spans="2:12">
      <c r="B1111" s="742">
        <f>Calculs!B1183</f>
        <v>0</v>
      </c>
      <c r="C1111" s="742">
        <f>Calculs!BY1183</f>
        <v>0</v>
      </c>
      <c r="D1111" s="742">
        <f>Calculs!BZ1183</f>
        <v>0</v>
      </c>
      <c r="E1111" s="742">
        <f>Calculs!CA1183</f>
        <v>0</v>
      </c>
      <c r="F1111" s="742">
        <f>Calculs!CB1183</f>
        <v>0</v>
      </c>
      <c r="G1111" s="742">
        <f>Calculs!CC1183</f>
        <v>0</v>
      </c>
      <c r="H1111" s="742"/>
      <c r="I1111" s="742">
        <f>Calculs!CE1183</f>
        <v>0</v>
      </c>
      <c r="J1111" s="742">
        <f>Calculs!CF1183</f>
        <v>0</v>
      </c>
      <c r="K1111" s="742"/>
      <c r="L1111" s="742">
        <f>Calculs!CH1183</f>
        <v>0</v>
      </c>
    </row>
    <row r="1112" spans="2:12">
      <c r="B1112" s="742">
        <f>Calculs!B1184</f>
        <v>0</v>
      </c>
      <c r="C1112" s="742">
        <f>Calculs!BY1184</f>
        <v>0</v>
      </c>
      <c r="D1112" s="742">
        <f>Calculs!BZ1184</f>
        <v>0</v>
      </c>
      <c r="E1112" s="742">
        <f>Calculs!CA1184</f>
        <v>0</v>
      </c>
      <c r="F1112" s="742">
        <f>Calculs!CB1184</f>
        <v>0</v>
      </c>
      <c r="G1112" s="742">
        <f>Calculs!CC1184</f>
        <v>0</v>
      </c>
      <c r="H1112" s="742"/>
      <c r="I1112" s="742">
        <f>Calculs!CE1184</f>
        <v>0</v>
      </c>
      <c r="J1112" s="742">
        <f>Calculs!CF1184</f>
        <v>0</v>
      </c>
      <c r="K1112" s="742"/>
      <c r="L1112" s="742">
        <f>Calculs!CH1184</f>
        <v>0</v>
      </c>
    </row>
    <row r="1113" spans="2:12">
      <c r="B1113" s="742">
        <f>Calculs!B1185</f>
        <v>0</v>
      </c>
      <c r="C1113" s="742">
        <f>Calculs!BY1185</f>
        <v>0</v>
      </c>
      <c r="D1113" s="742">
        <f>Calculs!BZ1185</f>
        <v>0</v>
      </c>
      <c r="E1113" s="742">
        <f>Calculs!CA1185</f>
        <v>0</v>
      </c>
      <c r="F1113" s="742">
        <f>Calculs!CB1185</f>
        <v>0</v>
      </c>
      <c r="G1113" s="742">
        <f>Calculs!CC1185</f>
        <v>0</v>
      </c>
      <c r="H1113" s="742"/>
      <c r="I1113" s="742">
        <f>Calculs!CE1185</f>
        <v>0</v>
      </c>
      <c r="J1113" s="742">
        <f>Calculs!CF1185</f>
        <v>0</v>
      </c>
      <c r="K1113" s="742"/>
      <c r="L1113" s="742">
        <f>Calculs!CH1185</f>
        <v>0</v>
      </c>
    </row>
    <row r="1114" spans="2:12">
      <c r="B1114" s="742">
        <f>Calculs!B1186</f>
        <v>0</v>
      </c>
      <c r="C1114" s="742">
        <f>Calculs!BY1186</f>
        <v>0</v>
      </c>
      <c r="D1114" s="742">
        <f>Calculs!BZ1186</f>
        <v>0</v>
      </c>
      <c r="E1114" s="742">
        <f>Calculs!CA1186</f>
        <v>0</v>
      </c>
      <c r="F1114" s="742">
        <f>Calculs!CB1186</f>
        <v>0</v>
      </c>
      <c r="G1114" s="742">
        <f>Calculs!CC1186</f>
        <v>0</v>
      </c>
      <c r="H1114" s="742"/>
      <c r="I1114" s="742">
        <f>Calculs!CE1186</f>
        <v>0</v>
      </c>
      <c r="J1114" s="742">
        <f>Calculs!CF1186</f>
        <v>0</v>
      </c>
      <c r="K1114" s="742"/>
      <c r="L1114" s="742">
        <f>Calculs!CH1186</f>
        <v>0</v>
      </c>
    </row>
    <row r="1115" spans="2:12">
      <c r="B1115" s="742">
        <f>Calculs!B1187</f>
        <v>0</v>
      </c>
      <c r="C1115" s="742">
        <f>Calculs!BY1187</f>
        <v>0</v>
      </c>
      <c r="D1115" s="742">
        <f>Calculs!BZ1187</f>
        <v>0</v>
      </c>
      <c r="E1115" s="742">
        <f>Calculs!CA1187</f>
        <v>0</v>
      </c>
      <c r="F1115" s="742">
        <f>Calculs!CB1187</f>
        <v>0</v>
      </c>
      <c r="G1115" s="742">
        <f>Calculs!CC1187</f>
        <v>0</v>
      </c>
      <c r="H1115" s="742"/>
      <c r="I1115" s="742">
        <f>Calculs!CE1187</f>
        <v>0</v>
      </c>
      <c r="J1115" s="742">
        <f>Calculs!CF1187</f>
        <v>0</v>
      </c>
      <c r="K1115" s="742"/>
      <c r="L1115" s="742">
        <f>Calculs!CH1187</f>
        <v>0</v>
      </c>
    </row>
    <row r="1116" spans="2:12">
      <c r="B1116" s="742">
        <f>Calculs!B1188</f>
        <v>0</v>
      </c>
      <c r="C1116" s="742">
        <f>Calculs!BY1188</f>
        <v>0</v>
      </c>
      <c r="D1116" s="742">
        <f>Calculs!BZ1188</f>
        <v>0</v>
      </c>
      <c r="E1116" s="742">
        <f>Calculs!CA1188</f>
        <v>0</v>
      </c>
      <c r="F1116" s="742">
        <f>Calculs!CB1188</f>
        <v>0</v>
      </c>
      <c r="G1116" s="742">
        <f>Calculs!CC1188</f>
        <v>0</v>
      </c>
      <c r="H1116" s="742"/>
      <c r="I1116" s="742">
        <f>Calculs!CE1188</f>
        <v>0</v>
      </c>
      <c r="J1116" s="742">
        <f>Calculs!CF1188</f>
        <v>0</v>
      </c>
      <c r="K1116" s="742"/>
      <c r="L1116" s="742">
        <f>Calculs!CH1188</f>
        <v>0</v>
      </c>
    </row>
    <row r="1117" spans="2:12">
      <c r="B1117" s="742">
        <f>Calculs!B1189</f>
        <v>0</v>
      </c>
      <c r="C1117" s="742">
        <f>Calculs!BY1189</f>
        <v>0</v>
      </c>
      <c r="D1117" s="742">
        <f>Calculs!BZ1189</f>
        <v>0</v>
      </c>
      <c r="E1117" s="742">
        <f>Calculs!CA1189</f>
        <v>0</v>
      </c>
      <c r="F1117" s="742">
        <f>Calculs!CB1189</f>
        <v>0</v>
      </c>
      <c r="G1117" s="742">
        <f>Calculs!CC1189</f>
        <v>0</v>
      </c>
      <c r="H1117" s="742"/>
      <c r="I1117" s="742">
        <f>Calculs!CE1189</f>
        <v>0</v>
      </c>
      <c r="J1117" s="742">
        <f>Calculs!CF1189</f>
        <v>0</v>
      </c>
      <c r="K1117" s="742"/>
      <c r="L1117" s="742">
        <f>Calculs!CH1189</f>
        <v>0</v>
      </c>
    </row>
    <row r="1118" spans="2:12">
      <c r="B1118" s="742">
        <f>Calculs!B1190</f>
        <v>0</v>
      </c>
      <c r="C1118" s="742">
        <f>Calculs!BY1190</f>
        <v>0</v>
      </c>
      <c r="D1118" s="742">
        <f>Calculs!BZ1190</f>
        <v>0</v>
      </c>
      <c r="E1118" s="742">
        <f>Calculs!CA1190</f>
        <v>0</v>
      </c>
      <c r="F1118" s="742">
        <f>Calculs!CB1190</f>
        <v>0</v>
      </c>
      <c r="G1118" s="742">
        <f>Calculs!CC1190</f>
        <v>0</v>
      </c>
      <c r="H1118" s="742"/>
      <c r="I1118" s="742">
        <f>Calculs!CE1190</f>
        <v>0</v>
      </c>
      <c r="J1118" s="742">
        <f>Calculs!CF1190</f>
        <v>0</v>
      </c>
      <c r="K1118" s="742"/>
      <c r="L1118" s="742">
        <f>Calculs!CH1190</f>
        <v>0</v>
      </c>
    </row>
    <row r="1119" spans="2:12">
      <c r="B1119" s="742">
        <f>Calculs!B1191</f>
        <v>0</v>
      </c>
      <c r="C1119" s="742">
        <f>Calculs!BY1191</f>
        <v>0</v>
      </c>
      <c r="D1119" s="742">
        <f>Calculs!BZ1191</f>
        <v>0</v>
      </c>
      <c r="E1119" s="742">
        <f>Calculs!CA1191</f>
        <v>0</v>
      </c>
      <c r="F1119" s="742">
        <f>Calculs!CB1191</f>
        <v>0</v>
      </c>
      <c r="G1119" s="742">
        <f>Calculs!CC1191</f>
        <v>0</v>
      </c>
      <c r="H1119" s="742"/>
      <c r="I1119" s="742">
        <f>Calculs!CE1191</f>
        <v>0</v>
      </c>
      <c r="J1119" s="742">
        <f>Calculs!CF1191</f>
        <v>0</v>
      </c>
      <c r="K1119" s="742"/>
      <c r="L1119" s="742">
        <f>Calculs!CH1191</f>
        <v>0</v>
      </c>
    </row>
    <row r="1120" spans="2:12">
      <c r="B1120" s="742">
        <f>Calculs!B1192</f>
        <v>0</v>
      </c>
      <c r="C1120" s="742">
        <f>Calculs!BY1192</f>
        <v>0</v>
      </c>
      <c r="D1120" s="742">
        <f>Calculs!BZ1192</f>
        <v>0</v>
      </c>
      <c r="E1120" s="742">
        <f>Calculs!CA1192</f>
        <v>0</v>
      </c>
      <c r="F1120" s="742">
        <f>Calculs!CB1192</f>
        <v>0</v>
      </c>
      <c r="G1120" s="742">
        <f>Calculs!CC1192</f>
        <v>0</v>
      </c>
      <c r="H1120" s="742"/>
      <c r="I1120" s="742">
        <f>Calculs!CE1192</f>
        <v>0</v>
      </c>
      <c r="J1120" s="742">
        <f>Calculs!CF1192</f>
        <v>0</v>
      </c>
      <c r="K1120" s="742"/>
      <c r="L1120" s="742">
        <f>Calculs!CH1192</f>
        <v>0</v>
      </c>
    </row>
    <row r="1121" spans="2:12">
      <c r="B1121" s="742">
        <f>Calculs!B1193</f>
        <v>0</v>
      </c>
      <c r="C1121" s="742">
        <f>Calculs!BY1193</f>
        <v>0</v>
      </c>
      <c r="D1121" s="742">
        <f>Calculs!BZ1193</f>
        <v>0</v>
      </c>
      <c r="E1121" s="742">
        <f>Calculs!CA1193</f>
        <v>0</v>
      </c>
      <c r="F1121" s="742">
        <f>Calculs!CB1193</f>
        <v>0</v>
      </c>
      <c r="G1121" s="742">
        <f>Calculs!CC1193</f>
        <v>0</v>
      </c>
      <c r="H1121" s="742"/>
      <c r="I1121" s="742">
        <f>Calculs!CE1193</f>
        <v>0</v>
      </c>
      <c r="J1121" s="742">
        <f>Calculs!CF1193</f>
        <v>0</v>
      </c>
      <c r="K1121" s="742"/>
      <c r="L1121" s="742">
        <f>Calculs!CH1193</f>
        <v>0</v>
      </c>
    </row>
    <row r="1122" spans="2:12">
      <c r="B1122" s="742">
        <f>Calculs!B1194</f>
        <v>0</v>
      </c>
      <c r="C1122" s="742">
        <f>Calculs!BY1194</f>
        <v>0</v>
      </c>
      <c r="D1122" s="742">
        <f>Calculs!BZ1194</f>
        <v>0</v>
      </c>
      <c r="E1122" s="742">
        <f>Calculs!CA1194</f>
        <v>0</v>
      </c>
      <c r="F1122" s="742">
        <f>Calculs!CB1194</f>
        <v>0</v>
      </c>
      <c r="G1122" s="742">
        <f>Calculs!CC1194</f>
        <v>0</v>
      </c>
      <c r="H1122" s="742"/>
      <c r="I1122" s="742">
        <f>Calculs!CE1194</f>
        <v>0</v>
      </c>
      <c r="J1122" s="742">
        <f>Calculs!CF1194</f>
        <v>0</v>
      </c>
      <c r="K1122" s="742"/>
      <c r="L1122" s="742">
        <f>Calculs!CH1194</f>
        <v>0</v>
      </c>
    </row>
    <row r="1123" spans="2:12">
      <c r="B1123" s="742">
        <f>Calculs!B1195</f>
        <v>0</v>
      </c>
      <c r="C1123" s="742">
        <f>Calculs!BY1195</f>
        <v>0</v>
      </c>
      <c r="D1123" s="742">
        <f>Calculs!BZ1195</f>
        <v>0</v>
      </c>
      <c r="E1123" s="742">
        <f>Calculs!CA1195</f>
        <v>0</v>
      </c>
      <c r="F1123" s="742">
        <f>Calculs!CB1195</f>
        <v>0</v>
      </c>
      <c r="G1123" s="742">
        <f>Calculs!CC1195</f>
        <v>0</v>
      </c>
      <c r="H1123" s="742"/>
      <c r="I1123" s="742">
        <f>Calculs!CE1195</f>
        <v>0</v>
      </c>
      <c r="J1123" s="742">
        <f>Calculs!CF1195</f>
        <v>0</v>
      </c>
      <c r="K1123" s="742"/>
      <c r="L1123" s="742">
        <f>Calculs!CH1195</f>
        <v>0</v>
      </c>
    </row>
    <row r="1124" spans="2:12">
      <c r="B1124" s="742">
        <f>Calculs!B1196</f>
        <v>0</v>
      </c>
      <c r="C1124" s="742">
        <f>Calculs!BY1196</f>
        <v>0</v>
      </c>
      <c r="D1124" s="742">
        <f>Calculs!BZ1196</f>
        <v>0</v>
      </c>
      <c r="E1124" s="742">
        <f>Calculs!CA1196</f>
        <v>0</v>
      </c>
      <c r="F1124" s="742">
        <f>Calculs!CB1196</f>
        <v>0</v>
      </c>
      <c r="G1124" s="742">
        <f>Calculs!CC1196</f>
        <v>0</v>
      </c>
      <c r="H1124" s="742"/>
      <c r="I1124" s="742">
        <f>Calculs!CE1196</f>
        <v>0</v>
      </c>
      <c r="J1124" s="742">
        <f>Calculs!CF1196</f>
        <v>0</v>
      </c>
      <c r="K1124" s="742"/>
      <c r="L1124" s="742">
        <f>Calculs!CH1196</f>
        <v>0</v>
      </c>
    </row>
    <row r="1125" spans="2:12">
      <c r="B1125" s="742">
        <f>Calculs!B1197</f>
        <v>0</v>
      </c>
      <c r="C1125" s="742">
        <f>Calculs!BY1197</f>
        <v>0</v>
      </c>
      <c r="D1125" s="742">
        <f>Calculs!BZ1197</f>
        <v>0</v>
      </c>
      <c r="E1125" s="742">
        <f>Calculs!CA1197</f>
        <v>0</v>
      </c>
      <c r="F1125" s="742">
        <f>Calculs!CB1197</f>
        <v>0</v>
      </c>
      <c r="G1125" s="742">
        <f>Calculs!CC1197</f>
        <v>0</v>
      </c>
      <c r="H1125" s="742"/>
      <c r="I1125" s="742">
        <f>Calculs!CE1197</f>
        <v>0</v>
      </c>
      <c r="J1125" s="742">
        <f>Calculs!CF1197</f>
        <v>0</v>
      </c>
      <c r="K1125" s="742"/>
      <c r="L1125" s="742">
        <f>Calculs!CH1197</f>
        <v>0</v>
      </c>
    </row>
    <row r="1126" spans="2:12">
      <c r="B1126" s="742">
        <f>Calculs!B1198</f>
        <v>0</v>
      </c>
      <c r="C1126" s="742">
        <f>Calculs!BY1198</f>
        <v>0</v>
      </c>
      <c r="D1126" s="742">
        <f>Calculs!BZ1198</f>
        <v>0</v>
      </c>
      <c r="E1126" s="742">
        <f>Calculs!CA1198</f>
        <v>0</v>
      </c>
      <c r="F1126" s="742">
        <f>Calculs!CB1198</f>
        <v>0</v>
      </c>
      <c r="G1126" s="742">
        <f>Calculs!CC1198</f>
        <v>0</v>
      </c>
      <c r="H1126" s="742"/>
      <c r="I1126" s="742">
        <f>Calculs!CE1198</f>
        <v>0</v>
      </c>
      <c r="J1126" s="742">
        <f>Calculs!CF1198</f>
        <v>0</v>
      </c>
      <c r="K1126" s="742"/>
      <c r="L1126" s="742">
        <f>Calculs!CH1198</f>
        <v>0</v>
      </c>
    </row>
    <row r="1127" spans="2:12">
      <c r="B1127" s="742">
        <f>Calculs!B1199</f>
        <v>0</v>
      </c>
      <c r="C1127" s="742">
        <f>Calculs!BY1199</f>
        <v>0</v>
      </c>
      <c r="D1127" s="742">
        <f>Calculs!BZ1199</f>
        <v>0</v>
      </c>
      <c r="E1127" s="742">
        <f>Calculs!CA1199</f>
        <v>0</v>
      </c>
      <c r="F1127" s="742">
        <f>Calculs!CB1199</f>
        <v>0</v>
      </c>
      <c r="G1127" s="742">
        <f>Calculs!CC1199</f>
        <v>0</v>
      </c>
      <c r="H1127" s="742"/>
      <c r="I1127" s="742">
        <f>Calculs!CE1199</f>
        <v>0</v>
      </c>
      <c r="J1127" s="742">
        <f>Calculs!CF1199</f>
        <v>0</v>
      </c>
      <c r="K1127" s="742"/>
      <c r="L1127" s="742">
        <f>Calculs!CH1199</f>
        <v>0</v>
      </c>
    </row>
    <row r="1128" spans="2:12">
      <c r="B1128" s="742">
        <f>Calculs!B1200</f>
        <v>0</v>
      </c>
      <c r="C1128" s="742">
        <f>Calculs!BY1200</f>
        <v>0</v>
      </c>
      <c r="D1128" s="742">
        <f>Calculs!BZ1200</f>
        <v>0</v>
      </c>
      <c r="E1128" s="742">
        <f>Calculs!CA1200</f>
        <v>0</v>
      </c>
      <c r="F1128" s="742">
        <f>Calculs!CB1200</f>
        <v>0</v>
      </c>
      <c r="G1128" s="742">
        <f>Calculs!CC1200</f>
        <v>0</v>
      </c>
      <c r="H1128" s="742"/>
      <c r="I1128" s="742">
        <f>Calculs!CE1200</f>
        <v>0</v>
      </c>
      <c r="J1128" s="742">
        <f>Calculs!CF1200</f>
        <v>0</v>
      </c>
      <c r="K1128" s="742"/>
      <c r="L1128" s="742">
        <f>Calculs!CH1200</f>
        <v>0</v>
      </c>
    </row>
    <row r="1129" spans="2:12">
      <c r="B1129" s="742">
        <f>Calculs!B1201</f>
        <v>0</v>
      </c>
      <c r="C1129" s="742">
        <f>Calculs!BY1201</f>
        <v>0</v>
      </c>
      <c r="D1129" s="742">
        <f>Calculs!BZ1201</f>
        <v>0</v>
      </c>
      <c r="E1129" s="742">
        <f>Calculs!CA1201</f>
        <v>0</v>
      </c>
      <c r="F1129" s="742">
        <f>Calculs!CB1201</f>
        <v>0</v>
      </c>
      <c r="G1129" s="742">
        <f>Calculs!CC1201</f>
        <v>0</v>
      </c>
      <c r="H1129" s="742"/>
      <c r="I1129" s="742">
        <f>Calculs!CE1201</f>
        <v>0</v>
      </c>
      <c r="J1129" s="742">
        <f>Calculs!CF1201</f>
        <v>0</v>
      </c>
      <c r="K1129" s="742"/>
      <c r="L1129" s="742">
        <f>Calculs!CH1201</f>
        <v>0</v>
      </c>
    </row>
    <row r="1130" spans="2:12">
      <c r="B1130" s="742">
        <f>Calculs!B1202</f>
        <v>0</v>
      </c>
      <c r="C1130" s="742">
        <f>Calculs!BY1202</f>
        <v>0</v>
      </c>
      <c r="D1130" s="742">
        <f>Calculs!BZ1202</f>
        <v>0</v>
      </c>
      <c r="E1130" s="742">
        <f>Calculs!CA1202</f>
        <v>0</v>
      </c>
      <c r="F1130" s="742">
        <f>Calculs!CB1202</f>
        <v>0</v>
      </c>
      <c r="G1130" s="742">
        <f>Calculs!CC1202</f>
        <v>0</v>
      </c>
      <c r="H1130" s="742"/>
      <c r="I1130" s="742">
        <f>Calculs!CE1202</f>
        <v>0</v>
      </c>
      <c r="J1130" s="742">
        <f>Calculs!CF1202</f>
        <v>0</v>
      </c>
      <c r="K1130" s="742"/>
      <c r="L1130" s="742">
        <f>Calculs!CH1202</f>
        <v>0</v>
      </c>
    </row>
    <row r="1131" spans="2:12">
      <c r="B1131" s="742">
        <f>Calculs!B1203</f>
        <v>0</v>
      </c>
      <c r="C1131" s="742">
        <f>Calculs!BY1203</f>
        <v>0</v>
      </c>
      <c r="D1131" s="742">
        <f>Calculs!BZ1203</f>
        <v>0</v>
      </c>
      <c r="E1131" s="742">
        <f>Calculs!CA1203</f>
        <v>0</v>
      </c>
      <c r="F1131" s="742">
        <f>Calculs!CB1203</f>
        <v>0</v>
      </c>
      <c r="G1131" s="742">
        <f>Calculs!CC1203</f>
        <v>0</v>
      </c>
      <c r="H1131" s="742"/>
      <c r="I1131" s="742">
        <f>Calculs!CE1203</f>
        <v>0</v>
      </c>
      <c r="J1131" s="742">
        <f>Calculs!CF1203</f>
        <v>0</v>
      </c>
      <c r="K1131" s="742"/>
      <c r="L1131" s="742">
        <f>Calculs!CH1203</f>
        <v>0</v>
      </c>
    </row>
    <row r="1132" spans="2:12">
      <c r="B1132" s="742">
        <f>Calculs!B1204</f>
        <v>0</v>
      </c>
      <c r="C1132" s="742">
        <f>Calculs!BY1204</f>
        <v>0</v>
      </c>
      <c r="D1132" s="742">
        <f>Calculs!BZ1204</f>
        <v>0</v>
      </c>
      <c r="E1132" s="742">
        <f>Calculs!CA1204</f>
        <v>0</v>
      </c>
      <c r="F1132" s="742">
        <f>Calculs!CB1204</f>
        <v>0</v>
      </c>
      <c r="G1132" s="742">
        <f>Calculs!CC1204</f>
        <v>0</v>
      </c>
      <c r="H1132" s="742"/>
      <c r="I1132" s="742">
        <f>Calculs!CE1204</f>
        <v>0</v>
      </c>
      <c r="J1132" s="742">
        <f>Calculs!CF1204</f>
        <v>0</v>
      </c>
      <c r="K1132" s="742"/>
      <c r="L1132" s="742">
        <f>Calculs!CH1204</f>
        <v>0</v>
      </c>
    </row>
    <row r="1133" spans="2:12">
      <c r="B1133" s="742">
        <f>Calculs!B1205</f>
        <v>0</v>
      </c>
      <c r="C1133" s="742">
        <f>Calculs!BY1205</f>
        <v>0</v>
      </c>
      <c r="D1133" s="742">
        <f>Calculs!BZ1205</f>
        <v>0</v>
      </c>
      <c r="E1133" s="742">
        <f>Calculs!CA1205</f>
        <v>0</v>
      </c>
      <c r="F1133" s="742">
        <f>Calculs!CB1205</f>
        <v>0</v>
      </c>
      <c r="G1133" s="742">
        <f>Calculs!CC1205</f>
        <v>0</v>
      </c>
      <c r="H1133" s="742"/>
      <c r="I1133" s="742">
        <f>Calculs!CE1205</f>
        <v>0</v>
      </c>
      <c r="J1133" s="742">
        <f>Calculs!CF1205</f>
        <v>0</v>
      </c>
      <c r="K1133" s="742"/>
      <c r="L1133" s="742">
        <f>Calculs!CH1205</f>
        <v>0</v>
      </c>
    </row>
    <row r="1134" spans="2:12">
      <c r="B1134" s="742">
        <f>Calculs!B1206</f>
        <v>0</v>
      </c>
      <c r="C1134" s="742">
        <f>Calculs!BY1206</f>
        <v>0</v>
      </c>
      <c r="D1134" s="742">
        <f>Calculs!BZ1206</f>
        <v>0</v>
      </c>
      <c r="E1134" s="742">
        <f>Calculs!CA1206</f>
        <v>0</v>
      </c>
      <c r="F1134" s="742">
        <f>Calculs!CB1206</f>
        <v>0</v>
      </c>
      <c r="G1134" s="742">
        <f>Calculs!CC1206</f>
        <v>0</v>
      </c>
      <c r="H1134" s="742"/>
      <c r="I1134" s="742">
        <f>Calculs!CE1206</f>
        <v>0</v>
      </c>
      <c r="J1134" s="742">
        <f>Calculs!CF1206</f>
        <v>0</v>
      </c>
      <c r="K1134" s="742"/>
      <c r="L1134" s="742">
        <f>Calculs!CH1206</f>
        <v>0</v>
      </c>
    </row>
    <row r="1135" spans="2:12">
      <c r="B1135" s="742">
        <f>Calculs!B1207</f>
        <v>0</v>
      </c>
      <c r="C1135" s="742">
        <f>Calculs!BY1207</f>
        <v>0</v>
      </c>
      <c r="D1135" s="742">
        <f>Calculs!BZ1207</f>
        <v>0</v>
      </c>
      <c r="E1135" s="742">
        <f>Calculs!CA1207</f>
        <v>0</v>
      </c>
      <c r="F1135" s="742">
        <f>Calculs!CB1207</f>
        <v>0</v>
      </c>
      <c r="G1135" s="742">
        <f>Calculs!CC1207</f>
        <v>0</v>
      </c>
      <c r="H1135" s="742"/>
      <c r="I1135" s="742">
        <f>Calculs!CE1207</f>
        <v>0</v>
      </c>
      <c r="J1135" s="742">
        <f>Calculs!CF1207</f>
        <v>0</v>
      </c>
      <c r="K1135" s="742"/>
      <c r="L1135" s="742">
        <f>Calculs!CH1207</f>
        <v>0</v>
      </c>
    </row>
    <row r="1136" spans="2:12">
      <c r="B1136" s="742">
        <f>Calculs!B1208</f>
        <v>0</v>
      </c>
      <c r="C1136" s="742">
        <f>Calculs!BY1208</f>
        <v>0</v>
      </c>
      <c r="D1136" s="742">
        <f>Calculs!BZ1208</f>
        <v>0</v>
      </c>
      <c r="E1136" s="742">
        <f>Calculs!CA1208</f>
        <v>0</v>
      </c>
      <c r="F1136" s="742">
        <f>Calculs!CB1208</f>
        <v>0</v>
      </c>
      <c r="G1136" s="742">
        <f>Calculs!CC1208</f>
        <v>0</v>
      </c>
      <c r="H1136" s="742"/>
      <c r="I1136" s="742">
        <f>Calculs!CE1208</f>
        <v>0</v>
      </c>
      <c r="J1136" s="742">
        <f>Calculs!CF1208</f>
        <v>0</v>
      </c>
      <c r="K1136" s="742"/>
      <c r="L1136" s="742">
        <f>Calculs!CH1208</f>
        <v>0</v>
      </c>
    </row>
    <row r="1137" spans="2:12">
      <c r="B1137" s="742">
        <f>Calculs!B1209</f>
        <v>0</v>
      </c>
      <c r="C1137" s="742">
        <f>Calculs!BY1209</f>
        <v>0</v>
      </c>
      <c r="D1137" s="742">
        <f>Calculs!BZ1209</f>
        <v>0</v>
      </c>
      <c r="E1137" s="742">
        <f>Calculs!CA1209</f>
        <v>0</v>
      </c>
      <c r="F1137" s="742">
        <f>Calculs!CB1209</f>
        <v>0</v>
      </c>
      <c r="G1137" s="742">
        <f>Calculs!CC1209</f>
        <v>0</v>
      </c>
      <c r="H1137" s="742"/>
      <c r="I1137" s="742">
        <f>Calculs!CE1209</f>
        <v>0</v>
      </c>
      <c r="J1137" s="742">
        <f>Calculs!CF1209</f>
        <v>0</v>
      </c>
      <c r="K1137" s="742"/>
      <c r="L1137" s="742">
        <f>Calculs!CH1209</f>
        <v>0</v>
      </c>
    </row>
    <row r="1138" spans="2:12">
      <c r="B1138" s="742">
        <f>Calculs!B1210</f>
        <v>0</v>
      </c>
      <c r="C1138" s="742">
        <f>Calculs!BY1210</f>
        <v>0</v>
      </c>
      <c r="D1138" s="742">
        <f>Calculs!BZ1210</f>
        <v>0</v>
      </c>
      <c r="E1138" s="742">
        <f>Calculs!CA1210</f>
        <v>0</v>
      </c>
      <c r="F1138" s="742">
        <f>Calculs!CB1210</f>
        <v>0</v>
      </c>
      <c r="G1138" s="742">
        <f>Calculs!CC1210</f>
        <v>0</v>
      </c>
      <c r="H1138" s="742"/>
      <c r="I1138" s="742">
        <f>Calculs!CE1210</f>
        <v>0</v>
      </c>
      <c r="J1138" s="742">
        <f>Calculs!CF1210</f>
        <v>0</v>
      </c>
      <c r="K1138" s="742"/>
      <c r="L1138" s="742">
        <f>Calculs!CH1210</f>
        <v>0</v>
      </c>
    </row>
    <row r="1139" spans="2:12">
      <c r="B1139" s="742">
        <f>Calculs!B1211</f>
        <v>0</v>
      </c>
      <c r="C1139" s="742">
        <f>Calculs!BY1211</f>
        <v>0</v>
      </c>
      <c r="D1139" s="742">
        <f>Calculs!BZ1211</f>
        <v>0</v>
      </c>
      <c r="E1139" s="742">
        <f>Calculs!CA1211</f>
        <v>0</v>
      </c>
      <c r="F1139" s="742">
        <f>Calculs!CB1211</f>
        <v>0</v>
      </c>
      <c r="G1139" s="742">
        <f>Calculs!CC1211</f>
        <v>0</v>
      </c>
      <c r="H1139" s="742"/>
      <c r="I1139" s="742">
        <f>Calculs!CE1211</f>
        <v>0</v>
      </c>
      <c r="J1139" s="742">
        <f>Calculs!CF1211</f>
        <v>0</v>
      </c>
      <c r="K1139" s="742"/>
      <c r="L1139" s="742">
        <f>Calculs!CH1211</f>
        <v>0</v>
      </c>
    </row>
    <row r="1140" spans="2:12">
      <c r="B1140" s="742">
        <f>Calculs!B1212</f>
        <v>0</v>
      </c>
      <c r="C1140" s="742">
        <f>Calculs!BY1212</f>
        <v>0</v>
      </c>
      <c r="D1140" s="742">
        <f>Calculs!BZ1212</f>
        <v>0</v>
      </c>
      <c r="E1140" s="742">
        <f>Calculs!CA1212</f>
        <v>0</v>
      </c>
      <c r="F1140" s="742">
        <f>Calculs!CB1212</f>
        <v>0</v>
      </c>
      <c r="G1140" s="742">
        <f>Calculs!CC1212</f>
        <v>0</v>
      </c>
      <c r="H1140" s="742"/>
      <c r="I1140" s="742">
        <f>Calculs!CE1212</f>
        <v>0</v>
      </c>
      <c r="J1140" s="742">
        <f>Calculs!CF1212</f>
        <v>0</v>
      </c>
      <c r="K1140" s="742"/>
      <c r="L1140" s="742">
        <f>Calculs!CH1212</f>
        <v>0</v>
      </c>
    </row>
    <row r="1141" spans="2:12">
      <c r="B1141" s="742">
        <f>Calculs!B1213</f>
        <v>0</v>
      </c>
      <c r="C1141" s="742">
        <f>Calculs!BY1213</f>
        <v>0</v>
      </c>
      <c r="D1141" s="742">
        <f>Calculs!BZ1213</f>
        <v>0</v>
      </c>
      <c r="E1141" s="742">
        <f>Calculs!CA1213</f>
        <v>0</v>
      </c>
      <c r="F1141" s="742">
        <f>Calculs!CB1213</f>
        <v>0</v>
      </c>
      <c r="G1141" s="742">
        <f>Calculs!CC1213</f>
        <v>0</v>
      </c>
      <c r="H1141" s="742"/>
      <c r="I1141" s="742">
        <f>Calculs!CE1213</f>
        <v>0</v>
      </c>
      <c r="J1141" s="742">
        <f>Calculs!CF1213</f>
        <v>0</v>
      </c>
      <c r="K1141" s="742"/>
      <c r="L1141" s="742">
        <f>Calculs!CH1213</f>
        <v>0</v>
      </c>
    </row>
    <row r="1142" spans="2:12">
      <c r="B1142" s="742">
        <f>Calculs!B1214</f>
        <v>0</v>
      </c>
      <c r="C1142" s="742">
        <f>Calculs!BY1214</f>
        <v>0</v>
      </c>
      <c r="D1142" s="742">
        <f>Calculs!BZ1214</f>
        <v>0</v>
      </c>
      <c r="E1142" s="742">
        <f>Calculs!CA1214</f>
        <v>0</v>
      </c>
      <c r="F1142" s="742">
        <f>Calculs!CB1214</f>
        <v>0</v>
      </c>
      <c r="G1142" s="742">
        <f>Calculs!CC1214</f>
        <v>0</v>
      </c>
      <c r="H1142" s="742"/>
      <c r="I1142" s="742">
        <f>Calculs!CE1214</f>
        <v>0</v>
      </c>
      <c r="J1142" s="742">
        <f>Calculs!CF1214</f>
        <v>0</v>
      </c>
      <c r="K1142" s="742"/>
      <c r="L1142" s="742">
        <f>Calculs!CH1214</f>
        <v>0</v>
      </c>
    </row>
    <row r="1143" spans="2:12">
      <c r="B1143" s="742">
        <f>Calculs!B1215</f>
        <v>0</v>
      </c>
      <c r="C1143" s="742">
        <f>Calculs!BY1215</f>
        <v>0</v>
      </c>
      <c r="D1143" s="742">
        <f>Calculs!BZ1215</f>
        <v>0</v>
      </c>
      <c r="E1143" s="742">
        <f>Calculs!CA1215</f>
        <v>0</v>
      </c>
      <c r="F1143" s="742">
        <f>Calculs!CB1215</f>
        <v>0</v>
      </c>
      <c r="G1143" s="742">
        <f>Calculs!CC1215</f>
        <v>0</v>
      </c>
      <c r="H1143" s="742"/>
      <c r="I1143" s="742">
        <f>Calculs!CE1215</f>
        <v>0</v>
      </c>
      <c r="J1143" s="742">
        <f>Calculs!CF1215</f>
        <v>0</v>
      </c>
      <c r="K1143" s="742"/>
      <c r="L1143" s="742">
        <f>Calculs!CH1215</f>
        <v>0</v>
      </c>
    </row>
    <row r="1144" spans="2:12">
      <c r="B1144" s="742">
        <f>Calculs!B1216</f>
        <v>0</v>
      </c>
      <c r="C1144" s="742">
        <f>Calculs!BY1216</f>
        <v>0</v>
      </c>
      <c r="D1144" s="742">
        <f>Calculs!BZ1216</f>
        <v>0</v>
      </c>
      <c r="E1144" s="742">
        <f>Calculs!CA1216</f>
        <v>0</v>
      </c>
      <c r="F1144" s="742">
        <f>Calculs!CB1216</f>
        <v>0</v>
      </c>
      <c r="G1144" s="742">
        <f>Calculs!CC1216</f>
        <v>0</v>
      </c>
      <c r="H1144" s="742"/>
      <c r="I1144" s="742">
        <f>Calculs!CE1216</f>
        <v>0</v>
      </c>
      <c r="J1144" s="742">
        <f>Calculs!CF1216</f>
        <v>0</v>
      </c>
      <c r="K1144" s="742"/>
      <c r="L1144" s="742">
        <f>Calculs!CH1216</f>
        <v>0</v>
      </c>
    </row>
    <row r="1145" spans="2:12">
      <c r="B1145" s="742">
        <f>Calculs!B1217</f>
        <v>0</v>
      </c>
      <c r="C1145" s="742">
        <f>Calculs!BY1217</f>
        <v>0</v>
      </c>
      <c r="D1145" s="742">
        <f>Calculs!BZ1217</f>
        <v>0</v>
      </c>
      <c r="E1145" s="742">
        <f>Calculs!CA1217</f>
        <v>0</v>
      </c>
      <c r="F1145" s="742">
        <f>Calculs!CB1217</f>
        <v>0</v>
      </c>
      <c r="G1145" s="742">
        <f>Calculs!CC1217</f>
        <v>0</v>
      </c>
      <c r="H1145" s="742"/>
      <c r="I1145" s="742">
        <f>Calculs!CE1217</f>
        <v>0</v>
      </c>
      <c r="J1145" s="742">
        <f>Calculs!CF1217</f>
        <v>0</v>
      </c>
      <c r="K1145" s="742"/>
      <c r="L1145" s="742">
        <f>Calculs!CH1217</f>
        <v>0</v>
      </c>
    </row>
    <row r="1146" spans="2:12">
      <c r="B1146" s="742">
        <f>Calculs!B1218</f>
        <v>0</v>
      </c>
      <c r="C1146" s="742">
        <f>Calculs!BY1218</f>
        <v>0</v>
      </c>
      <c r="D1146" s="742">
        <f>Calculs!BZ1218</f>
        <v>0</v>
      </c>
      <c r="E1146" s="742">
        <f>Calculs!CA1218</f>
        <v>0</v>
      </c>
      <c r="F1146" s="742">
        <f>Calculs!CB1218</f>
        <v>0</v>
      </c>
      <c r="G1146" s="742">
        <f>Calculs!CC1218</f>
        <v>0</v>
      </c>
      <c r="H1146" s="742"/>
      <c r="I1146" s="742">
        <f>Calculs!CE1218</f>
        <v>0</v>
      </c>
      <c r="J1146" s="742">
        <f>Calculs!CF1218</f>
        <v>0</v>
      </c>
      <c r="K1146" s="742"/>
      <c r="L1146" s="742">
        <f>Calculs!CH1218</f>
        <v>0</v>
      </c>
    </row>
    <row r="1147" spans="2:12">
      <c r="B1147" s="742">
        <f>Calculs!B1219</f>
        <v>0</v>
      </c>
      <c r="C1147" s="742">
        <f>Calculs!BY1219</f>
        <v>0</v>
      </c>
      <c r="D1147" s="742">
        <f>Calculs!BZ1219</f>
        <v>0</v>
      </c>
      <c r="E1147" s="742">
        <f>Calculs!CA1219</f>
        <v>0</v>
      </c>
      <c r="F1147" s="742">
        <f>Calculs!CB1219</f>
        <v>0</v>
      </c>
      <c r="G1147" s="742">
        <f>Calculs!CC1219</f>
        <v>0</v>
      </c>
      <c r="H1147" s="742"/>
      <c r="I1147" s="742">
        <f>Calculs!CE1219</f>
        <v>0</v>
      </c>
      <c r="J1147" s="742">
        <f>Calculs!CF1219</f>
        <v>0</v>
      </c>
      <c r="K1147" s="742"/>
      <c r="L1147" s="742">
        <f>Calculs!CH1219</f>
        <v>0</v>
      </c>
    </row>
    <row r="1148" spans="2:12">
      <c r="B1148" s="742">
        <f>Calculs!B1220</f>
        <v>0</v>
      </c>
      <c r="C1148" s="742">
        <f>Calculs!BY1220</f>
        <v>0</v>
      </c>
      <c r="D1148" s="742">
        <f>Calculs!BZ1220</f>
        <v>0</v>
      </c>
      <c r="E1148" s="742">
        <f>Calculs!CA1220</f>
        <v>0</v>
      </c>
      <c r="F1148" s="742">
        <f>Calculs!CB1220</f>
        <v>0</v>
      </c>
      <c r="G1148" s="742">
        <f>Calculs!CC1220</f>
        <v>0</v>
      </c>
      <c r="H1148" s="742"/>
      <c r="I1148" s="742">
        <f>Calculs!CE1220</f>
        <v>0</v>
      </c>
      <c r="J1148" s="742">
        <f>Calculs!CF1220</f>
        <v>0</v>
      </c>
      <c r="K1148" s="742"/>
      <c r="L1148" s="742">
        <f>Calculs!CH1220</f>
        <v>0</v>
      </c>
    </row>
    <row r="1149" spans="2:12">
      <c r="B1149" s="742">
        <f>Calculs!B1221</f>
        <v>0</v>
      </c>
      <c r="C1149" s="742">
        <f>Calculs!BY1221</f>
        <v>0</v>
      </c>
      <c r="D1149" s="742">
        <f>Calculs!BZ1221</f>
        <v>0</v>
      </c>
      <c r="E1149" s="742">
        <f>Calculs!CA1221</f>
        <v>0</v>
      </c>
      <c r="F1149" s="742">
        <f>Calculs!CB1221</f>
        <v>0</v>
      </c>
      <c r="G1149" s="742">
        <f>Calculs!CC1221</f>
        <v>0</v>
      </c>
      <c r="H1149" s="742"/>
      <c r="I1149" s="742">
        <f>Calculs!CE1221</f>
        <v>0</v>
      </c>
      <c r="J1149" s="742">
        <f>Calculs!CF1221</f>
        <v>0</v>
      </c>
      <c r="K1149" s="742"/>
      <c r="L1149" s="742">
        <f>Calculs!CH1221</f>
        <v>0</v>
      </c>
    </row>
    <row r="1150" spans="2:12">
      <c r="B1150" s="742">
        <f>Calculs!B1222</f>
        <v>0</v>
      </c>
      <c r="C1150" s="742">
        <f>Calculs!BY1222</f>
        <v>0</v>
      </c>
      <c r="D1150" s="742">
        <f>Calculs!BZ1222</f>
        <v>0</v>
      </c>
      <c r="E1150" s="742">
        <f>Calculs!CA1222</f>
        <v>0</v>
      </c>
      <c r="F1150" s="742">
        <f>Calculs!CB1222</f>
        <v>0</v>
      </c>
      <c r="G1150" s="742">
        <f>Calculs!CC1222</f>
        <v>0</v>
      </c>
      <c r="H1150" s="742"/>
      <c r="I1150" s="742">
        <f>Calculs!CE1222</f>
        <v>0</v>
      </c>
      <c r="J1150" s="742">
        <f>Calculs!CF1222</f>
        <v>0</v>
      </c>
      <c r="K1150" s="742"/>
      <c r="L1150" s="742">
        <f>Calculs!CH1222</f>
        <v>0</v>
      </c>
    </row>
    <row r="1151" spans="2:12">
      <c r="B1151" s="742">
        <f>Calculs!B1223</f>
        <v>0</v>
      </c>
      <c r="C1151" s="742">
        <f>Calculs!BY1223</f>
        <v>0</v>
      </c>
      <c r="D1151" s="742">
        <f>Calculs!BZ1223</f>
        <v>0</v>
      </c>
      <c r="E1151" s="742">
        <f>Calculs!CA1223</f>
        <v>0</v>
      </c>
      <c r="F1151" s="742">
        <f>Calculs!CB1223</f>
        <v>0</v>
      </c>
      <c r="G1151" s="742">
        <f>Calculs!CC1223</f>
        <v>0</v>
      </c>
      <c r="H1151" s="742"/>
      <c r="I1151" s="742">
        <f>Calculs!CE1223</f>
        <v>0</v>
      </c>
      <c r="J1151" s="742">
        <f>Calculs!CF1223</f>
        <v>0</v>
      </c>
      <c r="K1151" s="742"/>
      <c r="L1151" s="742">
        <f>Calculs!CH1223</f>
        <v>0</v>
      </c>
    </row>
    <row r="1152" spans="2:12">
      <c r="B1152" s="742">
        <f>Calculs!B1224</f>
        <v>0</v>
      </c>
      <c r="C1152" s="742">
        <f>Calculs!BY1224</f>
        <v>0</v>
      </c>
      <c r="D1152" s="742">
        <f>Calculs!BZ1224</f>
        <v>0</v>
      </c>
      <c r="E1152" s="742">
        <f>Calculs!CA1224</f>
        <v>0</v>
      </c>
      <c r="F1152" s="742">
        <f>Calculs!CB1224</f>
        <v>0</v>
      </c>
      <c r="G1152" s="742">
        <f>Calculs!CC1224</f>
        <v>0</v>
      </c>
      <c r="H1152" s="742"/>
      <c r="I1152" s="742">
        <f>Calculs!CE1224</f>
        <v>0</v>
      </c>
      <c r="J1152" s="742">
        <f>Calculs!CF1224</f>
        <v>0</v>
      </c>
      <c r="K1152" s="742"/>
      <c r="L1152" s="742">
        <f>Calculs!CH1224</f>
        <v>0</v>
      </c>
    </row>
    <row r="1153" spans="2:12">
      <c r="B1153" s="742">
        <f>Calculs!B1225</f>
        <v>0</v>
      </c>
      <c r="C1153" s="742">
        <f>Calculs!BY1225</f>
        <v>0</v>
      </c>
      <c r="D1153" s="742">
        <f>Calculs!BZ1225</f>
        <v>0</v>
      </c>
      <c r="E1153" s="742">
        <f>Calculs!CA1225</f>
        <v>0</v>
      </c>
      <c r="F1153" s="742">
        <f>Calculs!CB1225</f>
        <v>0</v>
      </c>
      <c r="G1153" s="742">
        <f>Calculs!CC1225</f>
        <v>0</v>
      </c>
      <c r="H1153" s="742"/>
      <c r="I1153" s="742">
        <f>Calculs!CE1225</f>
        <v>0</v>
      </c>
      <c r="J1153" s="742">
        <f>Calculs!CF1225</f>
        <v>0</v>
      </c>
      <c r="K1153" s="742"/>
      <c r="L1153" s="742">
        <f>Calculs!CH1225</f>
        <v>0</v>
      </c>
    </row>
    <row r="1154" spans="2:12">
      <c r="B1154" s="742">
        <f>Calculs!B1226</f>
        <v>0</v>
      </c>
      <c r="C1154" s="742">
        <f>Calculs!BY1226</f>
        <v>0</v>
      </c>
      <c r="D1154" s="742">
        <f>Calculs!BZ1226</f>
        <v>0</v>
      </c>
      <c r="E1154" s="742">
        <f>Calculs!CA1226</f>
        <v>0</v>
      </c>
      <c r="F1154" s="742">
        <f>Calculs!CB1226</f>
        <v>0</v>
      </c>
      <c r="G1154" s="742">
        <f>Calculs!CC1226</f>
        <v>0</v>
      </c>
      <c r="H1154" s="742"/>
      <c r="I1154" s="742">
        <f>Calculs!CE1226</f>
        <v>0</v>
      </c>
      <c r="J1154" s="742">
        <f>Calculs!CF1226</f>
        <v>0</v>
      </c>
      <c r="K1154" s="742"/>
      <c r="L1154" s="742">
        <f>Calculs!CH1226</f>
        <v>0</v>
      </c>
    </row>
    <row r="1155" spans="2:12">
      <c r="B1155" s="742">
        <f>Calculs!B1227</f>
        <v>0</v>
      </c>
      <c r="C1155" s="742">
        <f>Calculs!BY1227</f>
        <v>0</v>
      </c>
      <c r="D1155" s="742">
        <f>Calculs!BZ1227</f>
        <v>0</v>
      </c>
      <c r="E1155" s="742">
        <f>Calculs!CA1227</f>
        <v>0</v>
      </c>
      <c r="F1155" s="742">
        <f>Calculs!CB1227</f>
        <v>0</v>
      </c>
      <c r="G1155" s="742">
        <f>Calculs!CC1227</f>
        <v>0</v>
      </c>
      <c r="H1155" s="742"/>
      <c r="I1155" s="742">
        <f>Calculs!CE1227</f>
        <v>0</v>
      </c>
      <c r="J1155" s="742">
        <f>Calculs!CF1227</f>
        <v>0</v>
      </c>
      <c r="K1155" s="742"/>
      <c r="L1155" s="742">
        <f>Calculs!CH1227</f>
        <v>0</v>
      </c>
    </row>
    <row r="1156" spans="2:12">
      <c r="B1156" s="742">
        <f>Calculs!B1228</f>
        <v>0</v>
      </c>
      <c r="C1156" s="742">
        <f>Calculs!BY1228</f>
        <v>0</v>
      </c>
      <c r="D1156" s="742">
        <f>Calculs!BZ1228</f>
        <v>0</v>
      </c>
      <c r="E1156" s="742">
        <f>Calculs!CA1228</f>
        <v>0</v>
      </c>
      <c r="F1156" s="742">
        <f>Calculs!CB1228</f>
        <v>0</v>
      </c>
      <c r="G1156" s="742">
        <f>Calculs!CC1228</f>
        <v>0</v>
      </c>
      <c r="H1156" s="742"/>
      <c r="I1156" s="742">
        <f>Calculs!CE1228</f>
        <v>0</v>
      </c>
      <c r="J1156" s="742">
        <f>Calculs!CF1228</f>
        <v>0</v>
      </c>
      <c r="K1156" s="742"/>
      <c r="L1156" s="742">
        <f>Calculs!CH1228</f>
        <v>0</v>
      </c>
    </row>
    <row r="1157" spans="2:12">
      <c r="B1157" s="742">
        <f>Calculs!B1229</f>
        <v>0</v>
      </c>
      <c r="C1157" s="742">
        <f>Calculs!BY1229</f>
        <v>0</v>
      </c>
      <c r="D1157" s="742">
        <f>Calculs!BZ1229</f>
        <v>0</v>
      </c>
      <c r="E1157" s="742">
        <f>Calculs!CA1229</f>
        <v>0</v>
      </c>
      <c r="F1157" s="742">
        <f>Calculs!CB1229</f>
        <v>0</v>
      </c>
      <c r="G1157" s="742">
        <f>Calculs!CC1229</f>
        <v>0</v>
      </c>
      <c r="H1157" s="742"/>
      <c r="I1157" s="742">
        <f>Calculs!CE1229</f>
        <v>0</v>
      </c>
      <c r="J1157" s="742">
        <f>Calculs!CF1229</f>
        <v>0</v>
      </c>
      <c r="K1157" s="742"/>
      <c r="L1157" s="742">
        <f>Calculs!CH1229</f>
        <v>0</v>
      </c>
    </row>
    <row r="1158" spans="2:12">
      <c r="B1158" s="742">
        <f>Calculs!B1230</f>
        <v>0</v>
      </c>
      <c r="C1158" s="742">
        <f>Calculs!BY1230</f>
        <v>0</v>
      </c>
      <c r="D1158" s="742">
        <f>Calculs!BZ1230</f>
        <v>0</v>
      </c>
      <c r="E1158" s="742">
        <f>Calculs!CA1230</f>
        <v>0</v>
      </c>
      <c r="F1158" s="742">
        <f>Calculs!CB1230</f>
        <v>0</v>
      </c>
      <c r="G1158" s="742">
        <f>Calculs!CC1230</f>
        <v>0</v>
      </c>
      <c r="H1158" s="742"/>
      <c r="I1158" s="742">
        <f>Calculs!CE1230</f>
        <v>0</v>
      </c>
      <c r="J1158" s="742">
        <f>Calculs!CF1230</f>
        <v>0</v>
      </c>
      <c r="K1158" s="742"/>
      <c r="L1158" s="742">
        <f>Calculs!CH1230</f>
        <v>0</v>
      </c>
    </row>
    <row r="1159" spans="2:12">
      <c r="B1159" s="742">
        <f>Calculs!B1231</f>
        <v>0</v>
      </c>
      <c r="C1159" s="742">
        <f>Calculs!BY1231</f>
        <v>0</v>
      </c>
      <c r="D1159" s="742">
        <f>Calculs!BZ1231</f>
        <v>0</v>
      </c>
      <c r="E1159" s="742">
        <f>Calculs!CA1231</f>
        <v>0</v>
      </c>
      <c r="F1159" s="742">
        <f>Calculs!CB1231</f>
        <v>0</v>
      </c>
      <c r="G1159" s="742">
        <f>Calculs!CC1231</f>
        <v>0</v>
      </c>
      <c r="H1159" s="742"/>
      <c r="I1159" s="742">
        <f>Calculs!CE1231</f>
        <v>0</v>
      </c>
      <c r="J1159" s="742">
        <f>Calculs!CF1231</f>
        <v>0</v>
      </c>
      <c r="K1159" s="742"/>
      <c r="L1159" s="742">
        <f>Calculs!CH1231</f>
        <v>0</v>
      </c>
    </row>
    <row r="1160" spans="2:12">
      <c r="B1160" s="742">
        <f>Calculs!B1232</f>
        <v>0</v>
      </c>
      <c r="C1160" s="742">
        <f>Calculs!BY1232</f>
        <v>0</v>
      </c>
      <c r="D1160" s="742">
        <f>Calculs!BZ1232</f>
        <v>0</v>
      </c>
      <c r="E1160" s="742">
        <f>Calculs!CA1232</f>
        <v>0</v>
      </c>
      <c r="F1160" s="742">
        <f>Calculs!CB1232</f>
        <v>0</v>
      </c>
      <c r="G1160" s="742">
        <f>Calculs!CC1232</f>
        <v>0</v>
      </c>
      <c r="H1160" s="742"/>
      <c r="I1160" s="742">
        <f>Calculs!CE1232</f>
        <v>0</v>
      </c>
      <c r="J1160" s="742">
        <f>Calculs!CF1232</f>
        <v>0</v>
      </c>
      <c r="K1160" s="742"/>
      <c r="L1160" s="742">
        <f>Calculs!CH1232</f>
        <v>0</v>
      </c>
    </row>
    <row r="1161" spans="2:12">
      <c r="B1161" s="742">
        <f>Calculs!B1233</f>
        <v>0</v>
      </c>
      <c r="C1161" s="742">
        <f>Calculs!BY1233</f>
        <v>0</v>
      </c>
      <c r="D1161" s="742">
        <f>Calculs!BZ1233</f>
        <v>0</v>
      </c>
      <c r="E1161" s="742">
        <f>Calculs!CA1233</f>
        <v>0</v>
      </c>
      <c r="F1161" s="742">
        <f>Calculs!CB1233</f>
        <v>0</v>
      </c>
      <c r="G1161" s="742">
        <f>Calculs!CC1233</f>
        <v>0</v>
      </c>
      <c r="H1161" s="742"/>
      <c r="I1161" s="742">
        <f>Calculs!CE1233</f>
        <v>0</v>
      </c>
      <c r="J1161" s="742">
        <f>Calculs!CF1233</f>
        <v>0</v>
      </c>
      <c r="K1161" s="742"/>
      <c r="L1161" s="742">
        <f>Calculs!CH1233</f>
        <v>0</v>
      </c>
    </row>
    <row r="1162" spans="2:12">
      <c r="B1162" s="742">
        <f>Calculs!B1234</f>
        <v>0</v>
      </c>
      <c r="C1162" s="742">
        <f>Calculs!BY1234</f>
        <v>0</v>
      </c>
      <c r="D1162" s="742">
        <f>Calculs!BZ1234</f>
        <v>0</v>
      </c>
      <c r="E1162" s="742">
        <f>Calculs!CA1234</f>
        <v>0</v>
      </c>
      <c r="F1162" s="742">
        <f>Calculs!CB1234</f>
        <v>0</v>
      </c>
      <c r="G1162" s="742">
        <f>Calculs!CC1234</f>
        <v>0</v>
      </c>
      <c r="H1162" s="742"/>
      <c r="I1162" s="742">
        <f>Calculs!CE1234</f>
        <v>0</v>
      </c>
      <c r="J1162" s="742">
        <f>Calculs!CF1234</f>
        <v>0</v>
      </c>
      <c r="K1162" s="742"/>
      <c r="L1162" s="742">
        <f>Calculs!CH1234</f>
        <v>0</v>
      </c>
    </row>
    <row r="1163" spans="2:12">
      <c r="B1163" s="742">
        <f>Calculs!B1235</f>
        <v>0</v>
      </c>
      <c r="C1163" s="742">
        <f>Calculs!BY1235</f>
        <v>0</v>
      </c>
      <c r="D1163" s="742">
        <f>Calculs!BZ1235</f>
        <v>0</v>
      </c>
      <c r="E1163" s="742">
        <f>Calculs!CA1235</f>
        <v>0</v>
      </c>
      <c r="F1163" s="742">
        <f>Calculs!CB1235</f>
        <v>0</v>
      </c>
      <c r="G1163" s="742">
        <f>Calculs!CC1235</f>
        <v>0</v>
      </c>
      <c r="H1163" s="742"/>
      <c r="I1163" s="742">
        <f>Calculs!CE1235</f>
        <v>0</v>
      </c>
      <c r="J1163" s="742">
        <f>Calculs!CF1235</f>
        <v>0</v>
      </c>
      <c r="K1163" s="742"/>
      <c r="L1163" s="742">
        <f>Calculs!CH1235</f>
        <v>0</v>
      </c>
    </row>
    <row r="1164" spans="2:12">
      <c r="B1164" s="742">
        <f>Calculs!B1236</f>
        <v>0</v>
      </c>
      <c r="C1164" s="742">
        <f>Calculs!BY1236</f>
        <v>0</v>
      </c>
      <c r="D1164" s="742">
        <f>Calculs!BZ1236</f>
        <v>0</v>
      </c>
      <c r="E1164" s="742">
        <f>Calculs!CA1236</f>
        <v>0</v>
      </c>
      <c r="F1164" s="742">
        <f>Calculs!CB1236</f>
        <v>0</v>
      </c>
      <c r="G1164" s="742">
        <f>Calculs!CC1236</f>
        <v>0</v>
      </c>
      <c r="H1164" s="742"/>
      <c r="I1164" s="742">
        <f>Calculs!CE1236</f>
        <v>0</v>
      </c>
      <c r="J1164" s="742">
        <f>Calculs!CF1236</f>
        <v>0</v>
      </c>
      <c r="K1164" s="742"/>
      <c r="L1164" s="742">
        <f>Calculs!CH1236</f>
        <v>0</v>
      </c>
    </row>
    <row r="1165" spans="2:12">
      <c r="B1165" s="742">
        <f>Calculs!B1237</f>
        <v>0</v>
      </c>
      <c r="C1165" s="742">
        <f>Calculs!BY1237</f>
        <v>0</v>
      </c>
      <c r="D1165" s="742">
        <f>Calculs!BZ1237</f>
        <v>0</v>
      </c>
      <c r="E1165" s="742">
        <f>Calculs!CA1237</f>
        <v>0</v>
      </c>
      <c r="F1165" s="742">
        <f>Calculs!CB1237</f>
        <v>0</v>
      </c>
      <c r="G1165" s="742">
        <f>Calculs!CC1237</f>
        <v>0</v>
      </c>
      <c r="H1165" s="742"/>
      <c r="I1165" s="742">
        <f>Calculs!CE1237</f>
        <v>0</v>
      </c>
      <c r="J1165" s="742">
        <f>Calculs!CF1237</f>
        <v>0</v>
      </c>
      <c r="K1165" s="742"/>
      <c r="L1165" s="742">
        <f>Calculs!CH1237</f>
        <v>0</v>
      </c>
    </row>
    <row r="1166" spans="2:12">
      <c r="B1166" s="742">
        <f>Calculs!B1238</f>
        <v>0</v>
      </c>
      <c r="C1166" s="742">
        <f>Calculs!BY1238</f>
        <v>0</v>
      </c>
      <c r="D1166" s="742">
        <f>Calculs!BZ1238</f>
        <v>0</v>
      </c>
      <c r="E1166" s="742">
        <f>Calculs!CA1238</f>
        <v>0</v>
      </c>
      <c r="F1166" s="742">
        <f>Calculs!CB1238</f>
        <v>0</v>
      </c>
      <c r="G1166" s="742">
        <f>Calculs!CC1238</f>
        <v>0</v>
      </c>
      <c r="H1166" s="742"/>
      <c r="I1166" s="742">
        <f>Calculs!CE1238</f>
        <v>0</v>
      </c>
      <c r="J1166" s="742">
        <f>Calculs!CF1238</f>
        <v>0</v>
      </c>
      <c r="K1166" s="742"/>
      <c r="L1166" s="742">
        <f>Calculs!CH1238</f>
        <v>0</v>
      </c>
    </row>
    <row r="1167" spans="2:12">
      <c r="B1167" s="742">
        <f>Calculs!B1239</f>
        <v>0</v>
      </c>
      <c r="C1167" s="742">
        <f>Calculs!BY1239</f>
        <v>0</v>
      </c>
      <c r="D1167" s="742">
        <f>Calculs!BZ1239</f>
        <v>0</v>
      </c>
      <c r="E1167" s="742">
        <f>Calculs!CA1239</f>
        <v>0</v>
      </c>
      <c r="F1167" s="742">
        <f>Calculs!CB1239</f>
        <v>0</v>
      </c>
      <c r="G1167" s="742">
        <f>Calculs!CC1239</f>
        <v>0</v>
      </c>
      <c r="H1167" s="742"/>
      <c r="I1167" s="742">
        <f>Calculs!CE1239</f>
        <v>0</v>
      </c>
      <c r="J1167" s="742">
        <f>Calculs!CF1239</f>
        <v>0</v>
      </c>
      <c r="K1167" s="742"/>
      <c r="L1167" s="742">
        <f>Calculs!CH1239</f>
        <v>0</v>
      </c>
    </row>
    <row r="1168" spans="2:12">
      <c r="B1168" s="742">
        <f>Calculs!B1240</f>
        <v>0</v>
      </c>
      <c r="C1168" s="742">
        <f>Calculs!BY1240</f>
        <v>0</v>
      </c>
      <c r="D1168" s="742">
        <f>Calculs!BZ1240</f>
        <v>0</v>
      </c>
      <c r="E1168" s="742">
        <f>Calculs!CA1240</f>
        <v>0</v>
      </c>
      <c r="F1168" s="742">
        <f>Calculs!CB1240</f>
        <v>0</v>
      </c>
      <c r="G1168" s="742">
        <f>Calculs!CC1240</f>
        <v>0</v>
      </c>
      <c r="H1168" s="742"/>
      <c r="I1168" s="742">
        <f>Calculs!CE1240</f>
        <v>0</v>
      </c>
      <c r="J1168" s="742">
        <f>Calculs!CF1240</f>
        <v>0</v>
      </c>
      <c r="K1168" s="742"/>
      <c r="L1168" s="742">
        <f>Calculs!CH1240</f>
        <v>0</v>
      </c>
    </row>
    <row r="1169" spans="2:12">
      <c r="B1169" s="742">
        <f>Calculs!B1241</f>
        <v>0</v>
      </c>
      <c r="C1169" s="742">
        <f>Calculs!BY1241</f>
        <v>0</v>
      </c>
      <c r="D1169" s="742">
        <f>Calculs!BZ1241</f>
        <v>0</v>
      </c>
      <c r="E1169" s="742">
        <f>Calculs!CA1241</f>
        <v>0</v>
      </c>
      <c r="F1169" s="742">
        <f>Calculs!CB1241</f>
        <v>0</v>
      </c>
      <c r="G1169" s="742">
        <f>Calculs!CC1241</f>
        <v>0</v>
      </c>
      <c r="H1169" s="742"/>
      <c r="I1169" s="742">
        <f>Calculs!CE1241</f>
        <v>0</v>
      </c>
      <c r="J1169" s="742">
        <f>Calculs!CF1241</f>
        <v>0</v>
      </c>
      <c r="K1169" s="742"/>
      <c r="L1169" s="742">
        <f>Calculs!CH1241</f>
        <v>0</v>
      </c>
    </row>
    <row r="1170" spans="2:12">
      <c r="B1170" s="742">
        <f>Calculs!B1242</f>
        <v>0</v>
      </c>
      <c r="C1170" s="742">
        <f>Calculs!BY1242</f>
        <v>0</v>
      </c>
      <c r="D1170" s="742">
        <f>Calculs!BZ1242</f>
        <v>0</v>
      </c>
      <c r="E1170" s="742">
        <f>Calculs!CA1242</f>
        <v>0</v>
      </c>
      <c r="F1170" s="742">
        <f>Calculs!CB1242</f>
        <v>0</v>
      </c>
      <c r="G1170" s="742">
        <f>Calculs!CC1242</f>
        <v>0</v>
      </c>
      <c r="H1170" s="742"/>
      <c r="I1170" s="742">
        <f>Calculs!CE1242</f>
        <v>0</v>
      </c>
      <c r="J1170" s="742">
        <f>Calculs!CF1242</f>
        <v>0</v>
      </c>
      <c r="K1170" s="742"/>
      <c r="L1170" s="742">
        <f>Calculs!CH1242</f>
        <v>0</v>
      </c>
    </row>
    <row r="1171" spans="2:12">
      <c r="B1171" s="742">
        <f>Calculs!B1243</f>
        <v>0</v>
      </c>
      <c r="C1171" s="742">
        <f>Calculs!BY1243</f>
        <v>0</v>
      </c>
      <c r="D1171" s="742">
        <f>Calculs!BZ1243</f>
        <v>0</v>
      </c>
      <c r="E1171" s="742">
        <f>Calculs!CA1243</f>
        <v>0</v>
      </c>
      <c r="F1171" s="742">
        <f>Calculs!CB1243</f>
        <v>0</v>
      </c>
      <c r="G1171" s="742">
        <f>Calculs!CC1243</f>
        <v>0</v>
      </c>
      <c r="H1171" s="742"/>
      <c r="I1171" s="742">
        <f>Calculs!CE1243</f>
        <v>0</v>
      </c>
      <c r="J1171" s="742">
        <f>Calculs!CF1243</f>
        <v>0</v>
      </c>
      <c r="K1171" s="742"/>
      <c r="L1171" s="742">
        <f>Calculs!CH1243</f>
        <v>0</v>
      </c>
    </row>
    <row r="1172" spans="2:12">
      <c r="B1172" s="742">
        <f>Calculs!B1244</f>
        <v>0</v>
      </c>
      <c r="C1172" s="742">
        <f>Calculs!BY1244</f>
        <v>0</v>
      </c>
      <c r="D1172" s="742">
        <f>Calculs!BZ1244</f>
        <v>0</v>
      </c>
      <c r="E1172" s="742">
        <f>Calculs!CA1244</f>
        <v>0</v>
      </c>
      <c r="F1172" s="742">
        <f>Calculs!CB1244</f>
        <v>0</v>
      </c>
      <c r="G1172" s="742">
        <f>Calculs!CC1244</f>
        <v>0</v>
      </c>
      <c r="H1172" s="742"/>
      <c r="I1172" s="742">
        <f>Calculs!CE1244</f>
        <v>0</v>
      </c>
      <c r="J1172" s="742">
        <f>Calculs!CF1244</f>
        <v>0</v>
      </c>
      <c r="K1172" s="742"/>
      <c r="L1172" s="742">
        <f>Calculs!CH1244</f>
        <v>0</v>
      </c>
    </row>
    <row r="1173" spans="2:12">
      <c r="B1173" s="742">
        <f>Calculs!B1245</f>
        <v>0</v>
      </c>
      <c r="C1173" s="742">
        <f>Calculs!BY1245</f>
        <v>0</v>
      </c>
      <c r="D1173" s="742">
        <f>Calculs!BZ1245</f>
        <v>0</v>
      </c>
      <c r="E1173" s="742">
        <f>Calculs!CA1245</f>
        <v>0</v>
      </c>
      <c r="F1173" s="742">
        <f>Calculs!CB1245</f>
        <v>0</v>
      </c>
      <c r="G1173" s="742">
        <f>Calculs!CC1245</f>
        <v>0</v>
      </c>
      <c r="H1173" s="742"/>
      <c r="I1173" s="742">
        <f>Calculs!CE1245</f>
        <v>0</v>
      </c>
      <c r="J1173" s="742">
        <f>Calculs!CF1245</f>
        <v>0</v>
      </c>
      <c r="K1173" s="742"/>
      <c r="L1173" s="742">
        <f>Calculs!CH1245</f>
        <v>0</v>
      </c>
    </row>
    <row r="1174" spans="2:12">
      <c r="B1174" s="742">
        <f>Calculs!B1246</f>
        <v>0</v>
      </c>
      <c r="C1174" s="742">
        <f>Calculs!BY1246</f>
        <v>0</v>
      </c>
      <c r="D1174" s="742">
        <f>Calculs!BZ1246</f>
        <v>0</v>
      </c>
      <c r="E1174" s="742">
        <f>Calculs!CA1246</f>
        <v>0</v>
      </c>
      <c r="F1174" s="742">
        <f>Calculs!CB1246</f>
        <v>0</v>
      </c>
      <c r="G1174" s="742">
        <f>Calculs!CC1246</f>
        <v>0</v>
      </c>
      <c r="H1174" s="742"/>
      <c r="I1174" s="742">
        <f>Calculs!CE1246</f>
        <v>0</v>
      </c>
      <c r="J1174" s="742">
        <f>Calculs!CF1246</f>
        <v>0</v>
      </c>
      <c r="K1174" s="742"/>
      <c r="L1174" s="742">
        <f>Calculs!CH1246</f>
        <v>0</v>
      </c>
    </row>
    <row r="1175" spans="2:12">
      <c r="B1175" s="742">
        <f>Calculs!B1247</f>
        <v>0</v>
      </c>
      <c r="C1175" s="742">
        <f>Calculs!BY1247</f>
        <v>0</v>
      </c>
      <c r="D1175" s="742">
        <f>Calculs!BZ1247</f>
        <v>0</v>
      </c>
      <c r="E1175" s="742">
        <f>Calculs!CA1247</f>
        <v>0</v>
      </c>
      <c r="F1175" s="742">
        <f>Calculs!CB1247</f>
        <v>0</v>
      </c>
      <c r="G1175" s="742">
        <f>Calculs!CC1247</f>
        <v>0</v>
      </c>
      <c r="H1175" s="742"/>
      <c r="I1175" s="742">
        <f>Calculs!CE1247</f>
        <v>0</v>
      </c>
      <c r="J1175" s="742">
        <f>Calculs!CF1247</f>
        <v>0</v>
      </c>
      <c r="K1175" s="742"/>
      <c r="L1175" s="742">
        <f>Calculs!CH1247</f>
        <v>0</v>
      </c>
    </row>
    <row r="1176" spans="2:12">
      <c r="B1176" s="742">
        <f>Calculs!B1248</f>
        <v>0</v>
      </c>
      <c r="C1176" s="742">
        <f>Calculs!BY1248</f>
        <v>0</v>
      </c>
      <c r="D1176" s="742">
        <f>Calculs!BZ1248</f>
        <v>0</v>
      </c>
      <c r="E1176" s="742">
        <f>Calculs!CA1248</f>
        <v>0</v>
      </c>
      <c r="F1176" s="742">
        <f>Calculs!CB1248</f>
        <v>0</v>
      </c>
      <c r="G1176" s="742">
        <f>Calculs!CC1248</f>
        <v>0</v>
      </c>
      <c r="H1176" s="742"/>
      <c r="I1176" s="742">
        <f>Calculs!CE1248</f>
        <v>0</v>
      </c>
      <c r="J1176" s="742">
        <f>Calculs!CF1248</f>
        <v>0</v>
      </c>
      <c r="K1176" s="742"/>
      <c r="L1176" s="742">
        <f>Calculs!CH1248</f>
        <v>0</v>
      </c>
    </row>
    <row r="1177" spans="2:12">
      <c r="B1177" s="742">
        <f>Calculs!B1249</f>
        <v>0</v>
      </c>
      <c r="C1177" s="742">
        <f>Calculs!BY1249</f>
        <v>0</v>
      </c>
      <c r="D1177" s="742">
        <f>Calculs!BZ1249</f>
        <v>0</v>
      </c>
      <c r="E1177" s="742">
        <f>Calculs!CA1249</f>
        <v>0</v>
      </c>
      <c r="F1177" s="742">
        <f>Calculs!CB1249</f>
        <v>0</v>
      </c>
      <c r="G1177" s="742">
        <f>Calculs!CC1249</f>
        <v>0</v>
      </c>
      <c r="H1177" s="742"/>
      <c r="I1177" s="742">
        <f>Calculs!CE1249</f>
        <v>0</v>
      </c>
      <c r="J1177" s="742">
        <f>Calculs!CF1249</f>
        <v>0</v>
      </c>
      <c r="K1177" s="742"/>
      <c r="L1177" s="742">
        <f>Calculs!CH1249</f>
        <v>0</v>
      </c>
    </row>
    <row r="1178" spans="2:12">
      <c r="B1178" s="742">
        <f>Calculs!B1250</f>
        <v>0</v>
      </c>
      <c r="C1178" s="742">
        <f>Calculs!BY1250</f>
        <v>0</v>
      </c>
      <c r="D1178" s="742">
        <f>Calculs!BZ1250</f>
        <v>0</v>
      </c>
      <c r="E1178" s="742">
        <f>Calculs!CA1250</f>
        <v>0</v>
      </c>
      <c r="F1178" s="742">
        <f>Calculs!CB1250</f>
        <v>0</v>
      </c>
      <c r="G1178" s="742">
        <f>Calculs!CC1250</f>
        <v>0</v>
      </c>
      <c r="H1178" s="742"/>
      <c r="I1178" s="742">
        <f>Calculs!CE1250</f>
        <v>0</v>
      </c>
      <c r="J1178" s="742">
        <f>Calculs!CF1250</f>
        <v>0</v>
      </c>
      <c r="K1178" s="742"/>
      <c r="L1178" s="742">
        <f>Calculs!CH1250</f>
        <v>0</v>
      </c>
    </row>
    <row r="1179" spans="2:12">
      <c r="B1179" s="742">
        <f>Calculs!B1251</f>
        <v>0</v>
      </c>
      <c r="C1179" s="742">
        <f>Calculs!BY1251</f>
        <v>0</v>
      </c>
      <c r="D1179" s="742">
        <f>Calculs!BZ1251</f>
        <v>0</v>
      </c>
      <c r="E1179" s="742">
        <f>Calculs!CA1251</f>
        <v>0</v>
      </c>
      <c r="F1179" s="742">
        <f>Calculs!CB1251</f>
        <v>0</v>
      </c>
      <c r="G1179" s="742">
        <f>Calculs!CC1251</f>
        <v>0</v>
      </c>
      <c r="H1179" s="742"/>
      <c r="I1179" s="742">
        <f>Calculs!CE1251</f>
        <v>0</v>
      </c>
      <c r="J1179" s="742">
        <f>Calculs!CF1251</f>
        <v>0</v>
      </c>
      <c r="K1179" s="742"/>
      <c r="L1179" s="742">
        <f>Calculs!CH1251</f>
        <v>0</v>
      </c>
    </row>
    <row r="1180" spans="2:12">
      <c r="B1180" s="742">
        <f>Calculs!B1252</f>
        <v>0</v>
      </c>
      <c r="C1180" s="742">
        <f>Calculs!BY1252</f>
        <v>0</v>
      </c>
      <c r="D1180" s="742">
        <f>Calculs!BZ1252</f>
        <v>0</v>
      </c>
      <c r="E1180" s="742">
        <f>Calculs!CA1252</f>
        <v>0</v>
      </c>
      <c r="F1180" s="742">
        <f>Calculs!CB1252</f>
        <v>0</v>
      </c>
      <c r="G1180" s="742">
        <f>Calculs!CC1252</f>
        <v>0</v>
      </c>
      <c r="H1180" s="742"/>
      <c r="I1180" s="742">
        <f>Calculs!CE1252</f>
        <v>0</v>
      </c>
      <c r="J1180" s="742">
        <f>Calculs!CF1252</f>
        <v>0</v>
      </c>
      <c r="K1180" s="742"/>
      <c r="L1180" s="742">
        <f>Calculs!CH1252</f>
        <v>0</v>
      </c>
    </row>
    <row r="1181" spans="2:12">
      <c r="B1181" s="742">
        <f>Calculs!B1253</f>
        <v>0</v>
      </c>
      <c r="C1181" s="742">
        <f>Calculs!BY1253</f>
        <v>0</v>
      </c>
      <c r="D1181" s="742">
        <f>Calculs!BZ1253</f>
        <v>0</v>
      </c>
      <c r="E1181" s="742">
        <f>Calculs!CA1253</f>
        <v>0</v>
      </c>
      <c r="F1181" s="742">
        <f>Calculs!CB1253</f>
        <v>0</v>
      </c>
      <c r="G1181" s="742">
        <f>Calculs!CC1253</f>
        <v>0</v>
      </c>
      <c r="H1181" s="742"/>
      <c r="I1181" s="742">
        <f>Calculs!CE1253</f>
        <v>0</v>
      </c>
      <c r="J1181" s="742">
        <f>Calculs!CF1253</f>
        <v>0</v>
      </c>
      <c r="K1181" s="742"/>
      <c r="L1181" s="742">
        <f>Calculs!CH1253</f>
        <v>0</v>
      </c>
    </row>
    <row r="1182" spans="2:12">
      <c r="B1182" s="742">
        <f>Calculs!B1254</f>
        <v>0</v>
      </c>
      <c r="C1182" s="742">
        <f>Calculs!BY1254</f>
        <v>0</v>
      </c>
      <c r="D1182" s="742">
        <f>Calculs!BZ1254</f>
        <v>0</v>
      </c>
      <c r="E1182" s="742">
        <f>Calculs!CA1254</f>
        <v>0</v>
      </c>
      <c r="F1182" s="742">
        <f>Calculs!CB1254</f>
        <v>0</v>
      </c>
      <c r="G1182" s="742">
        <f>Calculs!CC1254</f>
        <v>0</v>
      </c>
      <c r="H1182" s="742"/>
      <c r="I1182" s="742">
        <f>Calculs!CE1254</f>
        <v>0</v>
      </c>
      <c r="J1182" s="742">
        <f>Calculs!CF1254</f>
        <v>0</v>
      </c>
      <c r="K1182" s="742"/>
      <c r="L1182" s="742">
        <f>Calculs!CH1254</f>
        <v>0</v>
      </c>
    </row>
    <row r="1183" spans="2:12">
      <c r="B1183" s="742">
        <f>Calculs!B1255</f>
        <v>0</v>
      </c>
      <c r="C1183" s="742">
        <f>Calculs!BY1255</f>
        <v>0</v>
      </c>
      <c r="D1183" s="742">
        <f>Calculs!BZ1255</f>
        <v>0</v>
      </c>
      <c r="E1183" s="742">
        <f>Calculs!CA1255</f>
        <v>0</v>
      </c>
      <c r="F1183" s="742">
        <f>Calculs!CB1255</f>
        <v>0</v>
      </c>
      <c r="G1183" s="742">
        <f>Calculs!CC1255</f>
        <v>0</v>
      </c>
      <c r="H1183" s="742"/>
      <c r="I1183" s="742">
        <f>Calculs!CE1255</f>
        <v>0</v>
      </c>
      <c r="J1183" s="742">
        <f>Calculs!CF1255</f>
        <v>0</v>
      </c>
      <c r="K1183" s="742"/>
      <c r="L1183" s="742">
        <f>Calculs!CH1255</f>
        <v>0</v>
      </c>
    </row>
    <row r="1184" spans="2:12">
      <c r="B1184" s="742">
        <f>Calculs!B1256</f>
        <v>0</v>
      </c>
      <c r="C1184" s="742">
        <f>Calculs!BY1256</f>
        <v>0</v>
      </c>
      <c r="D1184" s="742">
        <f>Calculs!BZ1256</f>
        <v>0</v>
      </c>
      <c r="E1184" s="742">
        <f>Calculs!CA1256</f>
        <v>0</v>
      </c>
      <c r="F1184" s="742">
        <f>Calculs!CB1256</f>
        <v>0</v>
      </c>
      <c r="G1184" s="742">
        <f>Calculs!CC1256</f>
        <v>0</v>
      </c>
      <c r="H1184" s="742"/>
      <c r="I1184" s="742">
        <f>Calculs!CE1256</f>
        <v>0</v>
      </c>
      <c r="J1184" s="742">
        <f>Calculs!CF1256</f>
        <v>0</v>
      </c>
      <c r="K1184" s="742"/>
      <c r="L1184" s="742">
        <f>Calculs!CH1256</f>
        <v>0</v>
      </c>
    </row>
    <row r="1185" spans="2:12">
      <c r="B1185" s="742">
        <f>Calculs!B1257</f>
        <v>0</v>
      </c>
      <c r="C1185" s="742">
        <f>Calculs!BY1257</f>
        <v>0</v>
      </c>
      <c r="D1185" s="742">
        <f>Calculs!BZ1257</f>
        <v>0</v>
      </c>
      <c r="E1185" s="742">
        <f>Calculs!CA1257</f>
        <v>0</v>
      </c>
      <c r="F1185" s="742">
        <f>Calculs!CB1257</f>
        <v>0</v>
      </c>
      <c r="G1185" s="742">
        <f>Calculs!CC1257</f>
        <v>0</v>
      </c>
      <c r="H1185" s="742"/>
      <c r="I1185" s="742">
        <f>Calculs!CE1257</f>
        <v>0</v>
      </c>
      <c r="J1185" s="742">
        <f>Calculs!CF1257</f>
        <v>0</v>
      </c>
      <c r="K1185" s="742"/>
      <c r="L1185" s="742">
        <f>Calculs!CH1257</f>
        <v>0</v>
      </c>
    </row>
    <row r="1186" spans="2:12">
      <c r="B1186" s="742">
        <f>Calculs!B1258</f>
        <v>0</v>
      </c>
      <c r="C1186" s="742">
        <f>Calculs!BY1258</f>
        <v>0</v>
      </c>
      <c r="D1186" s="742">
        <f>Calculs!BZ1258</f>
        <v>0</v>
      </c>
      <c r="E1186" s="742">
        <f>Calculs!CA1258</f>
        <v>0</v>
      </c>
      <c r="F1186" s="742">
        <f>Calculs!CB1258</f>
        <v>0</v>
      </c>
      <c r="G1186" s="742">
        <f>Calculs!CC1258</f>
        <v>0</v>
      </c>
      <c r="H1186" s="742"/>
      <c r="I1186" s="742">
        <f>Calculs!CE1258</f>
        <v>0</v>
      </c>
      <c r="J1186" s="742">
        <f>Calculs!CF1258</f>
        <v>0</v>
      </c>
      <c r="K1186" s="742"/>
      <c r="L1186" s="742">
        <f>Calculs!CH1258</f>
        <v>0</v>
      </c>
    </row>
    <row r="1187" spans="2:12">
      <c r="B1187" s="742">
        <f>Calculs!B1259</f>
        <v>0</v>
      </c>
      <c r="C1187" s="742">
        <f>Calculs!BY1259</f>
        <v>0</v>
      </c>
      <c r="D1187" s="742">
        <f>Calculs!BZ1259</f>
        <v>0</v>
      </c>
      <c r="E1187" s="742">
        <f>Calculs!CA1259</f>
        <v>0</v>
      </c>
      <c r="F1187" s="742">
        <f>Calculs!CB1259</f>
        <v>0</v>
      </c>
      <c r="G1187" s="742">
        <f>Calculs!CC1259</f>
        <v>0</v>
      </c>
      <c r="H1187" s="742"/>
      <c r="I1187" s="742">
        <f>Calculs!CE1259</f>
        <v>0</v>
      </c>
      <c r="J1187" s="742">
        <f>Calculs!CF1259</f>
        <v>0</v>
      </c>
      <c r="K1187" s="742"/>
      <c r="L1187" s="742">
        <f>Calculs!CH1259</f>
        <v>0</v>
      </c>
    </row>
    <row r="1188" spans="2:12">
      <c r="B1188" s="742">
        <f>Calculs!B1260</f>
        <v>0</v>
      </c>
      <c r="C1188" s="742">
        <f>Calculs!BY1260</f>
        <v>0</v>
      </c>
      <c r="D1188" s="742">
        <f>Calculs!BZ1260</f>
        <v>0</v>
      </c>
      <c r="E1188" s="742">
        <f>Calculs!CA1260</f>
        <v>0</v>
      </c>
      <c r="F1188" s="742">
        <f>Calculs!CB1260</f>
        <v>0</v>
      </c>
      <c r="G1188" s="742">
        <f>Calculs!CC1260</f>
        <v>0</v>
      </c>
      <c r="H1188" s="742"/>
      <c r="I1188" s="742">
        <f>Calculs!CE1260</f>
        <v>0</v>
      </c>
      <c r="J1188" s="742">
        <f>Calculs!CF1260</f>
        <v>0</v>
      </c>
      <c r="K1188" s="742"/>
      <c r="L1188" s="742">
        <f>Calculs!CH1260</f>
        <v>0</v>
      </c>
    </row>
    <row r="1189" spans="2:12">
      <c r="B1189" s="742">
        <f>Calculs!B1261</f>
        <v>0</v>
      </c>
      <c r="C1189" s="742">
        <f>Calculs!BY1261</f>
        <v>0</v>
      </c>
      <c r="D1189" s="742">
        <f>Calculs!BZ1261</f>
        <v>0</v>
      </c>
      <c r="E1189" s="742">
        <f>Calculs!CA1261</f>
        <v>0</v>
      </c>
      <c r="F1189" s="742">
        <f>Calculs!CB1261</f>
        <v>0</v>
      </c>
      <c r="G1189" s="742">
        <f>Calculs!CC1261</f>
        <v>0</v>
      </c>
      <c r="H1189" s="742"/>
      <c r="I1189" s="742">
        <f>Calculs!CE1261</f>
        <v>0</v>
      </c>
      <c r="J1189" s="742">
        <f>Calculs!CF1261</f>
        <v>0</v>
      </c>
      <c r="K1189" s="742"/>
      <c r="L1189" s="742">
        <f>Calculs!CH1261</f>
        <v>0</v>
      </c>
    </row>
    <row r="1190" spans="2:12">
      <c r="B1190" s="742">
        <f>Calculs!B1262</f>
        <v>0</v>
      </c>
      <c r="C1190" s="742">
        <f>Calculs!BY1262</f>
        <v>0</v>
      </c>
      <c r="D1190" s="742">
        <f>Calculs!BZ1262</f>
        <v>0</v>
      </c>
      <c r="E1190" s="742">
        <f>Calculs!CA1262</f>
        <v>0</v>
      </c>
      <c r="F1190" s="742">
        <f>Calculs!CB1262</f>
        <v>0</v>
      </c>
      <c r="G1190" s="742">
        <f>Calculs!CC1262</f>
        <v>0</v>
      </c>
      <c r="H1190" s="742"/>
      <c r="I1190" s="742">
        <f>Calculs!CE1262</f>
        <v>0</v>
      </c>
      <c r="J1190" s="742">
        <f>Calculs!CF1262</f>
        <v>0</v>
      </c>
      <c r="K1190" s="742"/>
      <c r="L1190" s="742">
        <f>Calculs!CH1262</f>
        <v>0</v>
      </c>
    </row>
    <row r="1191" spans="2:12">
      <c r="B1191" s="742">
        <f>Calculs!B1263</f>
        <v>0</v>
      </c>
      <c r="C1191" s="742">
        <f>Calculs!BY1263</f>
        <v>0</v>
      </c>
      <c r="D1191" s="742">
        <f>Calculs!BZ1263</f>
        <v>0</v>
      </c>
      <c r="E1191" s="742">
        <f>Calculs!CA1263</f>
        <v>0</v>
      </c>
      <c r="F1191" s="742">
        <f>Calculs!CB1263</f>
        <v>0</v>
      </c>
      <c r="G1191" s="742">
        <f>Calculs!CC1263</f>
        <v>0</v>
      </c>
      <c r="H1191" s="742"/>
      <c r="I1191" s="742">
        <f>Calculs!CE1263</f>
        <v>0</v>
      </c>
      <c r="J1191" s="742">
        <f>Calculs!CF1263</f>
        <v>0</v>
      </c>
      <c r="K1191" s="742"/>
      <c r="L1191" s="742">
        <f>Calculs!CH1263</f>
        <v>0</v>
      </c>
    </row>
    <row r="1192" spans="2:12">
      <c r="B1192" s="742">
        <f>Calculs!B1264</f>
        <v>0</v>
      </c>
      <c r="C1192" s="742">
        <f>Calculs!BY1264</f>
        <v>0</v>
      </c>
      <c r="D1192" s="742">
        <f>Calculs!BZ1264</f>
        <v>0</v>
      </c>
      <c r="E1192" s="742">
        <f>Calculs!CA1264</f>
        <v>0</v>
      </c>
      <c r="F1192" s="742">
        <f>Calculs!CB1264</f>
        <v>0</v>
      </c>
      <c r="G1192" s="742">
        <f>Calculs!CC1264</f>
        <v>0</v>
      </c>
      <c r="H1192" s="742"/>
      <c r="I1192" s="742">
        <f>Calculs!CE1264</f>
        <v>0</v>
      </c>
      <c r="J1192" s="742">
        <f>Calculs!CF1264</f>
        <v>0</v>
      </c>
      <c r="K1192" s="742"/>
      <c r="L1192" s="742">
        <f>Calculs!CH1264</f>
        <v>0</v>
      </c>
    </row>
    <row r="1193" spans="2:12">
      <c r="B1193" s="742">
        <f>Calculs!B1265</f>
        <v>0</v>
      </c>
      <c r="C1193" s="742">
        <f>Calculs!BY1265</f>
        <v>0</v>
      </c>
      <c r="D1193" s="742">
        <f>Calculs!BZ1265</f>
        <v>0</v>
      </c>
      <c r="E1193" s="742">
        <f>Calculs!CA1265</f>
        <v>0</v>
      </c>
      <c r="F1193" s="742">
        <f>Calculs!CB1265</f>
        <v>0</v>
      </c>
      <c r="G1193" s="742">
        <f>Calculs!CC1265</f>
        <v>0</v>
      </c>
      <c r="H1193" s="742"/>
      <c r="I1193" s="742">
        <f>Calculs!CE1265</f>
        <v>0</v>
      </c>
      <c r="J1193" s="742">
        <f>Calculs!CF1265</f>
        <v>0</v>
      </c>
      <c r="K1193" s="742"/>
      <c r="L1193" s="742">
        <f>Calculs!CH1265</f>
        <v>0</v>
      </c>
    </row>
    <row r="1194" spans="2:12">
      <c r="B1194" s="742">
        <f>Calculs!B1266</f>
        <v>0</v>
      </c>
      <c r="C1194" s="742">
        <f>Calculs!BY1266</f>
        <v>0</v>
      </c>
      <c r="D1194" s="742">
        <f>Calculs!BZ1266</f>
        <v>0</v>
      </c>
      <c r="E1194" s="742">
        <f>Calculs!CA1266</f>
        <v>0</v>
      </c>
      <c r="F1194" s="742">
        <f>Calculs!CB1266</f>
        <v>0</v>
      </c>
      <c r="G1194" s="742">
        <f>Calculs!CC1266</f>
        <v>0</v>
      </c>
      <c r="H1194" s="742"/>
      <c r="I1194" s="742">
        <f>Calculs!CE1266</f>
        <v>0</v>
      </c>
      <c r="J1194" s="742">
        <f>Calculs!CF1266</f>
        <v>0</v>
      </c>
      <c r="K1194" s="742"/>
      <c r="L1194" s="742">
        <f>Calculs!CH1266</f>
        <v>0</v>
      </c>
    </row>
    <row r="1195" spans="2:12">
      <c r="B1195" s="742">
        <f>Calculs!B1267</f>
        <v>0</v>
      </c>
      <c r="C1195" s="742">
        <f>Calculs!BY1267</f>
        <v>0</v>
      </c>
      <c r="D1195" s="742">
        <f>Calculs!BZ1267</f>
        <v>0</v>
      </c>
      <c r="E1195" s="742">
        <f>Calculs!CA1267</f>
        <v>0</v>
      </c>
      <c r="F1195" s="742">
        <f>Calculs!CB1267</f>
        <v>0</v>
      </c>
      <c r="G1195" s="742">
        <f>Calculs!CC1267</f>
        <v>0</v>
      </c>
      <c r="H1195" s="742"/>
      <c r="I1195" s="742">
        <f>Calculs!CE1267</f>
        <v>0</v>
      </c>
      <c r="J1195" s="742">
        <f>Calculs!CF1267</f>
        <v>0</v>
      </c>
      <c r="K1195" s="742"/>
      <c r="L1195" s="742">
        <f>Calculs!CH1267</f>
        <v>0</v>
      </c>
    </row>
    <row r="1196" spans="2:12">
      <c r="B1196" s="742">
        <f>Calculs!B1268</f>
        <v>0</v>
      </c>
      <c r="C1196" s="742">
        <f>Calculs!BY1268</f>
        <v>0</v>
      </c>
      <c r="D1196" s="742">
        <f>Calculs!BZ1268</f>
        <v>0</v>
      </c>
      <c r="E1196" s="742">
        <f>Calculs!CA1268</f>
        <v>0</v>
      </c>
      <c r="F1196" s="742">
        <f>Calculs!CB1268</f>
        <v>0</v>
      </c>
      <c r="G1196" s="742">
        <f>Calculs!CC1268</f>
        <v>0</v>
      </c>
      <c r="H1196" s="742"/>
      <c r="I1196" s="742">
        <f>Calculs!CE1268</f>
        <v>0</v>
      </c>
      <c r="J1196" s="742">
        <f>Calculs!CF1268</f>
        <v>0</v>
      </c>
      <c r="K1196" s="742"/>
      <c r="L1196" s="742">
        <f>Calculs!CH1268</f>
        <v>0</v>
      </c>
    </row>
    <row r="1197" spans="2:12">
      <c r="B1197" s="742">
        <f>Calculs!B1269</f>
        <v>0</v>
      </c>
      <c r="C1197" s="742">
        <f>Calculs!BY1269</f>
        <v>0</v>
      </c>
      <c r="D1197" s="742">
        <f>Calculs!BZ1269</f>
        <v>0</v>
      </c>
      <c r="E1197" s="742">
        <f>Calculs!CA1269</f>
        <v>0</v>
      </c>
      <c r="F1197" s="742">
        <f>Calculs!CB1269</f>
        <v>0</v>
      </c>
      <c r="G1197" s="742">
        <f>Calculs!CC1269</f>
        <v>0</v>
      </c>
      <c r="H1197" s="742"/>
      <c r="I1197" s="742">
        <f>Calculs!CE1269</f>
        <v>0</v>
      </c>
      <c r="J1197" s="742">
        <f>Calculs!CF1269</f>
        <v>0</v>
      </c>
      <c r="K1197" s="742"/>
      <c r="L1197" s="742">
        <f>Calculs!CH1269</f>
        <v>0</v>
      </c>
    </row>
    <row r="1198" spans="2:12">
      <c r="B1198" s="742">
        <f>Calculs!B1270</f>
        <v>0</v>
      </c>
      <c r="C1198" s="742">
        <f>Calculs!BY1270</f>
        <v>0</v>
      </c>
      <c r="D1198" s="742">
        <f>Calculs!BZ1270</f>
        <v>0</v>
      </c>
      <c r="E1198" s="742">
        <f>Calculs!CA1270</f>
        <v>0</v>
      </c>
      <c r="F1198" s="742">
        <f>Calculs!CB1270</f>
        <v>0</v>
      </c>
      <c r="G1198" s="742">
        <f>Calculs!CC1270</f>
        <v>0</v>
      </c>
      <c r="H1198" s="742"/>
      <c r="I1198" s="742">
        <f>Calculs!CE1270</f>
        <v>0</v>
      </c>
      <c r="J1198" s="742">
        <f>Calculs!CF1270</f>
        <v>0</v>
      </c>
      <c r="K1198" s="742"/>
      <c r="L1198" s="742">
        <f>Calculs!CH1270</f>
        <v>0</v>
      </c>
    </row>
    <row r="1199" spans="2:12">
      <c r="B1199" s="742">
        <f>Calculs!B1271</f>
        <v>0</v>
      </c>
      <c r="C1199" s="742">
        <f>Calculs!BY1271</f>
        <v>0</v>
      </c>
      <c r="D1199" s="742">
        <f>Calculs!BZ1271</f>
        <v>0</v>
      </c>
      <c r="E1199" s="742">
        <f>Calculs!CA1271</f>
        <v>0</v>
      </c>
      <c r="F1199" s="742">
        <f>Calculs!CB1271</f>
        <v>0</v>
      </c>
      <c r="G1199" s="742">
        <f>Calculs!CC1271</f>
        <v>0</v>
      </c>
      <c r="H1199" s="742"/>
      <c r="I1199" s="742">
        <f>Calculs!CE1271</f>
        <v>0</v>
      </c>
      <c r="J1199" s="742">
        <f>Calculs!CF1271</f>
        <v>0</v>
      </c>
      <c r="K1199" s="742"/>
      <c r="L1199" s="742">
        <f>Calculs!CH1271</f>
        <v>0</v>
      </c>
    </row>
    <row r="1200" spans="2:12">
      <c r="B1200" s="742">
        <f>Calculs!B1272</f>
        <v>0</v>
      </c>
      <c r="C1200" s="742">
        <f>Calculs!BY1272</f>
        <v>0</v>
      </c>
      <c r="D1200" s="742">
        <f>Calculs!BZ1272</f>
        <v>0</v>
      </c>
      <c r="E1200" s="742">
        <f>Calculs!CA1272</f>
        <v>0</v>
      </c>
      <c r="F1200" s="742">
        <f>Calculs!CB1272</f>
        <v>0</v>
      </c>
      <c r="G1200" s="742">
        <f>Calculs!CC1272</f>
        <v>0</v>
      </c>
      <c r="H1200" s="742"/>
      <c r="I1200" s="742">
        <f>Calculs!CE1272</f>
        <v>0</v>
      </c>
      <c r="J1200" s="742">
        <f>Calculs!CF1272</f>
        <v>0</v>
      </c>
      <c r="K1200" s="742"/>
      <c r="L1200" s="742">
        <f>Calculs!CH1272</f>
        <v>0</v>
      </c>
    </row>
    <row r="1201" spans="2:12">
      <c r="B1201" s="742">
        <f>Calculs!B1273</f>
        <v>0</v>
      </c>
      <c r="C1201" s="742">
        <f>Calculs!BY1273</f>
        <v>0</v>
      </c>
      <c r="D1201" s="742">
        <f>Calculs!BZ1273</f>
        <v>0</v>
      </c>
      <c r="E1201" s="742">
        <f>Calculs!CA1273</f>
        <v>0</v>
      </c>
      <c r="F1201" s="742">
        <f>Calculs!CB1273</f>
        <v>0</v>
      </c>
      <c r="G1201" s="742">
        <f>Calculs!CC1273</f>
        <v>0</v>
      </c>
      <c r="H1201" s="742"/>
      <c r="I1201" s="742">
        <f>Calculs!CE1273</f>
        <v>0</v>
      </c>
      <c r="J1201" s="742">
        <f>Calculs!CF1273</f>
        <v>0</v>
      </c>
      <c r="K1201" s="742"/>
      <c r="L1201" s="742">
        <f>Calculs!CH1273</f>
        <v>0</v>
      </c>
    </row>
    <row r="1202" spans="2:12">
      <c r="B1202" s="742">
        <f>Calculs!B1274</f>
        <v>0</v>
      </c>
      <c r="C1202" s="742">
        <f>Calculs!BY1274</f>
        <v>0</v>
      </c>
      <c r="D1202" s="742">
        <f>Calculs!BZ1274</f>
        <v>0</v>
      </c>
      <c r="E1202" s="742">
        <f>Calculs!CA1274</f>
        <v>0</v>
      </c>
      <c r="F1202" s="742">
        <f>Calculs!CB1274</f>
        <v>0</v>
      </c>
      <c r="G1202" s="742">
        <f>Calculs!CC1274</f>
        <v>0</v>
      </c>
      <c r="H1202" s="742"/>
      <c r="I1202" s="742">
        <f>Calculs!CE1274</f>
        <v>0</v>
      </c>
      <c r="J1202" s="742">
        <f>Calculs!CF1274</f>
        <v>0</v>
      </c>
      <c r="K1202" s="742"/>
      <c r="L1202" s="742">
        <f>Calculs!CH1274</f>
        <v>0</v>
      </c>
    </row>
    <row r="1203" spans="2:12">
      <c r="B1203" s="742">
        <f>Calculs!B1275</f>
        <v>0</v>
      </c>
      <c r="C1203" s="742">
        <f>Calculs!BY1275</f>
        <v>0</v>
      </c>
      <c r="D1203" s="742">
        <f>Calculs!BZ1275</f>
        <v>0</v>
      </c>
      <c r="E1203" s="742">
        <f>Calculs!CA1275</f>
        <v>0</v>
      </c>
      <c r="F1203" s="742">
        <f>Calculs!CB1275</f>
        <v>0</v>
      </c>
      <c r="G1203" s="742">
        <f>Calculs!CC1275</f>
        <v>0</v>
      </c>
      <c r="H1203" s="742"/>
      <c r="I1203" s="742">
        <f>Calculs!CE1275</f>
        <v>0</v>
      </c>
      <c r="J1203" s="742">
        <f>Calculs!CF1275</f>
        <v>0</v>
      </c>
      <c r="K1203" s="742"/>
      <c r="L1203" s="742">
        <f>Calculs!CH1275</f>
        <v>0</v>
      </c>
    </row>
    <row r="1204" spans="2:12">
      <c r="B1204" s="742">
        <f>Calculs!B1276</f>
        <v>0</v>
      </c>
      <c r="C1204" s="742">
        <f>Calculs!BY1276</f>
        <v>0</v>
      </c>
      <c r="D1204" s="742">
        <f>Calculs!BZ1276</f>
        <v>0</v>
      </c>
      <c r="E1204" s="742">
        <f>Calculs!CA1276</f>
        <v>0</v>
      </c>
      <c r="F1204" s="742">
        <f>Calculs!CB1276</f>
        <v>0</v>
      </c>
      <c r="G1204" s="742">
        <f>Calculs!CC1276</f>
        <v>0</v>
      </c>
      <c r="H1204" s="742"/>
      <c r="I1204" s="742">
        <f>Calculs!CE1276</f>
        <v>0</v>
      </c>
      <c r="J1204" s="742">
        <f>Calculs!CF1276</f>
        <v>0</v>
      </c>
      <c r="K1204" s="742"/>
      <c r="L1204" s="742">
        <f>Calculs!CH1276</f>
        <v>0</v>
      </c>
    </row>
    <row r="1205" spans="2:12">
      <c r="B1205" s="742">
        <f>Calculs!B1277</f>
        <v>0</v>
      </c>
      <c r="C1205" s="742">
        <f>Calculs!BY1277</f>
        <v>0</v>
      </c>
      <c r="D1205" s="742">
        <f>Calculs!BZ1277</f>
        <v>0</v>
      </c>
      <c r="E1205" s="742">
        <f>Calculs!CA1277</f>
        <v>0</v>
      </c>
      <c r="F1205" s="742">
        <f>Calculs!CB1277</f>
        <v>0</v>
      </c>
      <c r="G1205" s="742">
        <f>Calculs!CC1277</f>
        <v>0</v>
      </c>
      <c r="H1205" s="742"/>
      <c r="I1205" s="742">
        <f>Calculs!CE1277</f>
        <v>0</v>
      </c>
      <c r="J1205" s="742">
        <f>Calculs!CF1277</f>
        <v>0</v>
      </c>
      <c r="K1205" s="742"/>
      <c r="L1205" s="742">
        <f>Calculs!CH1277</f>
        <v>0</v>
      </c>
    </row>
    <row r="1206" spans="2:12">
      <c r="B1206" s="742">
        <f>Calculs!B1278</f>
        <v>0</v>
      </c>
      <c r="C1206" s="742">
        <f>Calculs!BY1278</f>
        <v>0</v>
      </c>
      <c r="D1206" s="742">
        <f>Calculs!BZ1278</f>
        <v>0</v>
      </c>
      <c r="E1206" s="742">
        <f>Calculs!CA1278</f>
        <v>0</v>
      </c>
      <c r="F1206" s="742">
        <f>Calculs!CB1278</f>
        <v>0</v>
      </c>
      <c r="G1206" s="742">
        <f>Calculs!CC1278</f>
        <v>0</v>
      </c>
      <c r="H1206" s="742"/>
      <c r="I1206" s="742">
        <f>Calculs!CE1278</f>
        <v>0</v>
      </c>
      <c r="J1206" s="742">
        <f>Calculs!CF1278</f>
        <v>0</v>
      </c>
      <c r="K1206" s="742"/>
      <c r="L1206" s="742">
        <f>Calculs!CH1278</f>
        <v>0</v>
      </c>
    </row>
    <row r="1207" spans="2:12">
      <c r="B1207" s="742">
        <f>Calculs!B1279</f>
        <v>0</v>
      </c>
      <c r="C1207" s="742">
        <f>Calculs!BY1279</f>
        <v>0</v>
      </c>
      <c r="D1207" s="742">
        <f>Calculs!BZ1279</f>
        <v>0</v>
      </c>
      <c r="E1207" s="742">
        <f>Calculs!CA1279</f>
        <v>0</v>
      </c>
      <c r="F1207" s="742">
        <f>Calculs!CB1279</f>
        <v>0</v>
      </c>
      <c r="G1207" s="742">
        <f>Calculs!CC1279</f>
        <v>0</v>
      </c>
      <c r="H1207" s="742"/>
      <c r="I1207" s="742">
        <f>Calculs!CE1279</f>
        <v>0</v>
      </c>
      <c r="J1207" s="742">
        <f>Calculs!CF1279</f>
        <v>0</v>
      </c>
      <c r="K1207" s="742"/>
      <c r="L1207" s="742">
        <f>Calculs!CH1279</f>
        <v>0</v>
      </c>
    </row>
    <row r="1208" spans="2:12">
      <c r="B1208" s="742">
        <f>Calculs!B1280</f>
        <v>0</v>
      </c>
      <c r="C1208" s="742">
        <f>Calculs!BY1280</f>
        <v>0</v>
      </c>
      <c r="D1208" s="742">
        <f>Calculs!BZ1280</f>
        <v>0</v>
      </c>
      <c r="E1208" s="742">
        <f>Calculs!CA1280</f>
        <v>0</v>
      </c>
      <c r="F1208" s="742">
        <f>Calculs!CB1280</f>
        <v>0</v>
      </c>
      <c r="G1208" s="742">
        <f>Calculs!CC1280</f>
        <v>0</v>
      </c>
      <c r="H1208" s="742"/>
      <c r="I1208" s="742">
        <f>Calculs!CE1280</f>
        <v>0</v>
      </c>
      <c r="J1208" s="742">
        <f>Calculs!CF1280</f>
        <v>0</v>
      </c>
      <c r="K1208" s="742"/>
      <c r="L1208" s="742">
        <f>Calculs!CH1280</f>
        <v>0</v>
      </c>
    </row>
    <row r="1209" spans="2:12">
      <c r="B1209" s="742">
        <f>Calculs!B1281</f>
        <v>0</v>
      </c>
      <c r="C1209" s="742">
        <f>Calculs!BY1281</f>
        <v>0</v>
      </c>
      <c r="D1209" s="742">
        <f>Calculs!BZ1281</f>
        <v>0</v>
      </c>
      <c r="E1209" s="742">
        <f>Calculs!CA1281</f>
        <v>0</v>
      </c>
      <c r="F1209" s="742">
        <f>Calculs!CB1281</f>
        <v>0</v>
      </c>
      <c r="G1209" s="742">
        <f>Calculs!CC1281</f>
        <v>0</v>
      </c>
      <c r="H1209" s="742"/>
      <c r="I1209" s="742">
        <f>Calculs!CE1281</f>
        <v>0</v>
      </c>
      <c r="J1209" s="742">
        <f>Calculs!CF1281</f>
        <v>0</v>
      </c>
      <c r="K1209" s="742"/>
      <c r="L1209" s="742">
        <f>Calculs!CH1281</f>
        <v>0</v>
      </c>
    </row>
    <row r="1210" spans="2:12">
      <c r="B1210" s="742">
        <f>Calculs!B1282</f>
        <v>0</v>
      </c>
      <c r="C1210" s="742">
        <f>Calculs!BY1282</f>
        <v>0</v>
      </c>
      <c r="D1210" s="742">
        <f>Calculs!BZ1282</f>
        <v>0</v>
      </c>
      <c r="E1210" s="742">
        <f>Calculs!CA1282</f>
        <v>0</v>
      </c>
      <c r="F1210" s="742">
        <f>Calculs!CB1282</f>
        <v>0</v>
      </c>
      <c r="G1210" s="742">
        <f>Calculs!CC1282</f>
        <v>0</v>
      </c>
      <c r="H1210" s="742"/>
      <c r="I1210" s="742">
        <f>Calculs!CE1282</f>
        <v>0</v>
      </c>
      <c r="J1210" s="742">
        <f>Calculs!CF1282</f>
        <v>0</v>
      </c>
      <c r="K1210" s="742"/>
      <c r="L1210" s="742">
        <f>Calculs!CH1282</f>
        <v>0</v>
      </c>
    </row>
    <row r="1211" spans="2:12">
      <c r="B1211" s="742">
        <f>Calculs!B1283</f>
        <v>0</v>
      </c>
      <c r="C1211" s="742">
        <f>Calculs!BY1283</f>
        <v>0</v>
      </c>
      <c r="D1211" s="742">
        <f>Calculs!BZ1283</f>
        <v>0</v>
      </c>
      <c r="E1211" s="742">
        <f>Calculs!CA1283</f>
        <v>0</v>
      </c>
      <c r="F1211" s="742">
        <f>Calculs!CB1283</f>
        <v>0</v>
      </c>
      <c r="G1211" s="742">
        <f>Calculs!CC1283</f>
        <v>0</v>
      </c>
      <c r="H1211" s="742"/>
      <c r="I1211" s="742">
        <f>Calculs!CE1283</f>
        <v>0</v>
      </c>
      <c r="J1211" s="742">
        <f>Calculs!CF1283</f>
        <v>0</v>
      </c>
      <c r="K1211" s="742"/>
      <c r="L1211" s="742">
        <f>Calculs!CH1283</f>
        <v>0</v>
      </c>
    </row>
    <row r="1212" spans="2:12">
      <c r="B1212" s="742">
        <f>Calculs!B1284</f>
        <v>0</v>
      </c>
      <c r="C1212" s="742">
        <f>Calculs!BY1284</f>
        <v>0</v>
      </c>
      <c r="D1212" s="742">
        <f>Calculs!BZ1284</f>
        <v>0</v>
      </c>
      <c r="E1212" s="742">
        <f>Calculs!CA1284</f>
        <v>0</v>
      </c>
      <c r="F1212" s="742">
        <f>Calculs!CB1284</f>
        <v>0</v>
      </c>
      <c r="G1212" s="742">
        <f>Calculs!CC1284</f>
        <v>0</v>
      </c>
      <c r="H1212" s="742"/>
      <c r="I1212" s="742">
        <f>Calculs!CE1284</f>
        <v>0</v>
      </c>
      <c r="J1212" s="742">
        <f>Calculs!CF1284</f>
        <v>0</v>
      </c>
      <c r="K1212" s="742"/>
      <c r="L1212" s="742">
        <f>Calculs!CH1284</f>
        <v>0</v>
      </c>
    </row>
    <row r="1213" spans="2:12">
      <c r="B1213" s="742">
        <f>Calculs!B1285</f>
        <v>0</v>
      </c>
      <c r="C1213" s="742">
        <f>Calculs!BY1285</f>
        <v>0</v>
      </c>
      <c r="D1213" s="742">
        <f>Calculs!BZ1285</f>
        <v>0</v>
      </c>
      <c r="E1213" s="742">
        <f>Calculs!CA1285</f>
        <v>0</v>
      </c>
      <c r="F1213" s="742">
        <f>Calculs!CB1285</f>
        <v>0</v>
      </c>
      <c r="G1213" s="742">
        <f>Calculs!CC1285</f>
        <v>0</v>
      </c>
      <c r="H1213" s="742"/>
      <c r="I1213" s="742">
        <f>Calculs!CE1285</f>
        <v>0</v>
      </c>
      <c r="J1213" s="742">
        <f>Calculs!CF1285</f>
        <v>0</v>
      </c>
      <c r="K1213" s="742"/>
      <c r="L1213" s="742">
        <f>Calculs!CH1285</f>
        <v>0</v>
      </c>
    </row>
    <row r="1214" spans="2:12">
      <c r="B1214" s="742">
        <f>Calculs!B1286</f>
        <v>0</v>
      </c>
      <c r="C1214" s="742">
        <f>Calculs!BY1286</f>
        <v>0</v>
      </c>
      <c r="D1214" s="742">
        <f>Calculs!BZ1286</f>
        <v>0</v>
      </c>
      <c r="E1214" s="742">
        <f>Calculs!CA1286</f>
        <v>0</v>
      </c>
      <c r="F1214" s="742">
        <f>Calculs!CB1286</f>
        <v>0</v>
      </c>
      <c r="G1214" s="742">
        <f>Calculs!CC1286</f>
        <v>0</v>
      </c>
      <c r="H1214" s="742"/>
      <c r="I1214" s="742">
        <f>Calculs!CE1286</f>
        <v>0</v>
      </c>
      <c r="J1214" s="742">
        <f>Calculs!CF1286</f>
        <v>0</v>
      </c>
      <c r="K1214" s="742"/>
      <c r="L1214" s="742">
        <f>Calculs!CH1286</f>
        <v>0</v>
      </c>
    </row>
    <row r="1215" spans="2:12">
      <c r="B1215" s="742">
        <f>Calculs!B1287</f>
        <v>0</v>
      </c>
      <c r="C1215" s="742">
        <f>Calculs!BY1287</f>
        <v>0</v>
      </c>
      <c r="D1215" s="742">
        <f>Calculs!BZ1287</f>
        <v>0</v>
      </c>
      <c r="E1215" s="742">
        <f>Calculs!CA1287</f>
        <v>0</v>
      </c>
      <c r="F1215" s="742">
        <f>Calculs!CB1287</f>
        <v>0</v>
      </c>
      <c r="G1215" s="742">
        <f>Calculs!CC1287</f>
        <v>0</v>
      </c>
      <c r="H1215" s="742"/>
      <c r="I1215" s="742">
        <f>Calculs!CE1287</f>
        <v>0</v>
      </c>
      <c r="J1215" s="742">
        <f>Calculs!CF1287</f>
        <v>0</v>
      </c>
      <c r="K1215" s="742"/>
      <c r="L1215" s="742">
        <f>Calculs!CH1287</f>
        <v>0</v>
      </c>
    </row>
    <row r="1216" spans="2:12">
      <c r="B1216" s="742">
        <f>Calculs!B1288</f>
        <v>0</v>
      </c>
      <c r="C1216" s="742">
        <f>Calculs!BY1288</f>
        <v>0</v>
      </c>
      <c r="D1216" s="742">
        <f>Calculs!BZ1288</f>
        <v>0</v>
      </c>
      <c r="E1216" s="742">
        <f>Calculs!CA1288</f>
        <v>0</v>
      </c>
      <c r="F1216" s="742">
        <f>Calculs!CB1288</f>
        <v>0</v>
      </c>
      <c r="G1216" s="742">
        <f>Calculs!CC1288</f>
        <v>0</v>
      </c>
      <c r="H1216" s="742"/>
      <c r="I1216" s="742">
        <f>Calculs!CE1288</f>
        <v>0</v>
      </c>
      <c r="J1216" s="742">
        <f>Calculs!CF1288</f>
        <v>0</v>
      </c>
      <c r="K1216" s="742"/>
      <c r="L1216" s="742">
        <f>Calculs!CH1288</f>
        <v>0</v>
      </c>
    </row>
    <row r="1217" spans="2:12">
      <c r="B1217" s="742">
        <f>Calculs!B1289</f>
        <v>0</v>
      </c>
      <c r="C1217" s="742">
        <f>Calculs!BY1289</f>
        <v>0</v>
      </c>
      <c r="D1217" s="742">
        <f>Calculs!BZ1289</f>
        <v>0</v>
      </c>
      <c r="E1217" s="742">
        <f>Calculs!CA1289</f>
        <v>0</v>
      </c>
      <c r="F1217" s="742">
        <f>Calculs!CB1289</f>
        <v>0</v>
      </c>
      <c r="G1217" s="742">
        <f>Calculs!CC1289</f>
        <v>0</v>
      </c>
      <c r="H1217" s="742"/>
      <c r="I1217" s="742">
        <f>Calculs!CE1289</f>
        <v>0</v>
      </c>
      <c r="J1217" s="742">
        <f>Calculs!CF1289</f>
        <v>0</v>
      </c>
      <c r="K1217" s="742"/>
      <c r="L1217" s="742">
        <f>Calculs!CH1289</f>
        <v>0</v>
      </c>
    </row>
    <row r="1218" spans="2:12">
      <c r="B1218" s="742">
        <f>Calculs!B1290</f>
        <v>0</v>
      </c>
      <c r="C1218" s="742">
        <f>Calculs!BY1290</f>
        <v>0</v>
      </c>
      <c r="D1218" s="742">
        <f>Calculs!BZ1290</f>
        <v>0</v>
      </c>
      <c r="E1218" s="742">
        <f>Calculs!CA1290</f>
        <v>0</v>
      </c>
      <c r="F1218" s="742">
        <f>Calculs!CB1290</f>
        <v>0</v>
      </c>
      <c r="G1218" s="742">
        <f>Calculs!CC1290</f>
        <v>0</v>
      </c>
      <c r="H1218" s="742"/>
      <c r="I1218" s="742">
        <f>Calculs!CE1290</f>
        <v>0</v>
      </c>
      <c r="J1218" s="742">
        <f>Calculs!CF1290</f>
        <v>0</v>
      </c>
      <c r="K1218" s="742"/>
      <c r="L1218" s="742">
        <f>Calculs!CH1290</f>
        <v>0</v>
      </c>
    </row>
    <row r="1219" spans="2:12">
      <c r="B1219" s="742">
        <f>Calculs!B1291</f>
        <v>0</v>
      </c>
      <c r="C1219" s="742">
        <f>Calculs!BY1291</f>
        <v>0</v>
      </c>
      <c r="D1219" s="742">
        <f>Calculs!BZ1291</f>
        <v>0</v>
      </c>
      <c r="E1219" s="742">
        <f>Calculs!CA1291</f>
        <v>0</v>
      </c>
      <c r="F1219" s="742">
        <f>Calculs!CB1291</f>
        <v>0</v>
      </c>
      <c r="G1219" s="742">
        <f>Calculs!CC1291</f>
        <v>0</v>
      </c>
      <c r="H1219" s="742"/>
      <c r="I1219" s="742">
        <f>Calculs!CE1291</f>
        <v>0</v>
      </c>
      <c r="J1219" s="742">
        <f>Calculs!CF1291</f>
        <v>0</v>
      </c>
      <c r="K1219" s="742"/>
      <c r="L1219" s="742">
        <f>Calculs!CH1291</f>
        <v>0</v>
      </c>
    </row>
    <row r="1220" spans="2:12">
      <c r="B1220" s="742">
        <f>Calculs!B1292</f>
        <v>0</v>
      </c>
      <c r="C1220" s="742">
        <f>Calculs!BY1292</f>
        <v>0</v>
      </c>
      <c r="D1220" s="742">
        <f>Calculs!BZ1292</f>
        <v>0</v>
      </c>
      <c r="E1220" s="742">
        <f>Calculs!CA1292</f>
        <v>0</v>
      </c>
      <c r="F1220" s="742">
        <f>Calculs!CB1292</f>
        <v>0</v>
      </c>
      <c r="G1220" s="742">
        <f>Calculs!CC1292</f>
        <v>0</v>
      </c>
      <c r="H1220" s="742"/>
      <c r="I1220" s="742">
        <f>Calculs!CE1292</f>
        <v>0</v>
      </c>
      <c r="J1220" s="742">
        <f>Calculs!CF1292</f>
        <v>0</v>
      </c>
      <c r="K1220" s="742"/>
      <c r="L1220" s="742">
        <f>Calculs!CH1292</f>
        <v>0</v>
      </c>
    </row>
    <row r="1221" spans="2:12">
      <c r="B1221" s="742">
        <f>Calculs!B1293</f>
        <v>0</v>
      </c>
      <c r="C1221" s="742">
        <f>Calculs!BY1293</f>
        <v>0</v>
      </c>
      <c r="D1221" s="742">
        <f>Calculs!BZ1293</f>
        <v>0</v>
      </c>
      <c r="E1221" s="742">
        <f>Calculs!CA1293</f>
        <v>0</v>
      </c>
      <c r="F1221" s="742">
        <f>Calculs!CB1293</f>
        <v>0</v>
      </c>
      <c r="G1221" s="742">
        <f>Calculs!CC1293</f>
        <v>0</v>
      </c>
      <c r="H1221" s="742"/>
      <c r="I1221" s="742">
        <f>Calculs!CE1293</f>
        <v>0</v>
      </c>
      <c r="J1221" s="742">
        <f>Calculs!CF1293</f>
        <v>0</v>
      </c>
      <c r="K1221" s="742"/>
      <c r="L1221" s="742">
        <f>Calculs!CH1293</f>
        <v>0</v>
      </c>
    </row>
    <row r="1222" spans="2:12">
      <c r="B1222" s="742">
        <f>Calculs!B1294</f>
        <v>0</v>
      </c>
      <c r="C1222" s="742">
        <f>Calculs!BY1294</f>
        <v>0</v>
      </c>
      <c r="D1222" s="742">
        <f>Calculs!BZ1294</f>
        <v>0</v>
      </c>
      <c r="E1222" s="742">
        <f>Calculs!CA1294</f>
        <v>0</v>
      </c>
      <c r="F1222" s="742">
        <f>Calculs!CB1294</f>
        <v>0</v>
      </c>
      <c r="G1222" s="742">
        <f>Calculs!CC1294</f>
        <v>0</v>
      </c>
      <c r="H1222" s="742"/>
      <c r="I1222" s="742">
        <f>Calculs!CE1294</f>
        <v>0</v>
      </c>
      <c r="J1222" s="742">
        <f>Calculs!CF1294</f>
        <v>0</v>
      </c>
      <c r="K1222" s="742"/>
      <c r="L1222" s="742">
        <f>Calculs!CH1294</f>
        <v>0</v>
      </c>
    </row>
    <row r="1223" spans="2:12">
      <c r="B1223" s="742">
        <f>Calculs!B1295</f>
        <v>0</v>
      </c>
      <c r="C1223" s="742">
        <f>Calculs!BY1295</f>
        <v>0</v>
      </c>
      <c r="D1223" s="742">
        <f>Calculs!BZ1295</f>
        <v>0</v>
      </c>
      <c r="E1223" s="742">
        <f>Calculs!CA1295</f>
        <v>0</v>
      </c>
      <c r="F1223" s="742">
        <f>Calculs!CB1295</f>
        <v>0</v>
      </c>
      <c r="G1223" s="742">
        <f>Calculs!CC1295</f>
        <v>0</v>
      </c>
      <c r="H1223" s="742"/>
      <c r="I1223" s="742">
        <f>Calculs!CE1295</f>
        <v>0</v>
      </c>
      <c r="J1223" s="742">
        <f>Calculs!CF1295</f>
        <v>0</v>
      </c>
      <c r="K1223" s="742"/>
      <c r="L1223" s="742">
        <f>Calculs!CH1295</f>
        <v>0</v>
      </c>
    </row>
    <row r="1224" spans="2:12">
      <c r="B1224" s="742">
        <f>Calculs!B1296</f>
        <v>0</v>
      </c>
      <c r="C1224" s="742">
        <f>Calculs!BY1296</f>
        <v>0</v>
      </c>
      <c r="D1224" s="742">
        <f>Calculs!BZ1296</f>
        <v>0</v>
      </c>
      <c r="E1224" s="742">
        <f>Calculs!CA1296</f>
        <v>0</v>
      </c>
      <c r="F1224" s="742">
        <f>Calculs!CB1296</f>
        <v>0</v>
      </c>
      <c r="G1224" s="742">
        <f>Calculs!CC1296</f>
        <v>0</v>
      </c>
      <c r="H1224" s="742"/>
      <c r="I1224" s="742">
        <f>Calculs!CE1296</f>
        <v>0</v>
      </c>
      <c r="J1224" s="742">
        <f>Calculs!CF1296</f>
        <v>0</v>
      </c>
      <c r="K1224" s="742"/>
      <c r="L1224" s="742">
        <f>Calculs!CH1296</f>
        <v>0</v>
      </c>
    </row>
    <row r="1225" spans="2:12">
      <c r="B1225" s="742">
        <f>Calculs!B1297</f>
        <v>0</v>
      </c>
      <c r="C1225" s="742">
        <f>Calculs!BY1297</f>
        <v>0</v>
      </c>
      <c r="D1225" s="742">
        <f>Calculs!BZ1297</f>
        <v>0</v>
      </c>
      <c r="E1225" s="742">
        <f>Calculs!CA1297</f>
        <v>0</v>
      </c>
      <c r="F1225" s="742">
        <f>Calculs!CB1297</f>
        <v>0</v>
      </c>
      <c r="G1225" s="742">
        <f>Calculs!CC1297</f>
        <v>0</v>
      </c>
      <c r="H1225" s="742"/>
      <c r="I1225" s="742">
        <f>Calculs!CE1297</f>
        <v>0</v>
      </c>
      <c r="J1225" s="742">
        <f>Calculs!CF1297</f>
        <v>0</v>
      </c>
      <c r="K1225" s="742"/>
      <c r="L1225" s="742">
        <f>Calculs!CH1297</f>
        <v>0</v>
      </c>
    </row>
    <row r="1226" spans="2:12">
      <c r="B1226" s="742">
        <f>Calculs!B1298</f>
        <v>0</v>
      </c>
      <c r="C1226" s="742">
        <f>Calculs!BY1298</f>
        <v>0</v>
      </c>
      <c r="D1226" s="742">
        <f>Calculs!BZ1298</f>
        <v>0</v>
      </c>
      <c r="E1226" s="742">
        <f>Calculs!CA1298</f>
        <v>0</v>
      </c>
      <c r="F1226" s="742">
        <f>Calculs!CB1298</f>
        <v>0</v>
      </c>
      <c r="G1226" s="742">
        <f>Calculs!CC1298</f>
        <v>0</v>
      </c>
      <c r="H1226" s="742"/>
      <c r="I1226" s="742">
        <f>Calculs!CE1298</f>
        <v>0</v>
      </c>
      <c r="J1226" s="742">
        <f>Calculs!CF1298</f>
        <v>0</v>
      </c>
      <c r="K1226" s="742"/>
      <c r="L1226" s="742">
        <f>Calculs!CH1298</f>
        <v>0</v>
      </c>
    </row>
    <row r="1227" spans="2:12">
      <c r="B1227" s="742">
        <f>Calculs!B1299</f>
        <v>0</v>
      </c>
      <c r="C1227" s="742">
        <f>Calculs!BY1299</f>
        <v>0</v>
      </c>
      <c r="D1227" s="742">
        <f>Calculs!BZ1299</f>
        <v>0</v>
      </c>
      <c r="E1227" s="742">
        <f>Calculs!CA1299</f>
        <v>0</v>
      </c>
      <c r="F1227" s="742">
        <f>Calculs!CB1299</f>
        <v>0</v>
      </c>
      <c r="G1227" s="742">
        <f>Calculs!CC1299</f>
        <v>0</v>
      </c>
      <c r="H1227" s="742"/>
      <c r="I1227" s="742">
        <f>Calculs!CE1299</f>
        <v>0</v>
      </c>
      <c r="J1227" s="742">
        <f>Calculs!CF1299</f>
        <v>0</v>
      </c>
      <c r="K1227" s="742"/>
      <c r="L1227" s="742">
        <f>Calculs!CH1299</f>
        <v>0</v>
      </c>
    </row>
    <row r="1228" spans="2:12">
      <c r="B1228" s="742">
        <f>Calculs!B1300</f>
        <v>0</v>
      </c>
      <c r="C1228" s="742">
        <f>Calculs!BY1300</f>
        <v>0</v>
      </c>
      <c r="D1228" s="742">
        <f>Calculs!BZ1300</f>
        <v>0</v>
      </c>
      <c r="E1228" s="742">
        <f>Calculs!CA1300</f>
        <v>0</v>
      </c>
      <c r="F1228" s="742">
        <f>Calculs!CB1300</f>
        <v>0</v>
      </c>
      <c r="G1228" s="742">
        <f>Calculs!CC1300</f>
        <v>0</v>
      </c>
      <c r="H1228" s="742"/>
      <c r="I1228" s="742">
        <f>Calculs!CE1300</f>
        <v>0</v>
      </c>
      <c r="J1228" s="742">
        <f>Calculs!CF1300</f>
        <v>0</v>
      </c>
      <c r="K1228" s="742"/>
      <c r="L1228" s="742">
        <f>Calculs!CH1300</f>
        <v>0</v>
      </c>
    </row>
    <row r="1229" spans="2:12">
      <c r="B1229" s="742">
        <f>Calculs!B1301</f>
        <v>0</v>
      </c>
      <c r="C1229" s="742">
        <f>Calculs!BY1301</f>
        <v>0</v>
      </c>
      <c r="D1229" s="742">
        <f>Calculs!BZ1301</f>
        <v>0</v>
      </c>
      <c r="E1229" s="742">
        <f>Calculs!CA1301</f>
        <v>0</v>
      </c>
      <c r="F1229" s="742">
        <f>Calculs!CB1301</f>
        <v>0</v>
      </c>
      <c r="G1229" s="742">
        <f>Calculs!CC1301</f>
        <v>0</v>
      </c>
      <c r="H1229" s="742"/>
      <c r="I1229" s="742">
        <f>Calculs!CE1301</f>
        <v>0</v>
      </c>
      <c r="J1229" s="742">
        <f>Calculs!CF1301</f>
        <v>0</v>
      </c>
      <c r="K1229" s="742"/>
      <c r="L1229" s="742">
        <f>Calculs!CH1301</f>
        <v>0</v>
      </c>
    </row>
    <row r="1230" spans="2:12">
      <c r="B1230" s="742">
        <f>Calculs!B1302</f>
        <v>0</v>
      </c>
      <c r="C1230" s="742">
        <f>Calculs!BY1302</f>
        <v>0</v>
      </c>
      <c r="D1230" s="742">
        <f>Calculs!BZ1302</f>
        <v>0</v>
      </c>
      <c r="E1230" s="742">
        <f>Calculs!CA1302</f>
        <v>0</v>
      </c>
      <c r="F1230" s="742">
        <f>Calculs!CB1302</f>
        <v>0</v>
      </c>
      <c r="G1230" s="742">
        <f>Calculs!CC1302</f>
        <v>0</v>
      </c>
      <c r="H1230" s="742"/>
      <c r="I1230" s="742">
        <f>Calculs!CE1302</f>
        <v>0</v>
      </c>
      <c r="J1230" s="742">
        <f>Calculs!CF1302</f>
        <v>0</v>
      </c>
      <c r="K1230" s="742"/>
      <c r="L1230" s="742">
        <f>Calculs!CH1302</f>
        <v>0</v>
      </c>
    </row>
    <row r="1231" spans="2:12">
      <c r="B1231" s="742">
        <f>Calculs!B1303</f>
        <v>0</v>
      </c>
      <c r="C1231" s="742">
        <f>Calculs!BY1303</f>
        <v>0</v>
      </c>
      <c r="D1231" s="742">
        <f>Calculs!BZ1303</f>
        <v>0</v>
      </c>
      <c r="E1231" s="742">
        <f>Calculs!CA1303</f>
        <v>0</v>
      </c>
      <c r="F1231" s="742">
        <f>Calculs!CB1303</f>
        <v>0</v>
      </c>
      <c r="G1231" s="742">
        <f>Calculs!CC1303</f>
        <v>0</v>
      </c>
      <c r="H1231" s="742"/>
      <c r="I1231" s="742">
        <f>Calculs!CE1303</f>
        <v>0</v>
      </c>
      <c r="J1231" s="742">
        <f>Calculs!CF1303</f>
        <v>0</v>
      </c>
      <c r="K1231" s="742"/>
      <c r="L1231" s="742">
        <f>Calculs!CH1303</f>
        <v>0</v>
      </c>
    </row>
    <row r="1232" spans="2:12">
      <c r="B1232" s="742">
        <f>Calculs!B1304</f>
        <v>0</v>
      </c>
      <c r="C1232" s="742">
        <f>Calculs!BY1304</f>
        <v>0</v>
      </c>
      <c r="D1232" s="742">
        <f>Calculs!BZ1304</f>
        <v>0</v>
      </c>
      <c r="E1232" s="742">
        <f>Calculs!CA1304</f>
        <v>0</v>
      </c>
      <c r="F1232" s="742">
        <f>Calculs!CB1304</f>
        <v>0</v>
      </c>
      <c r="G1232" s="742">
        <f>Calculs!CC1304</f>
        <v>0</v>
      </c>
      <c r="H1232" s="742"/>
      <c r="I1232" s="742">
        <f>Calculs!CE1304</f>
        <v>0</v>
      </c>
      <c r="J1232" s="742">
        <f>Calculs!CF1304</f>
        <v>0</v>
      </c>
      <c r="K1232" s="742"/>
      <c r="L1232" s="742">
        <f>Calculs!CH1304</f>
        <v>0</v>
      </c>
    </row>
    <row r="1233" spans="2:12">
      <c r="B1233" s="742">
        <f>Calculs!B1305</f>
        <v>0</v>
      </c>
      <c r="C1233" s="742">
        <f>Calculs!BY1305</f>
        <v>0</v>
      </c>
      <c r="D1233" s="742">
        <f>Calculs!BZ1305</f>
        <v>0</v>
      </c>
      <c r="E1233" s="742">
        <f>Calculs!CA1305</f>
        <v>0</v>
      </c>
      <c r="F1233" s="742">
        <f>Calculs!CB1305</f>
        <v>0</v>
      </c>
      <c r="G1233" s="742">
        <f>Calculs!CC1305</f>
        <v>0</v>
      </c>
      <c r="H1233" s="742"/>
      <c r="I1233" s="742">
        <f>Calculs!CE1305</f>
        <v>0</v>
      </c>
      <c r="J1233" s="742">
        <f>Calculs!CF1305</f>
        <v>0</v>
      </c>
      <c r="K1233" s="742"/>
      <c r="L1233" s="742">
        <f>Calculs!CH1305</f>
        <v>0</v>
      </c>
    </row>
    <row r="1234" spans="2:12">
      <c r="B1234" s="742">
        <f>Calculs!B1306</f>
        <v>0</v>
      </c>
      <c r="C1234" s="742">
        <f>Calculs!BY1306</f>
        <v>0</v>
      </c>
      <c r="D1234" s="742">
        <f>Calculs!BZ1306</f>
        <v>0</v>
      </c>
      <c r="E1234" s="742">
        <f>Calculs!CA1306</f>
        <v>0</v>
      </c>
      <c r="F1234" s="742">
        <f>Calculs!CB1306</f>
        <v>0</v>
      </c>
      <c r="G1234" s="742">
        <f>Calculs!CC1306</f>
        <v>0</v>
      </c>
      <c r="H1234" s="742"/>
      <c r="I1234" s="742">
        <f>Calculs!CE1306</f>
        <v>0</v>
      </c>
      <c r="J1234" s="742">
        <f>Calculs!CF1306</f>
        <v>0</v>
      </c>
      <c r="K1234" s="742"/>
      <c r="L1234" s="742">
        <f>Calculs!CH1306</f>
        <v>0</v>
      </c>
    </row>
    <row r="1235" spans="2:12">
      <c r="B1235" s="742">
        <f>Calculs!B1307</f>
        <v>0</v>
      </c>
      <c r="C1235" s="742">
        <f>Calculs!BY1307</f>
        <v>0</v>
      </c>
      <c r="D1235" s="742">
        <f>Calculs!BZ1307</f>
        <v>0</v>
      </c>
      <c r="E1235" s="742">
        <f>Calculs!CA1307</f>
        <v>0</v>
      </c>
      <c r="F1235" s="742">
        <f>Calculs!CB1307</f>
        <v>0</v>
      </c>
      <c r="G1235" s="742">
        <f>Calculs!CC1307</f>
        <v>0</v>
      </c>
      <c r="H1235" s="742"/>
      <c r="I1235" s="742">
        <f>Calculs!CE1307</f>
        <v>0</v>
      </c>
      <c r="J1235" s="742">
        <f>Calculs!CF1307</f>
        <v>0</v>
      </c>
      <c r="K1235" s="742"/>
      <c r="L1235" s="742">
        <f>Calculs!CH1307</f>
        <v>0</v>
      </c>
    </row>
    <row r="1236" spans="2:12">
      <c r="B1236" s="742">
        <f>Calculs!B1308</f>
        <v>0</v>
      </c>
      <c r="C1236" s="742">
        <f>Calculs!BY1308</f>
        <v>0</v>
      </c>
      <c r="D1236" s="742">
        <f>Calculs!BZ1308</f>
        <v>0</v>
      </c>
      <c r="E1236" s="742">
        <f>Calculs!CA1308</f>
        <v>0</v>
      </c>
      <c r="F1236" s="742">
        <f>Calculs!CB1308</f>
        <v>0</v>
      </c>
      <c r="G1236" s="742">
        <f>Calculs!CC1308</f>
        <v>0</v>
      </c>
      <c r="H1236" s="742"/>
      <c r="I1236" s="742">
        <f>Calculs!CE1308</f>
        <v>0</v>
      </c>
      <c r="J1236" s="742">
        <f>Calculs!CF1308</f>
        <v>0</v>
      </c>
      <c r="K1236" s="742"/>
      <c r="L1236" s="742">
        <f>Calculs!CH1308</f>
        <v>0</v>
      </c>
    </row>
    <row r="1237" spans="2:12">
      <c r="B1237" s="742">
        <f>Calculs!B1309</f>
        <v>0</v>
      </c>
      <c r="C1237" s="742">
        <f>Calculs!BY1309</f>
        <v>0</v>
      </c>
      <c r="D1237" s="742">
        <f>Calculs!BZ1309</f>
        <v>0</v>
      </c>
      <c r="E1237" s="742">
        <f>Calculs!CA1309</f>
        <v>0</v>
      </c>
      <c r="F1237" s="742">
        <f>Calculs!CB1309</f>
        <v>0</v>
      </c>
      <c r="G1237" s="742">
        <f>Calculs!CC1309</f>
        <v>0</v>
      </c>
      <c r="H1237" s="742"/>
      <c r="I1237" s="742">
        <f>Calculs!CE1309</f>
        <v>0</v>
      </c>
      <c r="J1237" s="742">
        <f>Calculs!CF1309</f>
        <v>0</v>
      </c>
      <c r="K1237" s="742"/>
      <c r="L1237" s="742">
        <f>Calculs!CH1309</f>
        <v>0</v>
      </c>
    </row>
    <row r="1238" spans="2:12">
      <c r="B1238" s="742">
        <f>Calculs!B1310</f>
        <v>0</v>
      </c>
      <c r="C1238" s="742">
        <f>Calculs!BY1310</f>
        <v>0</v>
      </c>
      <c r="D1238" s="742">
        <f>Calculs!BZ1310</f>
        <v>0</v>
      </c>
      <c r="E1238" s="742">
        <f>Calculs!CA1310</f>
        <v>0</v>
      </c>
      <c r="F1238" s="742">
        <f>Calculs!CB1310</f>
        <v>0</v>
      </c>
      <c r="G1238" s="742">
        <f>Calculs!CC1310</f>
        <v>0</v>
      </c>
      <c r="H1238" s="742"/>
      <c r="I1238" s="742">
        <f>Calculs!CE1310</f>
        <v>0</v>
      </c>
      <c r="J1238" s="742">
        <f>Calculs!CF1310</f>
        <v>0</v>
      </c>
      <c r="K1238" s="742"/>
      <c r="L1238" s="742">
        <f>Calculs!CH1310</f>
        <v>0</v>
      </c>
    </row>
    <row r="1239" spans="2:12">
      <c r="B1239" s="742">
        <f>Calculs!B1311</f>
        <v>0</v>
      </c>
      <c r="C1239" s="742">
        <f>Calculs!BY1311</f>
        <v>0</v>
      </c>
      <c r="D1239" s="742">
        <f>Calculs!BZ1311</f>
        <v>0</v>
      </c>
      <c r="E1239" s="742">
        <f>Calculs!CA1311</f>
        <v>0</v>
      </c>
      <c r="F1239" s="742">
        <f>Calculs!CB1311</f>
        <v>0</v>
      </c>
      <c r="G1239" s="742">
        <f>Calculs!CC1311</f>
        <v>0</v>
      </c>
      <c r="H1239" s="742"/>
      <c r="I1239" s="742">
        <f>Calculs!CE1311</f>
        <v>0</v>
      </c>
      <c r="J1239" s="742">
        <f>Calculs!CF1311</f>
        <v>0</v>
      </c>
      <c r="K1239" s="742"/>
      <c r="L1239" s="742">
        <f>Calculs!CH1311</f>
        <v>0</v>
      </c>
    </row>
    <row r="1240" spans="2:12">
      <c r="B1240" s="742">
        <f>Calculs!B1312</f>
        <v>0</v>
      </c>
      <c r="C1240" s="742">
        <f>Calculs!BY1312</f>
        <v>0</v>
      </c>
      <c r="D1240" s="742">
        <f>Calculs!BZ1312</f>
        <v>0</v>
      </c>
      <c r="E1240" s="742">
        <f>Calculs!CA1312</f>
        <v>0</v>
      </c>
      <c r="F1240" s="742">
        <f>Calculs!CB1312</f>
        <v>0</v>
      </c>
      <c r="G1240" s="742">
        <f>Calculs!CC1312</f>
        <v>0</v>
      </c>
      <c r="H1240" s="742"/>
      <c r="I1240" s="742">
        <f>Calculs!CE1312</f>
        <v>0</v>
      </c>
      <c r="J1240" s="742">
        <f>Calculs!CF1312</f>
        <v>0</v>
      </c>
      <c r="K1240" s="742"/>
      <c r="L1240" s="742">
        <f>Calculs!CH1312</f>
        <v>0</v>
      </c>
    </row>
    <row r="1241" spans="2:12">
      <c r="B1241" s="742">
        <f>Calculs!B1313</f>
        <v>0</v>
      </c>
      <c r="C1241" s="742">
        <f>Calculs!BY1313</f>
        <v>0</v>
      </c>
      <c r="D1241" s="742">
        <f>Calculs!BZ1313</f>
        <v>0</v>
      </c>
      <c r="E1241" s="742">
        <f>Calculs!CA1313</f>
        <v>0</v>
      </c>
      <c r="F1241" s="742">
        <f>Calculs!CB1313</f>
        <v>0</v>
      </c>
      <c r="G1241" s="742">
        <f>Calculs!CC1313</f>
        <v>0</v>
      </c>
      <c r="H1241" s="742"/>
      <c r="I1241" s="742">
        <f>Calculs!CE1313</f>
        <v>0</v>
      </c>
      <c r="J1241" s="742">
        <f>Calculs!CF1313</f>
        <v>0</v>
      </c>
      <c r="K1241" s="742"/>
      <c r="L1241" s="742">
        <f>Calculs!CH1313</f>
        <v>0</v>
      </c>
    </row>
    <row r="1242" spans="2:12">
      <c r="B1242" s="742">
        <f>Calculs!B1314</f>
        <v>0</v>
      </c>
      <c r="C1242" s="742">
        <f>Calculs!BY1314</f>
        <v>0</v>
      </c>
      <c r="D1242" s="742">
        <f>Calculs!BZ1314</f>
        <v>0</v>
      </c>
      <c r="E1242" s="742">
        <f>Calculs!CA1314</f>
        <v>0</v>
      </c>
      <c r="F1242" s="742">
        <f>Calculs!CB1314</f>
        <v>0</v>
      </c>
      <c r="G1242" s="742">
        <f>Calculs!CC1314</f>
        <v>0</v>
      </c>
      <c r="H1242" s="742"/>
      <c r="I1242" s="742">
        <f>Calculs!CE1314</f>
        <v>0</v>
      </c>
      <c r="J1242" s="742">
        <f>Calculs!CF1314</f>
        <v>0</v>
      </c>
      <c r="K1242" s="742"/>
      <c r="L1242" s="742">
        <f>Calculs!CH1314</f>
        <v>0</v>
      </c>
    </row>
    <row r="1243" spans="2:12">
      <c r="B1243" s="742">
        <f>Calculs!B1315</f>
        <v>0</v>
      </c>
      <c r="C1243" s="742">
        <f>Calculs!BY1315</f>
        <v>0</v>
      </c>
      <c r="D1243" s="742">
        <f>Calculs!BZ1315</f>
        <v>0</v>
      </c>
      <c r="E1243" s="742">
        <f>Calculs!CA1315</f>
        <v>0</v>
      </c>
      <c r="F1243" s="742">
        <f>Calculs!CB1315</f>
        <v>0</v>
      </c>
      <c r="G1243" s="742">
        <f>Calculs!CC1315</f>
        <v>0</v>
      </c>
      <c r="H1243" s="742"/>
      <c r="I1243" s="742">
        <f>Calculs!CE1315</f>
        <v>0</v>
      </c>
      <c r="J1243" s="742">
        <f>Calculs!CF1315</f>
        <v>0</v>
      </c>
      <c r="K1243" s="742"/>
      <c r="L1243" s="742">
        <f>Calculs!CH1315</f>
        <v>0</v>
      </c>
    </row>
    <row r="1244" spans="2:12">
      <c r="B1244" s="742">
        <f>Calculs!B1316</f>
        <v>0</v>
      </c>
      <c r="C1244" s="742">
        <f>Calculs!BY1316</f>
        <v>0</v>
      </c>
      <c r="D1244" s="742">
        <f>Calculs!BZ1316</f>
        <v>0</v>
      </c>
      <c r="E1244" s="742">
        <f>Calculs!CA1316</f>
        <v>0</v>
      </c>
      <c r="F1244" s="742">
        <f>Calculs!CB1316</f>
        <v>0</v>
      </c>
      <c r="G1244" s="742">
        <f>Calculs!CC1316</f>
        <v>0</v>
      </c>
      <c r="H1244" s="742"/>
      <c r="I1244" s="742">
        <f>Calculs!CE1316</f>
        <v>0</v>
      </c>
      <c r="J1244" s="742">
        <f>Calculs!CF1316</f>
        <v>0</v>
      </c>
      <c r="K1244" s="742"/>
      <c r="L1244" s="742">
        <f>Calculs!CH1316</f>
        <v>0</v>
      </c>
    </row>
    <row r="1245" spans="2:12">
      <c r="B1245" s="742">
        <f>Calculs!B1317</f>
        <v>0</v>
      </c>
      <c r="C1245" s="742">
        <f>Calculs!BY1317</f>
        <v>0</v>
      </c>
      <c r="D1245" s="742">
        <f>Calculs!BZ1317</f>
        <v>0</v>
      </c>
      <c r="E1245" s="742">
        <f>Calculs!CA1317</f>
        <v>0</v>
      </c>
      <c r="F1245" s="742">
        <f>Calculs!CB1317</f>
        <v>0</v>
      </c>
      <c r="G1245" s="742">
        <f>Calculs!CC1317</f>
        <v>0</v>
      </c>
      <c r="H1245" s="742"/>
      <c r="I1245" s="742">
        <f>Calculs!CE1317</f>
        <v>0</v>
      </c>
      <c r="J1245" s="742">
        <f>Calculs!CF1317</f>
        <v>0</v>
      </c>
      <c r="K1245" s="742"/>
      <c r="L1245" s="742">
        <f>Calculs!CH1317</f>
        <v>0</v>
      </c>
    </row>
    <row r="1246" spans="2:12">
      <c r="B1246" s="742">
        <f>Calculs!B1318</f>
        <v>0</v>
      </c>
      <c r="C1246" s="742">
        <f>Calculs!BY1318</f>
        <v>0</v>
      </c>
      <c r="D1246" s="742">
        <f>Calculs!BZ1318</f>
        <v>0</v>
      </c>
      <c r="E1246" s="742">
        <f>Calculs!CA1318</f>
        <v>0</v>
      </c>
      <c r="F1246" s="742">
        <f>Calculs!CB1318</f>
        <v>0</v>
      </c>
      <c r="G1246" s="742">
        <f>Calculs!CC1318</f>
        <v>0</v>
      </c>
      <c r="H1246" s="742"/>
      <c r="I1246" s="742">
        <f>Calculs!CE1318</f>
        <v>0</v>
      </c>
      <c r="J1246" s="742">
        <f>Calculs!CF1318</f>
        <v>0</v>
      </c>
      <c r="K1246" s="742"/>
      <c r="L1246" s="742">
        <f>Calculs!CH1318</f>
        <v>0</v>
      </c>
    </row>
    <row r="1247" spans="2:12">
      <c r="B1247" s="742">
        <f>Calculs!B1319</f>
        <v>0</v>
      </c>
      <c r="C1247" s="742">
        <f>Calculs!BY1319</f>
        <v>0</v>
      </c>
      <c r="D1247" s="742">
        <f>Calculs!BZ1319</f>
        <v>0</v>
      </c>
      <c r="E1247" s="742">
        <f>Calculs!CA1319</f>
        <v>0</v>
      </c>
      <c r="F1247" s="742">
        <f>Calculs!CB1319</f>
        <v>0</v>
      </c>
      <c r="G1247" s="742">
        <f>Calculs!CC1319</f>
        <v>0</v>
      </c>
      <c r="H1247" s="742"/>
      <c r="I1247" s="742">
        <f>Calculs!CE1319</f>
        <v>0</v>
      </c>
      <c r="J1247" s="742">
        <f>Calculs!CF1319</f>
        <v>0</v>
      </c>
      <c r="K1247" s="742"/>
      <c r="L1247" s="742">
        <f>Calculs!CH1319</f>
        <v>0</v>
      </c>
    </row>
    <row r="1248" spans="2:12">
      <c r="B1248" s="742">
        <f>Calculs!B1320</f>
        <v>0</v>
      </c>
      <c r="C1248" s="742">
        <f>Calculs!BY1320</f>
        <v>0</v>
      </c>
      <c r="D1248" s="742">
        <f>Calculs!BZ1320</f>
        <v>0</v>
      </c>
      <c r="E1248" s="742">
        <f>Calculs!CA1320</f>
        <v>0</v>
      </c>
      <c r="F1248" s="742">
        <f>Calculs!CB1320</f>
        <v>0</v>
      </c>
      <c r="G1248" s="742">
        <f>Calculs!CC1320</f>
        <v>0</v>
      </c>
      <c r="H1248" s="742"/>
      <c r="I1248" s="742">
        <f>Calculs!CE1320</f>
        <v>0</v>
      </c>
      <c r="J1248" s="742">
        <f>Calculs!CF1320</f>
        <v>0</v>
      </c>
      <c r="K1248" s="742"/>
      <c r="L1248" s="742">
        <f>Calculs!CH1320</f>
        <v>0</v>
      </c>
    </row>
    <row r="1249" spans="2:12">
      <c r="B1249" s="742">
        <f>Calculs!B1321</f>
        <v>0</v>
      </c>
      <c r="C1249" s="742">
        <f>Calculs!BY1321</f>
        <v>0</v>
      </c>
      <c r="D1249" s="742">
        <f>Calculs!BZ1321</f>
        <v>0</v>
      </c>
      <c r="E1249" s="742">
        <f>Calculs!CA1321</f>
        <v>0</v>
      </c>
      <c r="F1249" s="742">
        <f>Calculs!CB1321</f>
        <v>0</v>
      </c>
      <c r="G1249" s="742">
        <f>Calculs!CC1321</f>
        <v>0</v>
      </c>
      <c r="H1249" s="742"/>
      <c r="I1249" s="742">
        <f>Calculs!CE1321</f>
        <v>0</v>
      </c>
      <c r="J1249" s="742">
        <f>Calculs!CF1321</f>
        <v>0</v>
      </c>
      <c r="K1249" s="742"/>
      <c r="L1249" s="742">
        <f>Calculs!CH1321</f>
        <v>0</v>
      </c>
    </row>
    <row r="1250" spans="2:12">
      <c r="B1250" s="742">
        <f>Calculs!B1322</f>
        <v>0</v>
      </c>
      <c r="C1250" s="742">
        <f>Calculs!BY1322</f>
        <v>0</v>
      </c>
      <c r="D1250" s="742">
        <f>Calculs!BZ1322</f>
        <v>0</v>
      </c>
      <c r="E1250" s="742">
        <f>Calculs!CA1322</f>
        <v>0</v>
      </c>
      <c r="F1250" s="742">
        <f>Calculs!CB1322</f>
        <v>0</v>
      </c>
      <c r="G1250" s="742">
        <f>Calculs!CC1322</f>
        <v>0</v>
      </c>
      <c r="H1250" s="742"/>
      <c r="I1250" s="742">
        <f>Calculs!CE1322</f>
        <v>0</v>
      </c>
      <c r="J1250" s="742">
        <f>Calculs!CF1322</f>
        <v>0</v>
      </c>
      <c r="K1250" s="742"/>
      <c r="L1250" s="742">
        <f>Calculs!CH1322</f>
        <v>0</v>
      </c>
    </row>
    <row r="1251" spans="2:12">
      <c r="B1251" s="742">
        <f>Calculs!B1323</f>
        <v>0</v>
      </c>
      <c r="C1251" s="742">
        <f>Calculs!BY1323</f>
        <v>0</v>
      </c>
      <c r="D1251" s="742">
        <f>Calculs!BZ1323</f>
        <v>0</v>
      </c>
      <c r="E1251" s="742">
        <f>Calculs!CA1323</f>
        <v>0</v>
      </c>
      <c r="F1251" s="742">
        <f>Calculs!CB1323</f>
        <v>0</v>
      </c>
      <c r="G1251" s="742">
        <f>Calculs!CC1323</f>
        <v>0</v>
      </c>
      <c r="H1251" s="742"/>
      <c r="I1251" s="742">
        <f>Calculs!CE1323</f>
        <v>0</v>
      </c>
      <c r="J1251" s="742">
        <f>Calculs!CF1323</f>
        <v>0</v>
      </c>
      <c r="K1251" s="742"/>
      <c r="L1251" s="742">
        <f>Calculs!CH1323</f>
        <v>0</v>
      </c>
    </row>
    <row r="1252" spans="2:12">
      <c r="B1252" s="742">
        <f>Calculs!B1324</f>
        <v>0</v>
      </c>
      <c r="C1252" s="742">
        <f>Calculs!BY1324</f>
        <v>0</v>
      </c>
      <c r="D1252" s="742">
        <f>Calculs!BZ1324</f>
        <v>0</v>
      </c>
      <c r="E1252" s="742">
        <f>Calculs!CA1324</f>
        <v>0</v>
      </c>
      <c r="F1252" s="742">
        <f>Calculs!CB1324</f>
        <v>0</v>
      </c>
      <c r="G1252" s="742">
        <f>Calculs!CC1324</f>
        <v>0</v>
      </c>
      <c r="H1252" s="742"/>
      <c r="I1252" s="742">
        <f>Calculs!CE1324</f>
        <v>0</v>
      </c>
      <c r="J1252" s="742">
        <f>Calculs!CF1324</f>
        <v>0</v>
      </c>
      <c r="K1252" s="742"/>
      <c r="L1252" s="742">
        <f>Calculs!CH1324</f>
        <v>0</v>
      </c>
    </row>
    <row r="1253" spans="2:12">
      <c r="B1253" s="742">
        <f>Calculs!B1325</f>
        <v>0</v>
      </c>
      <c r="C1253" s="742">
        <f>Calculs!BY1325</f>
        <v>0</v>
      </c>
      <c r="D1253" s="742">
        <f>Calculs!BZ1325</f>
        <v>0</v>
      </c>
      <c r="E1253" s="742">
        <f>Calculs!CA1325</f>
        <v>0</v>
      </c>
      <c r="F1253" s="742">
        <f>Calculs!CB1325</f>
        <v>0</v>
      </c>
      <c r="G1253" s="742">
        <f>Calculs!CC1325</f>
        <v>0</v>
      </c>
      <c r="H1253" s="742"/>
      <c r="I1253" s="742">
        <f>Calculs!CE1325</f>
        <v>0</v>
      </c>
      <c r="J1253" s="742">
        <f>Calculs!CF1325</f>
        <v>0</v>
      </c>
      <c r="K1253" s="742"/>
      <c r="L1253" s="742">
        <f>Calculs!CH1325</f>
        <v>0</v>
      </c>
    </row>
    <row r="1254" spans="2:12">
      <c r="B1254" s="742">
        <f>Calculs!B1326</f>
        <v>0</v>
      </c>
      <c r="C1254" s="742">
        <f>Calculs!BY1326</f>
        <v>0</v>
      </c>
      <c r="D1254" s="742">
        <f>Calculs!BZ1326</f>
        <v>0</v>
      </c>
      <c r="E1254" s="742">
        <f>Calculs!CA1326</f>
        <v>0</v>
      </c>
      <c r="F1254" s="742">
        <f>Calculs!CB1326</f>
        <v>0</v>
      </c>
      <c r="G1254" s="742">
        <f>Calculs!CC1326</f>
        <v>0</v>
      </c>
      <c r="H1254" s="742"/>
      <c r="I1254" s="742">
        <f>Calculs!CE1326</f>
        <v>0</v>
      </c>
      <c r="J1254" s="742">
        <f>Calculs!CF1326</f>
        <v>0</v>
      </c>
      <c r="K1254" s="742"/>
      <c r="L1254" s="742">
        <f>Calculs!CH1326</f>
        <v>0</v>
      </c>
    </row>
    <row r="1255" spans="2:12">
      <c r="B1255" s="742">
        <f>Calculs!B1327</f>
        <v>0</v>
      </c>
      <c r="C1255" s="742">
        <f>Calculs!BY1327</f>
        <v>0</v>
      </c>
      <c r="D1255" s="742">
        <f>Calculs!BZ1327</f>
        <v>0</v>
      </c>
      <c r="E1255" s="742">
        <f>Calculs!CA1327</f>
        <v>0</v>
      </c>
      <c r="F1255" s="742">
        <f>Calculs!CB1327</f>
        <v>0</v>
      </c>
      <c r="G1255" s="742">
        <f>Calculs!CC1327</f>
        <v>0</v>
      </c>
      <c r="H1255" s="742"/>
      <c r="I1255" s="742">
        <f>Calculs!CE1327</f>
        <v>0</v>
      </c>
      <c r="J1255" s="742">
        <f>Calculs!CF1327</f>
        <v>0</v>
      </c>
      <c r="K1255" s="742"/>
      <c r="L1255" s="742">
        <f>Calculs!CH1327</f>
        <v>0</v>
      </c>
    </row>
    <row r="1256" spans="2:12">
      <c r="B1256" s="742">
        <f>Calculs!B1328</f>
        <v>0</v>
      </c>
      <c r="C1256" s="742">
        <f>Calculs!BY1328</f>
        <v>0</v>
      </c>
      <c r="D1256" s="742">
        <f>Calculs!BZ1328</f>
        <v>0</v>
      </c>
      <c r="E1256" s="742">
        <f>Calculs!CA1328</f>
        <v>0</v>
      </c>
      <c r="F1256" s="742">
        <f>Calculs!CB1328</f>
        <v>0</v>
      </c>
      <c r="G1256" s="742">
        <f>Calculs!CC1328</f>
        <v>0</v>
      </c>
      <c r="H1256" s="742"/>
      <c r="I1256" s="742">
        <f>Calculs!CE1328</f>
        <v>0</v>
      </c>
      <c r="J1256" s="742">
        <f>Calculs!CF1328</f>
        <v>0</v>
      </c>
      <c r="K1256" s="742"/>
      <c r="L1256" s="742">
        <f>Calculs!CH1328</f>
        <v>0</v>
      </c>
    </row>
    <row r="1257" spans="2:12">
      <c r="B1257" s="742">
        <f>Calculs!B1329</f>
        <v>0</v>
      </c>
      <c r="C1257" s="742">
        <f>Calculs!BY1329</f>
        <v>0</v>
      </c>
      <c r="D1257" s="742">
        <f>Calculs!BZ1329</f>
        <v>0</v>
      </c>
      <c r="E1257" s="742">
        <f>Calculs!CA1329</f>
        <v>0</v>
      </c>
      <c r="F1257" s="742">
        <f>Calculs!CB1329</f>
        <v>0</v>
      </c>
      <c r="G1257" s="742">
        <f>Calculs!CC1329</f>
        <v>0</v>
      </c>
      <c r="H1257" s="742"/>
      <c r="I1257" s="742">
        <f>Calculs!CE1329</f>
        <v>0</v>
      </c>
      <c r="J1257" s="742">
        <f>Calculs!CF1329</f>
        <v>0</v>
      </c>
      <c r="K1257" s="742"/>
      <c r="L1257" s="742">
        <f>Calculs!CH1329</f>
        <v>0</v>
      </c>
    </row>
    <row r="1258" spans="2:12">
      <c r="B1258" s="742">
        <f>Calculs!B1330</f>
        <v>0</v>
      </c>
      <c r="C1258" s="742">
        <f>Calculs!BY1330</f>
        <v>0</v>
      </c>
      <c r="D1258" s="742">
        <f>Calculs!BZ1330</f>
        <v>0</v>
      </c>
      <c r="E1258" s="742">
        <f>Calculs!CA1330</f>
        <v>0</v>
      </c>
      <c r="F1258" s="742">
        <f>Calculs!CB1330</f>
        <v>0</v>
      </c>
      <c r="G1258" s="742">
        <f>Calculs!CC1330</f>
        <v>0</v>
      </c>
      <c r="H1258" s="742"/>
      <c r="I1258" s="742">
        <f>Calculs!CE1330</f>
        <v>0</v>
      </c>
      <c r="J1258" s="742">
        <f>Calculs!CF1330</f>
        <v>0</v>
      </c>
      <c r="K1258" s="742"/>
      <c r="L1258" s="742">
        <f>Calculs!CH1330</f>
        <v>0</v>
      </c>
    </row>
    <row r="1259" spans="2:12">
      <c r="B1259" s="742">
        <f>Calculs!B1331</f>
        <v>0</v>
      </c>
      <c r="C1259" s="742">
        <f>Calculs!BY1331</f>
        <v>0</v>
      </c>
      <c r="D1259" s="742">
        <f>Calculs!BZ1331</f>
        <v>0</v>
      </c>
      <c r="E1259" s="742">
        <f>Calculs!CA1331</f>
        <v>0</v>
      </c>
      <c r="F1259" s="742">
        <f>Calculs!CB1331</f>
        <v>0</v>
      </c>
      <c r="G1259" s="742">
        <f>Calculs!CC1331</f>
        <v>0</v>
      </c>
      <c r="H1259" s="742"/>
      <c r="I1259" s="742">
        <f>Calculs!CE1331</f>
        <v>0</v>
      </c>
      <c r="J1259" s="742">
        <f>Calculs!CF1331</f>
        <v>0</v>
      </c>
      <c r="K1259" s="742"/>
      <c r="L1259" s="742">
        <f>Calculs!CH1331</f>
        <v>0</v>
      </c>
    </row>
    <row r="1260" spans="2:12">
      <c r="B1260" s="742">
        <f>Calculs!B1332</f>
        <v>0</v>
      </c>
      <c r="C1260" s="742">
        <f>Calculs!BY1332</f>
        <v>0</v>
      </c>
      <c r="D1260" s="742">
        <f>Calculs!BZ1332</f>
        <v>0</v>
      </c>
      <c r="E1260" s="742">
        <f>Calculs!CA1332</f>
        <v>0</v>
      </c>
      <c r="F1260" s="742">
        <f>Calculs!CB1332</f>
        <v>0</v>
      </c>
      <c r="G1260" s="742">
        <f>Calculs!CC1332</f>
        <v>0</v>
      </c>
      <c r="H1260" s="742"/>
      <c r="I1260" s="742">
        <f>Calculs!CE1332</f>
        <v>0</v>
      </c>
      <c r="J1260" s="742">
        <f>Calculs!CF1332</f>
        <v>0</v>
      </c>
      <c r="K1260" s="742"/>
      <c r="L1260" s="742">
        <f>Calculs!CH1332</f>
        <v>0</v>
      </c>
    </row>
    <row r="1261" spans="2:12">
      <c r="B1261" s="742">
        <f>Calculs!B1333</f>
        <v>0</v>
      </c>
      <c r="C1261" s="742">
        <f>Calculs!BY1333</f>
        <v>0</v>
      </c>
      <c r="D1261" s="742">
        <f>Calculs!BZ1333</f>
        <v>0</v>
      </c>
      <c r="E1261" s="742">
        <f>Calculs!CA1333</f>
        <v>0</v>
      </c>
      <c r="F1261" s="742">
        <f>Calculs!CB1333</f>
        <v>0</v>
      </c>
      <c r="G1261" s="742">
        <f>Calculs!CC1333</f>
        <v>0</v>
      </c>
      <c r="H1261" s="742"/>
      <c r="I1261" s="742">
        <f>Calculs!CE1333</f>
        <v>0</v>
      </c>
      <c r="J1261" s="742">
        <f>Calculs!CF1333</f>
        <v>0</v>
      </c>
      <c r="K1261" s="742"/>
      <c r="L1261" s="742">
        <f>Calculs!CH1333</f>
        <v>0</v>
      </c>
    </row>
    <row r="1262" spans="2:12">
      <c r="B1262" s="742">
        <f>Calculs!B1334</f>
        <v>0</v>
      </c>
      <c r="C1262" s="742">
        <f>Calculs!BY1334</f>
        <v>0</v>
      </c>
      <c r="D1262" s="742">
        <f>Calculs!BZ1334</f>
        <v>0</v>
      </c>
      <c r="E1262" s="742">
        <f>Calculs!CA1334</f>
        <v>0</v>
      </c>
      <c r="F1262" s="742">
        <f>Calculs!CB1334</f>
        <v>0</v>
      </c>
      <c r="G1262" s="742">
        <f>Calculs!CC1334</f>
        <v>0</v>
      </c>
      <c r="H1262" s="742"/>
      <c r="I1262" s="742">
        <f>Calculs!CE1334</f>
        <v>0</v>
      </c>
      <c r="J1262" s="742">
        <f>Calculs!CF1334</f>
        <v>0</v>
      </c>
      <c r="K1262" s="742"/>
      <c r="L1262" s="742">
        <f>Calculs!CH1334</f>
        <v>0</v>
      </c>
    </row>
    <row r="1263" spans="2:12">
      <c r="B1263" s="742">
        <f>Calculs!B1335</f>
        <v>0</v>
      </c>
      <c r="C1263" s="742">
        <f>Calculs!BY1335</f>
        <v>0</v>
      </c>
      <c r="D1263" s="742">
        <f>Calculs!BZ1335</f>
        <v>0</v>
      </c>
      <c r="E1263" s="742">
        <f>Calculs!CA1335</f>
        <v>0</v>
      </c>
      <c r="F1263" s="742">
        <f>Calculs!CB1335</f>
        <v>0</v>
      </c>
      <c r="G1263" s="742">
        <f>Calculs!CC1335</f>
        <v>0</v>
      </c>
      <c r="H1263" s="742"/>
      <c r="I1263" s="742">
        <f>Calculs!CE1335</f>
        <v>0</v>
      </c>
      <c r="J1263" s="742">
        <f>Calculs!CF1335</f>
        <v>0</v>
      </c>
      <c r="K1263" s="742"/>
      <c r="L1263" s="742">
        <f>Calculs!CH1335</f>
        <v>0</v>
      </c>
    </row>
    <row r="1264" spans="2:12">
      <c r="B1264" s="742">
        <f>Calculs!B1336</f>
        <v>0</v>
      </c>
      <c r="C1264" s="742">
        <f>Calculs!BY1336</f>
        <v>0</v>
      </c>
      <c r="D1264" s="742">
        <f>Calculs!BZ1336</f>
        <v>0</v>
      </c>
      <c r="E1264" s="742">
        <f>Calculs!CA1336</f>
        <v>0</v>
      </c>
      <c r="F1264" s="742">
        <f>Calculs!CB1336</f>
        <v>0</v>
      </c>
      <c r="G1264" s="742">
        <f>Calculs!CC1336</f>
        <v>0</v>
      </c>
      <c r="H1264" s="742"/>
      <c r="I1264" s="742">
        <f>Calculs!CE1336</f>
        <v>0</v>
      </c>
      <c r="J1264" s="742">
        <f>Calculs!CF1336</f>
        <v>0</v>
      </c>
      <c r="K1264" s="742"/>
      <c r="L1264" s="742">
        <f>Calculs!CH1336</f>
        <v>0</v>
      </c>
    </row>
    <row r="1265" spans="2:12">
      <c r="B1265" s="742">
        <f>Calculs!B1337</f>
        <v>0</v>
      </c>
      <c r="C1265" s="742">
        <f>Calculs!BY1337</f>
        <v>0</v>
      </c>
      <c r="D1265" s="742">
        <f>Calculs!BZ1337</f>
        <v>0</v>
      </c>
      <c r="E1265" s="742">
        <f>Calculs!CA1337</f>
        <v>0</v>
      </c>
      <c r="F1265" s="742">
        <f>Calculs!CB1337</f>
        <v>0</v>
      </c>
      <c r="G1265" s="742">
        <f>Calculs!CC1337</f>
        <v>0</v>
      </c>
      <c r="H1265" s="742"/>
      <c r="I1265" s="742">
        <f>Calculs!CE1337</f>
        <v>0</v>
      </c>
      <c r="J1265" s="742">
        <f>Calculs!CF1337</f>
        <v>0</v>
      </c>
      <c r="K1265" s="742"/>
      <c r="L1265" s="742">
        <f>Calculs!CH1337</f>
        <v>0</v>
      </c>
    </row>
    <row r="1266" spans="2:12">
      <c r="B1266" s="742">
        <f>Calculs!B1338</f>
        <v>0</v>
      </c>
      <c r="C1266" s="742">
        <f>Calculs!BY1338</f>
        <v>0</v>
      </c>
      <c r="D1266" s="742">
        <f>Calculs!BZ1338</f>
        <v>0</v>
      </c>
      <c r="E1266" s="742">
        <f>Calculs!CA1338</f>
        <v>0</v>
      </c>
      <c r="F1266" s="742">
        <f>Calculs!CB1338</f>
        <v>0</v>
      </c>
      <c r="G1266" s="742">
        <f>Calculs!CC1338</f>
        <v>0</v>
      </c>
      <c r="H1266" s="742"/>
      <c r="I1266" s="742">
        <f>Calculs!CE1338</f>
        <v>0</v>
      </c>
      <c r="J1266" s="742">
        <f>Calculs!CF1338</f>
        <v>0</v>
      </c>
      <c r="K1266" s="742"/>
      <c r="L1266" s="742">
        <f>Calculs!CH1338</f>
        <v>0</v>
      </c>
    </row>
    <row r="1267" spans="2:12">
      <c r="B1267" s="742">
        <f>Calculs!B1339</f>
        <v>0</v>
      </c>
      <c r="C1267" s="742">
        <f>Calculs!BY1339</f>
        <v>0</v>
      </c>
      <c r="D1267" s="742">
        <f>Calculs!BZ1339</f>
        <v>0</v>
      </c>
      <c r="E1267" s="742">
        <f>Calculs!CA1339</f>
        <v>0</v>
      </c>
      <c r="F1267" s="742">
        <f>Calculs!CB1339</f>
        <v>0</v>
      </c>
      <c r="G1267" s="742">
        <f>Calculs!CC1339</f>
        <v>0</v>
      </c>
      <c r="H1267" s="742"/>
      <c r="I1267" s="742">
        <f>Calculs!CE1339</f>
        <v>0</v>
      </c>
      <c r="J1267" s="742">
        <f>Calculs!CF1339</f>
        <v>0</v>
      </c>
      <c r="K1267" s="742"/>
      <c r="L1267" s="742">
        <f>Calculs!CH1339</f>
        <v>0</v>
      </c>
    </row>
    <row r="1268" spans="2:12">
      <c r="B1268" s="742">
        <f>Calculs!B1340</f>
        <v>0</v>
      </c>
      <c r="C1268" s="742">
        <f>Calculs!BY1340</f>
        <v>0</v>
      </c>
      <c r="D1268" s="742">
        <f>Calculs!BZ1340</f>
        <v>0</v>
      </c>
      <c r="E1268" s="742">
        <f>Calculs!CA1340</f>
        <v>0</v>
      </c>
      <c r="F1268" s="742">
        <f>Calculs!CB1340</f>
        <v>0</v>
      </c>
      <c r="G1268" s="742">
        <f>Calculs!CC1340</f>
        <v>0</v>
      </c>
      <c r="H1268" s="742"/>
      <c r="I1268" s="742">
        <f>Calculs!CE1340</f>
        <v>0</v>
      </c>
      <c r="J1268" s="742">
        <f>Calculs!CF1340</f>
        <v>0</v>
      </c>
      <c r="K1268" s="742"/>
      <c r="L1268" s="742">
        <f>Calculs!CH1340</f>
        <v>0</v>
      </c>
    </row>
    <row r="1269" spans="2:12">
      <c r="B1269" s="742">
        <f>Calculs!B1341</f>
        <v>0</v>
      </c>
      <c r="C1269" s="742">
        <f>Calculs!BY1341</f>
        <v>0</v>
      </c>
      <c r="D1269" s="742">
        <f>Calculs!BZ1341</f>
        <v>0</v>
      </c>
      <c r="E1269" s="742">
        <f>Calculs!CA1341</f>
        <v>0</v>
      </c>
      <c r="F1269" s="742">
        <f>Calculs!CB1341</f>
        <v>0</v>
      </c>
      <c r="G1269" s="742">
        <f>Calculs!CC1341</f>
        <v>0</v>
      </c>
      <c r="H1269" s="742"/>
      <c r="I1269" s="742">
        <f>Calculs!CE1341</f>
        <v>0</v>
      </c>
      <c r="J1269" s="742">
        <f>Calculs!CF1341</f>
        <v>0</v>
      </c>
      <c r="K1269" s="742"/>
      <c r="L1269" s="742">
        <f>Calculs!CH1341</f>
        <v>0</v>
      </c>
    </row>
    <row r="1270" spans="2:12">
      <c r="B1270" s="742">
        <f>Calculs!B1342</f>
        <v>0</v>
      </c>
      <c r="C1270" s="742">
        <f>Calculs!BY1342</f>
        <v>0</v>
      </c>
      <c r="D1270" s="742">
        <f>Calculs!BZ1342</f>
        <v>0</v>
      </c>
      <c r="E1270" s="742">
        <f>Calculs!CA1342</f>
        <v>0</v>
      </c>
      <c r="F1270" s="742">
        <f>Calculs!CB1342</f>
        <v>0</v>
      </c>
      <c r="G1270" s="742">
        <f>Calculs!CC1342</f>
        <v>0</v>
      </c>
      <c r="H1270" s="742"/>
      <c r="I1270" s="742">
        <f>Calculs!CE1342</f>
        <v>0</v>
      </c>
      <c r="J1270" s="742">
        <f>Calculs!CF1342</f>
        <v>0</v>
      </c>
      <c r="K1270" s="742"/>
      <c r="L1270" s="742">
        <f>Calculs!CH1342</f>
        <v>0</v>
      </c>
    </row>
    <row r="1271" spans="2:12">
      <c r="B1271" s="742">
        <f>Calculs!B1343</f>
        <v>0</v>
      </c>
      <c r="C1271" s="742">
        <f>Calculs!BY1343</f>
        <v>0</v>
      </c>
      <c r="D1271" s="742">
        <f>Calculs!BZ1343</f>
        <v>0</v>
      </c>
      <c r="E1271" s="742">
        <f>Calculs!CA1343</f>
        <v>0</v>
      </c>
      <c r="F1271" s="742">
        <f>Calculs!CB1343</f>
        <v>0</v>
      </c>
      <c r="G1271" s="742">
        <f>Calculs!CC1343</f>
        <v>0</v>
      </c>
      <c r="H1271" s="742"/>
      <c r="I1271" s="742">
        <f>Calculs!CE1343</f>
        <v>0</v>
      </c>
      <c r="J1271" s="742">
        <f>Calculs!CF1343</f>
        <v>0</v>
      </c>
      <c r="K1271" s="742"/>
      <c r="L1271" s="742">
        <f>Calculs!CH1343</f>
        <v>0</v>
      </c>
    </row>
    <row r="1272" spans="2:12">
      <c r="B1272" s="742">
        <f>Calculs!B1344</f>
        <v>0</v>
      </c>
      <c r="C1272" s="742">
        <f>Calculs!BY1344</f>
        <v>0</v>
      </c>
      <c r="D1272" s="742">
        <f>Calculs!BZ1344</f>
        <v>0</v>
      </c>
      <c r="E1272" s="742">
        <f>Calculs!CA1344</f>
        <v>0</v>
      </c>
      <c r="F1272" s="742">
        <f>Calculs!CB1344</f>
        <v>0</v>
      </c>
      <c r="G1272" s="742">
        <f>Calculs!CC1344</f>
        <v>0</v>
      </c>
      <c r="H1272" s="742"/>
      <c r="I1272" s="742">
        <f>Calculs!CE1344</f>
        <v>0</v>
      </c>
      <c r="J1272" s="742">
        <f>Calculs!CF1344</f>
        <v>0</v>
      </c>
      <c r="K1272" s="742"/>
      <c r="L1272" s="742">
        <f>Calculs!CH1344</f>
        <v>0</v>
      </c>
    </row>
    <row r="1273" spans="2:12">
      <c r="B1273" s="742">
        <f>Calculs!B1345</f>
        <v>0</v>
      </c>
      <c r="C1273" s="742">
        <f>Calculs!BY1345</f>
        <v>0</v>
      </c>
      <c r="D1273" s="742">
        <f>Calculs!BZ1345</f>
        <v>0</v>
      </c>
      <c r="E1273" s="742">
        <f>Calculs!CA1345</f>
        <v>0</v>
      </c>
      <c r="F1273" s="742">
        <f>Calculs!CB1345</f>
        <v>0</v>
      </c>
      <c r="G1273" s="742">
        <f>Calculs!CC1345</f>
        <v>0</v>
      </c>
      <c r="H1273" s="742"/>
      <c r="I1273" s="742">
        <f>Calculs!CE1345</f>
        <v>0</v>
      </c>
      <c r="J1273" s="742">
        <f>Calculs!CF1345</f>
        <v>0</v>
      </c>
      <c r="K1273" s="742"/>
      <c r="L1273" s="742">
        <f>Calculs!CH1345</f>
        <v>0</v>
      </c>
    </row>
    <row r="1274" spans="2:12">
      <c r="B1274" s="742">
        <f>Calculs!B1346</f>
        <v>0</v>
      </c>
      <c r="C1274" s="742">
        <f>Calculs!BY1346</f>
        <v>0</v>
      </c>
      <c r="D1274" s="742">
        <f>Calculs!BZ1346</f>
        <v>0</v>
      </c>
      <c r="E1274" s="742">
        <f>Calculs!CA1346</f>
        <v>0</v>
      </c>
      <c r="F1274" s="742">
        <f>Calculs!CB1346</f>
        <v>0</v>
      </c>
      <c r="G1274" s="742">
        <f>Calculs!CC1346</f>
        <v>0</v>
      </c>
      <c r="H1274" s="742"/>
      <c r="I1274" s="742">
        <f>Calculs!CE1346</f>
        <v>0</v>
      </c>
      <c r="J1274" s="742">
        <f>Calculs!CF1346</f>
        <v>0</v>
      </c>
      <c r="K1274" s="742"/>
      <c r="L1274" s="742">
        <f>Calculs!CH1346</f>
        <v>0</v>
      </c>
    </row>
    <row r="1275" spans="2:12">
      <c r="B1275" s="742">
        <f>Calculs!B1347</f>
        <v>0</v>
      </c>
      <c r="C1275" s="742">
        <f>Calculs!BY1347</f>
        <v>0</v>
      </c>
      <c r="D1275" s="742">
        <f>Calculs!BZ1347</f>
        <v>0</v>
      </c>
      <c r="E1275" s="742">
        <f>Calculs!CA1347</f>
        <v>0</v>
      </c>
      <c r="F1275" s="742">
        <f>Calculs!CB1347</f>
        <v>0</v>
      </c>
      <c r="G1275" s="742">
        <f>Calculs!CC1347</f>
        <v>0</v>
      </c>
      <c r="H1275" s="742"/>
      <c r="I1275" s="742">
        <f>Calculs!CE1347</f>
        <v>0</v>
      </c>
      <c r="J1275" s="742">
        <f>Calculs!CF1347</f>
        <v>0</v>
      </c>
      <c r="K1275" s="742"/>
      <c r="L1275" s="742">
        <f>Calculs!CH1347</f>
        <v>0</v>
      </c>
    </row>
    <row r="1276" spans="2:12">
      <c r="B1276" s="742">
        <f>Calculs!B1348</f>
        <v>0</v>
      </c>
      <c r="C1276" s="742">
        <f>Calculs!BY1348</f>
        <v>0</v>
      </c>
      <c r="D1276" s="742">
        <f>Calculs!BZ1348</f>
        <v>0</v>
      </c>
      <c r="E1276" s="742">
        <f>Calculs!CA1348</f>
        <v>0</v>
      </c>
      <c r="F1276" s="742">
        <f>Calculs!CB1348</f>
        <v>0</v>
      </c>
      <c r="G1276" s="742">
        <f>Calculs!CC1348</f>
        <v>0</v>
      </c>
      <c r="H1276" s="742"/>
      <c r="I1276" s="742">
        <f>Calculs!CE1348</f>
        <v>0</v>
      </c>
      <c r="J1276" s="742">
        <f>Calculs!CF1348</f>
        <v>0</v>
      </c>
      <c r="K1276" s="742"/>
      <c r="L1276" s="742">
        <f>Calculs!CH1348</f>
        <v>0</v>
      </c>
    </row>
    <row r="1277" spans="2:12">
      <c r="B1277" s="742">
        <f>Calculs!B1349</f>
        <v>0</v>
      </c>
      <c r="C1277" s="742">
        <f>Calculs!BY1349</f>
        <v>0</v>
      </c>
      <c r="D1277" s="742">
        <f>Calculs!BZ1349</f>
        <v>0</v>
      </c>
      <c r="E1277" s="742">
        <f>Calculs!CA1349</f>
        <v>0</v>
      </c>
      <c r="F1277" s="742">
        <f>Calculs!CB1349</f>
        <v>0</v>
      </c>
      <c r="G1277" s="742">
        <f>Calculs!CC1349</f>
        <v>0</v>
      </c>
      <c r="H1277" s="742"/>
      <c r="I1277" s="742">
        <f>Calculs!CE1349</f>
        <v>0</v>
      </c>
      <c r="J1277" s="742">
        <f>Calculs!CF1349</f>
        <v>0</v>
      </c>
      <c r="K1277" s="742"/>
      <c r="L1277" s="742">
        <f>Calculs!CH1349</f>
        <v>0</v>
      </c>
    </row>
    <row r="1278" spans="2:12">
      <c r="B1278" s="742">
        <f>Calculs!B1350</f>
        <v>0</v>
      </c>
      <c r="C1278" s="742">
        <f>Calculs!BY1350</f>
        <v>0</v>
      </c>
      <c r="D1278" s="742">
        <f>Calculs!BZ1350</f>
        <v>0</v>
      </c>
      <c r="E1278" s="742">
        <f>Calculs!CA1350</f>
        <v>0</v>
      </c>
      <c r="F1278" s="742">
        <f>Calculs!CB1350</f>
        <v>0</v>
      </c>
      <c r="G1278" s="742">
        <f>Calculs!CC1350</f>
        <v>0</v>
      </c>
      <c r="H1278" s="742"/>
      <c r="I1278" s="742">
        <f>Calculs!CE1350</f>
        <v>0</v>
      </c>
      <c r="J1278" s="742">
        <f>Calculs!CF1350</f>
        <v>0</v>
      </c>
      <c r="K1278" s="742"/>
      <c r="L1278" s="742">
        <f>Calculs!CH1350</f>
        <v>0</v>
      </c>
    </row>
    <row r="1279" spans="2:12">
      <c r="B1279" s="742">
        <f>Calculs!B1351</f>
        <v>0</v>
      </c>
      <c r="C1279" s="742">
        <f>Calculs!BY1351</f>
        <v>0</v>
      </c>
      <c r="D1279" s="742">
        <f>Calculs!BZ1351</f>
        <v>0</v>
      </c>
      <c r="E1279" s="742">
        <f>Calculs!CA1351</f>
        <v>0</v>
      </c>
      <c r="F1279" s="742">
        <f>Calculs!CB1351</f>
        <v>0</v>
      </c>
      <c r="G1279" s="742">
        <f>Calculs!CC1351</f>
        <v>0</v>
      </c>
      <c r="H1279" s="742"/>
      <c r="I1279" s="742">
        <f>Calculs!CE1351</f>
        <v>0</v>
      </c>
      <c r="J1279" s="742">
        <f>Calculs!CF1351</f>
        <v>0</v>
      </c>
      <c r="K1279" s="742"/>
      <c r="L1279" s="742">
        <f>Calculs!CH1351</f>
        <v>0</v>
      </c>
    </row>
    <row r="1280" spans="2:12">
      <c r="B1280" s="742">
        <f>Calculs!B1352</f>
        <v>0</v>
      </c>
      <c r="C1280" s="742">
        <f>Calculs!BY1352</f>
        <v>0</v>
      </c>
      <c r="D1280" s="742">
        <f>Calculs!BZ1352</f>
        <v>0</v>
      </c>
      <c r="E1280" s="742">
        <f>Calculs!CA1352</f>
        <v>0</v>
      </c>
      <c r="F1280" s="742">
        <f>Calculs!CB1352</f>
        <v>0</v>
      </c>
      <c r="G1280" s="742">
        <f>Calculs!CC1352</f>
        <v>0</v>
      </c>
      <c r="H1280" s="742"/>
      <c r="I1280" s="742">
        <f>Calculs!CE1352</f>
        <v>0</v>
      </c>
      <c r="J1280" s="742">
        <f>Calculs!CF1352</f>
        <v>0</v>
      </c>
      <c r="K1280" s="742"/>
      <c r="L1280" s="742">
        <f>Calculs!CH1352</f>
        <v>0</v>
      </c>
    </row>
    <row r="1281" spans="2:12">
      <c r="B1281" s="742">
        <f>Calculs!B1353</f>
        <v>0</v>
      </c>
      <c r="C1281" s="742">
        <f>Calculs!BY1353</f>
        <v>0</v>
      </c>
      <c r="D1281" s="742">
        <f>Calculs!BZ1353</f>
        <v>0</v>
      </c>
      <c r="E1281" s="742">
        <f>Calculs!CA1353</f>
        <v>0</v>
      </c>
      <c r="F1281" s="742">
        <f>Calculs!CB1353</f>
        <v>0</v>
      </c>
      <c r="G1281" s="742">
        <f>Calculs!CC1353</f>
        <v>0</v>
      </c>
      <c r="H1281" s="742"/>
      <c r="I1281" s="742">
        <f>Calculs!CE1353</f>
        <v>0</v>
      </c>
      <c r="J1281" s="742">
        <f>Calculs!CF1353</f>
        <v>0</v>
      </c>
      <c r="K1281" s="742"/>
      <c r="L1281" s="742">
        <f>Calculs!CH1353</f>
        <v>0</v>
      </c>
    </row>
    <row r="1282" spans="2:12">
      <c r="B1282" s="742">
        <f>Calculs!B1354</f>
        <v>0</v>
      </c>
      <c r="C1282" s="742">
        <f>Calculs!BY1354</f>
        <v>0</v>
      </c>
      <c r="D1282" s="742">
        <f>Calculs!BZ1354</f>
        <v>0</v>
      </c>
      <c r="E1282" s="742">
        <f>Calculs!CA1354</f>
        <v>0</v>
      </c>
      <c r="F1282" s="742">
        <f>Calculs!CB1354</f>
        <v>0</v>
      </c>
      <c r="G1282" s="742">
        <f>Calculs!CC1354</f>
        <v>0</v>
      </c>
      <c r="H1282" s="742"/>
      <c r="I1282" s="742">
        <f>Calculs!CE1354</f>
        <v>0</v>
      </c>
      <c r="J1282" s="742">
        <f>Calculs!CF1354</f>
        <v>0</v>
      </c>
      <c r="K1282" s="742"/>
      <c r="L1282" s="742">
        <f>Calculs!CH1354</f>
        <v>0</v>
      </c>
    </row>
    <row r="1283" spans="2:12">
      <c r="B1283" s="742">
        <f>Calculs!B1355</f>
        <v>0</v>
      </c>
      <c r="C1283" s="742">
        <f>Calculs!BY1355</f>
        <v>0</v>
      </c>
      <c r="D1283" s="742">
        <f>Calculs!BZ1355</f>
        <v>0</v>
      </c>
      <c r="E1283" s="742">
        <f>Calculs!CA1355</f>
        <v>0</v>
      </c>
      <c r="F1283" s="742">
        <f>Calculs!CB1355</f>
        <v>0</v>
      </c>
      <c r="G1283" s="742">
        <f>Calculs!CC1355</f>
        <v>0</v>
      </c>
      <c r="H1283" s="742"/>
      <c r="I1283" s="742">
        <f>Calculs!CE1355</f>
        <v>0</v>
      </c>
      <c r="J1283" s="742">
        <f>Calculs!CF1355</f>
        <v>0</v>
      </c>
      <c r="K1283" s="742"/>
      <c r="L1283" s="742">
        <f>Calculs!CH1355</f>
        <v>0</v>
      </c>
    </row>
    <row r="1284" spans="2:12">
      <c r="B1284" s="742">
        <f>Calculs!B1356</f>
        <v>0</v>
      </c>
      <c r="C1284" s="742">
        <f>Calculs!BY1356</f>
        <v>0</v>
      </c>
      <c r="D1284" s="742">
        <f>Calculs!BZ1356</f>
        <v>0</v>
      </c>
      <c r="E1284" s="742">
        <f>Calculs!CA1356</f>
        <v>0</v>
      </c>
      <c r="F1284" s="742">
        <f>Calculs!CB1356</f>
        <v>0</v>
      </c>
      <c r="G1284" s="742">
        <f>Calculs!CC1356</f>
        <v>0</v>
      </c>
      <c r="H1284" s="742"/>
      <c r="I1284" s="742">
        <f>Calculs!CE1356</f>
        <v>0</v>
      </c>
      <c r="J1284" s="742">
        <f>Calculs!CF1356</f>
        <v>0</v>
      </c>
      <c r="K1284" s="742"/>
      <c r="L1284" s="742">
        <f>Calculs!CH1356</f>
        <v>0</v>
      </c>
    </row>
    <row r="1285" spans="2:12">
      <c r="B1285" s="742">
        <f>Calculs!B1357</f>
        <v>0</v>
      </c>
      <c r="C1285" s="742">
        <f>Calculs!BY1357</f>
        <v>0</v>
      </c>
      <c r="D1285" s="742">
        <f>Calculs!BZ1357</f>
        <v>0</v>
      </c>
      <c r="E1285" s="742">
        <f>Calculs!CA1357</f>
        <v>0</v>
      </c>
      <c r="F1285" s="742">
        <f>Calculs!CB1357</f>
        <v>0</v>
      </c>
      <c r="G1285" s="742">
        <f>Calculs!CC1357</f>
        <v>0</v>
      </c>
      <c r="H1285" s="742"/>
      <c r="I1285" s="742">
        <f>Calculs!CE1357</f>
        <v>0</v>
      </c>
      <c r="J1285" s="742">
        <f>Calculs!CF1357</f>
        <v>0</v>
      </c>
      <c r="K1285" s="742"/>
      <c r="L1285" s="742">
        <f>Calculs!CH1357</f>
        <v>0</v>
      </c>
    </row>
    <row r="1286" spans="2:12">
      <c r="B1286" s="742">
        <f>Calculs!B1358</f>
        <v>0</v>
      </c>
      <c r="C1286" s="742">
        <f>Calculs!BY1358</f>
        <v>0</v>
      </c>
      <c r="D1286" s="742">
        <f>Calculs!BZ1358</f>
        <v>0</v>
      </c>
      <c r="E1286" s="742">
        <f>Calculs!CA1358</f>
        <v>0</v>
      </c>
      <c r="F1286" s="742">
        <f>Calculs!CB1358</f>
        <v>0</v>
      </c>
      <c r="G1286" s="742">
        <f>Calculs!CC1358</f>
        <v>0</v>
      </c>
      <c r="H1286" s="742"/>
      <c r="I1286" s="742">
        <f>Calculs!CE1358</f>
        <v>0</v>
      </c>
      <c r="J1286" s="742">
        <f>Calculs!CF1358</f>
        <v>0</v>
      </c>
      <c r="K1286" s="742"/>
      <c r="L1286" s="742">
        <f>Calculs!CH1358</f>
        <v>0</v>
      </c>
    </row>
    <row r="1287" spans="2:12">
      <c r="B1287" s="742">
        <f>Calculs!B1359</f>
        <v>0</v>
      </c>
      <c r="C1287" s="742">
        <f>Calculs!BY1359</f>
        <v>0</v>
      </c>
      <c r="D1287" s="742">
        <f>Calculs!BZ1359</f>
        <v>0</v>
      </c>
      <c r="E1287" s="742">
        <f>Calculs!CA1359</f>
        <v>0</v>
      </c>
      <c r="F1287" s="742">
        <f>Calculs!CB1359</f>
        <v>0</v>
      </c>
      <c r="G1287" s="742">
        <f>Calculs!CC1359</f>
        <v>0</v>
      </c>
      <c r="H1287" s="742"/>
      <c r="I1287" s="742">
        <f>Calculs!CE1359</f>
        <v>0</v>
      </c>
      <c r="J1287" s="742">
        <f>Calculs!CF1359</f>
        <v>0</v>
      </c>
      <c r="K1287" s="742"/>
      <c r="L1287" s="742">
        <f>Calculs!CH1359</f>
        <v>0</v>
      </c>
    </row>
    <row r="1288" spans="2:12">
      <c r="B1288" s="742">
        <f>Calculs!B1360</f>
        <v>0</v>
      </c>
      <c r="C1288" s="742">
        <f>Calculs!BY1360</f>
        <v>0</v>
      </c>
      <c r="D1288" s="742">
        <f>Calculs!BZ1360</f>
        <v>0</v>
      </c>
      <c r="E1288" s="742">
        <f>Calculs!CA1360</f>
        <v>0</v>
      </c>
      <c r="F1288" s="742">
        <f>Calculs!CB1360</f>
        <v>0</v>
      </c>
      <c r="G1288" s="742">
        <f>Calculs!CC1360</f>
        <v>0</v>
      </c>
      <c r="H1288" s="742"/>
      <c r="I1288" s="742">
        <f>Calculs!CE1360</f>
        <v>0</v>
      </c>
      <c r="J1288" s="742">
        <f>Calculs!CF1360</f>
        <v>0</v>
      </c>
      <c r="K1288" s="742"/>
      <c r="L1288" s="742">
        <f>Calculs!CH1360</f>
        <v>0</v>
      </c>
    </row>
    <row r="1289" spans="2:12">
      <c r="B1289" s="742">
        <f>Calculs!B1361</f>
        <v>0</v>
      </c>
      <c r="C1289" s="742">
        <f>Calculs!BY1361</f>
        <v>0</v>
      </c>
      <c r="D1289" s="742">
        <f>Calculs!BZ1361</f>
        <v>0</v>
      </c>
      <c r="E1289" s="742">
        <f>Calculs!CA1361</f>
        <v>0</v>
      </c>
      <c r="F1289" s="742">
        <f>Calculs!CB1361</f>
        <v>0</v>
      </c>
      <c r="G1289" s="742">
        <f>Calculs!CC1361</f>
        <v>0</v>
      </c>
      <c r="H1289" s="742"/>
      <c r="I1289" s="742">
        <f>Calculs!CE1361</f>
        <v>0</v>
      </c>
      <c r="J1289" s="742">
        <f>Calculs!CF1361</f>
        <v>0</v>
      </c>
      <c r="K1289" s="742"/>
      <c r="L1289" s="742">
        <f>Calculs!CH1361</f>
        <v>0</v>
      </c>
    </row>
    <row r="1290" spans="2:12">
      <c r="B1290" s="742">
        <f>Calculs!B1362</f>
        <v>0</v>
      </c>
      <c r="C1290" s="742">
        <f>Calculs!BY1362</f>
        <v>0</v>
      </c>
      <c r="D1290" s="742">
        <f>Calculs!BZ1362</f>
        <v>0</v>
      </c>
      <c r="E1290" s="742">
        <f>Calculs!CA1362</f>
        <v>0</v>
      </c>
      <c r="F1290" s="742">
        <f>Calculs!CB1362</f>
        <v>0</v>
      </c>
      <c r="G1290" s="742">
        <f>Calculs!CC1362</f>
        <v>0</v>
      </c>
      <c r="H1290" s="742"/>
      <c r="I1290" s="742">
        <f>Calculs!CE1362</f>
        <v>0</v>
      </c>
      <c r="J1290" s="742">
        <f>Calculs!CF1362</f>
        <v>0</v>
      </c>
      <c r="K1290" s="742"/>
      <c r="L1290" s="742">
        <f>Calculs!CH1362</f>
        <v>0</v>
      </c>
    </row>
    <row r="1291" spans="2:12">
      <c r="B1291" s="742">
        <f>Calculs!B1363</f>
        <v>0</v>
      </c>
      <c r="C1291" s="742">
        <f>Calculs!BY1363</f>
        <v>0</v>
      </c>
      <c r="D1291" s="742">
        <f>Calculs!BZ1363</f>
        <v>0</v>
      </c>
      <c r="E1291" s="742">
        <f>Calculs!CA1363</f>
        <v>0</v>
      </c>
      <c r="F1291" s="742">
        <f>Calculs!CB1363</f>
        <v>0</v>
      </c>
      <c r="G1291" s="742">
        <f>Calculs!CC1363</f>
        <v>0</v>
      </c>
      <c r="H1291" s="742"/>
      <c r="I1291" s="742">
        <f>Calculs!CE1363</f>
        <v>0</v>
      </c>
      <c r="J1291" s="742">
        <f>Calculs!CF1363</f>
        <v>0</v>
      </c>
      <c r="K1291" s="742"/>
      <c r="L1291" s="742">
        <f>Calculs!CH1363</f>
        <v>0</v>
      </c>
    </row>
    <row r="1292" spans="2:12">
      <c r="B1292" s="742">
        <f>Calculs!B1364</f>
        <v>0</v>
      </c>
      <c r="C1292" s="742">
        <f>Calculs!BY1364</f>
        <v>0</v>
      </c>
      <c r="D1292" s="742">
        <f>Calculs!BZ1364</f>
        <v>0</v>
      </c>
      <c r="E1292" s="742">
        <f>Calculs!CA1364</f>
        <v>0</v>
      </c>
      <c r="F1292" s="742">
        <f>Calculs!CB1364</f>
        <v>0</v>
      </c>
      <c r="G1292" s="742">
        <f>Calculs!CC1364</f>
        <v>0</v>
      </c>
      <c r="H1292" s="742"/>
      <c r="I1292" s="742">
        <f>Calculs!CE1364</f>
        <v>0</v>
      </c>
      <c r="J1292" s="742">
        <f>Calculs!CF1364</f>
        <v>0</v>
      </c>
      <c r="K1292" s="742"/>
      <c r="L1292" s="742">
        <f>Calculs!CH1364</f>
        <v>0</v>
      </c>
    </row>
    <row r="1293" spans="2:12">
      <c r="B1293" s="742">
        <f>Calculs!B1365</f>
        <v>0</v>
      </c>
      <c r="C1293" s="742">
        <f>Calculs!BY1365</f>
        <v>0</v>
      </c>
      <c r="D1293" s="742">
        <f>Calculs!BZ1365</f>
        <v>0</v>
      </c>
      <c r="E1293" s="742">
        <f>Calculs!CA1365</f>
        <v>0</v>
      </c>
      <c r="F1293" s="742">
        <f>Calculs!CB1365</f>
        <v>0</v>
      </c>
      <c r="G1293" s="742">
        <f>Calculs!CC1365</f>
        <v>0</v>
      </c>
      <c r="H1293" s="742"/>
      <c r="I1293" s="742">
        <f>Calculs!CE1365</f>
        <v>0</v>
      </c>
      <c r="J1293" s="742">
        <f>Calculs!CF1365</f>
        <v>0</v>
      </c>
      <c r="K1293" s="742"/>
      <c r="L1293" s="742">
        <f>Calculs!CH1365</f>
        <v>0</v>
      </c>
    </row>
    <row r="1294" spans="2:12">
      <c r="B1294" s="742">
        <f>Calculs!B1366</f>
        <v>0</v>
      </c>
      <c r="C1294" s="742">
        <f>Calculs!BY1366</f>
        <v>0</v>
      </c>
      <c r="D1294" s="742">
        <f>Calculs!BZ1366</f>
        <v>0</v>
      </c>
      <c r="E1294" s="742">
        <f>Calculs!CA1366</f>
        <v>0</v>
      </c>
      <c r="F1294" s="742">
        <f>Calculs!CB1366</f>
        <v>0</v>
      </c>
      <c r="G1294" s="742">
        <f>Calculs!CC1366</f>
        <v>0</v>
      </c>
      <c r="H1294" s="742"/>
      <c r="I1294" s="742">
        <f>Calculs!CE1366</f>
        <v>0</v>
      </c>
      <c r="J1294" s="742">
        <f>Calculs!CF1366</f>
        <v>0</v>
      </c>
      <c r="K1294" s="742"/>
      <c r="L1294" s="742">
        <f>Calculs!CH1366</f>
        <v>0</v>
      </c>
    </row>
    <row r="1295" spans="2:12">
      <c r="B1295" s="742">
        <f>Calculs!B1367</f>
        <v>0</v>
      </c>
      <c r="C1295" s="742">
        <f>Calculs!BY1367</f>
        <v>0</v>
      </c>
      <c r="D1295" s="742">
        <f>Calculs!BZ1367</f>
        <v>0</v>
      </c>
      <c r="E1295" s="742">
        <f>Calculs!CA1367</f>
        <v>0</v>
      </c>
      <c r="F1295" s="742">
        <f>Calculs!CB1367</f>
        <v>0</v>
      </c>
      <c r="G1295" s="742">
        <f>Calculs!CC1367</f>
        <v>0</v>
      </c>
      <c r="H1295" s="742"/>
      <c r="I1295" s="742">
        <f>Calculs!CE1367</f>
        <v>0</v>
      </c>
      <c r="J1295" s="742">
        <f>Calculs!CF1367</f>
        <v>0</v>
      </c>
      <c r="K1295" s="742"/>
      <c r="L1295" s="742">
        <f>Calculs!CH1367</f>
        <v>0</v>
      </c>
    </row>
    <row r="1296" spans="2:12">
      <c r="B1296" s="742">
        <f>Calculs!B1368</f>
        <v>0</v>
      </c>
      <c r="C1296" s="742">
        <f>Calculs!BY1368</f>
        <v>0</v>
      </c>
      <c r="D1296" s="742">
        <f>Calculs!BZ1368</f>
        <v>0</v>
      </c>
      <c r="E1296" s="742">
        <f>Calculs!CA1368</f>
        <v>0</v>
      </c>
      <c r="F1296" s="742">
        <f>Calculs!CB1368</f>
        <v>0</v>
      </c>
      <c r="G1296" s="742">
        <f>Calculs!CC1368</f>
        <v>0</v>
      </c>
      <c r="H1296" s="742"/>
      <c r="I1296" s="742">
        <f>Calculs!CE1368</f>
        <v>0</v>
      </c>
      <c r="J1296" s="742">
        <f>Calculs!CF1368</f>
        <v>0</v>
      </c>
      <c r="K1296" s="742"/>
      <c r="L1296" s="742">
        <f>Calculs!CH1368</f>
        <v>0</v>
      </c>
    </row>
    <row r="1297" spans="2:12">
      <c r="B1297" s="742">
        <f>Calculs!B1369</f>
        <v>0</v>
      </c>
      <c r="C1297" s="742">
        <f>Calculs!BY1369</f>
        <v>0</v>
      </c>
      <c r="D1297" s="742">
        <f>Calculs!BZ1369</f>
        <v>0</v>
      </c>
      <c r="E1297" s="742">
        <f>Calculs!CA1369</f>
        <v>0</v>
      </c>
      <c r="F1297" s="742">
        <f>Calculs!CB1369</f>
        <v>0</v>
      </c>
      <c r="G1297" s="742">
        <f>Calculs!CC1369</f>
        <v>0</v>
      </c>
      <c r="H1297" s="742"/>
      <c r="I1297" s="742">
        <f>Calculs!CE1369</f>
        <v>0</v>
      </c>
      <c r="J1297" s="742">
        <f>Calculs!CF1369</f>
        <v>0</v>
      </c>
      <c r="K1297" s="742"/>
      <c r="L1297" s="742">
        <f>Calculs!CH1369</f>
        <v>0</v>
      </c>
    </row>
    <row r="1298" spans="2:12">
      <c r="B1298" s="742">
        <f>Calculs!B1370</f>
        <v>0</v>
      </c>
      <c r="C1298" s="742">
        <f>Calculs!BY1370</f>
        <v>0</v>
      </c>
      <c r="D1298" s="742">
        <f>Calculs!BZ1370</f>
        <v>0</v>
      </c>
      <c r="E1298" s="742">
        <f>Calculs!CA1370</f>
        <v>0</v>
      </c>
      <c r="F1298" s="742">
        <f>Calculs!CB1370</f>
        <v>0</v>
      </c>
      <c r="G1298" s="742">
        <f>Calculs!CC1370</f>
        <v>0</v>
      </c>
      <c r="H1298" s="742"/>
      <c r="I1298" s="742">
        <f>Calculs!CE1370</f>
        <v>0</v>
      </c>
      <c r="J1298" s="742">
        <f>Calculs!CF1370</f>
        <v>0</v>
      </c>
      <c r="K1298" s="742"/>
      <c r="L1298" s="742">
        <f>Calculs!CH1370</f>
        <v>0</v>
      </c>
    </row>
    <row r="1299" spans="2:12">
      <c r="B1299" s="742">
        <f>Calculs!B1371</f>
        <v>0</v>
      </c>
      <c r="C1299" s="742">
        <f>Calculs!BY1371</f>
        <v>0</v>
      </c>
      <c r="D1299" s="742">
        <f>Calculs!BZ1371</f>
        <v>0</v>
      </c>
      <c r="E1299" s="742">
        <f>Calculs!CA1371</f>
        <v>0</v>
      </c>
      <c r="F1299" s="742">
        <f>Calculs!CB1371</f>
        <v>0</v>
      </c>
      <c r="G1299" s="742">
        <f>Calculs!CC1371</f>
        <v>0</v>
      </c>
      <c r="H1299" s="742"/>
      <c r="I1299" s="742">
        <f>Calculs!CE1371</f>
        <v>0</v>
      </c>
      <c r="J1299" s="742">
        <f>Calculs!CF1371</f>
        <v>0</v>
      </c>
      <c r="K1299" s="742"/>
      <c r="L1299" s="742">
        <f>Calculs!CH1371</f>
        <v>0</v>
      </c>
    </row>
    <row r="1300" spans="2:12">
      <c r="B1300" s="742">
        <f>Calculs!B1372</f>
        <v>0</v>
      </c>
      <c r="C1300" s="742">
        <f>Calculs!BY1372</f>
        <v>0</v>
      </c>
      <c r="D1300" s="742">
        <f>Calculs!BZ1372</f>
        <v>0</v>
      </c>
      <c r="E1300" s="742">
        <f>Calculs!CA1372</f>
        <v>0</v>
      </c>
      <c r="F1300" s="742">
        <f>Calculs!CB1372</f>
        <v>0</v>
      </c>
      <c r="G1300" s="742">
        <f>Calculs!CC1372</f>
        <v>0</v>
      </c>
      <c r="H1300" s="742"/>
      <c r="I1300" s="742">
        <f>Calculs!CE1372</f>
        <v>0</v>
      </c>
      <c r="J1300" s="742">
        <f>Calculs!CF1372</f>
        <v>0</v>
      </c>
      <c r="K1300" s="742"/>
      <c r="L1300" s="742">
        <f>Calculs!CH1372</f>
        <v>0</v>
      </c>
    </row>
    <row r="1301" spans="2:12">
      <c r="B1301" s="742">
        <f>Calculs!B1373</f>
        <v>0</v>
      </c>
      <c r="C1301" s="742">
        <f>Calculs!BY1373</f>
        <v>0</v>
      </c>
      <c r="D1301" s="742">
        <f>Calculs!BZ1373</f>
        <v>0</v>
      </c>
      <c r="E1301" s="742">
        <f>Calculs!CA1373</f>
        <v>0</v>
      </c>
      <c r="F1301" s="742">
        <f>Calculs!CB1373</f>
        <v>0</v>
      </c>
      <c r="G1301" s="742">
        <f>Calculs!CC1373</f>
        <v>0</v>
      </c>
      <c r="H1301" s="742"/>
      <c r="I1301" s="742">
        <f>Calculs!CE1373</f>
        <v>0</v>
      </c>
      <c r="J1301" s="742">
        <f>Calculs!CF1373</f>
        <v>0</v>
      </c>
      <c r="K1301" s="742"/>
      <c r="L1301" s="742">
        <f>Calculs!CH1373</f>
        <v>0</v>
      </c>
    </row>
    <row r="1302" spans="2:12">
      <c r="B1302" s="742">
        <f>Calculs!B1374</f>
        <v>0</v>
      </c>
      <c r="C1302" s="742">
        <f>Calculs!BY1374</f>
        <v>0</v>
      </c>
      <c r="D1302" s="742">
        <f>Calculs!BZ1374</f>
        <v>0</v>
      </c>
      <c r="E1302" s="742">
        <f>Calculs!CA1374</f>
        <v>0</v>
      </c>
      <c r="F1302" s="742">
        <f>Calculs!CB1374</f>
        <v>0</v>
      </c>
      <c r="G1302" s="742">
        <f>Calculs!CC1374</f>
        <v>0</v>
      </c>
      <c r="H1302" s="742"/>
      <c r="I1302" s="742">
        <f>Calculs!CE1374</f>
        <v>0</v>
      </c>
      <c r="J1302" s="742">
        <f>Calculs!CF1374</f>
        <v>0</v>
      </c>
      <c r="K1302" s="742"/>
      <c r="L1302" s="742">
        <f>Calculs!CH1374</f>
        <v>0</v>
      </c>
    </row>
    <row r="1303" spans="2:12">
      <c r="B1303" s="742">
        <f>Calculs!B1375</f>
        <v>0</v>
      </c>
      <c r="C1303" s="742">
        <f>Calculs!BY1375</f>
        <v>0</v>
      </c>
      <c r="D1303" s="742">
        <f>Calculs!BZ1375</f>
        <v>0</v>
      </c>
      <c r="E1303" s="742">
        <f>Calculs!CA1375</f>
        <v>0</v>
      </c>
      <c r="F1303" s="742">
        <f>Calculs!CB1375</f>
        <v>0</v>
      </c>
      <c r="G1303" s="742">
        <f>Calculs!CC1375</f>
        <v>0</v>
      </c>
      <c r="H1303" s="742"/>
      <c r="I1303" s="742">
        <f>Calculs!CE1375</f>
        <v>0</v>
      </c>
      <c r="J1303" s="742">
        <f>Calculs!CF1375</f>
        <v>0</v>
      </c>
      <c r="K1303" s="742"/>
      <c r="L1303" s="742">
        <f>Calculs!CH1375</f>
        <v>0</v>
      </c>
    </row>
    <row r="1304" spans="2:12">
      <c r="B1304" s="742">
        <f>Calculs!B1376</f>
        <v>0</v>
      </c>
      <c r="C1304" s="742">
        <f>Calculs!BY1376</f>
        <v>0</v>
      </c>
      <c r="D1304" s="742">
        <f>Calculs!BZ1376</f>
        <v>0</v>
      </c>
      <c r="E1304" s="742">
        <f>Calculs!CA1376</f>
        <v>0</v>
      </c>
      <c r="F1304" s="742">
        <f>Calculs!CB1376</f>
        <v>0</v>
      </c>
      <c r="G1304" s="742">
        <f>Calculs!CC1376</f>
        <v>0</v>
      </c>
      <c r="H1304" s="742"/>
      <c r="I1304" s="742">
        <f>Calculs!CE1376</f>
        <v>0</v>
      </c>
      <c r="J1304" s="742">
        <f>Calculs!CF1376</f>
        <v>0</v>
      </c>
      <c r="K1304" s="742"/>
      <c r="L1304" s="742">
        <f>Calculs!CH1376</f>
        <v>0</v>
      </c>
    </row>
    <row r="1305" spans="2:12">
      <c r="B1305" s="742">
        <f>Calculs!B1377</f>
        <v>0</v>
      </c>
      <c r="C1305" s="742">
        <f>Calculs!BY1377</f>
        <v>0</v>
      </c>
      <c r="D1305" s="742">
        <f>Calculs!BZ1377</f>
        <v>0</v>
      </c>
      <c r="E1305" s="742">
        <f>Calculs!CA1377</f>
        <v>0</v>
      </c>
      <c r="F1305" s="742">
        <f>Calculs!CB1377</f>
        <v>0</v>
      </c>
      <c r="G1305" s="742">
        <f>Calculs!CC1377</f>
        <v>0</v>
      </c>
      <c r="H1305" s="742"/>
      <c r="I1305" s="742">
        <f>Calculs!CE1377</f>
        <v>0</v>
      </c>
      <c r="J1305" s="742">
        <f>Calculs!CF1377</f>
        <v>0</v>
      </c>
      <c r="K1305" s="742"/>
      <c r="L1305" s="742">
        <f>Calculs!CH1377</f>
        <v>0</v>
      </c>
    </row>
    <row r="1306" spans="2:12">
      <c r="B1306" s="742">
        <f>Calculs!B1378</f>
        <v>0</v>
      </c>
      <c r="C1306" s="742">
        <f>Calculs!BY1378</f>
        <v>0</v>
      </c>
      <c r="D1306" s="742">
        <f>Calculs!BZ1378</f>
        <v>0</v>
      </c>
      <c r="E1306" s="742">
        <f>Calculs!CA1378</f>
        <v>0</v>
      </c>
      <c r="F1306" s="742">
        <f>Calculs!CB1378</f>
        <v>0</v>
      </c>
      <c r="G1306" s="742">
        <f>Calculs!CC1378</f>
        <v>0</v>
      </c>
      <c r="H1306" s="742"/>
      <c r="I1306" s="742">
        <f>Calculs!CE1378</f>
        <v>0</v>
      </c>
      <c r="J1306" s="742">
        <f>Calculs!CF1378</f>
        <v>0</v>
      </c>
      <c r="K1306" s="742"/>
      <c r="L1306" s="742">
        <f>Calculs!CH1378</f>
        <v>0</v>
      </c>
    </row>
    <row r="1307" spans="2:12">
      <c r="B1307" s="742">
        <f>Calculs!B1379</f>
        <v>0</v>
      </c>
      <c r="C1307" s="742">
        <f>Calculs!BY1379</f>
        <v>0</v>
      </c>
      <c r="D1307" s="742">
        <f>Calculs!BZ1379</f>
        <v>0</v>
      </c>
      <c r="E1307" s="742">
        <f>Calculs!CA1379</f>
        <v>0</v>
      </c>
      <c r="F1307" s="742">
        <f>Calculs!CB1379</f>
        <v>0</v>
      </c>
      <c r="G1307" s="742">
        <f>Calculs!CC1379</f>
        <v>0</v>
      </c>
      <c r="H1307" s="742"/>
      <c r="I1307" s="742">
        <f>Calculs!CE1379</f>
        <v>0</v>
      </c>
      <c r="J1307" s="742">
        <f>Calculs!CF1379</f>
        <v>0</v>
      </c>
      <c r="K1307" s="742"/>
      <c r="L1307" s="742">
        <f>Calculs!CH1379</f>
        <v>0</v>
      </c>
    </row>
    <row r="1308" spans="2:12">
      <c r="B1308" s="742">
        <f>Calculs!B1380</f>
        <v>0</v>
      </c>
      <c r="C1308" s="742">
        <f>Calculs!BY1380</f>
        <v>0</v>
      </c>
      <c r="D1308" s="742">
        <f>Calculs!BZ1380</f>
        <v>0</v>
      </c>
      <c r="E1308" s="742">
        <f>Calculs!CA1380</f>
        <v>0</v>
      </c>
      <c r="F1308" s="742">
        <f>Calculs!CB1380</f>
        <v>0</v>
      </c>
      <c r="G1308" s="742">
        <f>Calculs!CC1380</f>
        <v>0</v>
      </c>
      <c r="H1308" s="742"/>
      <c r="I1308" s="742">
        <f>Calculs!CE1380</f>
        <v>0</v>
      </c>
      <c r="J1308" s="742">
        <f>Calculs!CF1380</f>
        <v>0</v>
      </c>
      <c r="K1308" s="742"/>
      <c r="L1308" s="742">
        <f>Calculs!CH1380</f>
        <v>0</v>
      </c>
    </row>
    <row r="1309" spans="2:12">
      <c r="B1309" s="742">
        <f>Calculs!B1381</f>
        <v>0</v>
      </c>
      <c r="C1309" s="742">
        <f>Calculs!BY1381</f>
        <v>0</v>
      </c>
      <c r="D1309" s="742">
        <f>Calculs!BZ1381</f>
        <v>0</v>
      </c>
      <c r="E1309" s="742">
        <f>Calculs!CA1381</f>
        <v>0</v>
      </c>
      <c r="F1309" s="742">
        <f>Calculs!CB1381</f>
        <v>0</v>
      </c>
      <c r="G1309" s="742">
        <f>Calculs!CC1381</f>
        <v>0</v>
      </c>
      <c r="H1309" s="742"/>
      <c r="I1309" s="742">
        <f>Calculs!CE1381</f>
        <v>0</v>
      </c>
      <c r="J1309" s="742">
        <f>Calculs!CF1381</f>
        <v>0</v>
      </c>
      <c r="K1309" s="742"/>
      <c r="L1309" s="742">
        <f>Calculs!CH1381</f>
        <v>0</v>
      </c>
    </row>
    <row r="1310" spans="2:12">
      <c r="B1310" s="742">
        <f>Calculs!B1382</f>
        <v>0</v>
      </c>
      <c r="C1310" s="742">
        <f>Calculs!BY1382</f>
        <v>0</v>
      </c>
      <c r="D1310" s="742">
        <f>Calculs!BZ1382</f>
        <v>0</v>
      </c>
      <c r="E1310" s="742">
        <f>Calculs!CA1382</f>
        <v>0</v>
      </c>
      <c r="F1310" s="742">
        <f>Calculs!CB1382</f>
        <v>0</v>
      </c>
      <c r="G1310" s="742">
        <f>Calculs!CC1382</f>
        <v>0</v>
      </c>
      <c r="H1310" s="742"/>
      <c r="I1310" s="742">
        <f>Calculs!CE1382</f>
        <v>0</v>
      </c>
      <c r="J1310" s="742">
        <f>Calculs!CF1382</f>
        <v>0</v>
      </c>
      <c r="K1310" s="742"/>
      <c r="L1310" s="742">
        <f>Calculs!CH1382</f>
        <v>0</v>
      </c>
    </row>
    <row r="1311" spans="2:12">
      <c r="B1311" s="742">
        <f>Calculs!B1383</f>
        <v>0</v>
      </c>
      <c r="C1311" s="742">
        <f>Calculs!BY1383</f>
        <v>0</v>
      </c>
      <c r="D1311" s="742">
        <f>Calculs!BZ1383</f>
        <v>0</v>
      </c>
      <c r="E1311" s="742">
        <f>Calculs!CA1383</f>
        <v>0</v>
      </c>
      <c r="F1311" s="742">
        <f>Calculs!CB1383</f>
        <v>0</v>
      </c>
      <c r="G1311" s="742">
        <f>Calculs!CC1383</f>
        <v>0</v>
      </c>
      <c r="H1311" s="742"/>
      <c r="I1311" s="742">
        <f>Calculs!CE1383</f>
        <v>0</v>
      </c>
      <c r="J1311" s="742">
        <f>Calculs!CF1383</f>
        <v>0</v>
      </c>
      <c r="K1311" s="742"/>
      <c r="L1311" s="742">
        <f>Calculs!CH1383</f>
        <v>0</v>
      </c>
    </row>
    <row r="1312" spans="2:12">
      <c r="B1312" s="742">
        <f>Calculs!B1384</f>
        <v>0</v>
      </c>
      <c r="C1312" s="742">
        <f>Calculs!BY1384</f>
        <v>0</v>
      </c>
      <c r="D1312" s="742">
        <f>Calculs!BZ1384</f>
        <v>0</v>
      </c>
      <c r="E1312" s="742">
        <f>Calculs!CA1384</f>
        <v>0</v>
      </c>
      <c r="F1312" s="742">
        <f>Calculs!CB1384</f>
        <v>0</v>
      </c>
      <c r="G1312" s="742">
        <f>Calculs!CC1384</f>
        <v>0</v>
      </c>
      <c r="H1312" s="742"/>
      <c r="I1312" s="742">
        <f>Calculs!CE1384</f>
        <v>0</v>
      </c>
      <c r="J1312" s="742">
        <f>Calculs!CF1384</f>
        <v>0</v>
      </c>
      <c r="K1312" s="742"/>
      <c r="L1312" s="742">
        <f>Calculs!CH1384</f>
        <v>0</v>
      </c>
    </row>
    <row r="1313" spans="2:12">
      <c r="B1313" s="742">
        <f>Calculs!B1385</f>
        <v>0</v>
      </c>
      <c r="C1313" s="742">
        <f>Calculs!BY1385</f>
        <v>0</v>
      </c>
      <c r="D1313" s="742">
        <f>Calculs!BZ1385</f>
        <v>0</v>
      </c>
      <c r="E1313" s="742">
        <f>Calculs!CA1385</f>
        <v>0</v>
      </c>
      <c r="F1313" s="742">
        <f>Calculs!CB1385</f>
        <v>0</v>
      </c>
      <c r="G1313" s="742">
        <f>Calculs!CC1385</f>
        <v>0</v>
      </c>
      <c r="H1313" s="742"/>
      <c r="I1313" s="742">
        <f>Calculs!CE1385</f>
        <v>0</v>
      </c>
      <c r="J1313" s="742">
        <f>Calculs!CF1385</f>
        <v>0</v>
      </c>
      <c r="K1313" s="742"/>
      <c r="L1313" s="742">
        <f>Calculs!CH1385</f>
        <v>0</v>
      </c>
    </row>
    <row r="1314" spans="2:12">
      <c r="B1314" s="742">
        <f>Calculs!B1386</f>
        <v>0</v>
      </c>
      <c r="C1314" s="742">
        <f>Calculs!BY1386</f>
        <v>0</v>
      </c>
      <c r="D1314" s="742">
        <f>Calculs!BZ1386</f>
        <v>0</v>
      </c>
      <c r="E1314" s="742">
        <f>Calculs!CA1386</f>
        <v>0</v>
      </c>
      <c r="F1314" s="742">
        <f>Calculs!CB1386</f>
        <v>0</v>
      </c>
      <c r="G1314" s="742">
        <f>Calculs!CC1386</f>
        <v>0</v>
      </c>
      <c r="H1314" s="742"/>
      <c r="I1314" s="742">
        <f>Calculs!CE1386</f>
        <v>0</v>
      </c>
      <c r="J1314" s="742">
        <f>Calculs!CF1386</f>
        <v>0</v>
      </c>
      <c r="K1314" s="742"/>
      <c r="L1314" s="742">
        <f>Calculs!CH1386</f>
        <v>0</v>
      </c>
    </row>
    <row r="1315" spans="2:12">
      <c r="B1315" s="742">
        <f>Calculs!B1387</f>
        <v>0</v>
      </c>
      <c r="C1315" s="742">
        <f>Calculs!BY1387</f>
        <v>0</v>
      </c>
      <c r="D1315" s="742">
        <f>Calculs!BZ1387</f>
        <v>0</v>
      </c>
      <c r="E1315" s="742">
        <f>Calculs!CA1387</f>
        <v>0</v>
      </c>
      <c r="F1315" s="742">
        <f>Calculs!CB1387</f>
        <v>0</v>
      </c>
      <c r="G1315" s="742">
        <f>Calculs!CC1387</f>
        <v>0</v>
      </c>
      <c r="H1315" s="742"/>
      <c r="I1315" s="742">
        <f>Calculs!CE1387</f>
        <v>0</v>
      </c>
      <c r="J1315" s="742">
        <f>Calculs!CF1387</f>
        <v>0</v>
      </c>
      <c r="K1315" s="742"/>
      <c r="L1315" s="742">
        <f>Calculs!CH1387</f>
        <v>0</v>
      </c>
    </row>
    <row r="1316" spans="2:12">
      <c r="B1316" s="742">
        <f>Calculs!B1388</f>
        <v>0</v>
      </c>
      <c r="C1316" s="742">
        <f>Calculs!BY1388</f>
        <v>0</v>
      </c>
      <c r="D1316" s="742">
        <f>Calculs!BZ1388</f>
        <v>0</v>
      </c>
      <c r="E1316" s="742">
        <f>Calculs!CA1388</f>
        <v>0</v>
      </c>
      <c r="F1316" s="742">
        <f>Calculs!CB1388</f>
        <v>0</v>
      </c>
      <c r="G1316" s="742">
        <f>Calculs!CC1388</f>
        <v>0</v>
      </c>
      <c r="H1316" s="742"/>
      <c r="I1316" s="742">
        <f>Calculs!CE1388</f>
        <v>0</v>
      </c>
      <c r="J1316" s="742">
        <f>Calculs!CF1388</f>
        <v>0</v>
      </c>
      <c r="K1316" s="742"/>
      <c r="L1316" s="742">
        <f>Calculs!CH1388</f>
        <v>0</v>
      </c>
    </row>
    <row r="1317" spans="2:12">
      <c r="B1317" s="742">
        <f>Calculs!B1389</f>
        <v>0</v>
      </c>
      <c r="C1317" s="742">
        <f>Calculs!BY1389</f>
        <v>0</v>
      </c>
      <c r="D1317" s="742">
        <f>Calculs!BZ1389</f>
        <v>0</v>
      </c>
      <c r="E1317" s="742">
        <f>Calculs!CA1389</f>
        <v>0</v>
      </c>
      <c r="F1317" s="742">
        <f>Calculs!CB1389</f>
        <v>0</v>
      </c>
      <c r="G1317" s="742">
        <f>Calculs!CC1389</f>
        <v>0</v>
      </c>
      <c r="H1317" s="742"/>
      <c r="I1317" s="742">
        <f>Calculs!CE1389</f>
        <v>0</v>
      </c>
      <c r="J1317" s="742">
        <f>Calculs!CF1389</f>
        <v>0</v>
      </c>
      <c r="K1317" s="742"/>
      <c r="L1317" s="742">
        <f>Calculs!CH1389</f>
        <v>0</v>
      </c>
    </row>
    <row r="1318" spans="2:12">
      <c r="B1318" s="742">
        <f>Calculs!B1390</f>
        <v>0</v>
      </c>
      <c r="C1318" s="742">
        <f>Calculs!BY1390</f>
        <v>0</v>
      </c>
      <c r="D1318" s="742">
        <f>Calculs!BZ1390</f>
        <v>0</v>
      </c>
      <c r="E1318" s="742">
        <f>Calculs!CA1390</f>
        <v>0</v>
      </c>
      <c r="F1318" s="742">
        <f>Calculs!CB1390</f>
        <v>0</v>
      </c>
      <c r="G1318" s="742">
        <f>Calculs!CC1390</f>
        <v>0</v>
      </c>
      <c r="H1318" s="742"/>
      <c r="I1318" s="742">
        <f>Calculs!CE1390</f>
        <v>0</v>
      </c>
      <c r="J1318" s="742">
        <f>Calculs!CF1390</f>
        <v>0</v>
      </c>
      <c r="K1318" s="742"/>
      <c r="L1318" s="742">
        <f>Calculs!CH1390</f>
        <v>0</v>
      </c>
    </row>
    <row r="1319" spans="2:12">
      <c r="B1319" s="742">
        <f>Calculs!B1391</f>
        <v>0</v>
      </c>
      <c r="C1319" s="742">
        <f>Calculs!BY1391</f>
        <v>0</v>
      </c>
      <c r="D1319" s="742">
        <f>Calculs!BZ1391</f>
        <v>0</v>
      </c>
      <c r="E1319" s="742">
        <f>Calculs!CA1391</f>
        <v>0</v>
      </c>
      <c r="F1319" s="742">
        <f>Calculs!CB1391</f>
        <v>0</v>
      </c>
      <c r="G1319" s="742">
        <f>Calculs!CC1391</f>
        <v>0</v>
      </c>
      <c r="H1319" s="742"/>
      <c r="I1319" s="742">
        <f>Calculs!CE1391</f>
        <v>0</v>
      </c>
      <c r="J1319" s="742">
        <f>Calculs!CF1391</f>
        <v>0</v>
      </c>
      <c r="K1319" s="742"/>
      <c r="L1319" s="742">
        <f>Calculs!CH1391</f>
        <v>0</v>
      </c>
    </row>
    <row r="1320" spans="2:12">
      <c r="B1320" s="742">
        <f>Calculs!B1392</f>
        <v>0</v>
      </c>
      <c r="C1320" s="742">
        <f>Calculs!BY1392</f>
        <v>0</v>
      </c>
      <c r="D1320" s="742">
        <f>Calculs!BZ1392</f>
        <v>0</v>
      </c>
      <c r="E1320" s="742">
        <f>Calculs!CA1392</f>
        <v>0</v>
      </c>
      <c r="F1320" s="742">
        <f>Calculs!CB1392</f>
        <v>0</v>
      </c>
      <c r="G1320" s="742">
        <f>Calculs!CC1392</f>
        <v>0</v>
      </c>
      <c r="H1320" s="742"/>
      <c r="I1320" s="742">
        <f>Calculs!CE1392</f>
        <v>0</v>
      </c>
      <c r="J1320" s="742">
        <f>Calculs!CF1392</f>
        <v>0</v>
      </c>
      <c r="K1320" s="742"/>
      <c r="L1320" s="742">
        <f>Calculs!CH1392</f>
        <v>0</v>
      </c>
    </row>
    <row r="1321" spans="2:12">
      <c r="B1321" s="742">
        <f>Calculs!B1393</f>
        <v>0</v>
      </c>
      <c r="C1321" s="742">
        <f>Calculs!BY1393</f>
        <v>0</v>
      </c>
      <c r="D1321" s="742">
        <f>Calculs!BZ1393</f>
        <v>0</v>
      </c>
      <c r="E1321" s="742">
        <f>Calculs!CA1393</f>
        <v>0</v>
      </c>
      <c r="F1321" s="742">
        <f>Calculs!CB1393</f>
        <v>0</v>
      </c>
      <c r="G1321" s="742">
        <f>Calculs!CC1393</f>
        <v>0</v>
      </c>
      <c r="H1321" s="742"/>
      <c r="I1321" s="742">
        <f>Calculs!CE1393</f>
        <v>0</v>
      </c>
      <c r="J1321" s="742">
        <f>Calculs!CF1393</f>
        <v>0</v>
      </c>
      <c r="K1321" s="742"/>
      <c r="L1321" s="742">
        <f>Calculs!CH1393</f>
        <v>0</v>
      </c>
    </row>
    <row r="1322" spans="2:12">
      <c r="B1322" s="742">
        <f>Calculs!B1394</f>
        <v>0</v>
      </c>
      <c r="C1322" s="742">
        <f>Calculs!BY1394</f>
        <v>0</v>
      </c>
      <c r="D1322" s="742">
        <f>Calculs!BZ1394</f>
        <v>0</v>
      </c>
      <c r="E1322" s="742">
        <f>Calculs!CA1394</f>
        <v>0</v>
      </c>
      <c r="F1322" s="742">
        <f>Calculs!CB1394</f>
        <v>0</v>
      </c>
      <c r="G1322" s="742">
        <f>Calculs!CC1394</f>
        <v>0</v>
      </c>
      <c r="H1322" s="742"/>
      <c r="I1322" s="742">
        <f>Calculs!CE1394</f>
        <v>0</v>
      </c>
      <c r="J1322" s="742">
        <f>Calculs!CF1394</f>
        <v>0</v>
      </c>
      <c r="K1322" s="742"/>
      <c r="L1322" s="742">
        <f>Calculs!CH1394</f>
        <v>0</v>
      </c>
    </row>
    <row r="1323" spans="2:12">
      <c r="B1323" s="742">
        <f>Calculs!B1395</f>
        <v>0</v>
      </c>
      <c r="C1323" s="742">
        <f>Calculs!BY1395</f>
        <v>0</v>
      </c>
      <c r="D1323" s="742">
        <f>Calculs!BZ1395</f>
        <v>0</v>
      </c>
      <c r="E1323" s="742">
        <f>Calculs!CA1395</f>
        <v>0</v>
      </c>
      <c r="F1323" s="742">
        <f>Calculs!CB1395</f>
        <v>0</v>
      </c>
      <c r="G1323" s="742">
        <f>Calculs!CC1395</f>
        <v>0</v>
      </c>
      <c r="H1323" s="742"/>
      <c r="I1323" s="742">
        <f>Calculs!CE1395</f>
        <v>0</v>
      </c>
      <c r="J1323" s="742">
        <f>Calculs!CF1395</f>
        <v>0</v>
      </c>
      <c r="K1323" s="742"/>
      <c r="L1323" s="742">
        <f>Calculs!CH1395</f>
        <v>0</v>
      </c>
    </row>
    <row r="1324" spans="2:12">
      <c r="B1324" s="742">
        <f>Calculs!B1396</f>
        <v>0</v>
      </c>
      <c r="C1324" s="742">
        <f>Calculs!BY1396</f>
        <v>0</v>
      </c>
      <c r="D1324" s="742">
        <f>Calculs!BZ1396</f>
        <v>0</v>
      </c>
      <c r="E1324" s="742">
        <f>Calculs!CA1396</f>
        <v>0</v>
      </c>
      <c r="F1324" s="742">
        <f>Calculs!CB1396</f>
        <v>0</v>
      </c>
      <c r="G1324" s="742">
        <f>Calculs!CC1396</f>
        <v>0</v>
      </c>
      <c r="H1324" s="742"/>
      <c r="I1324" s="742">
        <f>Calculs!CE1396</f>
        <v>0</v>
      </c>
      <c r="J1324" s="742">
        <f>Calculs!CF1396</f>
        <v>0</v>
      </c>
      <c r="K1324" s="742"/>
      <c r="L1324" s="742">
        <f>Calculs!CH1396</f>
        <v>0</v>
      </c>
    </row>
    <row r="1325" spans="2:12">
      <c r="B1325" s="742">
        <f>Calculs!B1397</f>
        <v>0</v>
      </c>
      <c r="C1325" s="742">
        <f>Calculs!BY1397</f>
        <v>0</v>
      </c>
      <c r="D1325" s="742">
        <f>Calculs!BZ1397</f>
        <v>0</v>
      </c>
      <c r="E1325" s="742">
        <f>Calculs!CA1397</f>
        <v>0</v>
      </c>
      <c r="F1325" s="742">
        <f>Calculs!CB1397</f>
        <v>0</v>
      </c>
      <c r="G1325" s="742">
        <f>Calculs!CC1397</f>
        <v>0</v>
      </c>
      <c r="H1325" s="742"/>
      <c r="I1325" s="742">
        <f>Calculs!CE1397</f>
        <v>0</v>
      </c>
      <c r="J1325" s="742">
        <f>Calculs!CF1397</f>
        <v>0</v>
      </c>
      <c r="K1325" s="742"/>
      <c r="L1325" s="742">
        <f>Calculs!CH1397</f>
        <v>0</v>
      </c>
    </row>
    <row r="1326" spans="2:12">
      <c r="B1326" s="742">
        <f>Calculs!B1398</f>
        <v>0</v>
      </c>
      <c r="C1326" s="742">
        <f>Calculs!BY1398</f>
        <v>0</v>
      </c>
      <c r="D1326" s="742">
        <f>Calculs!BZ1398</f>
        <v>0</v>
      </c>
      <c r="E1326" s="742">
        <f>Calculs!CA1398</f>
        <v>0</v>
      </c>
      <c r="F1326" s="742">
        <f>Calculs!CB1398</f>
        <v>0</v>
      </c>
      <c r="G1326" s="742">
        <f>Calculs!CC1398</f>
        <v>0</v>
      </c>
      <c r="H1326" s="742"/>
      <c r="I1326" s="742">
        <f>Calculs!CE1398</f>
        <v>0</v>
      </c>
      <c r="J1326" s="742">
        <f>Calculs!CF1398</f>
        <v>0</v>
      </c>
      <c r="K1326" s="742"/>
      <c r="L1326" s="742">
        <f>Calculs!CH1398</f>
        <v>0</v>
      </c>
    </row>
    <row r="1327" spans="2:12">
      <c r="B1327" s="742">
        <f>Calculs!B1399</f>
        <v>0</v>
      </c>
      <c r="C1327" s="742">
        <f>Calculs!BY1399</f>
        <v>0</v>
      </c>
      <c r="D1327" s="742">
        <f>Calculs!BZ1399</f>
        <v>0</v>
      </c>
      <c r="E1327" s="742">
        <f>Calculs!CA1399</f>
        <v>0</v>
      </c>
      <c r="F1327" s="742">
        <f>Calculs!CB1399</f>
        <v>0</v>
      </c>
      <c r="G1327" s="742">
        <f>Calculs!CC1399</f>
        <v>0</v>
      </c>
      <c r="H1327" s="742"/>
      <c r="I1327" s="742">
        <f>Calculs!CE1399</f>
        <v>0</v>
      </c>
      <c r="J1327" s="742">
        <f>Calculs!CF1399</f>
        <v>0</v>
      </c>
      <c r="K1327" s="742"/>
      <c r="L1327" s="742">
        <f>Calculs!CH1399</f>
        <v>0</v>
      </c>
    </row>
    <row r="1328" spans="2:12">
      <c r="B1328" s="742">
        <f>Calculs!B1400</f>
        <v>0</v>
      </c>
      <c r="C1328" s="742">
        <f>Calculs!BY1400</f>
        <v>0</v>
      </c>
      <c r="D1328" s="742">
        <f>Calculs!BZ1400</f>
        <v>0</v>
      </c>
      <c r="E1328" s="742">
        <f>Calculs!CA1400</f>
        <v>0</v>
      </c>
      <c r="F1328" s="742">
        <f>Calculs!CB1400</f>
        <v>0</v>
      </c>
      <c r="G1328" s="742">
        <f>Calculs!CC1400</f>
        <v>0</v>
      </c>
      <c r="H1328" s="742"/>
      <c r="I1328" s="742">
        <f>Calculs!CE1400</f>
        <v>0</v>
      </c>
      <c r="J1328" s="742">
        <f>Calculs!CF1400</f>
        <v>0</v>
      </c>
      <c r="K1328" s="742"/>
      <c r="L1328" s="742">
        <f>Calculs!CH1400</f>
        <v>0</v>
      </c>
    </row>
    <row r="1329" spans="2:12">
      <c r="B1329" s="742">
        <f>Calculs!B1401</f>
        <v>0</v>
      </c>
      <c r="C1329" s="742">
        <f>Calculs!BY1401</f>
        <v>0</v>
      </c>
      <c r="D1329" s="742">
        <f>Calculs!BZ1401</f>
        <v>0</v>
      </c>
      <c r="E1329" s="742">
        <f>Calculs!CA1401</f>
        <v>0</v>
      </c>
      <c r="F1329" s="742">
        <f>Calculs!CB1401</f>
        <v>0</v>
      </c>
      <c r="G1329" s="742">
        <f>Calculs!CC1401</f>
        <v>0</v>
      </c>
      <c r="H1329" s="742"/>
      <c r="I1329" s="742">
        <f>Calculs!CE1401</f>
        <v>0</v>
      </c>
      <c r="J1329" s="742">
        <f>Calculs!CF1401</f>
        <v>0</v>
      </c>
      <c r="K1329" s="742"/>
      <c r="L1329" s="742">
        <f>Calculs!CH1401</f>
        <v>0</v>
      </c>
    </row>
    <row r="1330" spans="2:12">
      <c r="B1330" s="742">
        <f>Calculs!B1402</f>
        <v>0</v>
      </c>
      <c r="C1330" s="742">
        <f>Calculs!BY1402</f>
        <v>0</v>
      </c>
      <c r="D1330" s="742">
        <f>Calculs!BZ1402</f>
        <v>0</v>
      </c>
      <c r="E1330" s="742">
        <f>Calculs!CA1402</f>
        <v>0</v>
      </c>
      <c r="F1330" s="742">
        <f>Calculs!CB1402</f>
        <v>0</v>
      </c>
      <c r="G1330" s="742">
        <f>Calculs!CC1402</f>
        <v>0</v>
      </c>
      <c r="H1330" s="742"/>
      <c r="I1330" s="742">
        <f>Calculs!CE1402</f>
        <v>0</v>
      </c>
      <c r="J1330" s="742">
        <f>Calculs!CF1402</f>
        <v>0</v>
      </c>
      <c r="K1330" s="742"/>
      <c r="L1330" s="742">
        <f>Calculs!CH1402</f>
        <v>0</v>
      </c>
    </row>
    <row r="1331" spans="2:12">
      <c r="B1331" s="742">
        <f>Calculs!B1403</f>
        <v>0</v>
      </c>
      <c r="C1331" s="742">
        <f>Calculs!BY1403</f>
        <v>0</v>
      </c>
      <c r="D1331" s="742">
        <f>Calculs!BZ1403</f>
        <v>0</v>
      </c>
      <c r="E1331" s="742">
        <f>Calculs!CA1403</f>
        <v>0</v>
      </c>
      <c r="F1331" s="742">
        <f>Calculs!CB1403</f>
        <v>0</v>
      </c>
      <c r="G1331" s="742">
        <f>Calculs!CC1403</f>
        <v>0</v>
      </c>
      <c r="H1331" s="742"/>
      <c r="I1331" s="742">
        <f>Calculs!CE1403</f>
        <v>0</v>
      </c>
      <c r="J1331" s="742">
        <f>Calculs!CF1403</f>
        <v>0</v>
      </c>
      <c r="K1331" s="742"/>
      <c r="L1331" s="742">
        <f>Calculs!CH1403</f>
        <v>0</v>
      </c>
    </row>
    <row r="1332" spans="2:12">
      <c r="B1332" s="742">
        <f>Calculs!B1404</f>
        <v>0</v>
      </c>
      <c r="C1332" s="742">
        <f>Calculs!BY1404</f>
        <v>0</v>
      </c>
      <c r="D1332" s="742">
        <f>Calculs!BZ1404</f>
        <v>0</v>
      </c>
      <c r="E1332" s="742">
        <f>Calculs!CA1404</f>
        <v>0</v>
      </c>
      <c r="F1332" s="742">
        <f>Calculs!CB1404</f>
        <v>0</v>
      </c>
      <c r="G1332" s="742">
        <f>Calculs!CC1404</f>
        <v>0</v>
      </c>
      <c r="H1332" s="742"/>
      <c r="I1332" s="742">
        <f>Calculs!CE1404</f>
        <v>0</v>
      </c>
      <c r="J1332" s="742">
        <f>Calculs!CF1404</f>
        <v>0</v>
      </c>
      <c r="K1332" s="742"/>
      <c r="L1332" s="742">
        <f>Calculs!CH1404</f>
        <v>0</v>
      </c>
    </row>
    <row r="1333" spans="2:12">
      <c r="B1333" s="742">
        <f>Calculs!B1405</f>
        <v>0</v>
      </c>
      <c r="C1333" s="742">
        <f>Calculs!BY1405</f>
        <v>0</v>
      </c>
      <c r="D1333" s="742">
        <f>Calculs!BZ1405</f>
        <v>0</v>
      </c>
      <c r="E1333" s="742">
        <f>Calculs!CA1405</f>
        <v>0</v>
      </c>
      <c r="F1333" s="742">
        <f>Calculs!CB1405</f>
        <v>0</v>
      </c>
      <c r="G1333" s="742">
        <f>Calculs!CC1405</f>
        <v>0</v>
      </c>
      <c r="H1333" s="742"/>
      <c r="I1333" s="742">
        <f>Calculs!CE1405</f>
        <v>0</v>
      </c>
      <c r="J1333" s="742">
        <f>Calculs!CF1405</f>
        <v>0</v>
      </c>
      <c r="K1333" s="742"/>
      <c r="L1333" s="742">
        <f>Calculs!CH1405</f>
        <v>0</v>
      </c>
    </row>
    <row r="1334" spans="2:12">
      <c r="B1334" s="742">
        <f>Calculs!B1406</f>
        <v>0</v>
      </c>
      <c r="C1334" s="742">
        <f>Calculs!BY1406</f>
        <v>0</v>
      </c>
      <c r="D1334" s="742">
        <f>Calculs!BZ1406</f>
        <v>0</v>
      </c>
      <c r="E1334" s="742">
        <f>Calculs!CA1406</f>
        <v>0</v>
      </c>
      <c r="F1334" s="742">
        <f>Calculs!CB1406</f>
        <v>0</v>
      </c>
      <c r="G1334" s="742">
        <f>Calculs!CC1406</f>
        <v>0</v>
      </c>
      <c r="H1334" s="742"/>
      <c r="I1334" s="742">
        <f>Calculs!CE1406</f>
        <v>0</v>
      </c>
      <c r="J1334" s="742">
        <f>Calculs!CF1406</f>
        <v>0</v>
      </c>
      <c r="K1334" s="742"/>
      <c r="L1334" s="742">
        <f>Calculs!CH1406</f>
        <v>0</v>
      </c>
    </row>
    <row r="1335" spans="2:12">
      <c r="B1335" s="742">
        <f>Calculs!B1407</f>
        <v>0</v>
      </c>
      <c r="C1335" s="742">
        <f>Calculs!BY1407</f>
        <v>0</v>
      </c>
      <c r="D1335" s="742">
        <f>Calculs!BZ1407</f>
        <v>0</v>
      </c>
      <c r="E1335" s="742">
        <f>Calculs!CA1407</f>
        <v>0</v>
      </c>
      <c r="F1335" s="742">
        <f>Calculs!CB1407</f>
        <v>0</v>
      </c>
      <c r="G1335" s="742">
        <f>Calculs!CC1407</f>
        <v>0</v>
      </c>
      <c r="H1335" s="742"/>
      <c r="I1335" s="742">
        <f>Calculs!CE1407</f>
        <v>0</v>
      </c>
      <c r="J1335" s="742">
        <f>Calculs!CF1407</f>
        <v>0</v>
      </c>
      <c r="K1335" s="742"/>
      <c r="L1335" s="742">
        <f>Calculs!CH1407</f>
        <v>0</v>
      </c>
    </row>
    <row r="1336" spans="2:12">
      <c r="B1336" s="742">
        <f>Calculs!B1408</f>
        <v>0</v>
      </c>
      <c r="C1336" s="742">
        <f>Calculs!BY1408</f>
        <v>0</v>
      </c>
      <c r="D1336" s="742">
        <f>Calculs!BZ1408</f>
        <v>0</v>
      </c>
      <c r="E1336" s="742">
        <f>Calculs!CA1408</f>
        <v>0</v>
      </c>
      <c r="F1336" s="742">
        <f>Calculs!CB1408</f>
        <v>0</v>
      </c>
      <c r="G1336" s="742">
        <f>Calculs!CC1408</f>
        <v>0</v>
      </c>
      <c r="H1336" s="742"/>
      <c r="I1336" s="742">
        <f>Calculs!CE1408</f>
        <v>0</v>
      </c>
      <c r="J1336" s="742">
        <f>Calculs!CF1408</f>
        <v>0</v>
      </c>
      <c r="K1336" s="742"/>
      <c r="L1336" s="742">
        <f>Calculs!CH1408</f>
        <v>0</v>
      </c>
    </row>
    <row r="1337" spans="2:12">
      <c r="B1337" s="742">
        <f>Calculs!B1409</f>
        <v>0</v>
      </c>
      <c r="C1337" s="742">
        <f>Calculs!BY1409</f>
        <v>0</v>
      </c>
      <c r="D1337" s="742">
        <f>Calculs!BZ1409</f>
        <v>0</v>
      </c>
      <c r="E1337" s="742">
        <f>Calculs!CA1409</f>
        <v>0</v>
      </c>
      <c r="F1337" s="742">
        <f>Calculs!CB1409</f>
        <v>0</v>
      </c>
      <c r="G1337" s="742">
        <f>Calculs!CC1409</f>
        <v>0</v>
      </c>
      <c r="H1337" s="742"/>
      <c r="I1337" s="742">
        <f>Calculs!CE1409</f>
        <v>0</v>
      </c>
      <c r="J1337" s="742">
        <f>Calculs!CF1409</f>
        <v>0</v>
      </c>
      <c r="K1337" s="742"/>
      <c r="L1337" s="742">
        <f>Calculs!CH1409</f>
        <v>0</v>
      </c>
    </row>
    <row r="1338" spans="2:12">
      <c r="B1338" s="742">
        <f>Calculs!B1410</f>
        <v>0</v>
      </c>
      <c r="C1338" s="742">
        <f>Calculs!BY1410</f>
        <v>0</v>
      </c>
      <c r="D1338" s="742">
        <f>Calculs!BZ1410</f>
        <v>0</v>
      </c>
      <c r="E1338" s="742">
        <f>Calculs!CA1410</f>
        <v>0</v>
      </c>
      <c r="F1338" s="742">
        <f>Calculs!CB1410</f>
        <v>0</v>
      </c>
      <c r="G1338" s="742">
        <f>Calculs!CC1410</f>
        <v>0</v>
      </c>
      <c r="H1338" s="742"/>
      <c r="I1338" s="742">
        <f>Calculs!CE1410</f>
        <v>0</v>
      </c>
      <c r="J1338" s="742">
        <f>Calculs!CF1410</f>
        <v>0</v>
      </c>
      <c r="K1338" s="742"/>
      <c r="L1338" s="742">
        <f>Calculs!CH1410</f>
        <v>0</v>
      </c>
    </row>
    <row r="1339" spans="2:12">
      <c r="B1339" s="742">
        <f>Calculs!B1411</f>
        <v>0</v>
      </c>
      <c r="C1339" s="742">
        <f>Calculs!BY1411</f>
        <v>0</v>
      </c>
      <c r="D1339" s="742">
        <f>Calculs!BZ1411</f>
        <v>0</v>
      </c>
      <c r="E1339" s="742">
        <f>Calculs!CA1411</f>
        <v>0</v>
      </c>
      <c r="F1339" s="742">
        <f>Calculs!CB1411</f>
        <v>0</v>
      </c>
      <c r="G1339" s="742">
        <f>Calculs!CC1411</f>
        <v>0</v>
      </c>
      <c r="H1339" s="742"/>
      <c r="I1339" s="742">
        <f>Calculs!CE1411</f>
        <v>0</v>
      </c>
      <c r="J1339" s="742">
        <f>Calculs!CF1411</f>
        <v>0</v>
      </c>
      <c r="K1339" s="742"/>
      <c r="L1339" s="742">
        <f>Calculs!CH1411</f>
        <v>0</v>
      </c>
    </row>
    <row r="1340" spans="2:12">
      <c r="B1340" s="742">
        <f>Calculs!B1412</f>
        <v>0</v>
      </c>
      <c r="C1340" s="742">
        <f>Calculs!BY1412</f>
        <v>0</v>
      </c>
      <c r="D1340" s="742">
        <f>Calculs!BZ1412</f>
        <v>0</v>
      </c>
      <c r="E1340" s="742">
        <f>Calculs!CA1412</f>
        <v>0</v>
      </c>
      <c r="F1340" s="742">
        <f>Calculs!CB1412</f>
        <v>0</v>
      </c>
      <c r="G1340" s="742">
        <f>Calculs!CC1412</f>
        <v>0</v>
      </c>
      <c r="H1340" s="742"/>
      <c r="I1340" s="742">
        <f>Calculs!CE1412</f>
        <v>0</v>
      </c>
      <c r="J1340" s="742">
        <f>Calculs!CF1412</f>
        <v>0</v>
      </c>
      <c r="K1340" s="742"/>
      <c r="L1340" s="742">
        <f>Calculs!CH1412</f>
        <v>0</v>
      </c>
    </row>
    <row r="1341" spans="2:12">
      <c r="B1341" s="742">
        <f>Calculs!B1413</f>
        <v>0</v>
      </c>
      <c r="C1341" s="742">
        <f>Calculs!BY1413</f>
        <v>0</v>
      </c>
      <c r="D1341" s="742">
        <f>Calculs!BZ1413</f>
        <v>0</v>
      </c>
      <c r="E1341" s="742">
        <f>Calculs!CA1413</f>
        <v>0</v>
      </c>
      <c r="F1341" s="742">
        <f>Calculs!CB1413</f>
        <v>0</v>
      </c>
      <c r="G1341" s="742">
        <f>Calculs!CC1413</f>
        <v>0</v>
      </c>
      <c r="H1341" s="742"/>
      <c r="I1341" s="742">
        <f>Calculs!CE1413</f>
        <v>0</v>
      </c>
      <c r="J1341" s="742">
        <f>Calculs!CF1413</f>
        <v>0</v>
      </c>
      <c r="K1341" s="742"/>
      <c r="L1341" s="742">
        <f>Calculs!CH1413</f>
        <v>0</v>
      </c>
    </row>
    <row r="1342" spans="2:12">
      <c r="B1342" s="742">
        <f>Calculs!B1414</f>
        <v>0</v>
      </c>
      <c r="C1342" s="742">
        <f>Calculs!BY1414</f>
        <v>0</v>
      </c>
      <c r="D1342" s="742">
        <f>Calculs!BZ1414</f>
        <v>0</v>
      </c>
      <c r="E1342" s="742">
        <f>Calculs!CA1414</f>
        <v>0</v>
      </c>
      <c r="F1342" s="742">
        <f>Calculs!CB1414</f>
        <v>0</v>
      </c>
      <c r="G1342" s="742">
        <f>Calculs!CC1414</f>
        <v>0</v>
      </c>
      <c r="H1342" s="742"/>
      <c r="I1342" s="742">
        <f>Calculs!CE1414</f>
        <v>0</v>
      </c>
      <c r="J1342" s="742">
        <f>Calculs!CF1414</f>
        <v>0</v>
      </c>
      <c r="K1342" s="742"/>
      <c r="L1342" s="742">
        <f>Calculs!CH1414</f>
        <v>0</v>
      </c>
    </row>
    <row r="1343" spans="2:12">
      <c r="B1343" s="742">
        <f>Calculs!B1415</f>
        <v>0</v>
      </c>
      <c r="C1343" s="742">
        <f>Calculs!BY1415</f>
        <v>0</v>
      </c>
      <c r="D1343" s="742">
        <f>Calculs!BZ1415</f>
        <v>0</v>
      </c>
      <c r="E1343" s="742">
        <f>Calculs!CA1415</f>
        <v>0</v>
      </c>
      <c r="F1343" s="742">
        <f>Calculs!CB1415</f>
        <v>0</v>
      </c>
      <c r="G1343" s="742">
        <f>Calculs!CC1415</f>
        <v>0</v>
      </c>
      <c r="H1343" s="742"/>
      <c r="I1343" s="742">
        <f>Calculs!CE1415</f>
        <v>0</v>
      </c>
      <c r="J1343" s="742">
        <f>Calculs!CF1415</f>
        <v>0</v>
      </c>
      <c r="K1343" s="742"/>
      <c r="L1343" s="742">
        <f>Calculs!CH1415</f>
        <v>0</v>
      </c>
    </row>
    <row r="1344" spans="2:12">
      <c r="B1344" s="742">
        <f>Calculs!B1416</f>
        <v>0</v>
      </c>
      <c r="C1344" s="742">
        <f>Calculs!BY1416</f>
        <v>0</v>
      </c>
      <c r="D1344" s="742">
        <f>Calculs!BZ1416</f>
        <v>0</v>
      </c>
      <c r="E1344" s="742">
        <f>Calculs!CA1416</f>
        <v>0</v>
      </c>
      <c r="F1344" s="742">
        <f>Calculs!CB1416</f>
        <v>0</v>
      </c>
      <c r="G1344" s="742">
        <f>Calculs!CC1416</f>
        <v>0</v>
      </c>
      <c r="H1344" s="742"/>
      <c r="I1344" s="742">
        <f>Calculs!CE1416</f>
        <v>0</v>
      </c>
      <c r="J1344" s="742">
        <f>Calculs!CF1416</f>
        <v>0</v>
      </c>
      <c r="K1344" s="742"/>
      <c r="L1344" s="742">
        <f>Calculs!CH1416</f>
        <v>0</v>
      </c>
    </row>
    <row r="1345" spans="2:12">
      <c r="B1345" s="742">
        <f>Calculs!B1417</f>
        <v>0</v>
      </c>
      <c r="C1345" s="742">
        <f>Calculs!BY1417</f>
        <v>0</v>
      </c>
      <c r="D1345" s="742">
        <f>Calculs!BZ1417</f>
        <v>0</v>
      </c>
      <c r="E1345" s="742">
        <f>Calculs!CA1417</f>
        <v>0</v>
      </c>
      <c r="F1345" s="742">
        <f>Calculs!CB1417</f>
        <v>0</v>
      </c>
      <c r="G1345" s="742">
        <f>Calculs!CC1417</f>
        <v>0</v>
      </c>
      <c r="H1345" s="742"/>
      <c r="I1345" s="742">
        <f>Calculs!CE1417</f>
        <v>0</v>
      </c>
      <c r="J1345" s="742">
        <f>Calculs!CF1417</f>
        <v>0</v>
      </c>
      <c r="K1345" s="742"/>
      <c r="L1345" s="742">
        <f>Calculs!CH1417</f>
        <v>0</v>
      </c>
    </row>
    <row r="1346" spans="2:12">
      <c r="B1346" s="742">
        <f>Calculs!B1418</f>
        <v>0</v>
      </c>
      <c r="C1346" s="742">
        <f>Calculs!BY1418</f>
        <v>0</v>
      </c>
      <c r="D1346" s="742">
        <f>Calculs!BZ1418</f>
        <v>0</v>
      </c>
      <c r="E1346" s="742">
        <f>Calculs!CA1418</f>
        <v>0</v>
      </c>
      <c r="F1346" s="742">
        <f>Calculs!CB1418</f>
        <v>0</v>
      </c>
      <c r="G1346" s="742">
        <f>Calculs!CC1418</f>
        <v>0</v>
      </c>
      <c r="H1346" s="742"/>
      <c r="I1346" s="742">
        <f>Calculs!CE1418</f>
        <v>0</v>
      </c>
      <c r="J1346" s="742">
        <f>Calculs!CF1418</f>
        <v>0</v>
      </c>
      <c r="K1346" s="742"/>
      <c r="L1346" s="742">
        <f>Calculs!CH1418</f>
        <v>0</v>
      </c>
    </row>
    <row r="1347" spans="2:12">
      <c r="B1347" s="742">
        <f>Calculs!B1419</f>
        <v>0</v>
      </c>
      <c r="C1347" s="742">
        <f>Calculs!BY1419</f>
        <v>0</v>
      </c>
      <c r="D1347" s="742">
        <f>Calculs!BZ1419</f>
        <v>0</v>
      </c>
      <c r="E1347" s="742">
        <f>Calculs!CA1419</f>
        <v>0</v>
      </c>
      <c r="F1347" s="742">
        <f>Calculs!CB1419</f>
        <v>0</v>
      </c>
      <c r="G1347" s="742">
        <f>Calculs!CC1419</f>
        <v>0</v>
      </c>
      <c r="H1347" s="742"/>
      <c r="I1347" s="742">
        <f>Calculs!CE1419</f>
        <v>0</v>
      </c>
      <c r="J1347" s="742">
        <f>Calculs!CF1419</f>
        <v>0</v>
      </c>
      <c r="K1347" s="742"/>
      <c r="L1347" s="742">
        <f>Calculs!CH1419</f>
        <v>0</v>
      </c>
    </row>
    <row r="1348" spans="2:12">
      <c r="B1348" s="742">
        <f>Calculs!B1420</f>
        <v>0</v>
      </c>
      <c r="C1348" s="742">
        <f>Calculs!BY1420</f>
        <v>0</v>
      </c>
      <c r="D1348" s="742">
        <f>Calculs!BZ1420</f>
        <v>0</v>
      </c>
      <c r="E1348" s="742">
        <f>Calculs!CA1420</f>
        <v>0</v>
      </c>
      <c r="F1348" s="742">
        <f>Calculs!CB1420</f>
        <v>0</v>
      </c>
      <c r="G1348" s="742">
        <f>Calculs!CC1420</f>
        <v>0</v>
      </c>
      <c r="H1348" s="742"/>
      <c r="I1348" s="742">
        <f>Calculs!CE1420</f>
        <v>0</v>
      </c>
      <c r="J1348" s="742">
        <f>Calculs!CF1420</f>
        <v>0</v>
      </c>
      <c r="K1348" s="742"/>
      <c r="L1348" s="742">
        <f>Calculs!CH1420</f>
        <v>0</v>
      </c>
    </row>
    <row r="1349" spans="2:12">
      <c r="B1349" s="742">
        <f>Calculs!B1421</f>
        <v>0</v>
      </c>
      <c r="C1349" s="742">
        <f>Calculs!BY1421</f>
        <v>0</v>
      </c>
      <c r="D1349" s="742">
        <f>Calculs!BZ1421</f>
        <v>0</v>
      </c>
      <c r="E1349" s="742">
        <f>Calculs!CA1421</f>
        <v>0</v>
      </c>
      <c r="F1349" s="742">
        <f>Calculs!CB1421</f>
        <v>0</v>
      </c>
      <c r="G1349" s="742">
        <f>Calculs!CC1421</f>
        <v>0</v>
      </c>
      <c r="H1349" s="742"/>
      <c r="I1349" s="742">
        <f>Calculs!CE1421</f>
        <v>0</v>
      </c>
      <c r="J1349" s="742">
        <f>Calculs!CF1421</f>
        <v>0</v>
      </c>
      <c r="K1349" s="742"/>
      <c r="L1349" s="742">
        <f>Calculs!CH1421</f>
        <v>0</v>
      </c>
    </row>
    <row r="1350" spans="2:12">
      <c r="B1350" s="742">
        <f>Calculs!B1422</f>
        <v>0</v>
      </c>
      <c r="C1350" s="742">
        <f>Calculs!BY1422</f>
        <v>0</v>
      </c>
      <c r="D1350" s="742">
        <f>Calculs!BZ1422</f>
        <v>0</v>
      </c>
      <c r="E1350" s="742">
        <f>Calculs!CA1422</f>
        <v>0</v>
      </c>
      <c r="F1350" s="742">
        <f>Calculs!CB1422</f>
        <v>0</v>
      </c>
      <c r="G1350" s="742">
        <f>Calculs!CC1422</f>
        <v>0</v>
      </c>
      <c r="H1350" s="742"/>
      <c r="I1350" s="742">
        <f>Calculs!CE1422</f>
        <v>0</v>
      </c>
      <c r="J1350" s="742">
        <f>Calculs!CF1422</f>
        <v>0</v>
      </c>
      <c r="K1350" s="742"/>
      <c r="L1350" s="742">
        <f>Calculs!CH1422</f>
        <v>0</v>
      </c>
    </row>
    <row r="1351" spans="2:12">
      <c r="B1351" s="742">
        <f>Calculs!B1423</f>
        <v>0</v>
      </c>
      <c r="C1351" s="742">
        <f>Calculs!BY1423</f>
        <v>0</v>
      </c>
      <c r="D1351" s="742">
        <f>Calculs!BZ1423</f>
        <v>0</v>
      </c>
      <c r="E1351" s="742">
        <f>Calculs!CA1423</f>
        <v>0</v>
      </c>
      <c r="F1351" s="742">
        <f>Calculs!CB1423</f>
        <v>0</v>
      </c>
      <c r="G1351" s="742">
        <f>Calculs!CC1423</f>
        <v>0</v>
      </c>
      <c r="H1351" s="742"/>
      <c r="I1351" s="742">
        <f>Calculs!CE1423</f>
        <v>0</v>
      </c>
      <c r="J1351" s="742">
        <f>Calculs!CF1423</f>
        <v>0</v>
      </c>
      <c r="K1351" s="742"/>
      <c r="L1351" s="742">
        <f>Calculs!CH1423</f>
        <v>0</v>
      </c>
    </row>
    <row r="1352" spans="2:12">
      <c r="B1352" s="742">
        <f>Calculs!B1424</f>
        <v>0</v>
      </c>
      <c r="C1352" s="742">
        <f>Calculs!BY1424</f>
        <v>0</v>
      </c>
      <c r="D1352" s="742">
        <f>Calculs!BZ1424</f>
        <v>0</v>
      </c>
      <c r="E1352" s="742">
        <f>Calculs!CA1424</f>
        <v>0</v>
      </c>
      <c r="F1352" s="742">
        <f>Calculs!CB1424</f>
        <v>0</v>
      </c>
      <c r="G1352" s="742">
        <f>Calculs!CC1424</f>
        <v>0</v>
      </c>
      <c r="H1352" s="742"/>
      <c r="I1352" s="742">
        <f>Calculs!CE1424</f>
        <v>0</v>
      </c>
      <c r="J1352" s="742">
        <f>Calculs!CF1424</f>
        <v>0</v>
      </c>
      <c r="K1352" s="742"/>
      <c r="L1352" s="742">
        <f>Calculs!CH1424</f>
        <v>0</v>
      </c>
    </row>
    <row r="1353" spans="2:12">
      <c r="B1353" s="742">
        <f>Calculs!B1425</f>
        <v>0</v>
      </c>
      <c r="C1353" s="742">
        <f>Calculs!BY1425</f>
        <v>0</v>
      </c>
      <c r="D1353" s="742">
        <f>Calculs!BZ1425</f>
        <v>0</v>
      </c>
      <c r="E1353" s="742">
        <f>Calculs!CA1425</f>
        <v>0</v>
      </c>
      <c r="F1353" s="742">
        <f>Calculs!CB1425</f>
        <v>0</v>
      </c>
      <c r="G1353" s="742">
        <f>Calculs!CC1425</f>
        <v>0</v>
      </c>
      <c r="H1353" s="742"/>
      <c r="I1353" s="742">
        <f>Calculs!CE1425</f>
        <v>0</v>
      </c>
      <c r="J1353" s="742">
        <f>Calculs!CF1425</f>
        <v>0</v>
      </c>
      <c r="K1353" s="742"/>
      <c r="L1353" s="742">
        <f>Calculs!CH1425</f>
        <v>0</v>
      </c>
    </row>
    <row r="1354" spans="2:12">
      <c r="B1354" s="742">
        <f>Calculs!B1426</f>
        <v>0</v>
      </c>
      <c r="C1354" s="742">
        <f>Calculs!BY1426</f>
        <v>0</v>
      </c>
      <c r="D1354" s="742">
        <f>Calculs!BZ1426</f>
        <v>0</v>
      </c>
      <c r="E1354" s="742">
        <f>Calculs!CA1426</f>
        <v>0</v>
      </c>
      <c r="F1354" s="742">
        <f>Calculs!CB1426</f>
        <v>0</v>
      </c>
      <c r="G1354" s="742">
        <f>Calculs!CC1426</f>
        <v>0</v>
      </c>
      <c r="H1354" s="742"/>
      <c r="I1354" s="742">
        <f>Calculs!CE1426</f>
        <v>0</v>
      </c>
      <c r="J1354" s="742">
        <f>Calculs!CF1426</f>
        <v>0</v>
      </c>
      <c r="K1354" s="742"/>
      <c r="L1354" s="742">
        <f>Calculs!CH1426</f>
        <v>0</v>
      </c>
    </row>
    <row r="1355" spans="2:12">
      <c r="B1355" s="742">
        <f>Calculs!B1427</f>
        <v>0</v>
      </c>
      <c r="C1355" s="742">
        <f>Calculs!BY1427</f>
        <v>0</v>
      </c>
      <c r="D1355" s="742">
        <f>Calculs!BZ1427</f>
        <v>0</v>
      </c>
      <c r="E1355" s="742">
        <f>Calculs!CA1427</f>
        <v>0</v>
      </c>
      <c r="F1355" s="742">
        <f>Calculs!CB1427</f>
        <v>0</v>
      </c>
      <c r="G1355" s="742">
        <f>Calculs!CC1427</f>
        <v>0</v>
      </c>
      <c r="H1355" s="742"/>
      <c r="I1355" s="742">
        <f>Calculs!CE1427</f>
        <v>0</v>
      </c>
      <c r="J1355" s="742">
        <f>Calculs!CF1427</f>
        <v>0</v>
      </c>
      <c r="K1355" s="742"/>
      <c r="L1355" s="742">
        <f>Calculs!CH1427</f>
        <v>0</v>
      </c>
    </row>
    <row r="1356" spans="2:12">
      <c r="B1356" s="742">
        <f>Calculs!B1428</f>
        <v>0</v>
      </c>
      <c r="C1356" s="742">
        <f>Calculs!BY1428</f>
        <v>0</v>
      </c>
      <c r="D1356" s="742">
        <f>Calculs!BZ1428</f>
        <v>0</v>
      </c>
      <c r="E1356" s="742">
        <f>Calculs!CA1428</f>
        <v>0</v>
      </c>
      <c r="F1356" s="742">
        <f>Calculs!CB1428</f>
        <v>0</v>
      </c>
      <c r="G1356" s="742">
        <f>Calculs!CC1428</f>
        <v>0</v>
      </c>
      <c r="H1356" s="742"/>
      <c r="I1356" s="742">
        <f>Calculs!CE1428</f>
        <v>0</v>
      </c>
      <c r="J1356" s="742">
        <f>Calculs!CF1428</f>
        <v>0</v>
      </c>
      <c r="K1356" s="742"/>
      <c r="L1356" s="742">
        <f>Calculs!CH1428</f>
        <v>0</v>
      </c>
    </row>
    <row r="1357" spans="2:12">
      <c r="B1357" s="742">
        <f>Calculs!B1429</f>
        <v>0</v>
      </c>
      <c r="C1357" s="742">
        <f>Calculs!BY1429</f>
        <v>0</v>
      </c>
      <c r="D1357" s="742">
        <f>Calculs!BZ1429</f>
        <v>0</v>
      </c>
      <c r="E1357" s="742">
        <f>Calculs!CA1429</f>
        <v>0</v>
      </c>
      <c r="F1357" s="742">
        <f>Calculs!CB1429</f>
        <v>0</v>
      </c>
      <c r="G1357" s="742">
        <f>Calculs!CC1429</f>
        <v>0</v>
      </c>
      <c r="H1357" s="742"/>
      <c r="I1357" s="742">
        <f>Calculs!CE1429</f>
        <v>0</v>
      </c>
      <c r="J1357" s="742">
        <f>Calculs!CF1429</f>
        <v>0</v>
      </c>
      <c r="K1357" s="742"/>
      <c r="L1357" s="742">
        <f>Calculs!CH1429</f>
        <v>0</v>
      </c>
    </row>
    <row r="1358" spans="2:12">
      <c r="B1358" s="742">
        <f>Calculs!B1430</f>
        <v>0</v>
      </c>
      <c r="C1358" s="742">
        <f>Calculs!BY1430</f>
        <v>0</v>
      </c>
      <c r="D1358" s="742">
        <f>Calculs!BZ1430</f>
        <v>0</v>
      </c>
      <c r="E1358" s="742">
        <f>Calculs!CA1430</f>
        <v>0</v>
      </c>
      <c r="F1358" s="742">
        <f>Calculs!CB1430</f>
        <v>0</v>
      </c>
      <c r="G1358" s="742">
        <f>Calculs!CC1430</f>
        <v>0</v>
      </c>
      <c r="H1358" s="742"/>
      <c r="I1358" s="742">
        <f>Calculs!CE1430</f>
        <v>0</v>
      </c>
      <c r="J1358" s="742">
        <f>Calculs!CF1430</f>
        <v>0</v>
      </c>
      <c r="K1358" s="742"/>
      <c r="L1358" s="742">
        <f>Calculs!CH1430</f>
        <v>0</v>
      </c>
    </row>
    <row r="1359" spans="2:12">
      <c r="B1359" s="742">
        <f>Calculs!B1431</f>
        <v>0</v>
      </c>
      <c r="C1359" s="742">
        <f>Calculs!BY1431</f>
        <v>0</v>
      </c>
      <c r="D1359" s="742">
        <f>Calculs!BZ1431</f>
        <v>0</v>
      </c>
      <c r="E1359" s="742">
        <f>Calculs!CA1431</f>
        <v>0</v>
      </c>
      <c r="F1359" s="742">
        <f>Calculs!CB1431</f>
        <v>0</v>
      </c>
      <c r="G1359" s="742">
        <f>Calculs!CC1431</f>
        <v>0</v>
      </c>
      <c r="H1359" s="742"/>
      <c r="I1359" s="742">
        <f>Calculs!CE1431</f>
        <v>0</v>
      </c>
      <c r="J1359" s="742">
        <f>Calculs!CF1431</f>
        <v>0</v>
      </c>
      <c r="K1359" s="742"/>
      <c r="L1359" s="742">
        <f>Calculs!CH1431</f>
        <v>0</v>
      </c>
    </row>
    <row r="1360" spans="2:12">
      <c r="B1360" s="742">
        <f>Calculs!B1432</f>
        <v>0</v>
      </c>
      <c r="C1360" s="742">
        <f>Calculs!BY1432</f>
        <v>0</v>
      </c>
      <c r="D1360" s="742">
        <f>Calculs!BZ1432</f>
        <v>0</v>
      </c>
      <c r="E1360" s="742">
        <f>Calculs!CA1432</f>
        <v>0</v>
      </c>
      <c r="F1360" s="742">
        <f>Calculs!CB1432</f>
        <v>0</v>
      </c>
      <c r="G1360" s="742">
        <f>Calculs!CC1432</f>
        <v>0</v>
      </c>
      <c r="H1360" s="742"/>
      <c r="I1360" s="742">
        <f>Calculs!CE1432</f>
        <v>0</v>
      </c>
      <c r="J1360" s="742">
        <f>Calculs!CF1432</f>
        <v>0</v>
      </c>
      <c r="K1360" s="742"/>
      <c r="L1360" s="742">
        <f>Calculs!CH1432</f>
        <v>0</v>
      </c>
    </row>
    <row r="1361" spans="2:12">
      <c r="B1361" s="742">
        <f>Calculs!B1433</f>
        <v>0</v>
      </c>
      <c r="C1361" s="742">
        <f>Calculs!BY1433</f>
        <v>0</v>
      </c>
      <c r="D1361" s="742">
        <f>Calculs!BZ1433</f>
        <v>0</v>
      </c>
      <c r="E1361" s="742">
        <f>Calculs!CA1433</f>
        <v>0</v>
      </c>
      <c r="F1361" s="742">
        <f>Calculs!CB1433</f>
        <v>0</v>
      </c>
      <c r="G1361" s="742">
        <f>Calculs!CC1433</f>
        <v>0</v>
      </c>
      <c r="H1361" s="742"/>
      <c r="I1361" s="742">
        <f>Calculs!CE1433</f>
        <v>0</v>
      </c>
      <c r="J1361" s="742">
        <f>Calculs!CF1433</f>
        <v>0</v>
      </c>
      <c r="K1361" s="742"/>
      <c r="L1361" s="742">
        <f>Calculs!CH1433</f>
        <v>0</v>
      </c>
    </row>
    <row r="1362" spans="2:12">
      <c r="B1362" s="742">
        <f>Calculs!B1434</f>
        <v>0</v>
      </c>
      <c r="C1362" s="742">
        <f>Calculs!BY1434</f>
        <v>0</v>
      </c>
      <c r="D1362" s="742">
        <f>Calculs!BZ1434</f>
        <v>0</v>
      </c>
      <c r="E1362" s="742">
        <f>Calculs!CA1434</f>
        <v>0</v>
      </c>
      <c r="F1362" s="742">
        <f>Calculs!CB1434</f>
        <v>0</v>
      </c>
      <c r="G1362" s="742">
        <f>Calculs!CC1434</f>
        <v>0</v>
      </c>
      <c r="H1362" s="742"/>
      <c r="I1362" s="742">
        <f>Calculs!CE1434</f>
        <v>0</v>
      </c>
      <c r="J1362" s="742">
        <f>Calculs!CF1434</f>
        <v>0</v>
      </c>
      <c r="K1362" s="742"/>
      <c r="L1362" s="742">
        <f>Calculs!CH1434</f>
        <v>0</v>
      </c>
    </row>
    <row r="1363" spans="2:12">
      <c r="B1363" s="742">
        <f>Calculs!B1435</f>
        <v>0</v>
      </c>
      <c r="C1363" s="742">
        <f>Calculs!BY1435</f>
        <v>0</v>
      </c>
      <c r="D1363" s="742">
        <f>Calculs!BZ1435</f>
        <v>0</v>
      </c>
      <c r="E1363" s="742">
        <f>Calculs!CA1435</f>
        <v>0</v>
      </c>
      <c r="F1363" s="742">
        <f>Calculs!CB1435</f>
        <v>0</v>
      </c>
      <c r="G1363" s="742">
        <f>Calculs!CC1435</f>
        <v>0</v>
      </c>
      <c r="H1363" s="742"/>
      <c r="I1363" s="742">
        <f>Calculs!CE1435</f>
        <v>0</v>
      </c>
      <c r="J1363" s="742">
        <f>Calculs!CF1435</f>
        <v>0</v>
      </c>
      <c r="K1363" s="742"/>
      <c r="L1363" s="742">
        <f>Calculs!CH1435</f>
        <v>0</v>
      </c>
    </row>
    <row r="1364" spans="2:12">
      <c r="B1364" s="742">
        <f>Calculs!B1436</f>
        <v>0</v>
      </c>
      <c r="C1364" s="742">
        <f>Calculs!BY1436</f>
        <v>0</v>
      </c>
      <c r="D1364" s="742">
        <f>Calculs!BZ1436</f>
        <v>0</v>
      </c>
      <c r="E1364" s="742">
        <f>Calculs!CA1436</f>
        <v>0</v>
      </c>
      <c r="F1364" s="742">
        <f>Calculs!CB1436</f>
        <v>0</v>
      </c>
      <c r="G1364" s="742">
        <f>Calculs!CC1436</f>
        <v>0</v>
      </c>
      <c r="H1364" s="742"/>
      <c r="I1364" s="742">
        <f>Calculs!CE1436</f>
        <v>0</v>
      </c>
      <c r="J1364" s="742">
        <f>Calculs!CF1436</f>
        <v>0</v>
      </c>
      <c r="K1364" s="742"/>
      <c r="L1364" s="742">
        <f>Calculs!CH1436</f>
        <v>0</v>
      </c>
    </row>
    <row r="1365" spans="2:12">
      <c r="B1365" s="742">
        <f>Calculs!B1437</f>
        <v>0</v>
      </c>
      <c r="C1365" s="742">
        <f>Calculs!BY1437</f>
        <v>0</v>
      </c>
      <c r="D1365" s="742">
        <f>Calculs!BZ1437</f>
        <v>0</v>
      </c>
      <c r="E1365" s="742">
        <f>Calculs!CA1437</f>
        <v>0</v>
      </c>
      <c r="F1365" s="742">
        <f>Calculs!CB1437</f>
        <v>0</v>
      </c>
      <c r="G1365" s="742">
        <f>Calculs!CC1437</f>
        <v>0</v>
      </c>
      <c r="H1365" s="742"/>
      <c r="I1365" s="742">
        <f>Calculs!CE1437</f>
        <v>0</v>
      </c>
      <c r="J1365" s="742">
        <f>Calculs!CF1437</f>
        <v>0</v>
      </c>
      <c r="K1365" s="742"/>
      <c r="L1365" s="742">
        <f>Calculs!CH1437</f>
        <v>0</v>
      </c>
    </row>
    <row r="1366" spans="2:12">
      <c r="B1366" s="742">
        <f>Calculs!B1438</f>
        <v>0</v>
      </c>
      <c r="C1366" s="742">
        <f>Calculs!BY1438</f>
        <v>0</v>
      </c>
      <c r="D1366" s="742">
        <f>Calculs!BZ1438</f>
        <v>0</v>
      </c>
      <c r="E1366" s="742">
        <f>Calculs!CA1438</f>
        <v>0</v>
      </c>
      <c r="F1366" s="742">
        <f>Calculs!CB1438</f>
        <v>0</v>
      </c>
      <c r="G1366" s="742">
        <f>Calculs!CC1438</f>
        <v>0</v>
      </c>
      <c r="H1366" s="742"/>
      <c r="I1366" s="742">
        <f>Calculs!CE1438</f>
        <v>0</v>
      </c>
      <c r="J1366" s="742">
        <f>Calculs!CF1438</f>
        <v>0</v>
      </c>
      <c r="K1366" s="742"/>
      <c r="L1366" s="742">
        <f>Calculs!CH1438</f>
        <v>0</v>
      </c>
    </row>
    <row r="1367" spans="2:12">
      <c r="B1367" s="742">
        <f>Calculs!B1439</f>
        <v>0</v>
      </c>
      <c r="C1367" s="742">
        <f>Calculs!BY1439</f>
        <v>0</v>
      </c>
      <c r="D1367" s="742">
        <f>Calculs!BZ1439</f>
        <v>0</v>
      </c>
      <c r="E1367" s="742">
        <f>Calculs!CA1439</f>
        <v>0</v>
      </c>
      <c r="F1367" s="742">
        <f>Calculs!CB1439</f>
        <v>0</v>
      </c>
      <c r="G1367" s="742">
        <f>Calculs!CC1439</f>
        <v>0</v>
      </c>
      <c r="H1367" s="742"/>
      <c r="I1367" s="742">
        <f>Calculs!CE1439</f>
        <v>0</v>
      </c>
      <c r="J1367" s="742">
        <f>Calculs!CF1439</f>
        <v>0</v>
      </c>
      <c r="K1367" s="742"/>
      <c r="L1367" s="742">
        <f>Calculs!CH1439</f>
        <v>0</v>
      </c>
    </row>
    <row r="1368" spans="2:12">
      <c r="B1368" s="742">
        <f>Calculs!B1440</f>
        <v>0</v>
      </c>
      <c r="C1368" s="742">
        <f>Calculs!BY1440</f>
        <v>0</v>
      </c>
      <c r="D1368" s="742">
        <f>Calculs!BZ1440</f>
        <v>0</v>
      </c>
      <c r="E1368" s="742">
        <f>Calculs!CA1440</f>
        <v>0</v>
      </c>
      <c r="F1368" s="742">
        <f>Calculs!CB1440</f>
        <v>0</v>
      </c>
      <c r="G1368" s="742">
        <f>Calculs!CC1440</f>
        <v>0</v>
      </c>
      <c r="H1368" s="742"/>
      <c r="I1368" s="742">
        <f>Calculs!CE1440</f>
        <v>0</v>
      </c>
      <c r="J1368" s="742">
        <f>Calculs!CF1440</f>
        <v>0</v>
      </c>
      <c r="K1368" s="742"/>
      <c r="L1368" s="742">
        <f>Calculs!CH1440</f>
        <v>0</v>
      </c>
    </row>
    <row r="1369" spans="2:12">
      <c r="B1369" s="742">
        <f>Calculs!B1441</f>
        <v>0</v>
      </c>
      <c r="C1369" s="742">
        <f>Calculs!BY1441</f>
        <v>0</v>
      </c>
      <c r="D1369" s="742">
        <f>Calculs!BZ1441</f>
        <v>0</v>
      </c>
      <c r="E1369" s="742">
        <f>Calculs!CA1441</f>
        <v>0</v>
      </c>
      <c r="F1369" s="742">
        <f>Calculs!CB1441</f>
        <v>0</v>
      </c>
      <c r="G1369" s="742">
        <f>Calculs!CC1441</f>
        <v>0</v>
      </c>
      <c r="H1369" s="742"/>
      <c r="I1369" s="742">
        <f>Calculs!CE1441</f>
        <v>0</v>
      </c>
      <c r="J1369" s="742">
        <f>Calculs!CF1441</f>
        <v>0</v>
      </c>
      <c r="K1369" s="742"/>
      <c r="L1369" s="742">
        <f>Calculs!CH1441</f>
        <v>0</v>
      </c>
    </row>
    <row r="1370" spans="2:12">
      <c r="B1370" s="742">
        <f>Calculs!B1442</f>
        <v>0</v>
      </c>
      <c r="C1370" s="742">
        <f>Calculs!BY1442</f>
        <v>0</v>
      </c>
      <c r="D1370" s="742">
        <f>Calculs!BZ1442</f>
        <v>0</v>
      </c>
      <c r="E1370" s="742">
        <f>Calculs!CA1442</f>
        <v>0</v>
      </c>
      <c r="F1370" s="742">
        <f>Calculs!CB1442</f>
        <v>0</v>
      </c>
      <c r="G1370" s="742">
        <f>Calculs!CC1442</f>
        <v>0</v>
      </c>
      <c r="H1370" s="742"/>
      <c r="I1370" s="742">
        <f>Calculs!CE1442</f>
        <v>0</v>
      </c>
      <c r="J1370" s="742">
        <f>Calculs!CF1442</f>
        <v>0</v>
      </c>
      <c r="K1370" s="742"/>
      <c r="L1370" s="742">
        <f>Calculs!CH1442</f>
        <v>0</v>
      </c>
    </row>
    <row r="1371" spans="2:12">
      <c r="B1371" s="742">
        <f>Calculs!B1443</f>
        <v>0</v>
      </c>
      <c r="C1371" s="742">
        <f>Calculs!BY1443</f>
        <v>0</v>
      </c>
      <c r="D1371" s="742">
        <f>Calculs!BZ1443</f>
        <v>0</v>
      </c>
      <c r="E1371" s="742">
        <f>Calculs!CA1443</f>
        <v>0</v>
      </c>
      <c r="F1371" s="742">
        <f>Calculs!CB1443</f>
        <v>0</v>
      </c>
      <c r="G1371" s="742">
        <f>Calculs!CC1443</f>
        <v>0</v>
      </c>
      <c r="H1371" s="742"/>
      <c r="I1371" s="742">
        <f>Calculs!CE1443</f>
        <v>0</v>
      </c>
      <c r="J1371" s="742">
        <f>Calculs!CF1443</f>
        <v>0</v>
      </c>
      <c r="K1371" s="742"/>
      <c r="L1371" s="742">
        <f>Calculs!CH1443</f>
        <v>0</v>
      </c>
    </row>
    <row r="1372" spans="2:12">
      <c r="B1372" s="742">
        <f>Calculs!B1444</f>
        <v>0</v>
      </c>
      <c r="C1372" s="742">
        <f>Calculs!BY1444</f>
        <v>0</v>
      </c>
      <c r="D1372" s="742">
        <f>Calculs!BZ1444</f>
        <v>0</v>
      </c>
      <c r="E1372" s="742">
        <f>Calculs!CA1444</f>
        <v>0</v>
      </c>
      <c r="F1372" s="742">
        <f>Calculs!CB1444</f>
        <v>0</v>
      </c>
      <c r="G1372" s="742">
        <f>Calculs!CC1444</f>
        <v>0</v>
      </c>
      <c r="H1372" s="742"/>
      <c r="I1372" s="742">
        <f>Calculs!CE1444</f>
        <v>0</v>
      </c>
      <c r="J1372" s="742">
        <f>Calculs!CF1444</f>
        <v>0</v>
      </c>
      <c r="K1372" s="742"/>
      <c r="L1372" s="742">
        <f>Calculs!CH1444</f>
        <v>0</v>
      </c>
    </row>
    <row r="1373" spans="2:12">
      <c r="B1373" s="742">
        <f>Calculs!B1445</f>
        <v>0</v>
      </c>
      <c r="C1373" s="742">
        <f>Calculs!BY1445</f>
        <v>0</v>
      </c>
      <c r="D1373" s="742">
        <f>Calculs!BZ1445</f>
        <v>0</v>
      </c>
      <c r="E1373" s="742">
        <f>Calculs!CA1445</f>
        <v>0</v>
      </c>
      <c r="F1373" s="742">
        <f>Calculs!CB1445</f>
        <v>0</v>
      </c>
      <c r="G1373" s="742">
        <f>Calculs!CC1445</f>
        <v>0</v>
      </c>
      <c r="H1373" s="742"/>
      <c r="I1373" s="742">
        <f>Calculs!CE1445</f>
        <v>0</v>
      </c>
      <c r="J1373" s="742">
        <f>Calculs!CF1445</f>
        <v>0</v>
      </c>
      <c r="K1373" s="742"/>
      <c r="L1373" s="742">
        <f>Calculs!CH1445</f>
        <v>0</v>
      </c>
    </row>
    <row r="1374" spans="2:12">
      <c r="B1374" s="742">
        <f>Calculs!B1446</f>
        <v>0</v>
      </c>
      <c r="C1374" s="742">
        <f>Calculs!BY1446</f>
        <v>0</v>
      </c>
      <c r="D1374" s="742">
        <f>Calculs!BZ1446</f>
        <v>0</v>
      </c>
      <c r="E1374" s="742">
        <f>Calculs!CA1446</f>
        <v>0</v>
      </c>
      <c r="F1374" s="742">
        <f>Calculs!CB1446</f>
        <v>0</v>
      </c>
      <c r="G1374" s="742">
        <f>Calculs!CC1446</f>
        <v>0</v>
      </c>
      <c r="H1374" s="742"/>
      <c r="I1374" s="742">
        <f>Calculs!CE1446</f>
        <v>0</v>
      </c>
      <c r="J1374" s="742">
        <f>Calculs!CF1446</f>
        <v>0</v>
      </c>
      <c r="K1374" s="742"/>
      <c r="L1374" s="742">
        <f>Calculs!CH1446</f>
        <v>0</v>
      </c>
    </row>
    <row r="1375" spans="2:12">
      <c r="B1375" s="742">
        <f>Calculs!B1447</f>
        <v>0</v>
      </c>
      <c r="C1375" s="742">
        <f>Calculs!BY1447</f>
        <v>0</v>
      </c>
      <c r="D1375" s="742">
        <f>Calculs!BZ1447</f>
        <v>0</v>
      </c>
      <c r="E1375" s="742">
        <f>Calculs!CA1447</f>
        <v>0</v>
      </c>
      <c r="F1375" s="742">
        <f>Calculs!CB1447</f>
        <v>0</v>
      </c>
      <c r="G1375" s="742">
        <f>Calculs!CC1447</f>
        <v>0</v>
      </c>
      <c r="H1375" s="742"/>
      <c r="I1375" s="742">
        <f>Calculs!CE1447</f>
        <v>0</v>
      </c>
      <c r="J1375" s="742">
        <f>Calculs!CF1447</f>
        <v>0</v>
      </c>
      <c r="K1375" s="742"/>
      <c r="L1375" s="742">
        <f>Calculs!CH1447</f>
        <v>0</v>
      </c>
    </row>
    <row r="1376" spans="2:12">
      <c r="B1376" s="742">
        <f>Calculs!B1448</f>
        <v>0</v>
      </c>
      <c r="C1376" s="742">
        <f>Calculs!BY1448</f>
        <v>0</v>
      </c>
      <c r="D1376" s="742">
        <f>Calculs!BZ1448</f>
        <v>0</v>
      </c>
      <c r="E1376" s="742">
        <f>Calculs!CA1448</f>
        <v>0</v>
      </c>
      <c r="F1376" s="742">
        <f>Calculs!CB1448</f>
        <v>0</v>
      </c>
      <c r="G1376" s="742">
        <f>Calculs!CC1448</f>
        <v>0</v>
      </c>
      <c r="H1376" s="742"/>
      <c r="I1376" s="742">
        <f>Calculs!CE1448</f>
        <v>0</v>
      </c>
      <c r="J1376" s="742">
        <f>Calculs!CF1448</f>
        <v>0</v>
      </c>
      <c r="K1376" s="742"/>
      <c r="L1376" s="742">
        <f>Calculs!CH1448</f>
        <v>0</v>
      </c>
    </row>
    <row r="1377" spans="2:12">
      <c r="B1377" s="742">
        <f>Calculs!B1449</f>
        <v>0</v>
      </c>
      <c r="C1377" s="742">
        <f>Calculs!BY1449</f>
        <v>0</v>
      </c>
      <c r="D1377" s="742">
        <f>Calculs!BZ1449</f>
        <v>0</v>
      </c>
      <c r="E1377" s="742">
        <f>Calculs!CA1449</f>
        <v>0</v>
      </c>
      <c r="F1377" s="742">
        <f>Calculs!CB1449</f>
        <v>0</v>
      </c>
      <c r="G1377" s="742">
        <f>Calculs!CC1449</f>
        <v>0</v>
      </c>
      <c r="H1377" s="742"/>
      <c r="I1377" s="742">
        <f>Calculs!CE1449</f>
        <v>0</v>
      </c>
      <c r="J1377" s="742">
        <f>Calculs!CF1449</f>
        <v>0</v>
      </c>
      <c r="K1377" s="742"/>
      <c r="L1377" s="742">
        <f>Calculs!CH1449</f>
        <v>0</v>
      </c>
    </row>
    <row r="1378" spans="2:12">
      <c r="B1378" s="742">
        <f>Calculs!B1450</f>
        <v>0</v>
      </c>
      <c r="C1378" s="742">
        <f>Calculs!BY1450</f>
        <v>0</v>
      </c>
      <c r="D1378" s="742">
        <f>Calculs!BZ1450</f>
        <v>0</v>
      </c>
      <c r="E1378" s="742">
        <f>Calculs!CA1450</f>
        <v>0</v>
      </c>
      <c r="F1378" s="742">
        <f>Calculs!CB1450</f>
        <v>0</v>
      </c>
      <c r="G1378" s="742">
        <f>Calculs!CC1450</f>
        <v>0</v>
      </c>
      <c r="H1378" s="742"/>
      <c r="I1378" s="742">
        <f>Calculs!CE1450</f>
        <v>0</v>
      </c>
      <c r="J1378" s="742">
        <f>Calculs!CF1450</f>
        <v>0</v>
      </c>
      <c r="K1378" s="742"/>
      <c r="L1378" s="742">
        <f>Calculs!CH1450</f>
        <v>0</v>
      </c>
    </row>
    <row r="1379" spans="2:12">
      <c r="B1379" s="742">
        <f>Calculs!B1451</f>
        <v>0</v>
      </c>
      <c r="C1379" s="742">
        <f>Calculs!BY1451</f>
        <v>0</v>
      </c>
      <c r="D1379" s="742">
        <f>Calculs!BZ1451</f>
        <v>0</v>
      </c>
      <c r="E1379" s="742">
        <f>Calculs!CA1451</f>
        <v>0</v>
      </c>
      <c r="F1379" s="742">
        <f>Calculs!CB1451</f>
        <v>0</v>
      </c>
      <c r="G1379" s="742">
        <f>Calculs!CC1451</f>
        <v>0</v>
      </c>
      <c r="H1379" s="742"/>
      <c r="I1379" s="742">
        <f>Calculs!CE1451</f>
        <v>0</v>
      </c>
      <c r="J1379" s="742">
        <f>Calculs!CF1451</f>
        <v>0</v>
      </c>
      <c r="K1379" s="742"/>
      <c r="L1379" s="742">
        <f>Calculs!CH1451</f>
        <v>0</v>
      </c>
    </row>
    <row r="1380" spans="2:12">
      <c r="B1380" s="742">
        <f>Calculs!B1452</f>
        <v>0</v>
      </c>
      <c r="C1380" s="742">
        <f>Calculs!BY1452</f>
        <v>0</v>
      </c>
      <c r="D1380" s="742">
        <f>Calculs!BZ1452</f>
        <v>0</v>
      </c>
      <c r="E1380" s="742">
        <f>Calculs!CA1452</f>
        <v>0</v>
      </c>
      <c r="F1380" s="742">
        <f>Calculs!CB1452</f>
        <v>0</v>
      </c>
      <c r="G1380" s="742">
        <f>Calculs!CC1452</f>
        <v>0</v>
      </c>
      <c r="H1380" s="742"/>
      <c r="I1380" s="742">
        <f>Calculs!CE1452</f>
        <v>0</v>
      </c>
      <c r="J1380" s="742">
        <f>Calculs!CF1452</f>
        <v>0</v>
      </c>
      <c r="K1380" s="742"/>
      <c r="L1380" s="742">
        <f>Calculs!CH1452</f>
        <v>0</v>
      </c>
    </row>
    <row r="1381" spans="2:12">
      <c r="B1381" s="742">
        <f>Calculs!B1453</f>
        <v>0</v>
      </c>
      <c r="C1381" s="742">
        <f>Calculs!BY1453</f>
        <v>0</v>
      </c>
      <c r="D1381" s="742">
        <f>Calculs!BZ1453</f>
        <v>0</v>
      </c>
      <c r="E1381" s="742">
        <f>Calculs!CA1453</f>
        <v>0</v>
      </c>
      <c r="F1381" s="742">
        <f>Calculs!CB1453</f>
        <v>0</v>
      </c>
      <c r="G1381" s="742">
        <f>Calculs!CC1453</f>
        <v>0</v>
      </c>
      <c r="H1381" s="742"/>
      <c r="I1381" s="742">
        <f>Calculs!CE1453</f>
        <v>0</v>
      </c>
      <c r="J1381" s="742">
        <f>Calculs!CF1453</f>
        <v>0</v>
      </c>
      <c r="K1381" s="742"/>
      <c r="L1381" s="742">
        <f>Calculs!CH1453</f>
        <v>0</v>
      </c>
    </row>
    <row r="1382" spans="2:12">
      <c r="B1382" s="742">
        <f>Calculs!B1454</f>
        <v>0</v>
      </c>
      <c r="C1382" s="742">
        <f>Calculs!BY1454</f>
        <v>0</v>
      </c>
      <c r="D1382" s="742">
        <f>Calculs!BZ1454</f>
        <v>0</v>
      </c>
      <c r="E1382" s="742">
        <f>Calculs!CA1454</f>
        <v>0</v>
      </c>
      <c r="F1382" s="742">
        <f>Calculs!CB1454</f>
        <v>0</v>
      </c>
      <c r="G1382" s="742">
        <f>Calculs!CC1454</f>
        <v>0</v>
      </c>
      <c r="H1382" s="742"/>
      <c r="I1382" s="742">
        <f>Calculs!CE1454</f>
        <v>0</v>
      </c>
      <c r="J1382" s="742">
        <f>Calculs!CF1454</f>
        <v>0</v>
      </c>
      <c r="K1382" s="742"/>
      <c r="L1382" s="742">
        <f>Calculs!CH1454</f>
        <v>0</v>
      </c>
    </row>
    <row r="1383" spans="2:12">
      <c r="B1383" s="742">
        <f>Calculs!B1455</f>
        <v>0</v>
      </c>
      <c r="C1383" s="742">
        <f>Calculs!BY1455</f>
        <v>0</v>
      </c>
      <c r="D1383" s="742">
        <f>Calculs!BZ1455</f>
        <v>0</v>
      </c>
      <c r="E1383" s="742">
        <f>Calculs!CA1455</f>
        <v>0</v>
      </c>
      <c r="F1383" s="742">
        <f>Calculs!CB1455</f>
        <v>0</v>
      </c>
      <c r="G1383" s="742">
        <f>Calculs!CC1455</f>
        <v>0</v>
      </c>
      <c r="H1383" s="742"/>
      <c r="I1383" s="742">
        <f>Calculs!CE1455</f>
        <v>0</v>
      </c>
      <c r="J1383" s="742">
        <f>Calculs!CF1455</f>
        <v>0</v>
      </c>
      <c r="K1383" s="742"/>
      <c r="L1383" s="742">
        <f>Calculs!CH1455</f>
        <v>0</v>
      </c>
    </row>
    <row r="1384" spans="2:12">
      <c r="B1384" s="742">
        <f>Calculs!B1456</f>
        <v>0</v>
      </c>
      <c r="C1384" s="742">
        <f>Calculs!BY1456</f>
        <v>0</v>
      </c>
      <c r="D1384" s="742">
        <f>Calculs!BZ1456</f>
        <v>0</v>
      </c>
      <c r="E1384" s="742">
        <f>Calculs!CA1456</f>
        <v>0</v>
      </c>
      <c r="F1384" s="742">
        <f>Calculs!CB1456</f>
        <v>0</v>
      </c>
      <c r="G1384" s="742">
        <f>Calculs!CC1456</f>
        <v>0</v>
      </c>
      <c r="H1384" s="742"/>
      <c r="I1384" s="742">
        <f>Calculs!CE1456</f>
        <v>0</v>
      </c>
      <c r="J1384" s="742">
        <f>Calculs!CF1456</f>
        <v>0</v>
      </c>
      <c r="K1384" s="742"/>
      <c r="L1384" s="742">
        <f>Calculs!CH1456</f>
        <v>0</v>
      </c>
    </row>
    <row r="1385" spans="2:12">
      <c r="B1385" s="742">
        <f>Calculs!B1457</f>
        <v>0</v>
      </c>
      <c r="C1385" s="742">
        <f>Calculs!BY1457</f>
        <v>0</v>
      </c>
      <c r="D1385" s="742">
        <f>Calculs!BZ1457</f>
        <v>0</v>
      </c>
      <c r="E1385" s="742">
        <f>Calculs!CA1457</f>
        <v>0</v>
      </c>
      <c r="F1385" s="742">
        <f>Calculs!CB1457</f>
        <v>0</v>
      </c>
      <c r="G1385" s="742">
        <f>Calculs!CC1457</f>
        <v>0</v>
      </c>
      <c r="H1385" s="742"/>
      <c r="I1385" s="742">
        <f>Calculs!CE1457</f>
        <v>0</v>
      </c>
      <c r="J1385" s="742">
        <f>Calculs!CF1457</f>
        <v>0</v>
      </c>
      <c r="K1385" s="742"/>
      <c r="L1385" s="742">
        <f>Calculs!CH1457</f>
        <v>0</v>
      </c>
    </row>
    <row r="1386" spans="2:12">
      <c r="B1386" s="742">
        <f>Calculs!B1458</f>
        <v>0</v>
      </c>
      <c r="C1386" s="742">
        <f>Calculs!BY1458</f>
        <v>0</v>
      </c>
      <c r="D1386" s="742">
        <f>Calculs!BZ1458</f>
        <v>0</v>
      </c>
      <c r="E1386" s="742">
        <f>Calculs!CA1458</f>
        <v>0</v>
      </c>
      <c r="F1386" s="742">
        <f>Calculs!CB1458</f>
        <v>0</v>
      </c>
      <c r="G1386" s="742">
        <f>Calculs!CC1458</f>
        <v>0</v>
      </c>
      <c r="H1386" s="742"/>
      <c r="I1386" s="742">
        <f>Calculs!CE1458</f>
        <v>0</v>
      </c>
      <c r="J1386" s="742">
        <f>Calculs!CF1458</f>
        <v>0</v>
      </c>
      <c r="K1386" s="742"/>
      <c r="L1386" s="742">
        <f>Calculs!CH1458</f>
        <v>0</v>
      </c>
    </row>
    <row r="1387" spans="2:12">
      <c r="B1387" s="742">
        <f>Calculs!B1459</f>
        <v>0</v>
      </c>
      <c r="C1387" s="742">
        <f>Calculs!BY1459</f>
        <v>0</v>
      </c>
      <c r="D1387" s="742">
        <f>Calculs!BZ1459</f>
        <v>0</v>
      </c>
      <c r="E1387" s="742">
        <f>Calculs!CA1459</f>
        <v>0</v>
      </c>
      <c r="F1387" s="742">
        <f>Calculs!CB1459</f>
        <v>0</v>
      </c>
      <c r="G1387" s="742">
        <f>Calculs!CC1459</f>
        <v>0</v>
      </c>
      <c r="H1387" s="742"/>
      <c r="I1387" s="742">
        <f>Calculs!CE1459</f>
        <v>0</v>
      </c>
      <c r="J1387" s="742">
        <f>Calculs!CF1459</f>
        <v>0</v>
      </c>
      <c r="K1387" s="742"/>
      <c r="L1387" s="742">
        <f>Calculs!CH1459</f>
        <v>0</v>
      </c>
    </row>
    <row r="1388" spans="2:12">
      <c r="B1388" s="742">
        <f>Calculs!B1460</f>
        <v>0</v>
      </c>
      <c r="C1388" s="742">
        <f>Calculs!BY1460</f>
        <v>0</v>
      </c>
      <c r="D1388" s="742">
        <f>Calculs!BZ1460</f>
        <v>0</v>
      </c>
      <c r="E1388" s="742">
        <f>Calculs!CA1460</f>
        <v>0</v>
      </c>
      <c r="F1388" s="742">
        <f>Calculs!CB1460</f>
        <v>0</v>
      </c>
      <c r="G1388" s="742">
        <f>Calculs!CC1460</f>
        <v>0</v>
      </c>
      <c r="H1388" s="742"/>
      <c r="I1388" s="742">
        <f>Calculs!CE1460</f>
        <v>0</v>
      </c>
      <c r="J1388" s="742">
        <f>Calculs!CF1460</f>
        <v>0</v>
      </c>
      <c r="K1388" s="742"/>
      <c r="L1388" s="742">
        <f>Calculs!CH1460</f>
        <v>0</v>
      </c>
    </row>
    <row r="1389" spans="2:12">
      <c r="B1389" s="742">
        <f>Calculs!B1461</f>
        <v>0</v>
      </c>
      <c r="C1389" s="742">
        <f>Calculs!BY1461</f>
        <v>0</v>
      </c>
      <c r="D1389" s="742">
        <f>Calculs!BZ1461</f>
        <v>0</v>
      </c>
      <c r="E1389" s="742">
        <f>Calculs!CA1461</f>
        <v>0</v>
      </c>
      <c r="F1389" s="742">
        <f>Calculs!CB1461</f>
        <v>0</v>
      </c>
      <c r="G1389" s="742">
        <f>Calculs!CC1461</f>
        <v>0</v>
      </c>
      <c r="H1389" s="742"/>
      <c r="I1389" s="742">
        <f>Calculs!CE1461</f>
        <v>0</v>
      </c>
      <c r="J1389" s="742">
        <f>Calculs!CF1461</f>
        <v>0</v>
      </c>
      <c r="K1389" s="742"/>
      <c r="L1389" s="742">
        <f>Calculs!CH1461</f>
        <v>0</v>
      </c>
    </row>
    <row r="1390" spans="2:12">
      <c r="B1390" s="742">
        <f>Calculs!B1462</f>
        <v>0</v>
      </c>
      <c r="C1390" s="742">
        <f>Calculs!BY1462</f>
        <v>0</v>
      </c>
      <c r="D1390" s="742">
        <f>Calculs!BZ1462</f>
        <v>0</v>
      </c>
      <c r="E1390" s="742">
        <f>Calculs!CA1462</f>
        <v>0</v>
      </c>
      <c r="F1390" s="742">
        <f>Calculs!CB1462</f>
        <v>0</v>
      </c>
      <c r="G1390" s="742">
        <f>Calculs!CC1462</f>
        <v>0</v>
      </c>
      <c r="H1390" s="742"/>
      <c r="I1390" s="742">
        <f>Calculs!CE1462</f>
        <v>0</v>
      </c>
      <c r="J1390" s="742">
        <f>Calculs!CF1462</f>
        <v>0</v>
      </c>
      <c r="K1390" s="742"/>
      <c r="L1390" s="742">
        <f>Calculs!CH1462</f>
        <v>0</v>
      </c>
    </row>
    <row r="1391" spans="2:12">
      <c r="B1391" s="742">
        <f>Calculs!B1463</f>
        <v>0</v>
      </c>
      <c r="C1391" s="742">
        <f>Calculs!BY1463</f>
        <v>0</v>
      </c>
      <c r="D1391" s="742">
        <f>Calculs!BZ1463</f>
        <v>0</v>
      </c>
      <c r="E1391" s="742">
        <f>Calculs!CA1463</f>
        <v>0</v>
      </c>
      <c r="F1391" s="742">
        <f>Calculs!CB1463</f>
        <v>0</v>
      </c>
      <c r="G1391" s="742">
        <f>Calculs!CC1463</f>
        <v>0</v>
      </c>
      <c r="H1391" s="742"/>
      <c r="I1391" s="742">
        <f>Calculs!CE1463</f>
        <v>0</v>
      </c>
      <c r="J1391" s="742">
        <f>Calculs!CF1463</f>
        <v>0</v>
      </c>
      <c r="K1391" s="742"/>
      <c r="L1391" s="742">
        <f>Calculs!CH1463</f>
        <v>0</v>
      </c>
    </row>
    <row r="1392" spans="2:12">
      <c r="B1392" s="742">
        <f>Calculs!B1464</f>
        <v>0</v>
      </c>
      <c r="C1392" s="742">
        <f>Calculs!BY1464</f>
        <v>0</v>
      </c>
      <c r="D1392" s="742">
        <f>Calculs!BZ1464</f>
        <v>0</v>
      </c>
      <c r="E1392" s="742">
        <f>Calculs!CA1464</f>
        <v>0</v>
      </c>
      <c r="F1392" s="742">
        <f>Calculs!CB1464</f>
        <v>0</v>
      </c>
      <c r="G1392" s="742">
        <f>Calculs!CC1464</f>
        <v>0</v>
      </c>
      <c r="H1392" s="742"/>
      <c r="I1392" s="742">
        <f>Calculs!CE1464</f>
        <v>0</v>
      </c>
      <c r="J1392" s="742">
        <f>Calculs!CF1464</f>
        <v>0</v>
      </c>
      <c r="K1392" s="742"/>
      <c r="L1392" s="742">
        <f>Calculs!CH1464</f>
        <v>0</v>
      </c>
    </row>
    <row r="1393" spans="2:12">
      <c r="B1393" s="742">
        <f>Calculs!B1465</f>
        <v>0</v>
      </c>
      <c r="C1393" s="742">
        <f>Calculs!BY1465</f>
        <v>0</v>
      </c>
      <c r="D1393" s="742">
        <f>Calculs!BZ1465</f>
        <v>0</v>
      </c>
      <c r="E1393" s="742">
        <f>Calculs!CA1465</f>
        <v>0</v>
      </c>
      <c r="F1393" s="742">
        <f>Calculs!CB1465</f>
        <v>0</v>
      </c>
      <c r="G1393" s="742">
        <f>Calculs!CC1465</f>
        <v>0</v>
      </c>
      <c r="H1393" s="742"/>
      <c r="I1393" s="742">
        <f>Calculs!CE1465</f>
        <v>0</v>
      </c>
      <c r="J1393" s="742">
        <f>Calculs!CF1465</f>
        <v>0</v>
      </c>
      <c r="K1393" s="742"/>
      <c r="L1393" s="742">
        <f>Calculs!CH1465</f>
        <v>0</v>
      </c>
    </row>
    <row r="1394" spans="2:12">
      <c r="B1394" s="742">
        <f>Calculs!B1466</f>
        <v>0</v>
      </c>
      <c r="C1394" s="742">
        <f>Calculs!BY1466</f>
        <v>0</v>
      </c>
      <c r="D1394" s="742">
        <f>Calculs!BZ1466</f>
        <v>0</v>
      </c>
      <c r="E1394" s="742">
        <f>Calculs!CA1466</f>
        <v>0</v>
      </c>
      <c r="F1394" s="742">
        <f>Calculs!CB1466</f>
        <v>0</v>
      </c>
      <c r="G1394" s="742">
        <f>Calculs!CC1466</f>
        <v>0</v>
      </c>
      <c r="H1394" s="742"/>
      <c r="I1394" s="742">
        <f>Calculs!CE1466</f>
        <v>0</v>
      </c>
      <c r="J1394" s="742">
        <f>Calculs!CF1466</f>
        <v>0</v>
      </c>
      <c r="K1394" s="742"/>
      <c r="L1394" s="742">
        <f>Calculs!CH1466</f>
        <v>0</v>
      </c>
    </row>
    <row r="1395" spans="2:12">
      <c r="B1395" s="742">
        <f>Calculs!B1467</f>
        <v>0</v>
      </c>
      <c r="C1395" s="742">
        <f>Calculs!BY1467</f>
        <v>0</v>
      </c>
      <c r="D1395" s="742">
        <f>Calculs!BZ1467</f>
        <v>0</v>
      </c>
      <c r="E1395" s="742">
        <f>Calculs!CA1467</f>
        <v>0</v>
      </c>
      <c r="F1395" s="742">
        <f>Calculs!CB1467</f>
        <v>0</v>
      </c>
      <c r="G1395" s="742">
        <f>Calculs!CC1467</f>
        <v>0</v>
      </c>
      <c r="H1395" s="742"/>
      <c r="I1395" s="742">
        <f>Calculs!CE1467</f>
        <v>0</v>
      </c>
      <c r="J1395" s="742">
        <f>Calculs!CF1467</f>
        <v>0</v>
      </c>
      <c r="K1395" s="742"/>
      <c r="L1395" s="742">
        <f>Calculs!CH1467</f>
        <v>0</v>
      </c>
    </row>
    <row r="1396" spans="2:12">
      <c r="B1396" s="742">
        <f>Calculs!B1468</f>
        <v>0</v>
      </c>
      <c r="C1396" s="742">
        <f>Calculs!BY1468</f>
        <v>0</v>
      </c>
      <c r="D1396" s="742">
        <f>Calculs!BZ1468</f>
        <v>0</v>
      </c>
      <c r="E1396" s="742">
        <f>Calculs!CA1468</f>
        <v>0</v>
      </c>
      <c r="F1396" s="742">
        <f>Calculs!CB1468</f>
        <v>0</v>
      </c>
      <c r="G1396" s="742">
        <f>Calculs!CC1468</f>
        <v>0</v>
      </c>
      <c r="H1396" s="742"/>
      <c r="I1396" s="742">
        <f>Calculs!CE1468</f>
        <v>0</v>
      </c>
      <c r="J1396" s="742">
        <f>Calculs!CF1468</f>
        <v>0</v>
      </c>
      <c r="K1396" s="742"/>
      <c r="L1396" s="742">
        <f>Calculs!CH1468</f>
        <v>0</v>
      </c>
    </row>
    <row r="1397" spans="2:12">
      <c r="B1397" s="742">
        <f>Calculs!B1469</f>
        <v>0</v>
      </c>
      <c r="C1397" s="742">
        <f>Calculs!BY1469</f>
        <v>0</v>
      </c>
      <c r="D1397" s="742">
        <f>Calculs!BZ1469</f>
        <v>0</v>
      </c>
      <c r="E1397" s="742">
        <f>Calculs!CA1469</f>
        <v>0</v>
      </c>
      <c r="F1397" s="742">
        <f>Calculs!CB1469</f>
        <v>0</v>
      </c>
      <c r="G1397" s="742">
        <f>Calculs!CC1469</f>
        <v>0</v>
      </c>
      <c r="H1397" s="742"/>
      <c r="I1397" s="742">
        <f>Calculs!CE1469</f>
        <v>0</v>
      </c>
      <c r="J1397" s="742">
        <f>Calculs!CF1469</f>
        <v>0</v>
      </c>
      <c r="K1397" s="742"/>
      <c r="L1397" s="742">
        <f>Calculs!CH1469</f>
        <v>0</v>
      </c>
    </row>
    <row r="1398" spans="2:12">
      <c r="B1398" s="742">
        <f>Calculs!B1470</f>
        <v>0</v>
      </c>
      <c r="C1398" s="742">
        <f>Calculs!BY1470</f>
        <v>0</v>
      </c>
      <c r="D1398" s="742">
        <f>Calculs!BZ1470</f>
        <v>0</v>
      </c>
      <c r="E1398" s="742">
        <f>Calculs!CA1470</f>
        <v>0</v>
      </c>
      <c r="F1398" s="742">
        <f>Calculs!CB1470</f>
        <v>0</v>
      </c>
      <c r="G1398" s="742">
        <f>Calculs!CC1470</f>
        <v>0</v>
      </c>
      <c r="H1398" s="742"/>
      <c r="I1398" s="742">
        <f>Calculs!CE1470</f>
        <v>0</v>
      </c>
      <c r="J1398" s="742">
        <f>Calculs!CF1470</f>
        <v>0</v>
      </c>
      <c r="K1398" s="742"/>
      <c r="L1398" s="742">
        <f>Calculs!CH1470</f>
        <v>0</v>
      </c>
    </row>
    <row r="1399" spans="2:12">
      <c r="B1399" s="742">
        <f>Calculs!B1471</f>
        <v>0</v>
      </c>
      <c r="C1399" s="742">
        <f>Calculs!BY1471</f>
        <v>0</v>
      </c>
      <c r="D1399" s="742">
        <f>Calculs!BZ1471</f>
        <v>0</v>
      </c>
      <c r="E1399" s="742">
        <f>Calculs!CA1471</f>
        <v>0</v>
      </c>
      <c r="F1399" s="742">
        <f>Calculs!CB1471</f>
        <v>0</v>
      </c>
      <c r="G1399" s="742">
        <f>Calculs!CC1471</f>
        <v>0</v>
      </c>
      <c r="H1399" s="742"/>
      <c r="I1399" s="742">
        <f>Calculs!CE1471</f>
        <v>0</v>
      </c>
      <c r="J1399" s="742">
        <f>Calculs!CF1471</f>
        <v>0</v>
      </c>
      <c r="K1399" s="742"/>
      <c r="L1399" s="742">
        <f>Calculs!CH1471</f>
        <v>0</v>
      </c>
    </row>
    <row r="1400" spans="2:12">
      <c r="B1400" s="742">
        <f>Calculs!B1472</f>
        <v>0</v>
      </c>
      <c r="C1400" s="742">
        <f>Calculs!BY1472</f>
        <v>0</v>
      </c>
      <c r="D1400" s="742">
        <f>Calculs!BZ1472</f>
        <v>0</v>
      </c>
      <c r="E1400" s="742">
        <f>Calculs!CA1472</f>
        <v>0</v>
      </c>
      <c r="F1400" s="742">
        <f>Calculs!CB1472</f>
        <v>0</v>
      </c>
      <c r="G1400" s="742">
        <f>Calculs!CC1472</f>
        <v>0</v>
      </c>
      <c r="H1400" s="742"/>
      <c r="I1400" s="742">
        <f>Calculs!CE1472</f>
        <v>0</v>
      </c>
      <c r="J1400" s="742">
        <f>Calculs!CF1472</f>
        <v>0</v>
      </c>
      <c r="K1400" s="742"/>
      <c r="L1400" s="742">
        <f>Calculs!CH1472</f>
        <v>0</v>
      </c>
    </row>
    <row r="1401" spans="2:12">
      <c r="B1401" s="742">
        <f>Calculs!B1473</f>
        <v>0</v>
      </c>
      <c r="C1401" s="742">
        <f>Calculs!BY1473</f>
        <v>0</v>
      </c>
      <c r="D1401" s="742">
        <f>Calculs!BZ1473</f>
        <v>0</v>
      </c>
      <c r="E1401" s="742">
        <f>Calculs!CA1473</f>
        <v>0</v>
      </c>
      <c r="F1401" s="742">
        <f>Calculs!CB1473</f>
        <v>0</v>
      </c>
      <c r="G1401" s="742">
        <f>Calculs!CC1473</f>
        <v>0</v>
      </c>
      <c r="H1401" s="742"/>
      <c r="I1401" s="742">
        <f>Calculs!CE1473</f>
        <v>0</v>
      </c>
      <c r="J1401" s="742">
        <f>Calculs!CF1473</f>
        <v>0</v>
      </c>
      <c r="K1401" s="742"/>
      <c r="L1401" s="742">
        <f>Calculs!CH1473</f>
        <v>0</v>
      </c>
    </row>
    <row r="1402" spans="2:12">
      <c r="B1402" s="742">
        <f>Calculs!B1474</f>
        <v>0</v>
      </c>
      <c r="C1402" s="742">
        <f>Calculs!BY1474</f>
        <v>0</v>
      </c>
      <c r="D1402" s="742">
        <f>Calculs!BZ1474</f>
        <v>0</v>
      </c>
      <c r="E1402" s="742">
        <f>Calculs!CA1474</f>
        <v>0</v>
      </c>
      <c r="F1402" s="742">
        <f>Calculs!CB1474</f>
        <v>0</v>
      </c>
      <c r="G1402" s="742">
        <f>Calculs!CC1474</f>
        <v>0</v>
      </c>
      <c r="H1402" s="742"/>
      <c r="I1402" s="742">
        <f>Calculs!CE1474</f>
        <v>0</v>
      </c>
      <c r="J1402" s="742">
        <f>Calculs!CF1474</f>
        <v>0</v>
      </c>
      <c r="K1402" s="742"/>
      <c r="L1402" s="742">
        <f>Calculs!CH1474</f>
        <v>0</v>
      </c>
    </row>
    <row r="1403" spans="2:12">
      <c r="B1403" s="742">
        <f>Calculs!B1475</f>
        <v>0</v>
      </c>
      <c r="C1403" s="742">
        <f>Calculs!BY1475</f>
        <v>0</v>
      </c>
      <c r="D1403" s="742">
        <f>Calculs!BZ1475</f>
        <v>0</v>
      </c>
      <c r="E1403" s="742">
        <f>Calculs!CA1475</f>
        <v>0</v>
      </c>
      <c r="F1403" s="742">
        <f>Calculs!CB1475</f>
        <v>0</v>
      </c>
      <c r="G1403" s="742">
        <f>Calculs!CC1475</f>
        <v>0</v>
      </c>
      <c r="H1403" s="742"/>
      <c r="I1403" s="742">
        <f>Calculs!CE1475</f>
        <v>0</v>
      </c>
      <c r="J1403" s="742">
        <f>Calculs!CF1475</f>
        <v>0</v>
      </c>
      <c r="K1403" s="742"/>
      <c r="L1403" s="742">
        <f>Calculs!CH1475</f>
        <v>0</v>
      </c>
    </row>
    <row r="1404" spans="2:12">
      <c r="B1404" s="742">
        <f>Calculs!B1476</f>
        <v>0</v>
      </c>
      <c r="C1404" s="742">
        <f>Calculs!BY1476</f>
        <v>0</v>
      </c>
      <c r="D1404" s="742">
        <f>Calculs!BZ1476</f>
        <v>0</v>
      </c>
      <c r="E1404" s="742">
        <f>Calculs!CA1476</f>
        <v>0</v>
      </c>
      <c r="F1404" s="742">
        <f>Calculs!CB1476</f>
        <v>0</v>
      </c>
      <c r="G1404" s="742">
        <f>Calculs!CC1476</f>
        <v>0</v>
      </c>
      <c r="H1404" s="742"/>
      <c r="I1404" s="742">
        <f>Calculs!CE1476</f>
        <v>0</v>
      </c>
      <c r="J1404" s="742">
        <f>Calculs!CF1476</f>
        <v>0</v>
      </c>
      <c r="K1404" s="742"/>
      <c r="L1404" s="742">
        <f>Calculs!CH1476</f>
        <v>0</v>
      </c>
    </row>
    <row r="1405" spans="2:12">
      <c r="B1405" s="742">
        <f>Calculs!B1477</f>
        <v>0</v>
      </c>
      <c r="C1405" s="742">
        <f>Calculs!BY1477</f>
        <v>0</v>
      </c>
      <c r="D1405" s="742">
        <f>Calculs!BZ1477</f>
        <v>0</v>
      </c>
      <c r="E1405" s="742">
        <f>Calculs!CA1477</f>
        <v>0</v>
      </c>
      <c r="F1405" s="742">
        <f>Calculs!CB1477</f>
        <v>0</v>
      </c>
      <c r="G1405" s="742">
        <f>Calculs!CC1477</f>
        <v>0</v>
      </c>
      <c r="H1405" s="742"/>
      <c r="I1405" s="742">
        <f>Calculs!CE1477</f>
        <v>0</v>
      </c>
      <c r="J1405" s="742">
        <f>Calculs!CF1477</f>
        <v>0</v>
      </c>
      <c r="K1405" s="742"/>
      <c r="L1405" s="742">
        <f>Calculs!CH1477</f>
        <v>0</v>
      </c>
    </row>
    <row r="1406" spans="2:12">
      <c r="B1406" s="742">
        <f>Calculs!B1478</f>
        <v>0</v>
      </c>
      <c r="C1406" s="742">
        <f>Calculs!BY1478</f>
        <v>0</v>
      </c>
      <c r="D1406" s="742">
        <f>Calculs!BZ1478</f>
        <v>0</v>
      </c>
      <c r="E1406" s="742">
        <f>Calculs!CA1478</f>
        <v>0</v>
      </c>
      <c r="F1406" s="742">
        <f>Calculs!CB1478</f>
        <v>0</v>
      </c>
      <c r="G1406" s="742">
        <f>Calculs!CC1478</f>
        <v>0</v>
      </c>
      <c r="H1406" s="742"/>
      <c r="I1406" s="742">
        <f>Calculs!CE1478</f>
        <v>0</v>
      </c>
      <c r="J1406" s="742">
        <f>Calculs!CF1478</f>
        <v>0</v>
      </c>
      <c r="K1406" s="742"/>
      <c r="L1406" s="742">
        <f>Calculs!CH1478</f>
        <v>0</v>
      </c>
    </row>
    <row r="1407" spans="2:12">
      <c r="B1407" s="742">
        <f>Calculs!B1479</f>
        <v>0</v>
      </c>
      <c r="C1407" s="742">
        <f>Calculs!BY1479</f>
        <v>0</v>
      </c>
      <c r="D1407" s="742">
        <f>Calculs!BZ1479</f>
        <v>0</v>
      </c>
      <c r="E1407" s="742">
        <f>Calculs!CA1479</f>
        <v>0</v>
      </c>
      <c r="F1407" s="742">
        <f>Calculs!CB1479</f>
        <v>0</v>
      </c>
      <c r="G1407" s="742">
        <f>Calculs!CC1479</f>
        <v>0</v>
      </c>
      <c r="H1407" s="742"/>
      <c r="I1407" s="742">
        <f>Calculs!CE1479</f>
        <v>0</v>
      </c>
      <c r="J1407" s="742">
        <f>Calculs!CF1479</f>
        <v>0</v>
      </c>
      <c r="K1407" s="742"/>
      <c r="L1407" s="742">
        <f>Calculs!CH1479</f>
        <v>0</v>
      </c>
    </row>
    <row r="1408" spans="2:12">
      <c r="B1408" s="742">
        <f>Calculs!B1480</f>
        <v>0</v>
      </c>
      <c r="C1408" s="742">
        <f>Calculs!BY1480</f>
        <v>0</v>
      </c>
      <c r="D1408" s="742">
        <f>Calculs!BZ1480</f>
        <v>0</v>
      </c>
      <c r="E1408" s="742">
        <f>Calculs!CA1480</f>
        <v>0</v>
      </c>
      <c r="F1408" s="742">
        <f>Calculs!CB1480</f>
        <v>0</v>
      </c>
      <c r="G1408" s="742">
        <f>Calculs!CC1480</f>
        <v>0</v>
      </c>
      <c r="H1408" s="742"/>
      <c r="I1408" s="742">
        <f>Calculs!CE1480</f>
        <v>0</v>
      </c>
      <c r="J1408" s="742">
        <f>Calculs!CF1480</f>
        <v>0</v>
      </c>
      <c r="K1408" s="742"/>
      <c r="L1408" s="742">
        <f>Calculs!CH1480</f>
        <v>0</v>
      </c>
    </row>
    <row r="1409" spans="2:12">
      <c r="B1409" s="742">
        <f>Calculs!B1481</f>
        <v>0</v>
      </c>
      <c r="C1409" s="742">
        <f>Calculs!BY1481</f>
        <v>0</v>
      </c>
      <c r="D1409" s="742">
        <f>Calculs!BZ1481</f>
        <v>0</v>
      </c>
      <c r="E1409" s="742">
        <f>Calculs!CA1481</f>
        <v>0</v>
      </c>
      <c r="F1409" s="742">
        <f>Calculs!CB1481</f>
        <v>0</v>
      </c>
      <c r="G1409" s="742">
        <f>Calculs!CC1481</f>
        <v>0</v>
      </c>
      <c r="H1409" s="742"/>
      <c r="I1409" s="742">
        <f>Calculs!CE1481</f>
        <v>0</v>
      </c>
      <c r="J1409" s="742">
        <f>Calculs!CF1481</f>
        <v>0</v>
      </c>
      <c r="K1409" s="742"/>
      <c r="L1409" s="742">
        <f>Calculs!CH1481</f>
        <v>0</v>
      </c>
    </row>
    <row r="1410" spans="2:12">
      <c r="B1410" s="742">
        <f>Calculs!B1482</f>
        <v>0</v>
      </c>
      <c r="C1410" s="742">
        <f>Calculs!BY1482</f>
        <v>0</v>
      </c>
      <c r="D1410" s="742">
        <f>Calculs!BZ1482</f>
        <v>0</v>
      </c>
      <c r="E1410" s="742">
        <f>Calculs!CA1482</f>
        <v>0</v>
      </c>
      <c r="F1410" s="742">
        <f>Calculs!CB1482</f>
        <v>0</v>
      </c>
      <c r="G1410" s="742">
        <f>Calculs!CC1482</f>
        <v>0</v>
      </c>
      <c r="H1410" s="742"/>
      <c r="I1410" s="742">
        <f>Calculs!CE1482</f>
        <v>0</v>
      </c>
      <c r="J1410" s="742">
        <f>Calculs!CF1482</f>
        <v>0</v>
      </c>
      <c r="K1410" s="742"/>
      <c r="L1410" s="742">
        <f>Calculs!CH1482</f>
        <v>0</v>
      </c>
    </row>
    <row r="1411" spans="2:12">
      <c r="B1411" s="742">
        <f>Calculs!B1483</f>
        <v>0</v>
      </c>
      <c r="C1411" s="742">
        <f>Calculs!BY1483</f>
        <v>0</v>
      </c>
      <c r="D1411" s="742">
        <f>Calculs!BZ1483</f>
        <v>0</v>
      </c>
      <c r="E1411" s="742">
        <f>Calculs!CA1483</f>
        <v>0</v>
      </c>
      <c r="F1411" s="742">
        <f>Calculs!CB1483</f>
        <v>0</v>
      </c>
      <c r="G1411" s="742">
        <f>Calculs!CC1483</f>
        <v>0</v>
      </c>
      <c r="H1411" s="742"/>
      <c r="I1411" s="742">
        <f>Calculs!CE1483</f>
        <v>0</v>
      </c>
      <c r="J1411" s="742">
        <f>Calculs!CF1483</f>
        <v>0</v>
      </c>
      <c r="K1411" s="742"/>
      <c r="L1411" s="742">
        <f>Calculs!CH1483</f>
        <v>0</v>
      </c>
    </row>
    <row r="1412" spans="2:12">
      <c r="B1412" s="742">
        <f>Calculs!B1484</f>
        <v>0</v>
      </c>
      <c r="C1412" s="742">
        <f>Calculs!BY1484</f>
        <v>0</v>
      </c>
      <c r="D1412" s="742">
        <f>Calculs!BZ1484</f>
        <v>0</v>
      </c>
      <c r="E1412" s="742">
        <f>Calculs!CA1484</f>
        <v>0</v>
      </c>
      <c r="F1412" s="742">
        <f>Calculs!CB1484</f>
        <v>0</v>
      </c>
      <c r="G1412" s="742">
        <f>Calculs!CC1484</f>
        <v>0</v>
      </c>
      <c r="H1412" s="742"/>
      <c r="I1412" s="742">
        <f>Calculs!CE1484</f>
        <v>0</v>
      </c>
      <c r="J1412" s="742">
        <f>Calculs!CF1484</f>
        <v>0</v>
      </c>
      <c r="K1412" s="742"/>
      <c r="L1412" s="742">
        <f>Calculs!CH1484</f>
        <v>0</v>
      </c>
    </row>
    <row r="1413" spans="2:12">
      <c r="B1413" s="742">
        <f>Calculs!B1485</f>
        <v>0</v>
      </c>
      <c r="C1413" s="742">
        <f>Calculs!BY1485</f>
        <v>0</v>
      </c>
      <c r="D1413" s="742">
        <f>Calculs!BZ1485</f>
        <v>0</v>
      </c>
      <c r="E1413" s="742">
        <f>Calculs!CA1485</f>
        <v>0</v>
      </c>
      <c r="F1413" s="742">
        <f>Calculs!CB1485</f>
        <v>0</v>
      </c>
      <c r="G1413" s="742">
        <f>Calculs!CC1485</f>
        <v>0</v>
      </c>
      <c r="H1413" s="742"/>
      <c r="I1413" s="742">
        <f>Calculs!CE1485</f>
        <v>0</v>
      </c>
      <c r="J1413" s="742">
        <f>Calculs!CF1485</f>
        <v>0</v>
      </c>
      <c r="K1413" s="742"/>
      <c r="L1413" s="742">
        <f>Calculs!CH1485</f>
        <v>0</v>
      </c>
    </row>
    <row r="1414" spans="2:12">
      <c r="B1414" s="742">
        <f>Calculs!B1486</f>
        <v>0</v>
      </c>
      <c r="C1414" s="742">
        <f>Calculs!BY1486</f>
        <v>0</v>
      </c>
      <c r="D1414" s="742">
        <f>Calculs!BZ1486</f>
        <v>0</v>
      </c>
      <c r="E1414" s="742">
        <f>Calculs!CA1486</f>
        <v>0</v>
      </c>
      <c r="F1414" s="742">
        <f>Calculs!CB1486</f>
        <v>0</v>
      </c>
      <c r="G1414" s="742">
        <f>Calculs!CC1486</f>
        <v>0</v>
      </c>
      <c r="H1414" s="742"/>
      <c r="I1414" s="742">
        <f>Calculs!CE1486</f>
        <v>0</v>
      </c>
      <c r="J1414" s="742">
        <f>Calculs!CF1486</f>
        <v>0</v>
      </c>
      <c r="K1414" s="742"/>
      <c r="L1414" s="742">
        <f>Calculs!CH1486</f>
        <v>0</v>
      </c>
    </row>
    <row r="1415" spans="2:12">
      <c r="B1415" s="742">
        <f>Calculs!B1487</f>
        <v>0</v>
      </c>
      <c r="C1415" s="742">
        <f>Calculs!BY1487</f>
        <v>0</v>
      </c>
      <c r="D1415" s="742">
        <f>Calculs!BZ1487</f>
        <v>0</v>
      </c>
      <c r="E1415" s="742">
        <f>Calculs!CA1487</f>
        <v>0</v>
      </c>
      <c r="F1415" s="742">
        <f>Calculs!CB1487</f>
        <v>0</v>
      </c>
      <c r="G1415" s="742">
        <f>Calculs!CC1487</f>
        <v>0</v>
      </c>
      <c r="H1415" s="742"/>
      <c r="I1415" s="742">
        <f>Calculs!CE1487</f>
        <v>0</v>
      </c>
      <c r="J1415" s="742">
        <f>Calculs!CF1487</f>
        <v>0</v>
      </c>
      <c r="K1415" s="742"/>
      <c r="L1415" s="742">
        <f>Calculs!CH1487</f>
        <v>0</v>
      </c>
    </row>
    <row r="1416" spans="2:12">
      <c r="B1416" s="742">
        <f>Calculs!B1488</f>
        <v>0</v>
      </c>
      <c r="C1416" s="742">
        <f>Calculs!BY1488</f>
        <v>0</v>
      </c>
      <c r="D1416" s="742">
        <f>Calculs!BZ1488</f>
        <v>0</v>
      </c>
      <c r="E1416" s="742">
        <f>Calculs!CA1488</f>
        <v>0</v>
      </c>
      <c r="F1416" s="742">
        <f>Calculs!CB1488</f>
        <v>0</v>
      </c>
      <c r="G1416" s="742">
        <f>Calculs!CC1488</f>
        <v>0</v>
      </c>
      <c r="H1416" s="742"/>
      <c r="I1416" s="742">
        <f>Calculs!CE1488</f>
        <v>0</v>
      </c>
      <c r="J1416" s="742">
        <f>Calculs!CF1488</f>
        <v>0</v>
      </c>
      <c r="K1416" s="742"/>
      <c r="L1416" s="742">
        <f>Calculs!CH1488</f>
        <v>0</v>
      </c>
    </row>
    <row r="1417" spans="2:12">
      <c r="B1417" s="742">
        <f>Calculs!B1489</f>
        <v>0</v>
      </c>
      <c r="C1417" s="742">
        <f>Calculs!BY1489</f>
        <v>0</v>
      </c>
      <c r="D1417" s="742">
        <f>Calculs!BZ1489</f>
        <v>0</v>
      </c>
      <c r="E1417" s="742">
        <f>Calculs!CA1489</f>
        <v>0</v>
      </c>
      <c r="F1417" s="742">
        <f>Calculs!CB1489</f>
        <v>0</v>
      </c>
      <c r="G1417" s="742">
        <f>Calculs!CC1489</f>
        <v>0</v>
      </c>
      <c r="H1417" s="742"/>
      <c r="I1417" s="742">
        <f>Calculs!CE1489</f>
        <v>0</v>
      </c>
      <c r="J1417" s="742">
        <f>Calculs!CF1489</f>
        <v>0</v>
      </c>
      <c r="K1417" s="742"/>
      <c r="L1417" s="742">
        <f>Calculs!CH1489</f>
        <v>0</v>
      </c>
    </row>
    <row r="1418" spans="2:12">
      <c r="B1418" s="742">
        <f>Calculs!B1490</f>
        <v>0</v>
      </c>
      <c r="C1418" s="742">
        <f>Calculs!BY1490</f>
        <v>0</v>
      </c>
      <c r="D1418" s="742">
        <f>Calculs!BZ1490</f>
        <v>0</v>
      </c>
      <c r="E1418" s="742">
        <f>Calculs!CA1490</f>
        <v>0</v>
      </c>
      <c r="F1418" s="742">
        <f>Calculs!CB1490</f>
        <v>0</v>
      </c>
      <c r="G1418" s="742">
        <f>Calculs!CC1490</f>
        <v>0</v>
      </c>
      <c r="H1418" s="742"/>
      <c r="I1418" s="742">
        <f>Calculs!CE1490</f>
        <v>0</v>
      </c>
      <c r="J1418" s="742">
        <f>Calculs!CF1490</f>
        <v>0</v>
      </c>
      <c r="K1418" s="742"/>
      <c r="L1418" s="742">
        <f>Calculs!CH1490</f>
        <v>0</v>
      </c>
    </row>
    <row r="1419" spans="2:12">
      <c r="B1419" s="742">
        <f>Calculs!B1491</f>
        <v>0</v>
      </c>
      <c r="C1419" s="742">
        <f>Calculs!BY1491</f>
        <v>0</v>
      </c>
      <c r="D1419" s="742">
        <f>Calculs!BZ1491</f>
        <v>0</v>
      </c>
      <c r="E1419" s="742">
        <f>Calculs!CA1491</f>
        <v>0</v>
      </c>
      <c r="F1419" s="742">
        <f>Calculs!CB1491</f>
        <v>0</v>
      </c>
      <c r="G1419" s="742">
        <f>Calculs!CC1491</f>
        <v>0</v>
      </c>
      <c r="H1419" s="742"/>
      <c r="I1419" s="742">
        <f>Calculs!CE1491</f>
        <v>0</v>
      </c>
      <c r="J1419" s="742">
        <f>Calculs!CF1491</f>
        <v>0</v>
      </c>
      <c r="K1419" s="742"/>
      <c r="L1419" s="742">
        <f>Calculs!CH1491</f>
        <v>0</v>
      </c>
    </row>
    <row r="1420" spans="2:12">
      <c r="B1420" s="742">
        <f>Calculs!B1492</f>
        <v>0</v>
      </c>
      <c r="C1420" s="742">
        <f>Calculs!BY1492</f>
        <v>0</v>
      </c>
      <c r="D1420" s="742">
        <f>Calculs!BZ1492</f>
        <v>0</v>
      </c>
      <c r="E1420" s="742">
        <f>Calculs!CA1492</f>
        <v>0</v>
      </c>
      <c r="F1420" s="742">
        <f>Calculs!CB1492</f>
        <v>0</v>
      </c>
      <c r="G1420" s="742">
        <f>Calculs!CC1492</f>
        <v>0</v>
      </c>
      <c r="H1420" s="742"/>
      <c r="I1420" s="742">
        <f>Calculs!CE1492</f>
        <v>0</v>
      </c>
      <c r="J1420" s="742">
        <f>Calculs!CF1492</f>
        <v>0</v>
      </c>
      <c r="K1420" s="742"/>
      <c r="L1420" s="742">
        <f>Calculs!CH1492</f>
        <v>0</v>
      </c>
    </row>
    <row r="1421" spans="2:12">
      <c r="B1421" s="742">
        <f>Calculs!B1493</f>
        <v>0</v>
      </c>
      <c r="C1421" s="742">
        <f>Calculs!BY1493</f>
        <v>0</v>
      </c>
      <c r="D1421" s="742">
        <f>Calculs!BZ1493</f>
        <v>0</v>
      </c>
      <c r="E1421" s="742">
        <f>Calculs!CA1493</f>
        <v>0</v>
      </c>
      <c r="F1421" s="742">
        <f>Calculs!CB1493</f>
        <v>0</v>
      </c>
      <c r="G1421" s="742">
        <f>Calculs!CC1493</f>
        <v>0</v>
      </c>
      <c r="H1421" s="742"/>
      <c r="I1421" s="742">
        <f>Calculs!CE1493</f>
        <v>0</v>
      </c>
      <c r="J1421" s="742">
        <f>Calculs!CF1493</f>
        <v>0</v>
      </c>
      <c r="K1421" s="742"/>
      <c r="L1421" s="742">
        <f>Calculs!CH1493</f>
        <v>0</v>
      </c>
    </row>
    <row r="1422" spans="2:12">
      <c r="B1422" s="742">
        <f>Calculs!B1494</f>
        <v>0</v>
      </c>
      <c r="C1422" s="742">
        <f>Calculs!BY1494</f>
        <v>0</v>
      </c>
      <c r="D1422" s="742">
        <f>Calculs!BZ1494</f>
        <v>0</v>
      </c>
      <c r="E1422" s="742">
        <f>Calculs!CA1494</f>
        <v>0</v>
      </c>
      <c r="F1422" s="742">
        <f>Calculs!CB1494</f>
        <v>0</v>
      </c>
      <c r="G1422" s="742">
        <f>Calculs!CC1494</f>
        <v>0</v>
      </c>
      <c r="H1422" s="742"/>
      <c r="I1422" s="742">
        <f>Calculs!CE1494</f>
        <v>0</v>
      </c>
      <c r="J1422" s="742">
        <f>Calculs!CF1494</f>
        <v>0</v>
      </c>
      <c r="K1422" s="742"/>
      <c r="L1422" s="742">
        <f>Calculs!CH1494</f>
        <v>0</v>
      </c>
    </row>
    <row r="1423" spans="2:12">
      <c r="B1423" s="742">
        <f>Calculs!B1495</f>
        <v>0</v>
      </c>
      <c r="C1423" s="742">
        <f>Calculs!BY1495</f>
        <v>0</v>
      </c>
      <c r="D1423" s="742">
        <f>Calculs!BZ1495</f>
        <v>0</v>
      </c>
      <c r="E1423" s="742">
        <f>Calculs!CA1495</f>
        <v>0</v>
      </c>
      <c r="F1423" s="742">
        <f>Calculs!CB1495</f>
        <v>0</v>
      </c>
      <c r="G1423" s="742">
        <f>Calculs!CC1495</f>
        <v>0</v>
      </c>
      <c r="H1423" s="742"/>
      <c r="I1423" s="742">
        <f>Calculs!CE1495</f>
        <v>0</v>
      </c>
      <c r="J1423" s="742">
        <f>Calculs!CF1495</f>
        <v>0</v>
      </c>
      <c r="K1423" s="742"/>
      <c r="L1423" s="742">
        <f>Calculs!CH1495</f>
        <v>0</v>
      </c>
    </row>
    <row r="1424" spans="2:12">
      <c r="B1424" s="742">
        <f>Calculs!B1496</f>
        <v>0</v>
      </c>
      <c r="C1424" s="742">
        <f>Calculs!BY1496</f>
        <v>0</v>
      </c>
      <c r="D1424" s="742">
        <f>Calculs!BZ1496</f>
        <v>0</v>
      </c>
      <c r="E1424" s="742">
        <f>Calculs!CA1496</f>
        <v>0</v>
      </c>
      <c r="F1424" s="742">
        <f>Calculs!CB1496</f>
        <v>0</v>
      </c>
      <c r="G1424" s="742">
        <f>Calculs!CC1496</f>
        <v>0</v>
      </c>
      <c r="H1424" s="742"/>
      <c r="I1424" s="742">
        <f>Calculs!CE1496</f>
        <v>0</v>
      </c>
      <c r="J1424" s="742">
        <f>Calculs!CF1496</f>
        <v>0</v>
      </c>
      <c r="K1424" s="742"/>
      <c r="L1424" s="742">
        <f>Calculs!CH1496</f>
        <v>0</v>
      </c>
    </row>
    <row r="1425" spans="2:12">
      <c r="B1425" s="742">
        <f>Calculs!B1497</f>
        <v>0</v>
      </c>
      <c r="C1425" s="742">
        <f>Calculs!BY1497</f>
        <v>0</v>
      </c>
      <c r="D1425" s="742">
        <f>Calculs!BZ1497</f>
        <v>0</v>
      </c>
      <c r="E1425" s="742">
        <f>Calculs!CA1497</f>
        <v>0</v>
      </c>
      <c r="F1425" s="742">
        <f>Calculs!CB1497</f>
        <v>0</v>
      </c>
      <c r="G1425" s="742">
        <f>Calculs!CC1497</f>
        <v>0</v>
      </c>
      <c r="H1425" s="742"/>
      <c r="I1425" s="742">
        <f>Calculs!CE1497</f>
        <v>0</v>
      </c>
      <c r="J1425" s="742">
        <f>Calculs!CF1497</f>
        <v>0</v>
      </c>
      <c r="K1425" s="742"/>
      <c r="L1425" s="742">
        <f>Calculs!CH1497</f>
        <v>0</v>
      </c>
    </row>
    <row r="1426" spans="2:12">
      <c r="B1426" s="742">
        <f>Calculs!B1498</f>
        <v>0</v>
      </c>
      <c r="C1426" s="742">
        <f>Calculs!BY1498</f>
        <v>0</v>
      </c>
      <c r="D1426" s="742">
        <f>Calculs!BZ1498</f>
        <v>0</v>
      </c>
      <c r="E1426" s="742">
        <f>Calculs!CA1498</f>
        <v>0</v>
      </c>
      <c r="F1426" s="742">
        <f>Calculs!CB1498</f>
        <v>0</v>
      </c>
      <c r="G1426" s="742">
        <f>Calculs!CC1498</f>
        <v>0</v>
      </c>
      <c r="H1426" s="742"/>
      <c r="I1426" s="742">
        <f>Calculs!CE1498</f>
        <v>0</v>
      </c>
      <c r="J1426" s="742">
        <f>Calculs!CF1498</f>
        <v>0</v>
      </c>
      <c r="K1426" s="742"/>
      <c r="L1426" s="742">
        <f>Calculs!CH1498</f>
        <v>0</v>
      </c>
    </row>
    <row r="1427" spans="2:12">
      <c r="B1427" s="742">
        <f>Calculs!B1499</f>
        <v>0</v>
      </c>
      <c r="C1427" s="742">
        <f>Calculs!BY1499</f>
        <v>0</v>
      </c>
      <c r="D1427" s="742">
        <f>Calculs!BZ1499</f>
        <v>0</v>
      </c>
      <c r="E1427" s="742">
        <f>Calculs!CA1499</f>
        <v>0</v>
      </c>
      <c r="F1427" s="742">
        <f>Calculs!CB1499</f>
        <v>0</v>
      </c>
      <c r="G1427" s="742">
        <f>Calculs!CC1499</f>
        <v>0</v>
      </c>
      <c r="H1427" s="742"/>
      <c r="I1427" s="742">
        <f>Calculs!CE1499</f>
        <v>0</v>
      </c>
      <c r="J1427" s="742">
        <f>Calculs!CF1499</f>
        <v>0</v>
      </c>
      <c r="K1427" s="742"/>
      <c r="L1427" s="742">
        <f>Calculs!CH1499</f>
        <v>0</v>
      </c>
    </row>
    <row r="1428" spans="2:12">
      <c r="B1428" s="742">
        <f>Calculs!B1500</f>
        <v>0</v>
      </c>
      <c r="C1428" s="742">
        <f>Calculs!BY1500</f>
        <v>0</v>
      </c>
      <c r="D1428" s="742">
        <f>Calculs!BZ1500</f>
        <v>0</v>
      </c>
      <c r="E1428" s="742">
        <f>Calculs!CA1500</f>
        <v>0</v>
      </c>
      <c r="F1428" s="742">
        <f>Calculs!CB1500</f>
        <v>0</v>
      </c>
      <c r="G1428" s="742">
        <f>Calculs!CC1500</f>
        <v>0</v>
      </c>
      <c r="H1428" s="742"/>
      <c r="I1428" s="742">
        <f>Calculs!CE1500</f>
        <v>0</v>
      </c>
      <c r="J1428" s="742">
        <f>Calculs!CF1500</f>
        <v>0</v>
      </c>
      <c r="K1428" s="742"/>
      <c r="L1428" s="742">
        <f>Calculs!CH1500</f>
        <v>0</v>
      </c>
    </row>
    <row r="1429" spans="2:12">
      <c r="B1429" s="742">
        <f>Calculs!B1501</f>
        <v>0</v>
      </c>
      <c r="C1429" s="742">
        <f>Calculs!BY1501</f>
        <v>0</v>
      </c>
      <c r="D1429" s="742">
        <f>Calculs!BZ1501</f>
        <v>0</v>
      </c>
      <c r="E1429" s="742">
        <f>Calculs!CA1501</f>
        <v>0</v>
      </c>
      <c r="F1429" s="742">
        <f>Calculs!CB1501</f>
        <v>0</v>
      </c>
      <c r="G1429" s="742">
        <f>Calculs!CC1501</f>
        <v>0</v>
      </c>
      <c r="H1429" s="742"/>
      <c r="I1429" s="742">
        <f>Calculs!CE1501</f>
        <v>0</v>
      </c>
      <c r="J1429" s="742">
        <f>Calculs!CF1501</f>
        <v>0</v>
      </c>
      <c r="K1429" s="742"/>
      <c r="L1429" s="742">
        <f>Calculs!CH1501</f>
        <v>0</v>
      </c>
    </row>
    <row r="1430" spans="2:12">
      <c r="B1430" s="742">
        <f>Calculs!B1502</f>
        <v>0</v>
      </c>
      <c r="C1430" s="742">
        <f>Calculs!BY1502</f>
        <v>0</v>
      </c>
      <c r="D1430" s="742">
        <f>Calculs!BZ1502</f>
        <v>0</v>
      </c>
      <c r="E1430" s="742">
        <f>Calculs!CA1502</f>
        <v>0</v>
      </c>
      <c r="F1430" s="742">
        <f>Calculs!CB1502</f>
        <v>0</v>
      </c>
      <c r="G1430" s="742">
        <f>Calculs!CC1502</f>
        <v>0</v>
      </c>
      <c r="H1430" s="742"/>
      <c r="I1430" s="742">
        <f>Calculs!CE1502</f>
        <v>0</v>
      </c>
      <c r="J1430" s="742">
        <f>Calculs!CF1502</f>
        <v>0</v>
      </c>
      <c r="K1430" s="742"/>
      <c r="L1430" s="742">
        <f>Calculs!CH1502</f>
        <v>0</v>
      </c>
    </row>
    <row r="1431" spans="2:12">
      <c r="B1431" s="742">
        <f>Calculs!B1503</f>
        <v>0</v>
      </c>
      <c r="C1431" s="742">
        <f>Calculs!BY1503</f>
        <v>0</v>
      </c>
      <c r="D1431" s="742">
        <f>Calculs!BZ1503</f>
        <v>0</v>
      </c>
      <c r="E1431" s="742">
        <f>Calculs!CA1503</f>
        <v>0</v>
      </c>
      <c r="F1431" s="742">
        <f>Calculs!CB1503</f>
        <v>0</v>
      </c>
      <c r="G1431" s="742">
        <f>Calculs!CC1503</f>
        <v>0</v>
      </c>
      <c r="H1431" s="742"/>
      <c r="I1431" s="742">
        <f>Calculs!CE1503</f>
        <v>0</v>
      </c>
      <c r="J1431" s="742">
        <f>Calculs!CF1503</f>
        <v>0</v>
      </c>
      <c r="K1431" s="742"/>
      <c r="L1431" s="742">
        <f>Calculs!CH1503</f>
        <v>0</v>
      </c>
    </row>
    <row r="1432" spans="2:12">
      <c r="B1432" s="742">
        <f>Calculs!B1504</f>
        <v>0</v>
      </c>
      <c r="C1432" s="742">
        <f>Calculs!BY1504</f>
        <v>0</v>
      </c>
      <c r="D1432" s="742">
        <f>Calculs!BZ1504</f>
        <v>0</v>
      </c>
      <c r="E1432" s="742">
        <f>Calculs!CA1504</f>
        <v>0</v>
      </c>
      <c r="F1432" s="742">
        <f>Calculs!CB1504</f>
        <v>0</v>
      </c>
      <c r="G1432" s="742">
        <f>Calculs!CC1504</f>
        <v>0</v>
      </c>
      <c r="H1432" s="742"/>
      <c r="I1432" s="742">
        <f>Calculs!CE1504</f>
        <v>0</v>
      </c>
      <c r="J1432" s="742">
        <f>Calculs!CF1504</f>
        <v>0</v>
      </c>
      <c r="K1432" s="742"/>
      <c r="L1432" s="742">
        <f>Calculs!CH1504</f>
        <v>0</v>
      </c>
    </row>
    <row r="1433" spans="2:12">
      <c r="B1433" s="742">
        <f>Calculs!B1505</f>
        <v>0</v>
      </c>
      <c r="C1433" s="742">
        <f>Calculs!BY1505</f>
        <v>0</v>
      </c>
      <c r="D1433" s="742">
        <f>Calculs!BZ1505</f>
        <v>0</v>
      </c>
      <c r="E1433" s="742">
        <f>Calculs!CA1505</f>
        <v>0</v>
      </c>
      <c r="F1433" s="742">
        <f>Calculs!CB1505</f>
        <v>0</v>
      </c>
      <c r="G1433" s="742">
        <f>Calculs!CC1505</f>
        <v>0</v>
      </c>
      <c r="H1433" s="742"/>
      <c r="I1433" s="742">
        <f>Calculs!CE1505</f>
        <v>0</v>
      </c>
      <c r="J1433" s="742">
        <f>Calculs!CF1505</f>
        <v>0</v>
      </c>
      <c r="K1433" s="742"/>
      <c r="L1433" s="742">
        <f>Calculs!CH1505</f>
        <v>0</v>
      </c>
    </row>
    <row r="1434" spans="2:12">
      <c r="B1434" s="742">
        <f>Calculs!B1506</f>
        <v>0</v>
      </c>
      <c r="C1434" s="742">
        <f>Calculs!BY1506</f>
        <v>0</v>
      </c>
      <c r="D1434" s="742">
        <f>Calculs!BZ1506</f>
        <v>0</v>
      </c>
      <c r="E1434" s="742">
        <f>Calculs!CA1506</f>
        <v>0</v>
      </c>
      <c r="F1434" s="742">
        <f>Calculs!CB1506</f>
        <v>0</v>
      </c>
      <c r="G1434" s="742">
        <f>Calculs!CC1506</f>
        <v>0</v>
      </c>
      <c r="H1434" s="742"/>
      <c r="I1434" s="742">
        <f>Calculs!CE1506</f>
        <v>0</v>
      </c>
      <c r="J1434" s="742">
        <f>Calculs!CF1506</f>
        <v>0</v>
      </c>
      <c r="K1434" s="742"/>
      <c r="L1434" s="742">
        <f>Calculs!CH1506</f>
        <v>0</v>
      </c>
    </row>
    <row r="1435" spans="2:12">
      <c r="B1435" s="742">
        <f>Calculs!B1507</f>
        <v>0</v>
      </c>
      <c r="C1435" s="742">
        <f>Calculs!BY1507</f>
        <v>0</v>
      </c>
      <c r="D1435" s="742">
        <f>Calculs!BZ1507</f>
        <v>0</v>
      </c>
      <c r="E1435" s="742">
        <f>Calculs!CA1507</f>
        <v>0</v>
      </c>
      <c r="F1435" s="742">
        <f>Calculs!CB1507</f>
        <v>0</v>
      </c>
      <c r="G1435" s="742">
        <f>Calculs!CC1507</f>
        <v>0</v>
      </c>
      <c r="H1435" s="742"/>
      <c r="I1435" s="742">
        <f>Calculs!CE1507</f>
        <v>0</v>
      </c>
      <c r="J1435" s="742">
        <f>Calculs!CF1507</f>
        <v>0</v>
      </c>
      <c r="K1435" s="742"/>
      <c r="L1435" s="742">
        <f>Calculs!CH1507</f>
        <v>0</v>
      </c>
    </row>
    <row r="1436" spans="2:12">
      <c r="B1436" s="742">
        <f>Calculs!B1508</f>
        <v>0</v>
      </c>
      <c r="C1436" s="742">
        <f>Calculs!BY1508</f>
        <v>0</v>
      </c>
      <c r="D1436" s="742">
        <f>Calculs!BZ1508</f>
        <v>0</v>
      </c>
      <c r="E1436" s="742">
        <f>Calculs!CA1508</f>
        <v>0</v>
      </c>
      <c r="F1436" s="742">
        <f>Calculs!CB1508</f>
        <v>0</v>
      </c>
      <c r="G1436" s="742">
        <f>Calculs!CC1508</f>
        <v>0</v>
      </c>
      <c r="H1436" s="742"/>
      <c r="I1436" s="742">
        <f>Calculs!CE1508</f>
        <v>0</v>
      </c>
      <c r="J1436" s="742">
        <f>Calculs!CF1508</f>
        <v>0</v>
      </c>
      <c r="K1436" s="742"/>
      <c r="L1436" s="742">
        <f>Calculs!CH1508</f>
        <v>0</v>
      </c>
    </row>
    <row r="1437" spans="2:12">
      <c r="B1437" s="742">
        <f>Calculs!B1509</f>
        <v>0</v>
      </c>
      <c r="C1437" s="742">
        <f>Calculs!BY1509</f>
        <v>0</v>
      </c>
      <c r="D1437" s="742">
        <f>Calculs!BZ1509</f>
        <v>0</v>
      </c>
      <c r="E1437" s="742">
        <f>Calculs!CA1509</f>
        <v>0</v>
      </c>
      <c r="F1437" s="742">
        <f>Calculs!CB1509</f>
        <v>0</v>
      </c>
      <c r="G1437" s="742">
        <f>Calculs!CC1509</f>
        <v>0</v>
      </c>
      <c r="H1437" s="742"/>
      <c r="I1437" s="742">
        <f>Calculs!CE1509</f>
        <v>0</v>
      </c>
      <c r="J1437" s="742">
        <f>Calculs!CF1509</f>
        <v>0</v>
      </c>
      <c r="K1437" s="742"/>
      <c r="L1437" s="742">
        <f>Calculs!CH1509</f>
        <v>0</v>
      </c>
    </row>
    <row r="1438" spans="2:12">
      <c r="B1438" s="742">
        <f>Calculs!B1510</f>
        <v>0</v>
      </c>
      <c r="C1438" s="742">
        <f>Calculs!BY1510</f>
        <v>0</v>
      </c>
      <c r="D1438" s="742">
        <f>Calculs!BZ1510</f>
        <v>0</v>
      </c>
      <c r="E1438" s="742">
        <f>Calculs!CA1510</f>
        <v>0</v>
      </c>
      <c r="F1438" s="742">
        <f>Calculs!CB1510</f>
        <v>0</v>
      </c>
      <c r="G1438" s="742">
        <f>Calculs!CC1510</f>
        <v>0</v>
      </c>
      <c r="H1438" s="742"/>
      <c r="I1438" s="742">
        <f>Calculs!CE1510</f>
        <v>0</v>
      </c>
      <c r="J1438" s="742">
        <f>Calculs!CF1510</f>
        <v>0</v>
      </c>
      <c r="K1438" s="742"/>
      <c r="L1438" s="742">
        <f>Calculs!CH1510</f>
        <v>0</v>
      </c>
    </row>
    <row r="1439" spans="2:12">
      <c r="B1439" s="742">
        <f>Calculs!B1511</f>
        <v>0</v>
      </c>
      <c r="C1439" s="742">
        <f>Calculs!BY1511</f>
        <v>0</v>
      </c>
      <c r="D1439" s="742">
        <f>Calculs!BZ1511</f>
        <v>0</v>
      </c>
      <c r="E1439" s="742">
        <f>Calculs!CA1511</f>
        <v>0</v>
      </c>
      <c r="F1439" s="742">
        <f>Calculs!CB1511</f>
        <v>0</v>
      </c>
      <c r="G1439" s="742">
        <f>Calculs!CC1511</f>
        <v>0</v>
      </c>
      <c r="H1439" s="742"/>
      <c r="I1439" s="742">
        <f>Calculs!CE1511</f>
        <v>0</v>
      </c>
      <c r="J1439" s="742">
        <f>Calculs!CF1511</f>
        <v>0</v>
      </c>
      <c r="K1439" s="742"/>
      <c r="L1439" s="742">
        <f>Calculs!CH1511</f>
        <v>0</v>
      </c>
    </row>
    <row r="1440" spans="2:12">
      <c r="B1440" s="742">
        <f>Calculs!B1512</f>
        <v>0</v>
      </c>
      <c r="C1440" s="742">
        <f>Calculs!BY1512</f>
        <v>0</v>
      </c>
      <c r="D1440" s="742">
        <f>Calculs!BZ1512</f>
        <v>0</v>
      </c>
      <c r="E1440" s="742">
        <f>Calculs!CA1512</f>
        <v>0</v>
      </c>
      <c r="F1440" s="742">
        <f>Calculs!CB1512</f>
        <v>0</v>
      </c>
      <c r="G1440" s="742">
        <f>Calculs!CC1512</f>
        <v>0</v>
      </c>
      <c r="H1440" s="742"/>
      <c r="I1440" s="742">
        <f>Calculs!CE1512</f>
        <v>0</v>
      </c>
      <c r="J1440" s="742">
        <f>Calculs!CF1512</f>
        <v>0</v>
      </c>
      <c r="K1440" s="742"/>
      <c r="L1440" s="742">
        <f>Calculs!CH1512</f>
        <v>0</v>
      </c>
    </row>
    <row r="1441" spans="2:12">
      <c r="B1441" s="742">
        <f>Calculs!B1513</f>
        <v>0</v>
      </c>
      <c r="C1441" s="742">
        <f>Calculs!BY1513</f>
        <v>0</v>
      </c>
      <c r="D1441" s="742">
        <f>Calculs!BZ1513</f>
        <v>0</v>
      </c>
      <c r="E1441" s="742">
        <f>Calculs!CA1513</f>
        <v>0</v>
      </c>
      <c r="F1441" s="742">
        <f>Calculs!CB1513</f>
        <v>0</v>
      </c>
      <c r="G1441" s="742">
        <f>Calculs!CC1513</f>
        <v>0</v>
      </c>
      <c r="H1441" s="742"/>
      <c r="I1441" s="742">
        <f>Calculs!CE1513</f>
        <v>0</v>
      </c>
      <c r="J1441" s="742">
        <f>Calculs!CF1513</f>
        <v>0</v>
      </c>
      <c r="K1441" s="742"/>
      <c r="L1441" s="742">
        <f>Calculs!CH1513</f>
        <v>0</v>
      </c>
    </row>
    <row r="1442" spans="2:12">
      <c r="B1442" s="742">
        <f>Calculs!B1514</f>
        <v>0</v>
      </c>
      <c r="C1442" s="742">
        <f>Calculs!BY1514</f>
        <v>0</v>
      </c>
      <c r="D1442" s="742">
        <f>Calculs!BZ1514</f>
        <v>0</v>
      </c>
      <c r="E1442" s="742">
        <f>Calculs!CA1514</f>
        <v>0</v>
      </c>
      <c r="F1442" s="742">
        <f>Calculs!CB1514</f>
        <v>0</v>
      </c>
      <c r="G1442" s="742">
        <f>Calculs!CC1514</f>
        <v>0</v>
      </c>
      <c r="H1442" s="742"/>
      <c r="I1442" s="742">
        <f>Calculs!CE1514</f>
        <v>0</v>
      </c>
      <c r="J1442" s="742">
        <f>Calculs!CF1514</f>
        <v>0</v>
      </c>
      <c r="K1442" s="742"/>
      <c r="L1442" s="742">
        <f>Calculs!CH1514</f>
        <v>0</v>
      </c>
    </row>
    <row r="1443" spans="2:12">
      <c r="B1443" s="742">
        <f>Calculs!B1515</f>
        <v>0</v>
      </c>
      <c r="C1443" s="742">
        <f>Calculs!BY1515</f>
        <v>0</v>
      </c>
      <c r="D1443" s="742">
        <f>Calculs!BZ1515</f>
        <v>0</v>
      </c>
      <c r="E1443" s="742">
        <f>Calculs!CA1515</f>
        <v>0</v>
      </c>
      <c r="F1443" s="742">
        <f>Calculs!CB1515</f>
        <v>0</v>
      </c>
      <c r="G1443" s="742">
        <f>Calculs!CC1515</f>
        <v>0</v>
      </c>
      <c r="H1443" s="742"/>
      <c r="I1443" s="742">
        <f>Calculs!CE1515</f>
        <v>0</v>
      </c>
      <c r="J1443" s="742">
        <f>Calculs!CF1515</f>
        <v>0</v>
      </c>
      <c r="K1443" s="742"/>
      <c r="L1443" s="742">
        <f>Calculs!CH1515</f>
        <v>0</v>
      </c>
    </row>
    <row r="1444" spans="2:12">
      <c r="B1444" s="742">
        <f>Calculs!B1516</f>
        <v>0</v>
      </c>
      <c r="C1444" s="742">
        <f>Calculs!BY1516</f>
        <v>0</v>
      </c>
      <c r="D1444" s="742">
        <f>Calculs!BZ1516</f>
        <v>0</v>
      </c>
      <c r="E1444" s="742">
        <f>Calculs!CA1516</f>
        <v>0</v>
      </c>
      <c r="F1444" s="742">
        <f>Calculs!CB1516</f>
        <v>0</v>
      </c>
      <c r="G1444" s="742">
        <f>Calculs!CC1516</f>
        <v>0</v>
      </c>
      <c r="H1444" s="742"/>
      <c r="I1444" s="742">
        <f>Calculs!CE1516</f>
        <v>0</v>
      </c>
      <c r="J1444" s="742">
        <f>Calculs!CF1516</f>
        <v>0</v>
      </c>
      <c r="K1444" s="742"/>
      <c r="L1444" s="742">
        <f>Calculs!CH1516</f>
        <v>0</v>
      </c>
    </row>
    <row r="1445" spans="2:12">
      <c r="B1445" s="742">
        <f>Calculs!B1517</f>
        <v>0</v>
      </c>
      <c r="C1445" s="742">
        <f>Calculs!BY1517</f>
        <v>0</v>
      </c>
      <c r="D1445" s="742">
        <f>Calculs!BZ1517</f>
        <v>0</v>
      </c>
      <c r="E1445" s="742">
        <f>Calculs!CA1517</f>
        <v>0</v>
      </c>
      <c r="F1445" s="742">
        <f>Calculs!CB1517</f>
        <v>0</v>
      </c>
      <c r="G1445" s="742">
        <f>Calculs!CC1517</f>
        <v>0</v>
      </c>
      <c r="H1445" s="742"/>
      <c r="I1445" s="742">
        <f>Calculs!CE1517</f>
        <v>0</v>
      </c>
      <c r="J1445" s="742">
        <f>Calculs!CF1517</f>
        <v>0</v>
      </c>
      <c r="K1445" s="742"/>
      <c r="L1445" s="742">
        <f>Calculs!CH1517</f>
        <v>0</v>
      </c>
    </row>
    <row r="1446" spans="2:12">
      <c r="B1446" s="742">
        <f>Calculs!B1518</f>
        <v>0</v>
      </c>
      <c r="C1446" s="742">
        <f>Calculs!BY1518</f>
        <v>0</v>
      </c>
      <c r="D1446" s="742">
        <f>Calculs!BZ1518</f>
        <v>0</v>
      </c>
      <c r="E1446" s="742">
        <f>Calculs!CA1518</f>
        <v>0</v>
      </c>
      <c r="F1446" s="742">
        <f>Calculs!CB1518</f>
        <v>0</v>
      </c>
      <c r="G1446" s="742">
        <f>Calculs!CC1518</f>
        <v>0</v>
      </c>
      <c r="H1446" s="742"/>
      <c r="I1446" s="742">
        <f>Calculs!CE1518</f>
        <v>0</v>
      </c>
      <c r="J1446" s="742">
        <f>Calculs!CF1518</f>
        <v>0</v>
      </c>
      <c r="K1446" s="742"/>
      <c r="L1446" s="742">
        <f>Calculs!CH1518</f>
        <v>0</v>
      </c>
    </row>
    <row r="1447" spans="2:12">
      <c r="B1447" s="742">
        <f>Calculs!B1519</f>
        <v>0</v>
      </c>
      <c r="C1447" s="742">
        <f>Calculs!BY1519</f>
        <v>0</v>
      </c>
      <c r="D1447" s="742">
        <f>Calculs!BZ1519</f>
        <v>0</v>
      </c>
      <c r="E1447" s="742">
        <f>Calculs!CA1519</f>
        <v>0</v>
      </c>
      <c r="F1447" s="742">
        <f>Calculs!CB1519</f>
        <v>0</v>
      </c>
      <c r="G1447" s="742">
        <f>Calculs!CC1519</f>
        <v>0</v>
      </c>
      <c r="H1447" s="742"/>
      <c r="I1447" s="742">
        <f>Calculs!CE1519</f>
        <v>0</v>
      </c>
      <c r="J1447" s="742">
        <f>Calculs!CF1519</f>
        <v>0</v>
      </c>
      <c r="K1447" s="742"/>
      <c r="L1447" s="742">
        <f>Calculs!CH1519</f>
        <v>0</v>
      </c>
    </row>
    <row r="1448" spans="2:12">
      <c r="B1448" s="742">
        <f>Calculs!B1520</f>
        <v>0</v>
      </c>
      <c r="C1448" s="742">
        <f>Calculs!BY1520</f>
        <v>0</v>
      </c>
      <c r="D1448" s="742">
        <f>Calculs!BZ1520</f>
        <v>0</v>
      </c>
      <c r="E1448" s="742">
        <f>Calculs!CA1520</f>
        <v>0</v>
      </c>
      <c r="F1448" s="742">
        <f>Calculs!CB1520</f>
        <v>0</v>
      </c>
      <c r="G1448" s="742">
        <f>Calculs!CC1520</f>
        <v>0</v>
      </c>
      <c r="H1448" s="742"/>
      <c r="I1448" s="742">
        <f>Calculs!CE1520</f>
        <v>0</v>
      </c>
      <c r="J1448" s="742">
        <f>Calculs!CF1520</f>
        <v>0</v>
      </c>
      <c r="K1448" s="742"/>
      <c r="L1448" s="742">
        <f>Calculs!CH1520</f>
        <v>0</v>
      </c>
    </row>
    <row r="1449" spans="2:12">
      <c r="B1449" s="742">
        <f>Calculs!B1521</f>
        <v>0</v>
      </c>
      <c r="C1449" s="742">
        <f>Calculs!BY1521</f>
        <v>0</v>
      </c>
      <c r="D1449" s="742">
        <f>Calculs!BZ1521</f>
        <v>0</v>
      </c>
      <c r="E1449" s="742">
        <f>Calculs!CA1521</f>
        <v>0</v>
      </c>
      <c r="F1449" s="742">
        <f>Calculs!CB1521</f>
        <v>0</v>
      </c>
      <c r="G1449" s="742">
        <f>Calculs!CC1521</f>
        <v>0</v>
      </c>
      <c r="H1449" s="742"/>
      <c r="I1449" s="742">
        <f>Calculs!CE1521</f>
        <v>0</v>
      </c>
      <c r="J1449" s="742">
        <f>Calculs!CF1521</f>
        <v>0</v>
      </c>
      <c r="K1449" s="742"/>
      <c r="L1449" s="742">
        <f>Calculs!CH1521</f>
        <v>0</v>
      </c>
    </row>
    <row r="1450" spans="2:12">
      <c r="B1450" s="742">
        <f>Calculs!B1522</f>
        <v>0</v>
      </c>
      <c r="C1450" s="742">
        <f>Calculs!BY1522</f>
        <v>0</v>
      </c>
      <c r="D1450" s="742">
        <f>Calculs!BZ1522</f>
        <v>0</v>
      </c>
      <c r="E1450" s="742">
        <f>Calculs!CA1522</f>
        <v>0</v>
      </c>
      <c r="F1450" s="742">
        <f>Calculs!CB1522</f>
        <v>0</v>
      </c>
      <c r="G1450" s="742">
        <f>Calculs!CC1522</f>
        <v>0</v>
      </c>
      <c r="H1450" s="742"/>
      <c r="I1450" s="742">
        <f>Calculs!CE1522</f>
        <v>0</v>
      </c>
      <c r="J1450" s="742">
        <f>Calculs!CF1522</f>
        <v>0</v>
      </c>
      <c r="K1450" s="742"/>
      <c r="L1450" s="742">
        <f>Calculs!CH1522</f>
        <v>0</v>
      </c>
    </row>
    <row r="1451" spans="2:12">
      <c r="B1451" s="742">
        <f>Calculs!B1523</f>
        <v>0</v>
      </c>
      <c r="C1451" s="742">
        <f>Calculs!BY1523</f>
        <v>0</v>
      </c>
      <c r="D1451" s="742">
        <f>Calculs!BZ1523</f>
        <v>0</v>
      </c>
      <c r="E1451" s="742">
        <f>Calculs!CA1523</f>
        <v>0</v>
      </c>
      <c r="F1451" s="742">
        <f>Calculs!CB1523</f>
        <v>0</v>
      </c>
      <c r="G1451" s="742">
        <f>Calculs!CC1523</f>
        <v>0</v>
      </c>
      <c r="H1451" s="742"/>
      <c r="I1451" s="742">
        <f>Calculs!CE1523</f>
        <v>0</v>
      </c>
      <c r="J1451" s="742">
        <f>Calculs!CF1523</f>
        <v>0</v>
      </c>
      <c r="K1451" s="742"/>
      <c r="L1451" s="742">
        <f>Calculs!CH1523</f>
        <v>0</v>
      </c>
    </row>
    <row r="1452" spans="2:12">
      <c r="B1452" s="742">
        <f>Calculs!B1524</f>
        <v>0</v>
      </c>
      <c r="C1452" s="742">
        <f>Calculs!BY1524</f>
        <v>0</v>
      </c>
      <c r="D1452" s="742">
        <f>Calculs!BZ1524</f>
        <v>0</v>
      </c>
      <c r="E1452" s="742">
        <f>Calculs!CA1524</f>
        <v>0</v>
      </c>
      <c r="F1452" s="742">
        <f>Calculs!CB1524</f>
        <v>0</v>
      </c>
      <c r="G1452" s="742">
        <f>Calculs!CC1524</f>
        <v>0</v>
      </c>
      <c r="H1452" s="742"/>
      <c r="I1452" s="742">
        <f>Calculs!CE1524</f>
        <v>0</v>
      </c>
      <c r="J1452" s="742">
        <f>Calculs!CF1524</f>
        <v>0</v>
      </c>
      <c r="K1452" s="742"/>
      <c r="L1452" s="742">
        <f>Calculs!CH1524</f>
        <v>0</v>
      </c>
    </row>
    <row r="1453" spans="2:12">
      <c r="B1453" s="742">
        <f>Calculs!B1525</f>
        <v>0</v>
      </c>
      <c r="C1453" s="742">
        <f>Calculs!BY1525</f>
        <v>0</v>
      </c>
      <c r="D1453" s="742">
        <f>Calculs!BZ1525</f>
        <v>0</v>
      </c>
      <c r="E1453" s="742">
        <f>Calculs!CA1525</f>
        <v>0</v>
      </c>
      <c r="F1453" s="742">
        <f>Calculs!CB1525</f>
        <v>0</v>
      </c>
      <c r="G1453" s="742">
        <f>Calculs!CC1525</f>
        <v>0</v>
      </c>
      <c r="H1453" s="742"/>
      <c r="I1453" s="742">
        <f>Calculs!CE1525</f>
        <v>0</v>
      </c>
      <c r="J1453" s="742">
        <f>Calculs!CF1525</f>
        <v>0</v>
      </c>
      <c r="K1453" s="742"/>
      <c r="L1453" s="742">
        <f>Calculs!CH1525</f>
        <v>0</v>
      </c>
    </row>
    <row r="1454" spans="2:12">
      <c r="B1454" s="742">
        <f>Calculs!B1526</f>
        <v>0</v>
      </c>
      <c r="C1454" s="742">
        <f>Calculs!BY1526</f>
        <v>0</v>
      </c>
      <c r="D1454" s="742">
        <f>Calculs!BZ1526</f>
        <v>0</v>
      </c>
      <c r="E1454" s="742">
        <f>Calculs!CA1526</f>
        <v>0</v>
      </c>
      <c r="F1454" s="742">
        <f>Calculs!CB1526</f>
        <v>0</v>
      </c>
      <c r="G1454" s="742">
        <f>Calculs!CC1526</f>
        <v>0</v>
      </c>
      <c r="H1454" s="742"/>
      <c r="I1454" s="742">
        <f>Calculs!CE1526</f>
        <v>0</v>
      </c>
      <c r="J1454" s="742">
        <f>Calculs!CF1526</f>
        <v>0</v>
      </c>
      <c r="K1454" s="742"/>
      <c r="L1454" s="742">
        <f>Calculs!CH1526</f>
        <v>0</v>
      </c>
    </row>
    <row r="1455" spans="2:12">
      <c r="B1455" s="742">
        <f>Calculs!B1527</f>
        <v>0</v>
      </c>
      <c r="C1455" s="742">
        <f>Calculs!BY1527</f>
        <v>0</v>
      </c>
      <c r="D1455" s="742">
        <f>Calculs!BZ1527</f>
        <v>0</v>
      </c>
      <c r="E1455" s="742">
        <f>Calculs!CA1527</f>
        <v>0</v>
      </c>
      <c r="F1455" s="742">
        <f>Calculs!CB1527</f>
        <v>0</v>
      </c>
      <c r="G1455" s="742">
        <f>Calculs!CC1527</f>
        <v>0</v>
      </c>
      <c r="H1455" s="742"/>
      <c r="I1455" s="742">
        <f>Calculs!CE1527</f>
        <v>0</v>
      </c>
      <c r="J1455" s="742">
        <f>Calculs!CF1527</f>
        <v>0</v>
      </c>
      <c r="K1455" s="742"/>
      <c r="L1455" s="742">
        <f>Calculs!CH1527</f>
        <v>0</v>
      </c>
    </row>
    <row r="1456" spans="2:12">
      <c r="B1456" s="742">
        <f>Calculs!B1528</f>
        <v>0</v>
      </c>
      <c r="C1456" s="742">
        <f>Calculs!BY1528</f>
        <v>0</v>
      </c>
      <c r="D1456" s="742">
        <f>Calculs!BZ1528</f>
        <v>0</v>
      </c>
      <c r="E1456" s="742">
        <f>Calculs!CA1528</f>
        <v>0</v>
      </c>
      <c r="F1456" s="742">
        <f>Calculs!CB1528</f>
        <v>0</v>
      </c>
      <c r="G1456" s="742">
        <f>Calculs!CC1528</f>
        <v>0</v>
      </c>
      <c r="H1456" s="742"/>
      <c r="I1456" s="742">
        <f>Calculs!CE1528</f>
        <v>0</v>
      </c>
      <c r="J1456" s="742">
        <f>Calculs!CF1528</f>
        <v>0</v>
      </c>
      <c r="K1456" s="742"/>
      <c r="L1456" s="742">
        <f>Calculs!CH1528</f>
        <v>0</v>
      </c>
    </row>
    <row r="1457" spans="2:12">
      <c r="B1457" s="742">
        <f>Calculs!B1529</f>
        <v>0</v>
      </c>
      <c r="C1457" s="742">
        <f>Calculs!BY1529</f>
        <v>0</v>
      </c>
      <c r="D1457" s="742">
        <f>Calculs!BZ1529</f>
        <v>0</v>
      </c>
      <c r="E1457" s="742">
        <f>Calculs!CA1529</f>
        <v>0</v>
      </c>
      <c r="F1457" s="742">
        <f>Calculs!CB1529</f>
        <v>0</v>
      </c>
      <c r="G1457" s="742">
        <f>Calculs!CC1529</f>
        <v>0</v>
      </c>
      <c r="H1457" s="742"/>
      <c r="I1457" s="742">
        <f>Calculs!CE1529</f>
        <v>0</v>
      </c>
      <c r="J1457" s="742">
        <f>Calculs!CF1529</f>
        <v>0</v>
      </c>
      <c r="K1457" s="742"/>
      <c r="L1457" s="742">
        <f>Calculs!CH1529</f>
        <v>0</v>
      </c>
    </row>
    <row r="1458" spans="2:12">
      <c r="B1458" s="742">
        <f>Calculs!B1530</f>
        <v>0</v>
      </c>
      <c r="C1458" s="742">
        <f>Calculs!BY1530</f>
        <v>0</v>
      </c>
      <c r="D1458" s="742">
        <f>Calculs!BZ1530</f>
        <v>0</v>
      </c>
      <c r="E1458" s="742">
        <f>Calculs!CA1530</f>
        <v>0</v>
      </c>
      <c r="F1458" s="742">
        <f>Calculs!CB1530</f>
        <v>0</v>
      </c>
      <c r="G1458" s="742">
        <f>Calculs!CC1530</f>
        <v>0</v>
      </c>
      <c r="H1458" s="742"/>
      <c r="I1458" s="742">
        <f>Calculs!CE1530</f>
        <v>0</v>
      </c>
      <c r="J1458" s="742">
        <f>Calculs!CF1530</f>
        <v>0</v>
      </c>
      <c r="K1458" s="742"/>
      <c r="L1458" s="742">
        <f>Calculs!CH1530</f>
        <v>0</v>
      </c>
    </row>
    <row r="1459" spans="2:12">
      <c r="B1459" s="742">
        <f>Calculs!B1531</f>
        <v>0</v>
      </c>
      <c r="C1459" s="742">
        <f>Calculs!BY1531</f>
        <v>0</v>
      </c>
      <c r="D1459" s="742">
        <f>Calculs!BZ1531</f>
        <v>0</v>
      </c>
      <c r="E1459" s="742">
        <f>Calculs!CA1531</f>
        <v>0</v>
      </c>
      <c r="F1459" s="742">
        <f>Calculs!CB1531</f>
        <v>0</v>
      </c>
      <c r="G1459" s="742">
        <f>Calculs!CC1531</f>
        <v>0</v>
      </c>
      <c r="H1459" s="742"/>
      <c r="I1459" s="742">
        <f>Calculs!CE1531</f>
        <v>0</v>
      </c>
      <c r="J1459" s="742">
        <f>Calculs!CF1531</f>
        <v>0</v>
      </c>
      <c r="K1459" s="742"/>
      <c r="L1459" s="742">
        <f>Calculs!CH1531</f>
        <v>0</v>
      </c>
    </row>
    <row r="1460" spans="2:12">
      <c r="B1460" s="742">
        <f>Calculs!B1532</f>
        <v>0</v>
      </c>
      <c r="C1460" s="742">
        <f>Calculs!BY1532</f>
        <v>0</v>
      </c>
      <c r="D1460" s="742">
        <f>Calculs!BZ1532</f>
        <v>0</v>
      </c>
      <c r="E1460" s="742">
        <f>Calculs!CA1532</f>
        <v>0</v>
      </c>
      <c r="F1460" s="742">
        <f>Calculs!CB1532</f>
        <v>0</v>
      </c>
      <c r="G1460" s="742">
        <f>Calculs!CC1532</f>
        <v>0</v>
      </c>
      <c r="H1460" s="742"/>
      <c r="I1460" s="742">
        <f>Calculs!CE1532</f>
        <v>0</v>
      </c>
      <c r="J1460" s="742">
        <f>Calculs!CF1532</f>
        <v>0</v>
      </c>
      <c r="K1460" s="742"/>
      <c r="L1460" s="742">
        <f>Calculs!CH1532</f>
        <v>0</v>
      </c>
    </row>
    <row r="1461" spans="2:12">
      <c r="B1461" s="742">
        <f>Calculs!B1533</f>
        <v>0</v>
      </c>
      <c r="C1461" s="742">
        <f>Calculs!BY1533</f>
        <v>0</v>
      </c>
      <c r="D1461" s="742">
        <f>Calculs!BZ1533</f>
        <v>0</v>
      </c>
      <c r="E1461" s="742">
        <f>Calculs!CA1533</f>
        <v>0</v>
      </c>
      <c r="F1461" s="742">
        <f>Calculs!CB1533</f>
        <v>0</v>
      </c>
      <c r="G1461" s="742">
        <f>Calculs!CC1533</f>
        <v>0</v>
      </c>
      <c r="H1461" s="742"/>
      <c r="I1461" s="742">
        <f>Calculs!CE1533</f>
        <v>0</v>
      </c>
      <c r="J1461" s="742">
        <f>Calculs!CF1533</f>
        <v>0</v>
      </c>
      <c r="K1461" s="742"/>
      <c r="L1461" s="742">
        <f>Calculs!CH1533</f>
        <v>0</v>
      </c>
    </row>
    <row r="1462" spans="2:12">
      <c r="B1462" s="742">
        <f>Calculs!B1534</f>
        <v>0</v>
      </c>
      <c r="C1462" s="742">
        <f>Calculs!BY1534</f>
        <v>0</v>
      </c>
      <c r="D1462" s="742">
        <f>Calculs!BZ1534</f>
        <v>0</v>
      </c>
      <c r="E1462" s="742">
        <f>Calculs!CA1534</f>
        <v>0</v>
      </c>
      <c r="F1462" s="742">
        <f>Calculs!CB1534</f>
        <v>0</v>
      </c>
      <c r="G1462" s="742">
        <f>Calculs!CC1534</f>
        <v>0</v>
      </c>
      <c r="H1462" s="742"/>
      <c r="I1462" s="742">
        <f>Calculs!CE1534</f>
        <v>0</v>
      </c>
      <c r="J1462" s="742">
        <f>Calculs!CF1534</f>
        <v>0</v>
      </c>
      <c r="K1462" s="742"/>
      <c r="L1462" s="742">
        <f>Calculs!CH1534</f>
        <v>0</v>
      </c>
    </row>
    <row r="1463" spans="2:12">
      <c r="B1463" s="742">
        <f>Calculs!B1535</f>
        <v>0</v>
      </c>
      <c r="C1463" s="742">
        <f>Calculs!BY1535</f>
        <v>0</v>
      </c>
      <c r="D1463" s="742">
        <f>Calculs!BZ1535</f>
        <v>0</v>
      </c>
      <c r="E1463" s="742">
        <f>Calculs!CA1535</f>
        <v>0</v>
      </c>
      <c r="F1463" s="742">
        <f>Calculs!CB1535</f>
        <v>0</v>
      </c>
      <c r="G1463" s="742">
        <f>Calculs!CC1535</f>
        <v>0</v>
      </c>
      <c r="H1463" s="742"/>
      <c r="I1463" s="742">
        <f>Calculs!CE1535</f>
        <v>0</v>
      </c>
      <c r="J1463" s="742">
        <f>Calculs!CF1535</f>
        <v>0</v>
      </c>
      <c r="K1463" s="742"/>
      <c r="L1463" s="742">
        <f>Calculs!CH1535</f>
        <v>0</v>
      </c>
    </row>
    <row r="1464" spans="2:12">
      <c r="B1464" s="742">
        <f>Calculs!B1536</f>
        <v>0</v>
      </c>
      <c r="C1464" s="742">
        <f>Calculs!BY1536</f>
        <v>0</v>
      </c>
      <c r="D1464" s="742">
        <f>Calculs!BZ1536</f>
        <v>0</v>
      </c>
      <c r="E1464" s="742">
        <f>Calculs!CA1536</f>
        <v>0</v>
      </c>
      <c r="F1464" s="742">
        <f>Calculs!CB1536</f>
        <v>0</v>
      </c>
      <c r="G1464" s="742">
        <f>Calculs!CC1536</f>
        <v>0</v>
      </c>
      <c r="H1464" s="742"/>
      <c r="I1464" s="742">
        <f>Calculs!CE1536</f>
        <v>0</v>
      </c>
      <c r="J1464" s="742">
        <f>Calculs!CF1536</f>
        <v>0</v>
      </c>
      <c r="K1464" s="742"/>
      <c r="L1464" s="742">
        <f>Calculs!CH1536</f>
        <v>0</v>
      </c>
    </row>
    <row r="1465" spans="2:12">
      <c r="B1465" s="742">
        <f>Calculs!B1537</f>
        <v>0</v>
      </c>
      <c r="C1465" s="742">
        <f>Calculs!BY1537</f>
        <v>0</v>
      </c>
      <c r="D1465" s="742">
        <f>Calculs!BZ1537</f>
        <v>0</v>
      </c>
      <c r="E1465" s="742">
        <f>Calculs!CA1537</f>
        <v>0</v>
      </c>
      <c r="F1465" s="742">
        <f>Calculs!CB1537</f>
        <v>0</v>
      </c>
      <c r="G1465" s="742">
        <f>Calculs!CC1537</f>
        <v>0</v>
      </c>
      <c r="H1465" s="742"/>
      <c r="I1465" s="742">
        <f>Calculs!CE1537</f>
        <v>0</v>
      </c>
      <c r="J1465" s="742">
        <f>Calculs!CF1537</f>
        <v>0</v>
      </c>
      <c r="K1465" s="742"/>
      <c r="L1465" s="742">
        <f>Calculs!CH1537</f>
        <v>0</v>
      </c>
    </row>
    <row r="1466" spans="2:12">
      <c r="B1466" s="742">
        <f>Calculs!B1538</f>
        <v>0</v>
      </c>
      <c r="C1466" s="742">
        <f>Calculs!BY1538</f>
        <v>0</v>
      </c>
      <c r="D1466" s="742">
        <f>Calculs!BZ1538</f>
        <v>0</v>
      </c>
      <c r="E1466" s="742">
        <f>Calculs!CA1538</f>
        <v>0</v>
      </c>
      <c r="F1466" s="742">
        <f>Calculs!CB1538</f>
        <v>0</v>
      </c>
      <c r="G1466" s="742">
        <f>Calculs!CC1538</f>
        <v>0</v>
      </c>
      <c r="H1466" s="742"/>
      <c r="I1466" s="742">
        <f>Calculs!CE1538</f>
        <v>0</v>
      </c>
      <c r="J1466" s="742">
        <f>Calculs!CF1538</f>
        <v>0</v>
      </c>
      <c r="K1466" s="742"/>
      <c r="L1466" s="742">
        <f>Calculs!CH1538</f>
        <v>0</v>
      </c>
    </row>
    <row r="1467" spans="2:12">
      <c r="B1467" s="742">
        <f>Calculs!B1539</f>
        <v>0</v>
      </c>
      <c r="C1467" s="742">
        <f>Calculs!BY1539</f>
        <v>0</v>
      </c>
      <c r="D1467" s="742">
        <f>Calculs!BZ1539</f>
        <v>0</v>
      </c>
      <c r="E1467" s="742">
        <f>Calculs!CA1539</f>
        <v>0</v>
      </c>
      <c r="F1467" s="742">
        <f>Calculs!CB1539</f>
        <v>0</v>
      </c>
      <c r="G1467" s="742">
        <f>Calculs!CC1539</f>
        <v>0</v>
      </c>
      <c r="H1467" s="742"/>
      <c r="I1467" s="742">
        <f>Calculs!CE1539</f>
        <v>0</v>
      </c>
      <c r="J1467" s="742">
        <f>Calculs!CF1539</f>
        <v>0</v>
      </c>
      <c r="K1467" s="742"/>
      <c r="L1467" s="742">
        <f>Calculs!CH1539</f>
        <v>0</v>
      </c>
    </row>
    <row r="1468" spans="2:12">
      <c r="B1468" s="742">
        <f>Calculs!B1540</f>
        <v>0</v>
      </c>
      <c r="C1468" s="742">
        <f>Calculs!BY1540</f>
        <v>0</v>
      </c>
      <c r="D1468" s="742">
        <f>Calculs!BZ1540</f>
        <v>0</v>
      </c>
      <c r="E1468" s="742">
        <f>Calculs!CA1540</f>
        <v>0</v>
      </c>
      <c r="F1468" s="742">
        <f>Calculs!CB1540</f>
        <v>0</v>
      </c>
      <c r="G1468" s="742">
        <f>Calculs!CC1540</f>
        <v>0</v>
      </c>
      <c r="H1468" s="742"/>
      <c r="I1468" s="742">
        <f>Calculs!CE1540</f>
        <v>0</v>
      </c>
      <c r="J1468" s="742">
        <f>Calculs!CF1540</f>
        <v>0</v>
      </c>
      <c r="K1468" s="742"/>
      <c r="L1468" s="742">
        <f>Calculs!CH1540</f>
        <v>0</v>
      </c>
    </row>
    <row r="1469" spans="2:12">
      <c r="B1469" s="742">
        <f>Calculs!B1541</f>
        <v>0</v>
      </c>
      <c r="C1469" s="742">
        <f>Calculs!BY1541</f>
        <v>0</v>
      </c>
      <c r="D1469" s="742">
        <f>Calculs!BZ1541</f>
        <v>0</v>
      </c>
      <c r="E1469" s="742">
        <f>Calculs!CA1541</f>
        <v>0</v>
      </c>
      <c r="F1469" s="742">
        <f>Calculs!CB1541</f>
        <v>0</v>
      </c>
      <c r="G1469" s="742">
        <f>Calculs!CC1541</f>
        <v>0</v>
      </c>
      <c r="H1469" s="742"/>
      <c r="I1469" s="742">
        <f>Calculs!CE1541</f>
        <v>0</v>
      </c>
      <c r="J1469" s="742">
        <f>Calculs!CF1541</f>
        <v>0</v>
      </c>
      <c r="K1469" s="742"/>
      <c r="L1469" s="742">
        <f>Calculs!CH1541</f>
        <v>0</v>
      </c>
    </row>
    <row r="1470" spans="2:12">
      <c r="B1470" s="742">
        <f>Calculs!B1542</f>
        <v>0</v>
      </c>
      <c r="C1470" s="742">
        <f>Calculs!BY1542</f>
        <v>0</v>
      </c>
      <c r="D1470" s="742">
        <f>Calculs!BZ1542</f>
        <v>0</v>
      </c>
      <c r="E1470" s="742">
        <f>Calculs!CA1542</f>
        <v>0</v>
      </c>
      <c r="F1470" s="742">
        <f>Calculs!CB1542</f>
        <v>0</v>
      </c>
      <c r="G1470" s="742">
        <f>Calculs!CC1542</f>
        <v>0</v>
      </c>
      <c r="H1470" s="742"/>
      <c r="I1470" s="742">
        <f>Calculs!CE1542</f>
        <v>0</v>
      </c>
      <c r="J1470" s="742">
        <f>Calculs!CF1542</f>
        <v>0</v>
      </c>
      <c r="K1470" s="742"/>
      <c r="L1470" s="742">
        <f>Calculs!CH1542</f>
        <v>0</v>
      </c>
    </row>
    <row r="1471" spans="2:12">
      <c r="B1471" s="742">
        <f>Calculs!B1543</f>
        <v>0</v>
      </c>
      <c r="C1471" s="742">
        <f>Calculs!BY1543</f>
        <v>0</v>
      </c>
      <c r="D1471" s="742">
        <f>Calculs!BZ1543</f>
        <v>0</v>
      </c>
      <c r="E1471" s="742">
        <f>Calculs!CA1543</f>
        <v>0</v>
      </c>
      <c r="F1471" s="742">
        <f>Calculs!CB1543</f>
        <v>0</v>
      </c>
      <c r="G1471" s="742">
        <f>Calculs!CC1543</f>
        <v>0</v>
      </c>
      <c r="H1471" s="742"/>
      <c r="I1471" s="742">
        <f>Calculs!CE1543</f>
        <v>0</v>
      </c>
      <c r="J1471" s="742">
        <f>Calculs!CF1543</f>
        <v>0</v>
      </c>
      <c r="K1471" s="742"/>
      <c r="L1471" s="742">
        <f>Calculs!CH1543</f>
        <v>0</v>
      </c>
    </row>
    <row r="1472" spans="2:12">
      <c r="B1472" s="742">
        <f>Calculs!B1544</f>
        <v>0</v>
      </c>
      <c r="C1472" s="742">
        <f>Calculs!BY1544</f>
        <v>0</v>
      </c>
      <c r="D1472" s="742">
        <f>Calculs!BZ1544</f>
        <v>0</v>
      </c>
      <c r="E1472" s="742">
        <f>Calculs!CA1544</f>
        <v>0</v>
      </c>
      <c r="F1472" s="742">
        <f>Calculs!CB1544</f>
        <v>0</v>
      </c>
      <c r="G1472" s="742">
        <f>Calculs!CC1544</f>
        <v>0</v>
      </c>
      <c r="H1472" s="742"/>
      <c r="I1472" s="742">
        <f>Calculs!CE1544</f>
        <v>0</v>
      </c>
      <c r="J1472" s="742">
        <f>Calculs!CF1544</f>
        <v>0</v>
      </c>
      <c r="K1472" s="742"/>
      <c r="L1472" s="742">
        <f>Calculs!CH1544</f>
        <v>0</v>
      </c>
    </row>
    <row r="1473" spans="2:12">
      <c r="B1473" s="742">
        <f>Calculs!B1545</f>
        <v>0</v>
      </c>
      <c r="C1473" s="742">
        <f>Calculs!BY1545</f>
        <v>0</v>
      </c>
      <c r="D1473" s="742">
        <f>Calculs!BZ1545</f>
        <v>0</v>
      </c>
      <c r="E1473" s="742">
        <f>Calculs!CA1545</f>
        <v>0</v>
      </c>
      <c r="F1473" s="742">
        <f>Calculs!CB1545</f>
        <v>0</v>
      </c>
      <c r="G1473" s="742">
        <f>Calculs!CC1545</f>
        <v>0</v>
      </c>
      <c r="H1473" s="742"/>
      <c r="I1473" s="742">
        <f>Calculs!CE1545</f>
        <v>0</v>
      </c>
      <c r="J1473" s="742">
        <f>Calculs!CF1545</f>
        <v>0</v>
      </c>
      <c r="K1473" s="742"/>
      <c r="L1473" s="742">
        <f>Calculs!CH1545</f>
        <v>0</v>
      </c>
    </row>
    <row r="1474" spans="2:12">
      <c r="B1474" s="742">
        <f>Calculs!B1546</f>
        <v>0</v>
      </c>
      <c r="C1474" s="742">
        <f>Calculs!BY1546</f>
        <v>0</v>
      </c>
      <c r="D1474" s="742">
        <f>Calculs!BZ1546</f>
        <v>0</v>
      </c>
      <c r="E1474" s="742">
        <f>Calculs!CA1546</f>
        <v>0</v>
      </c>
      <c r="F1474" s="742">
        <f>Calculs!CB1546</f>
        <v>0</v>
      </c>
      <c r="G1474" s="742">
        <f>Calculs!CC1546</f>
        <v>0</v>
      </c>
      <c r="H1474" s="742"/>
      <c r="I1474" s="742">
        <f>Calculs!CE1546</f>
        <v>0</v>
      </c>
      <c r="J1474" s="742">
        <f>Calculs!CF1546</f>
        <v>0</v>
      </c>
      <c r="K1474" s="742"/>
      <c r="L1474" s="742">
        <f>Calculs!CH1546</f>
        <v>0</v>
      </c>
    </row>
    <row r="1475" spans="2:12">
      <c r="B1475" s="742">
        <f>Calculs!B1547</f>
        <v>0</v>
      </c>
      <c r="C1475" s="742">
        <f>Calculs!BY1547</f>
        <v>0</v>
      </c>
      <c r="D1475" s="742">
        <f>Calculs!BZ1547</f>
        <v>0</v>
      </c>
      <c r="E1475" s="742">
        <f>Calculs!CA1547</f>
        <v>0</v>
      </c>
      <c r="F1475" s="742">
        <f>Calculs!CB1547</f>
        <v>0</v>
      </c>
      <c r="G1475" s="742">
        <f>Calculs!CC1547</f>
        <v>0</v>
      </c>
      <c r="H1475" s="742"/>
      <c r="I1475" s="742">
        <f>Calculs!CE1547</f>
        <v>0</v>
      </c>
      <c r="J1475" s="742">
        <f>Calculs!CF1547</f>
        <v>0</v>
      </c>
      <c r="K1475" s="742"/>
      <c r="L1475" s="742">
        <f>Calculs!CH1547</f>
        <v>0</v>
      </c>
    </row>
    <row r="1476" spans="2:12">
      <c r="B1476" s="742">
        <f>Calculs!B1548</f>
        <v>0</v>
      </c>
      <c r="C1476" s="742">
        <f>Calculs!BY1548</f>
        <v>0</v>
      </c>
      <c r="D1476" s="742">
        <f>Calculs!BZ1548</f>
        <v>0</v>
      </c>
      <c r="E1476" s="742">
        <f>Calculs!CA1548</f>
        <v>0</v>
      </c>
      <c r="F1476" s="742">
        <f>Calculs!CB1548</f>
        <v>0</v>
      </c>
      <c r="G1476" s="742">
        <f>Calculs!CC1548</f>
        <v>0</v>
      </c>
      <c r="H1476" s="742"/>
      <c r="I1476" s="742">
        <f>Calculs!CE1548</f>
        <v>0</v>
      </c>
      <c r="J1476" s="742">
        <f>Calculs!CF1548</f>
        <v>0</v>
      </c>
      <c r="K1476" s="742"/>
      <c r="L1476" s="742">
        <f>Calculs!CH1548</f>
        <v>0</v>
      </c>
    </row>
    <row r="1477" spans="2:12">
      <c r="B1477" s="742">
        <f>Calculs!B1549</f>
        <v>0</v>
      </c>
      <c r="C1477" s="742">
        <f>Calculs!BY1549</f>
        <v>0</v>
      </c>
      <c r="D1477" s="742">
        <f>Calculs!BZ1549</f>
        <v>0</v>
      </c>
      <c r="E1477" s="742">
        <f>Calculs!CA1549</f>
        <v>0</v>
      </c>
      <c r="F1477" s="742">
        <f>Calculs!CB1549</f>
        <v>0</v>
      </c>
      <c r="G1477" s="742">
        <f>Calculs!CC1549</f>
        <v>0</v>
      </c>
      <c r="H1477" s="742"/>
      <c r="I1477" s="742">
        <f>Calculs!CE1549</f>
        <v>0</v>
      </c>
      <c r="J1477" s="742">
        <f>Calculs!CF1549</f>
        <v>0</v>
      </c>
      <c r="K1477" s="742"/>
      <c r="L1477" s="742">
        <f>Calculs!CH1549</f>
        <v>0</v>
      </c>
    </row>
    <row r="1478" spans="2:12">
      <c r="B1478" s="742">
        <f>Calculs!B1550</f>
        <v>0</v>
      </c>
      <c r="C1478" s="742">
        <f>Calculs!BY1550</f>
        <v>0</v>
      </c>
      <c r="D1478" s="742">
        <f>Calculs!BZ1550</f>
        <v>0</v>
      </c>
      <c r="E1478" s="742">
        <f>Calculs!CA1550</f>
        <v>0</v>
      </c>
      <c r="F1478" s="742">
        <f>Calculs!CB1550</f>
        <v>0</v>
      </c>
      <c r="G1478" s="742">
        <f>Calculs!CC1550</f>
        <v>0</v>
      </c>
      <c r="H1478" s="742"/>
      <c r="I1478" s="742">
        <f>Calculs!CE1550</f>
        <v>0</v>
      </c>
      <c r="J1478" s="742">
        <f>Calculs!CF1550</f>
        <v>0</v>
      </c>
      <c r="K1478" s="742"/>
      <c r="L1478" s="742">
        <f>Calculs!CH1550</f>
        <v>0</v>
      </c>
    </row>
    <row r="1479" spans="2:12">
      <c r="B1479" s="742">
        <f>Calculs!B1551</f>
        <v>0</v>
      </c>
      <c r="C1479" s="742">
        <f>Calculs!BY1551</f>
        <v>0</v>
      </c>
      <c r="D1479" s="742">
        <f>Calculs!BZ1551</f>
        <v>0</v>
      </c>
      <c r="E1479" s="742">
        <f>Calculs!CA1551</f>
        <v>0</v>
      </c>
      <c r="F1479" s="742">
        <f>Calculs!CB1551</f>
        <v>0</v>
      </c>
      <c r="G1479" s="742">
        <f>Calculs!CC1551</f>
        <v>0</v>
      </c>
      <c r="H1479" s="742"/>
      <c r="I1479" s="742">
        <f>Calculs!CE1551</f>
        <v>0</v>
      </c>
      <c r="J1479" s="742">
        <f>Calculs!CF1551</f>
        <v>0</v>
      </c>
      <c r="K1479" s="742"/>
      <c r="L1479" s="742">
        <f>Calculs!CH1551</f>
        <v>0</v>
      </c>
    </row>
    <row r="1480" spans="2:12">
      <c r="B1480" s="742">
        <f>Calculs!B1552</f>
        <v>0</v>
      </c>
      <c r="C1480" s="742">
        <f>Calculs!BY1552</f>
        <v>0</v>
      </c>
      <c r="D1480" s="742">
        <f>Calculs!BZ1552</f>
        <v>0</v>
      </c>
      <c r="E1480" s="742">
        <f>Calculs!CA1552</f>
        <v>0</v>
      </c>
      <c r="F1480" s="742">
        <f>Calculs!CB1552</f>
        <v>0</v>
      </c>
      <c r="G1480" s="742">
        <f>Calculs!CC1552</f>
        <v>0</v>
      </c>
      <c r="H1480" s="742"/>
      <c r="I1480" s="742">
        <f>Calculs!CE1552</f>
        <v>0</v>
      </c>
      <c r="J1480" s="742">
        <f>Calculs!CF1552</f>
        <v>0</v>
      </c>
      <c r="K1480" s="742"/>
      <c r="L1480" s="742">
        <f>Calculs!CH1552</f>
        <v>0</v>
      </c>
    </row>
    <row r="1481" spans="2:12">
      <c r="B1481" s="742">
        <f>Calculs!B1553</f>
        <v>0</v>
      </c>
      <c r="C1481" s="742">
        <f>Calculs!BY1553</f>
        <v>0</v>
      </c>
      <c r="D1481" s="742">
        <f>Calculs!BZ1553</f>
        <v>0</v>
      </c>
      <c r="E1481" s="742">
        <f>Calculs!CA1553</f>
        <v>0</v>
      </c>
      <c r="F1481" s="742">
        <f>Calculs!CB1553</f>
        <v>0</v>
      </c>
      <c r="G1481" s="742">
        <f>Calculs!CC1553</f>
        <v>0</v>
      </c>
      <c r="H1481" s="742"/>
      <c r="I1481" s="742">
        <f>Calculs!CE1553</f>
        <v>0</v>
      </c>
      <c r="J1481" s="742">
        <f>Calculs!CF1553</f>
        <v>0</v>
      </c>
      <c r="K1481" s="742"/>
      <c r="L1481" s="742">
        <f>Calculs!CH1553</f>
        <v>0</v>
      </c>
    </row>
    <row r="1482" spans="2:12">
      <c r="B1482" s="742">
        <f>Calculs!B1554</f>
        <v>0</v>
      </c>
      <c r="C1482" s="742">
        <f>Calculs!BY1554</f>
        <v>0</v>
      </c>
      <c r="D1482" s="742">
        <f>Calculs!BZ1554</f>
        <v>0</v>
      </c>
      <c r="E1482" s="742">
        <f>Calculs!CA1554</f>
        <v>0</v>
      </c>
      <c r="F1482" s="742">
        <f>Calculs!CB1554</f>
        <v>0</v>
      </c>
      <c r="G1482" s="742">
        <f>Calculs!CC1554</f>
        <v>0</v>
      </c>
      <c r="H1482" s="742"/>
      <c r="I1482" s="742">
        <f>Calculs!CE1554</f>
        <v>0</v>
      </c>
      <c r="J1482" s="742">
        <f>Calculs!CF1554</f>
        <v>0</v>
      </c>
      <c r="K1482" s="742"/>
      <c r="L1482" s="742">
        <f>Calculs!CH1554</f>
        <v>0</v>
      </c>
    </row>
    <row r="1483" spans="2:12">
      <c r="B1483" s="742">
        <f>Calculs!B1555</f>
        <v>0</v>
      </c>
      <c r="C1483" s="742">
        <f>Calculs!BY1555</f>
        <v>0</v>
      </c>
      <c r="D1483" s="742">
        <f>Calculs!BZ1555</f>
        <v>0</v>
      </c>
      <c r="E1483" s="742">
        <f>Calculs!CA1555</f>
        <v>0</v>
      </c>
      <c r="F1483" s="742">
        <f>Calculs!CB1555</f>
        <v>0</v>
      </c>
      <c r="G1483" s="742">
        <f>Calculs!CC1555</f>
        <v>0</v>
      </c>
      <c r="H1483" s="742"/>
      <c r="I1483" s="742">
        <f>Calculs!CE1555</f>
        <v>0</v>
      </c>
      <c r="J1483" s="742">
        <f>Calculs!CF1555</f>
        <v>0</v>
      </c>
      <c r="K1483" s="742"/>
      <c r="L1483" s="742">
        <f>Calculs!CH1555</f>
        <v>0</v>
      </c>
    </row>
    <row r="1484" spans="2:12">
      <c r="B1484" s="742">
        <f>Calculs!B1556</f>
        <v>0</v>
      </c>
      <c r="C1484" s="742">
        <f>Calculs!BY1556</f>
        <v>0</v>
      </c>
      <c r="D1484" s="742">
        <f>Calculs!BZ1556</f>
        <v>0</v>
      </c>
      <c r="E1484" s="742">
        <f>Calculs!CA1556</f>
        <v>0</v>
      </c>
      <c r="F1484" s="742">
        <f>Calculs!CB1556</f>
        <v>0</v>
      </c>
      <c r="G1484" s="742">
        <f>Calculs!CC1556</f>
        <v>0</v>
      </c>
      <c r="H1484" s="742"/>
      <c r="I1484" s="742">
        <f>Calculs!CE1556</f>
        <v>0</v>
      </c>
      <c r="J1484" s="742">
        <f>Calculs!CF1556</f>
        <v>0</v>
      </c>
      <c r="K1484" s="742"/>
      <c r="L1484" s="742">
        <f>Calculs!CH1556</f>
        <v>0</v>
      </c>
    </row>
    <row r="1485" spans="2:12">
      <c r="B1485" s="742">
        <f>Calculs!B1557</f>
        <v>0</v>
      </c>
      <c r="C1485" s="742">
        <f>Calculs!BY1557</f>
        <v>0</v>
      </c>
      <c r="D1485" s="742">
        <f>Calculs!BZ1557</f>
        <v>0</v>
      </c>
      <c r="E1485" s="742">
        <f>Calculs!CA1557</f>
        <v>0</v>
      </c>
      <c r="F1485" s="742">
        <f>Calculs!CB1557</f>
        <v>0</v>
      </c>
      <c r="G1485" s="742">
        <f>Calculs!CC1557</f>
        <v>0</v>
      </c>
      <c r="H1485" s="742"/>
      <c r="I1485" s="742">
        <f>Calculs!CE1557</f>
        <v>0</v>
      </c>
      <c r="J1485" s="742">
        <f>Calculs!CF1557</f>
        <v>0</v>
      </c>
      <c r="K1485" s="742"/>
      <c r="L1485" s="742">
        <f>Calculs!CH1557</f>
        <v>0</v>
      </c>
    </row>
    <row r="1486" spans="2:12">
      <c r="B1486" s="742">
        <f>Calculs!B1558</f>
        <v>0</v>
      </c>
      <c r="C1486" s="742">
        <f>Calculs!BY1558</f>
        <v>0</v>
      </c>
      <c r="D1486" s="742">
        <f>Calculs!BZ1558</f>
        <v>0</v>
      </c>
      <c r="E1486" s="742">
        <f>Calculs!CA1558</f>
        <v>0</v>
      </c>
      <c r="F1486" s="742">
        <f>Calculs!CB1558</f>
        <v>0</v>
      </c>
      <c r="G1486" s="742">
        <f>Calculs!CC1558</f>
        <v>0</v>
      </c>
      <c r="H1486" s="742"/>
      <c r="I1486" s="742">
        <f>Calculs!CE1558</f>
        <v>0</v>
      </c>
      <c r="J1486" s="742">
        <f>Calculs!CF1558</f>
        <v>0</v>
      </c>
      <c r="K1486" s="742"/>
      <c r="L1486" s="742">
        <f>Calculs!CH1558</f>
        <v>0</v>
      </c>
    </row>
    <row r="1487" spans="2:12">
      <c r="B1487" s="742">
        <f>Calculs!B1559</f>
        <v>0</v>
      </c>
      <c r="C1487" s="742">
        <f>Calculs!BY1559</f>
        <v>0</v>
      </c>
      <c r="D1487" s="742">
        <f>Calculs!BZ1559</f>
        <v>0</v>
      </c>
      <c r="E1487" s="742">
        <f>Calculs!CA1559</f>
        <v>0</v>
      </c>
      <c r="F1487" s="742">
        <f>Calculs!CB1559</f>
        <v>0</v>
      </c>
      <c r="G1487" s="742">
        <f>Calculs!CC1559</f>
        <v>0</v>
      </c>
      <c r="H1487" s="742"/>
      <c r="I1487" s="742">
        <f>Calculs!CE1559</f>
        <v>0</v>
      </c>
      <c r="J1487" s="742">
        <f>Calculs!CF1559</f>
        <v>0</v>
      </c>
      <c r="K1487" s="742"/>
      <c r="L1487" s="742">
        <f>Calculs!CH1559</f>
        <v>0</v>
      </c>
    </row>
    <row r="1488" spans="2:12">
      <c r="B1488" s="742">
        <f>Calculs!B1560</f>
        <v>0</v>
      </c>
      <c r="C1488" s="742">
        <f>Calculs!BY1560</f>
        <v>0</v>
      </c>
      <c r="D1488" s="742">
        <f>Calculs!BZ1560</f>
        <v>0</v>
      </c>
      <c r="E1488" s="742">
        <f>Calculs!CA1560</f>
        <v>0</v>
      </c>
      <c r="F1488" s="742">
        <f>Calculs!CB1560</f>
        <v>0</v>
      </c>
      <c r="G1488" s="742">
        <f>Calculs!CC1560</f>
        <v>0</v>
      </c>
      <c r="H1488" s="742"/>
      <c r="I1488" s="742">
        <f>Calculs!CE1560</f>
        <v>0</v>
      </c>
      <c r="J1488" s="742">
        <f>Calculs!CF1560</f>
        <v>0</v>
      </c>
      <c r="K1488" s="742"/>
      <c r="L1488" s="742">
        <f>Calculs!CH1560</f>
        <v>0</v>
      </c>
    </row>
    <row r="1489" spans="2:12">
      <c r="B1489" s="742">
        <f>Calculs!B1561</f>
        <v>0</v>
      </c>
      <c r="C1489" s="742">
        <f>Calculs!BY1561</f>
        <v>0</v>
      </c>
      <c r="D1489" s="742">
        <f>Calculs!BZ1561</f>
        <v>0</v>
      </c>
      <c r="E1489" s="742">
        <f>Calculs!CA1561</f>
        <v>0</v>
      </c>
      <c r="F1489" s="742">
        <f>Calculs!CB1561</f>
        <v>0</v>
      </c>
      <c r="G1489" s="742">
        <f>Calculs!CC1561</f>
        <v>0</v>
      </c>
      <c r="H1489" s="742"/>
      <c r="I1489" s="742">
        <f>Calculs!CE1561</f>
        <v>0</v>
      </c>
      <c r="J1489" s="742">
        <f>Calculs!CF1561</f>
        <v>0</v>
      </c>
      <c r="K1489" s="742"/>
      <c r="L1489" s="742">
        <f>Calculs!CH1561</f>
        <v>0</v>
      </c>
    </row>
    <row r="1490" spans="2:12">
      <c r="B1490" s="742">
        <f>Calculs!B1562</f>
        <v>0</v>
      </c>
      <c r="C1490" s="742">
        <f>Calculs!BY1562</f>
        <v>0</v>
      </c>
      <c r="D1490" s="742">
        <f>Calculs!BZ1562</f>
        <v>0</v>
      </c>
      <c r="E1490" s="742">
        <f>Calculs!CA1562</f>
        <v>0</v>
      </c>
      <c r="F1490" s="742">
        <f>Calculs!CB1562</f>
        <v>0</v>
      </c>
      <c r="G1490" s="742">
        <f>Calculs!CC1562</f>
        <v>0</v>
      </c>
      <c r="H1490" s="742"/>
      <c r="I1490" s="742">
        <f>Calculs!CE1562</f>
        <v>0</v>
      </c>
      <c r="J1490" s="742">
        <f>Calculs!CF1562</f>
        <v>0</v>
      </c>
      <c r="K1490" s="742"/>
      <c r="L1490" s="742">
        <f>Calculs!CH1562</f>
        <v>0</v>
      </c>
    </row>
    <row r="1491" spans="2:12">
      <c r="B1491" s="742">
        <f>Calculs!B1563</f>
        <v>0</v>
      </c>
      <c r="C1491" s="742">
        <f>Calculs!BY1563</f>
        <v>0</v>
      </c>
      <c r="D1491" s="742">
        <f>Calculs!BZ1563</f>
        <v>0</v>
      </c>
      <c r="E1491" s="742">
        <f>Calculs!CA1563</f>
        <v>0</v>
      </c>
      <c r="F1491" s="742">
        <f>Calculs!CB1563</f>
        <v>0</v>
      </c>
      <c r="G1491" s="742">
        <f>Calculs!CC1563</f>
        <v>0</v>
      </c>
      <c r="H1491" s="742"/>
      <c r="I1491" s="742">
        <f>Calculs!CE1563</f>
        <v>0</v>
      </c>
      <c r="J1491" s="742">
        <f>Calculs!CF1563</f>
        <v>0</v>
      </c>
      <c r="K1491" s="742"/>
      <c r="L1491" s="742">
        <f>Calculs!CH1563</f>
        <v>0</v>
      </c>
    </row>
    <row r="1492" spans="2:12">
      <c r="B1492" s="742">
        <f>Calculs!B1564</f>
        <v>0</v>
      </c>
      <c r="C1492" s="742">
        <f>Calculs!BY1564</f>
        <v>0</v>
      </c>
      <c r="D1492" s="742">
        <f>Calculs!BZ1564</f>
        <v>0</v>
      </c>
      <c r="E1492" s="742">
        <f>Calculs!CA1564</f>
        <v>0</v>
      </c>
      <c r="F1492" s="742">
        <f>Calculs!CB1564</f>
        <v>0</v>
      </c>
      <c r="G1492" s="742">
        <f>Calculs!CC1564</f>
        <v>0</v>
      </c>
      <c r="H1492" s="742"/>
      <c r="I1492" s="742">
        <f>Calculs!CE1564</f>
        <v>0</v>
      </c>
      <c r="J1492" s="742">
        <f>Calculs!CF1564</f>
        <v>0</v>
      </c>
      <c r="K1492" s="742"/>
      <c r="L1492" s="742">
        <f>Calculs!CH1564</f>
        <v>0</v>
      </c>
    </row>
    <row r="1493" spans="2:12">
      <c r="B1493" s="742">
        <f>Calculs!B1565</f>
        <v>0</v>
      </c>
      <c r="C1493" s="742">
        <f>Calculs!BY1565</f>
        <v>0</v>
      </c>
      <c r="D1493" s="742">
        <f>Calculs!BZ1565</f>
        <v>0</v>
      </c>
      <c r="E1493" s="742">
        <f>Calculs!CA1565</f>
        <v>0</v>
      </c>
      <c r="F1493" s="742">
        <f>Calculs!CB1565</f>
        <v>0</v>
      </c>
      <c r="G1493" s="742">
        <f>Calculs!CC1565</f>
        <v>0</v>
      </c>
      <c r="H1493" s="742"/>
      <c r="I1493" s="742">
        <f>Calculs!CE1565</f>
        <v>0</v>
      </c>
      <c r="J1493" s="742">
        <f>Calculs!CF1565</f>
        <v>0</v>
      </c>
      <c r="K1493" s="742"/>
      <c r="L1493" s="742">
        <f>Calculs!CH1565</f>
        <v>0</v>
      </c>
    </row>
    <row r="1494" spans="2:12">
      <c r="B1494" s="742">
        <f>Calculs!B1566</f>
        <v>0</v>
      </c>
      <c r="C1494" s="742">
        <f>Calculs!BY1566</f>
        <v>0</v>
      </c>
      <c r="D1494" s="742">
        <f>Calculs!BZ1566</f>
        <v>0</v>
      </c>
      <c r="E1494" s="742">
        <f>Calculs!CA1566</f>
        <v>0</v>
      </c>
      <c r="F1494" s="742">
        <f>Calculs!CB1566</f>
        <v>0</v>
      </c>
      <c r="G1494" s="742">
        <f>Calculs!CC1566</f>
        <v>0</v>
      </c>
      <c r="H1494" s="742"/>
      <c r="I1494" s="742">
        <f>Calculs!CE1566</f>
        <v>0</v>
      </c>
      <c r="J1494" s="742">
        <f>Calculs!CF1566</f>
        <v>0</v>
      </c>
      <c r="K1494" s="742"/>
      <c r="L1494" s="742">
        <f>Calculs!CH1566</f>
        <v>0</v>
      </c>
    </row>
    <row r="1495" spans="2:12">
      <c r="B1495" s="742">
        <f>Calculs!B1567</f>
        <v>0</v>
      </c>
      <c r="C1495" s="742">
        <f>Calculs!BY1567</f>
        <v>0</v>
      </c>
      <c r="D1495" s="742">
        <f>Calculs!BZ1567</f>
        <v>0</v>
      </c>
      <c r="E1495" s="742">
        <f>Calculs!CA1567</f>
        <v>0</v>
      </c>
      <c r="F1495" s="742">
        <f>Calculs!CB1567</f>
        <v>0</v>
      </c>
      <c r="G1495" s="742">
        <f>Calculs!CC1567</f>
        <v>0</v>
      </c>
      <c r="H1495" s="742"/>
      <c r="I1495" s="742">
        <f>Calculs!CE1567</f>
        <v>0</v>
      </c>
      <c r="J1495" s="742">
        <f>Calculs!CF1567</f>
        <v>0</v>
      </c>
      <c r="K1495" s="742"/>
      <c r="L1495" s="742">
        <f>Calculs!CH1567</f>
        <v>0</v>
      </c>
    </row>
    <row r="1496" spans="2:12">
      <c r="B1496" s="742">
        <f>Calculs!B1568</f>
        <v>0</v>
      </c>
      <c r="C1496" s="742">
        <f>Calculs!BY1568</f>
        <v>0</v>
      </c>
      <c r="D1496" s="742">
        <f>Calculs!BZ1568</f>
        <v>0</v>
      </c>
      <c r="E1496" s="742">
        <f>Calculs!CA1568</f>
        <v>0</v>
      </c>
      <c r="F1496" s="742">
        <f>Calculs!CB1568</f>
        <v>0</v>
      </c>
      <c r="G1496" s="742">
        <f>Calculs!CC1568</f>
        <v>0</v>
      </c>
      <c r="H1496" s="742"/>
      <c r="I1496" s="742">
        <f>Calculs!CE1568</f>
        <v>0</v>
      </c>
      <c r="J1496" s="742">
        <f>Calculs!CF1568</f>
        <v>0</v>
      </c>
      <c r="K1496" s="742"/>
      <c r="L1496" s="742">
        <f>Calculs!CH1568</f>
        <v>0</v>
      </c>
    </row>
    <row r="1497" spans="2:12">
      <c r="B1497" s="742">
        <f>Calculs!B1569</f>
        <v>0</v>
      </c>
      <c r="C1497" s="742">
        <f>Calculs!BY1569</f>
        <v>0</v>
      </c>
      <c r="D1497" s="742">
        <f>Calculs!BZ1569</f>
        <v>0</v>
      </c>
      <c r="E1497" s="742">
        <f>Calculs!CA1569</f>
        <v>0</v>
      </c>
      <c r="F1497" s="742">
        <f>Calculs!CB1569</f>
        <v>0</v>
      </c>
      <c r="G1497" s="742">
        <f>Calculs!CC1569</f>
        <v>0</v>
      </c>
      <c r="H1497" s="742"/>
      <c r="I1497" s="742">
        <f>Calculs!CE1569</f>
        <v>0</v>
      </c>
      <c r="J1497" s="742">
        <f>Calculs!CF1569</f>
        <v>0</v>
      </c>
      <c r="K1497" s="742"/>
      <c r="L1497" s="742">
        <f>Calculs!CH1569</f>
        <v>0</v>
      </c>
    </row>
    <row r="1498" spans="2:12">
      <c r="B1498" s="742">
        <f>Calculs!B1570</f>
        <v>0</v>
      </c>
      <c r="C1498" s="742">
        <f>Calculs!BY1570</f>
        <v>0</v>
      </c>
      <c r="D1498" s="742">
        <f>Calculs!BZ1570</f>
        <v>0</v>
      </c>
      <c r="E1498" s="742">
        <f>Calculs!CA1570</f>
        <v>0</v>
      </c>
      <c r="F1498" s="742">
        <f>Calculs!CB1570</f>
        <v>0</v>
      </c>
      <c r="G1498" s="742">
        <f>Calculs!CC1570</f>
        <v>0</v>
      </c>
      <c r="H1498" s="742"/>
      <c r="I1498" s="742">
        <f>Calculs!CE1570</f>
        <v>0</v>
      </c>
      <c r="J1498" s="742">
        <f>Calculs!CF1570</f>
        <v>0</v>
      </c>
      <c r="K1498" s="742"/>
      <c r="L1498" s="742">
        <f>Calculs!CH1570</f>
        <v>0</v>
      </c>
    </row>
    <row r="1499" spans="2:12">
      <c r="B1499" s="742">
        <f>Calculs!B1571</f>
        <v>0</v>
      </c>
      <c r="C1499" s="742">
        <f>Calculs!BY1571</f>
        <v>0</v>
      </c>
      <c r="D1499" s="742">
        <f>Calculs!BZ1571</f>
        <v>0</v>
      </c>
      <c r="E1499" s="742">
        <f>Calculs!CA1571</f>
        <v>0</v>
      </c>
      <c r="F1499" s="742">
        <f>Calculs!CB1571</f>
        <v>0</v>
      </c>
      <c r="G1499" s="742">
        <f>Calculs!CC1571</f>
        <v>0</v>
      </c>
      <c r="H1499" s="742"/>
      <c r="I1499" s="742">
        <f>Calculs!CE1571</f>
        <v>0</v>
      </c>
      <c r="J1499" s="742">
        <f>Calculs!CF1571</f>
        <v>0</v>
      </c>
      <c r="K1499" s="742"/>
      <c r="L1499" s="742">
        <f>Calculs!CH1571</f>
        <v>0</v>
      </c>
    </row>
    <row r="1500" spans="2:12">
      <c r="B1500" s="742">
        <f>Calculs!B1572</f>
        <v>0</v>
      </c>
      <c r="C1500" s="742">
        <f>Calculs!BY1572</f>
        <v>0</v>
      </c>
      <c r="D1500" s="742">
        <f>Calculs!BZ1572</f>
        <v>0</v>
      </c>
      <c r="E1500" s="742">
        <f>Calculs!CA1572</f>
        <v>0</v>
      </c>
      <c r="F1500" s="742">
        <f>Calculs!CB1572</f>
        <v>0</v>
      </c>
      <c r="G1500" s="742">
        <f>Calculs!CC1572</f>
        <v>0</v>
      </c>
      <c r="H1500" s="742"/>
      <c r="I1500" s="742">
        <f>Calculs!CE1572</f>
        <v>0</v>
      </c>
      <c r="J1500" s="742">
        <f>Calculs!CF1572</f>
        <v>0</v>
      </c>
      <c r="K1500" s="742"/>
      <c r="L1500" s="742">
        <f>Calculs!CH1572</f>
        <v>0</v>
      </c>
    </row>
    <row r="1501" spans="2:12">
      <c r="B1501" s="742">
        <f>Calculs!B1573</f>
        <v>0</v>
      </c>
      <c r="C1501" s="742">
        <f>Calculs!BY1573</f>
        <v>0</v>
      </c>
      <c r="D1501" s="742">
        <f>Calculs!BZ1573</f>
        <v>0</v>
      </c>
      <c r="E1501" s="742">
        <f>Calculs!CA1573</f>
        <v>0</v>
      </c>
      <c r="F1501" s="742">
        <f>Calculs!CB1573</f>
        <v>0</v>
      </c>
      <c r="G1501" s="742">
        <f>Calculs!CC1573</f>
        <v>0</v>
      </c>
      <c r="H1501" s="742"/>
      <c r="I1501" s="742">
        <f>Calculs!CE1573</f>
        <v>0</v>
      </c>
      <c r="J1501" s="742">
        <f>Calculs!CF1573</f>
        <v>0</v>
      </c>
      <c r="K1501" s="742"/>
      <c r="L1501" s="742">
        <f>Calculs!CH1573</f>
        <v>0</v>
      </c>
    </row>
    <row r="1502" spans="2:12">
      <c r="B1502" s="742">
        <f>Calculs!B1574</f>
        <v>0</v>
      </c>
      <c r="C1502" s="742">
        <f>Calculs!BY1574</f>
        <v>0</v>
      </c>
      <c r="D1502" s="742">
        <f>Calculs!BZ1574</f>
        <v>0</v>
      </c>
      <c r="E1502" s="742">
        <f>Calculs!CA1574</f>
        <v>0</v>
      </c>
      <c r="F1502" s="742">
        <f>Calculs!CB1574</f>
        <v>0</v>
      </c>
      <c r="G1502" s="742">
        <f>Calculs!CC1574</f>
        <v>0</v>
      </c>
      <c r="H1502" s="742"/>
      <c r="I1502" s="742">
        <f>Calculs!CE1574</f>
        <v>0</v>
      </c>
      <c r="J1502" s="742">
        <f>Calculs!CF1574</f>
        <v>0</v>
      </c>
      <c r="K1502" s="742"/>
      <c r="L1502" s="742">
        <f>Calculs!CH1574</f>
        <v>0</v>
      </c>
    </row>
    <row r="1503" spans="2:12">
      <c r="B1503" s="742">
        <f>Calculs!B1575</f>
        <v>0</v>
      </c>
      <c r="C1503" s="742">
        <f>Calculs!BY1575</f>
        <v>0</v>
      </c>
      <c r="D1503" s="742">
        <f>Calculs!BZ1575</f>
        <v>0</v>
      </c>
      <c r="E1503" s="742">
        <f>Calculs!CA1575</f>
        <v>0</v>
      </c>
      <c r="F1503" s="742">
        <f>Calculs!CB1575</f>
        <v>0</v>
      </c>
      <c r="G1503" s="742">
        <f>Calculs!CC1575</f>
        <v>0</v>
      </c>
      <c r="H1503" s="742"/>
      <c r="I1503" s="742">
        <f>Calculs!CE1575</f>
        <v>0</v>
      </c>
      <c r="J1503" s="742">
        <f>Calculs!CF1575</f>
        <v>0</v>
      </c>
      <c r="K1503" s="742"/>
      <c r="L1503" s="742">
        <f>Calculs!CH1575</f>
        <v>0</v>
      </c>
    </row>
    <row r="1504" spans="2:12">
      <c r="B1504" s="742">
        <f>Calculs!B1576</f>
        <v>0</v>
      </c>
      <c r="C1504" s="742">
        <f>Calculs!BY1576</f>
        <v>0</v>
      </c>
      <c r="D1504" s="742">
        <f>Calculs!BZ1576</f>
        <v>0</v>
      </c>
      <c r="E1504" s="742">
        <f>Calculs!CA1576</f>
        <v>0</v>
      </c>
      <c r="F1504" s="742">
        <f>Calculs!CB1576</f>
        <v>0</v>
      </c>
      <c r="G1504" s="742">
        <f>Calculs!CC1576</f>
        <v>0</v>
      </c>
      <c r="H1504" s="742"/>
      <c r="I1504" s="742">
        <f>Calculs!CE1576</f>
        <v>0</v>
      </c>
      <c r="J1504" s="742">
        <f>Calculs!CF1576</f>
        <v>0</v>
      </c>
      <c r="K1504" s="742"/>
      <c r="L1504" s="742">
        <f>Calculs!CH1576</f>
        <v>0</v>
      </c>
    </row>
    <row r="1505" spans="2:12">
      <c r="B1505" s="742">
        <f>Calculs!B1577</f>
        <v>0</v>
      </c>
      <c r="C1505" s="742">
        <f>Calculs!BY1577</f>
        <v>0</v>
      </c>
      <c r="D1505" s="742">
        <f>Calculs!BZ1577</f>
        <v>0</v>
      </c>
      <c r="E1505" s="742">
        <f>Calculs!CA1577</f>
        <v>0</v>
      </c>
      <c r="F1505" s="742">
        <f>Calculs!CB1577</f>
        <v>0</v>
      </c>
      <c r="G1505" s="742">
        <f>Calculs!CC1577</f>
        <v>0</v>
      </c>
      <c r="H1505" s="742"/>
      <c r="I1505" s="742">
        <f>Calculs!CE1577</f>
        <v>0</v>
      </c>
      <c r="J1505" s="742">
        <f>Calculs!CF1577</f>
        <v>0</v>
      </c>
      <c r="K1505" s="742"/>
      <c r="L1505" s="742">
        <f>Calculs!CH1577</f>
        <v>0</v>
      </c>
    </row>
    <row r="1506" spans="2:12">
      <c r="B1506" s="742">
        <f>Calculs!B1578</f>
        <v>0</v>
      </c>
      <c r="C1506" s="742">
        <f>Calculs!BY1578</f>
        <v>0</v>
      </c>
      <c r="D1506" s="742">
        <f>Calculs!BZ1578</f>
        <v>0</v>
      </c>
      <c r="E1506" s="742">
        <f>Calculs!CA1578</f>
        <v>0</v>
      </c>
      <c r="F1506" s="742">
        <f>Calculs!CB1578</f>
        <v>0</v>
      </c>
      <c r="G1506" s="742">
        <f>Calculs!CC1578</f>
        <v>0</v>
      </c>
      <c r="H1506" s="742"/>
      <c r="I1506" s="742">
        <f>Calculs!CE1578</f>
        <v>0</v>
      </c>
      <c r="J1506" s="742">
        <f>Calculs!CF1578</f>
        <v>0</v>
      </c>
      <c r="K1506" s="742"/>
      <c r="L1506" s="742">
        <f>Calculs!CH1578</f>
        <v>0</v>
      </c>
    </row>
    <row r="1507" spans="2:12">
      <c r="B1507" s="742">
        <f>Calculs!B1579</f>
        <v>0</v>
      </c>
      <c r="C1507" s="742">
        <f>Calculs!BY1579</f>
        <v>0</v>
      </c>
      <c r="D1507" s="742">
        <f>Calculs!BZ1579</f>
        <v>0</v>
      </c>
      <c r="E1507" s="742">
        <f>Calculs!CA1579</f>
        <v>0</v>
      </c>
      <c r="F1507" s="742">
        <f>Calculs!CB1579</f>
        <v>0</v>
      </c>
      <c r="G1507" s="742">
        <f>Calculs!CC1579</f>
        <v>0</v>
      </c>
      <c r="H1507" s="742"/>
      <c r="I1507" s="742">
        <f>Calculs!CE1579</f>
        <v>0</v>
      </c>
      <c r="J1507" s="742">
        <f>Calculs!CF1579</f>
        <v>0</v>
      </c>
      <c r="K1507" s="742"/>
      <c r="L1507" s="742">
        <f>Calculs!CH1579</f>
        <v>0</v>
      </c>
    </row>
    <row r="1508" spans="2:12">
      <c r="B1508" s="742">
        <f>Calculs!B1580</f>
        <v>0</v>
      </c>
      <c r="C1508" s="742">
        <f>Calculs!BY1580</f>
        <v>0</v>
      </c>
      <c r="D1508" s="742">
        <f>Calculs!BZ1580</f>
        <v>0</v>
      </c>
      <c r="E1508" s="742">
        <f>Calculs!CA1580</f>
        <v>0</v>
      </c>
      <c r="F1508" s="742">
        <f>Calculs!CB1580</f>
        <v>0</v>
      </c>
      <c r="G1508" s="742">
        <f>Calculs!CC1580</f>
        <v>0</v>
      </c>
      <c r="H1508" s="742"/>
      <c r="I1508" s="742">
        <f>Calculs!CE1580</f>
        <v>0</v>
      </c>
      <c r="J1508" s="742">
        <f>Calculs!CF1580</f>
        <v>0</v>
      </c>
      <c r="K1508" s="742"/>
      <c r="L1508" s="742">
        <f>Calculs!CH1580</f>
        <v>0</v>
      </c>
    </row>
    <row r="1509" spans="2:12">
      <c r="B1509" s="742">
        <f>Calculs!B1581</f>
        <v>0</v>
      </c>
      <c r="C1509" s="742">
        <f>Calculs!BY1581</f>
        <v>0</v>
      </c>
      <c r="D1509" s="742">
        <f>Calculs!BZ1581</f>
        <v>0</v>
      </c>
      <c r="E1509" s="742">
        <f>Calculs!CA1581</f>
        <v>0</v>
      </c>
      <c r="F1509" s="742">
        <f>Calculs!CB1581</f>
        <v>0</v>
      </c>
      <c r="G1509" s="742">
        <f>Calculs!CC1581</f>
        <v>0</v>
      </c>
      <c r="H1509" s="742"/>
      <c r="I1509" s="742">
        <f>Calculs!CE1581</f>
        <v>0</v>
      </c>
      <c r="J1509" s="742">
        <f>Calculs!CF1581</f>
        <v>0</v>
      </c>
      <c r="K1509" s="742"/>
      <c r="L1509" s="742">
        <f>Calculs!CH1581</f>
        <v>0</v>
      </c>
    </row>
    <row r="1510" spans="2:12">
      <c r="B1510" s="742">
        <f>Calculs!B1582</f>
        <v>0</v>
      </c>
      <c r="C1510" s="742">
        <f>Calculs!BY1582</f>
        <v>0</v>
      </c>
      <c r="D1510" s="742">
        <f>Calculs!BZ1582</f>
        <v>0</v>
      </c>
      <c r="E1510" s="742">
        <f>Calculs!CA1582</f>
        <v>0</v>
      </c>
      <c r="F1510" s="742">
        <f>Calculs!CB1582</f>
        <v>0</v>
      </c>
      <c r="G1510" s="742">
        <f>Calculs!CC1582</f>
        <v>0</v>
      </c>
      <c r="H1510" s="742"/>
      <c r="I1510" s="742">
        <f>Calculs!CE1582</f>
        <v>0</v>
      </c>
      <c r="J1510" s="742">
        <f>Calculs!CF1582</f>
        <v>0</v>
      </c>
      <c r="K1510" s="742"/>
      <c r="L1510" s="742">
        <f>Calculs!CH1582</f>
        <v>0</v>
      </c>
    </row>
    <row r="1511" spans="2:12">
      <c r="B1511" s="742">
        <f>Calculs!B1583</f>
        <v>0</v>
      </c>
      <c r="C1511" s="742">
        <f>Calculs!BY1583</f>
        <v>0</v>
      </c>
      <c r="D1511" s="742">
        <f>Calculs!BZ1583</f>
        <v>0</v>
      </c>
      <c r="E1511" s="742">
        <f>Calculs!CA1583</f>
        <v>0</v>
      </c>
      <c r="F1511" s="742">
        <f>Calculs!CB1583</f>
        <v>0</v>
      </c>
      <c r="G1511" s="742">
        <f>Calculs!CC1583</f>
        <v>0</v>
      </c>
      <c r="H1511" s="742"/>
      <c r="I1511" s="742">
        <f>Calculs!CE1583</f>
        <v>0</v>
      </c>
      <c r="J1511" s="742">
        <f>Calculs!CF1583</f>
        <v>0</v>
      </c>
      <c r="K1511" s="742"/>
      <c r="L1511" s="742">
        <f>Calculs!CH1583</f>
        <v>0</v>
      </c>
    </row>
    <row r="1512" spans="2:12">
      <c r="B1512" s="742">
        <f>Calculs!B1584</f>
        <v>0</v>
      </c>
      <c r="C1512" s="742">
        <f>Calculs!BY1584</f>
        <v>0</v>
      </c>
      <c r="D1512" s="742">
        <f>Calculs!BZ1584</f>
        <v>0</v>
      </c>
      <c r="E1512" s="742">
        <f>Calculs!CA1584</f>
        <v>0</v>
      </c>
      <c r="F1512" s="742">
        <f>Calculs!CB1584</f>
        <v>0</v>
      </c>
      <c r="G1512" s="742">
        <f>Calculs!CC1584</f>
        <v>0</v>
      </c>
      <c r="H1512" s="742"/>
      <c r="I1512" s="742">
        <f>Calculs!CE1584</f>
        <v>0</v>
      </c>
      <c r="J1512" s="742">
        <f>Calculs!CF1584</f>
        <v>0</v>
      </c>
      <c r="K1512" s="742"/>
      <c r="L1512" s="742">
        <f>Calculs!CH1584</f>
        <v>0</v>
      </c>
    </row>
    <row r="1513" spans="2:12">
      <c r="B1513" s="742">
        <f>Calculs!B1585</f>
        <v>0</v>
      </c>
      <c r="C1513" s="742">
        <f>Calculs!BY1585</f>
        <v>0</v>
      </c>
      <c r="D1513" s="742">
        <f>Calculs!BZ1585</f>
        <v>0</v>
      </c>
      <c r="E1513" s="742">
        <f>Calculs!CA1585</f>
        <v>0</v>
      </c>
      <c r="F1513" s="742">
        <f>Calculs!CB1585</f>
        <v>0</v>
      </c>
      <c r="G1513" s="742">
        <f>Calculs!CC1585</f>
        <v>0</v>
      </c>
      <c r="H1513" s="742"/>
      <c r="I1513" s="742">
        <f>Calculs!CE1585</f>
        <v>0</v>
      </c>
      <c r="J1513" s="742">
        <f>Calculs!CF1585</f>
        <v>0</v>
      </c>
      <c r="K1513" s="742"/>
      <c r="L1513" s="742">
        <f>Calculs!CH1585</f>
        <v>0</v>
      </c>
    </row>
    <row r="1514" spans="2:12">
      <c r="B1514" s="742">
        <f>Calculs!B1586</f>
        <v>0</v>
      </c>
      <c r="C1514" s="742">
        <f>Calculs!BY1586</f>
        <v>0</v>
      </c>
      <c r="D1514" s="742">
        <f>Calculs!BZ1586</f>
        <v>0</v>
      </c>
      <c r="E1514" s="742">
        <f>Calculs!CA1586</f>
        <v>0</v>
      </c>
      <c r="F1514" s="742">
        <f>Calculs!CB1586</f>
        <v>0</v>
      </c>
      <c r="G1514" s="742">
        <f>Calculs!CC1586</f>
        <v>0</v>
      </c>
      <c r="H1514" s="742"/>
      <c r="I1514" s="742">
        <f>Calculs!CE1586</f>
        <v>0</v>
      </c>
      <c r="J1514" s="742">
        <f>Calculs!CF1586</f>
        <v>0</v>
      </c>
      <c r="K1514" s="742"/>
      <c r="L1514" s="742">
        <f>Calculs!CH1586</f>
        <v>0</v>
      </c>
    </row>
    <row r="1515" spans="2:12">
      <c r="B1515" s="742">
        <f>Calculs!B1587</f>
        <v>0</v>
      </c>
      <c r="C1515" s="742">
        <f>Calculs!BY1587</f>
        <v>0</v>
      </c>
      <c r="D1515" s="742">
        <f>Calculs!BZ1587</f>
        <v>0</v>
      </c>
      <c r="E1515" s="742">
        <f>Calculs!CA1587</f>
        <v>0</v>
      </c>
      <c r="F1515" s="742">
        <f>Calculs!CB1587</f>
        <v>0</v>
      </c>
      <c r="G1515" s="742">
        <f>Calculs!CC1587</f>
        <v>0</v>
      </c>
      <c r="H1515" s="742"/>
      <c r="I1515" s="742">
        <f>Calculs!CE1587</f>
        <v>0</v>
      </c>
      <c r="J1515" s="742">
        <f>Calculs!CF1587</f>
        <v>0</v>
      </c>
      <c r="K1515" s="742"/>
      <c r="L1515" s="742">
        <f>Calculs!CH1587</f>
        <v>0</v>
      </c>
    </row>
    <row r="1516" spans="2:12">
      <c r="B1516" s="742">
        <f>Calculs!B1588</f>
        <v>0</v>
      </c>
      <c r="C1516" s="742">
        <f>Calculs!BY1588</f>
        <v>0</v>
      </c>
      <c r="D1516" s="742">
        <f>Calculs!BZ1588</f>
        <v>0</v>
      </c>
      <c r="E1516" s="742">
        <f>Calculs!CA1588</f>
        <v>0</v>
      </c>
      <c r="F1516" s="742">
        <f>Calculs!CB1588</f>
        <v>0</v>
      </c>
      <c r="G1516" s="742">
        <f>Calculs!CC1588</f>
        <v>0</v>
      </c>
      <c r="H1516" s="742"/>
      <c r="I1516" s="742">
        <f>Calculs!CE1588</f>
        <v>0</v>
      </c>
      <c r="J1516" s="742">
        <f>Calculs!CF1588</f>
        <v>0</v>
      </c>
      <c r="K1516" s="742"/>
      <c r="L1516" s="742">
        <f>Calculs!CH1588</f>
        <v>0</v>
      </c>
    </row>
    <row r="1517" spans="2:12">
      <c r="B1517" s="742">
        <f>Calculs!B1589</f>
        <v>0</v>
      </c>
      <c r="C1517" s="742">
        <f>Calculs!BY1589</f>
        <v>0</v>
      </c>
      <c r="D1517" s="742">
        <f>Calculs!BZ1589</f>
        <v>0</v>
      </c>
      <c r="E1517" s="742">
        <f>Calculs!CA1589</f>
        <v>0</v>
      </c>
      <c r="F1517" s="742">
        <f>Calculs!CB1589</f>
        <v>0</v>
      </c>
      <c r="G1517" s="742">
        <f>Calculs!CC1589</f>
        <v>0</v>
      </c>
      <c r="H1517" s="742"/>
      <c r="I1517" s="742">
        <f>Calculs!CE1589</f>
        <v>0</v>
      </c>
      <c r="J1517" s="742">
        <f>Calculs!CF1589</f>
        <v>0</v>
      </c>
      <c r="K1517" s="742"/>
      <c r="L1517" s="742">
        <f>Calculs!CH1589</f>
        <v>0</v>
      </c>
    </row>
    <row r="1518" spans="2:12">
      <c r="B1518" s="742">
        <f>Calculs!B1590</f>
        <v>0</v>
      </c>
      <c r="C1518" s="742">
        <f>Calculs!BY1590</f>
        <v>0</v>
      </c>
      <c r="D1518" s="742">
        <f>Calculs!BZ1590</f>
        <v>0</v>
      </c>
      <c r="E1518" s="742">
        <f>Calculs!CA1590</f>
        <v>0</v>
      </c>
      <c r="F1518" s="742">
        <f>Calculs!CB1590</f>
        <v>0</v>
      </c>
      <c r="G1518" s="742">
        <f>Calculs!CC1590</f>
        <v>0</v>
      </c>
      <c r="H1518" s="742"/>
      <c r="I1518" s="742">
        <f>Calculs!CE1590</f>
        <v>0</v>
      </c>
      <c r="J1518" s="742">
        <f>Calculs!CF1590</f>
        <v>0</v>
      </c>
      <c r="K1518" s="742"/>
      <c r="L1518" s="742">
        <f>Calculs!CH1590</f>
        <v>0</v>
      </c>
    </row>
    <row r="1519" spans="2:12">
      <c r="B1519" s="742">
        <f>Calculs!B1591</f>
        <v>0</v>
      </c>
      <c r="C1519" s="742">
        <f>Calculs!BY1591</f>
        <v>0</v>
      </c>
      <c r="D1519" s="742">
        <f>Calculs!BZ1591</f>
        <v>0</v>
      </c>
      <c r="E1519" s="742">
        <f>Calculs!CA1591</f>
        <v>0</v>
      </c>
      <c r="F1519" s="742">
        <f>Calculs!CB1591</f>
        <v>0</v>
      </c>
      <c r="G1519" s="742">
        <f>Calculs!CC1591</f>
        <v>0</v>
      </c>
      <c r="H1519" s="742"/>
      <c r="I1519" s="742">
        <f>Calculs!CE1591</f>
        <v>0</v>
      </c>
      <c r="J1519" s="742">
        <f>Calculs!CF1591</f>
        <v>0</v>
      </c>
      <c r="K1519" s="742"/>
      <c r="L1519" s="742">
        <f>Calculs!CH1591</f>
        <v>0</v>
      </c>
    </row>
    <row r="1520" spans="2:12">
      <c r="B1520" s="742">
        <f>Calculs!B1592</f>
        <v>0</v>
      </c>
      <c r="C1520" s="742">
        <f>Calculs!BY1592</f>
        <v>0</v>
      </c>
      <c r="D1520" s="742">
        <f>Calculs!BZ1592</f>
        <v>0</v>
      </c>
      <c r="E1520" s="742">
        <f>Calculs!CA1592</f>
        <v>0</v>
      </c>
      <c r="F1520" s="742">
        <f>Calculs!CB1592</f>
        <v>0</v>
      </c>
      <c r="G1520" s="742">
        <f>Calculs!CC1592</f>
        <v>0</v>
      </c>
      <c r="H1520" s="742"/>
      <c r="I1520" s="742">
        <f>Calculs!CE1592</f>
        <v>0</v>
      </c>
      <c r="J1520" s="742">
        <f>Calculs!CF1592</f>
        <v>0</v>
      </c>
      <c r="K1520" s="742"/>
      <c r="L1520" s="742">
        <f>Calculs!CH1592</f>
        <v>0</v>
      </c>
    </row>
    <row r="1521" spans="2:12">
      <c r="B1521" s="742">
        <f>Calculs!B1593</f>
        <v>0</v>
      </c>
      <c r="C1521" s="742">
        <f>Calculs!BY1593</f>
        <v>0</v>
      </c>
      <c r="D1521" s="742">
        <f>Calculs!BZ1593</f>
        <v>0</v>
      </c>
      <c r="E1521" s="742">
        <f>Calculs!CA1593</f>
        <v>0</v>
      </c>
      <c r="F1521" s="742">
        <f>Calculs!CB1593</f>
        <v>0</v>
      </c>
      <c r="G1521" s="742">
        <f>Calculs!CC1593</f>
        <v>0</v>
      </c>
      <c r="H1521" s="742"/>
      <c r="I1521" s="742">
        <f>Calculs!CE1593</f>
        <v>0</v>
      </c>
      <c r="J1521" s="742">
        <f>Calculs!CF1593</f>
        <v>0</v>
      </c>
      <c r="K1521" s="742"/>
      <c r="L1521" s="742">
        <f>Calculs!CH1593</f>
        <v>0</v>
      </c>
    </row>
    <row r="1522" spans="2:12">
      <c r="B1522" s="742">
        <f>Calculs!B1594</f>
        <v>0</v>
      </c>
      <c r="C1522" s="742">
        <f>Calculs!BY1594</f>
        <v>0</v>
      </c>
      <c r="D1522" s="742">
        <f>Calculs!BZ1594</f>
        <v>0</v>
      </c>
      <c r="E1522" s="742">
        <f>Calculs!CA1594</f>
        <v>0</v>
      </c>
      <c r="F1522" s="742">
        <f>Calculs!CB1594</f>
        <v>0</v>
      </c>
      <c r="G1522" s="742">
        <f>Calculs!CC1594</f>
        <v>0</v>
      </c>
      <c r="H1522" s="742"/>
      <c r="I1522" s="742">
        <f>Calculs!CE1594</f>
        <v>0</v>
      </c>
      <c r="J1522" s="742">
        <f>Calculs!CF1594</f>
        <v>0</v>
      </c>
      <c r="K1522" s="742"/>
      <c r="L1522" s="742">
        <f>Calculs!CH1594</f>
        <v>0</v>
      </c>
    </row>
    <row r="1523" spans="2:12">
      <c r="B1523" s="742">
        <f>Calculs!B1595</f>
        <v>0</v>
      </c>
      <c r="C1523" s="742">
        <f>Calculs!BY1595</f>
        <v>0</v>
      </c>
      <c r="D1523" s="742">
        <f>Calculs!BZ1595</f>
        <v>0</v>
      </c>
      <c r="E1523" s="742">
        <f>Calculs!CA1595</f>
        <v>0</v>
      </c>
      <c r="F1523" s="742">
        <f>Calculs!CB1595</f>
        <v>0</v>
      </c>
      <c r="G1523" s="742">
        <f>Calculs!CC1595</f>
        <v>0</v>
      </c>
      <c r="H1523" s="742"/>
      <c r="I1523" s="742">
        <f>Calculs!CE1595</f>
        <v>0</v>
      </c>
      <c r="J1523" s="742">
        <f>Calculs!CF1595</f>
        <v>0</v>
      </c>
      <c r="K1523" s="742"/>
      <c r="L1523" s="742">
        <f>Calculs!CH1595</f>
        <v>0</v>
      </c>
    </row>
    <row r="1524" spans="2:12">
      <c r="B1524" s="742">
        <f>Calculs!B1596</f>
        <v>0</v>
      </c>
      <c r="C1524" s="742">
        <f>Calculs!BY1596</f>
        <v>0</v>
      </c>
      <c r="D1524" s="742">
        <f>Calculs!BZ1596</f>
        <v>0</v>
      </c>
      <c r="E1524" s="742">
        <f>Calculs!CA1596</f>
        <v>0</v>
      </c>
      <c r="F1524" s="742">
        <f>Calculs!CB1596</f>
        <v>0</v>
      </c>
      <c r="G1524" s="742">
        <f>Calculs!CC1596</f>
        <v>0</v>
      </c>
      <c r="H1524" s="742"/>
      <c r="I1524" s="742">
        <f>Calculs!CE1596</f>
        <v>0</v>
      </c>
      <c r="J1524" s="742">
        <f>Calculs!CF1596</f>
        <v>0</v>
      </c>
      <c r="K1524" s="742"/>
      <c r="L1524" s="742">
        <f>Calculs!CH1596</f>
        <v>0</v>
      </c>
    </row>
    <row r="1525" spans="2:12">
      <c r="B1525" s="742">
        <f>Calculs!B1597</f>
        <v>0</v>
      </c>
      <c r="C1525" s="742">
        <f>Calculs!BY1597</f>
        <v>0</v>
      </c>
      <c r="D1525" s="742">
        <f>Calculs!BZ1597</f>
        <v>0</v>
      </c>
      <c r="E1525" s="742">
        <f>Calculs!CA1597</f>
        <v>0</v>
      </c>
      <c r="F1525" s="742">
        <f>Calculs!CB1597</f>
        <v>0</v>
      </c>
      <c r="G1525" s="742">
        <f>Calculs!CC1597</f>
        <v>0</v>
      </c>
      <c r="H1525" s="742"/>
      <c r="I1525" s="742">
        <f>Calculs!CE1597</f>
        <v>0</v>
      </c>
      <c r="J1525" s="742">
        <f>Calculs!CF1597</f>
        <v>0</v>
      </c>
      <c r="K1525" s="742"/>
      <c r="L1525" s="742">
        <f>Calculs!CH1597</f>
        <v>0</v>
      </c>
    </row>
    <row r="1526" spans="2:12">
      <c r="B1526" s="742">
        <f>Calculs!B1598</f>
        <v>0</v>
      </c>
      <c r="C1526" s="742">
        <f>Calculs!BY1598</f>
        <v>0</v>
      </c>
      <c r="D1526" s="742">
        <f>Calculs!BZ1598</f>
        <v>0</v>
      </c>
      <c r="E1526" s="742">
        <f>Calculs!CA1598</f>
        <v>0</v>
      </c>
      <c r="F1526" s="742">
        <f>Calculs!CB1598</f>
        <v>0</v>
      </c>
      <c r="G1526" s="742">
        <f>Calculs!CC1598</f>
        <v>0</v>
      </c>
      <c r="H1526" s="742"/>
      <c r="I1526" s="742">
        <f>Calculs!CE1598</f>
        <v>0</v>
      </c>
      <c r="J1526" s="742">
        <f>Calculs!CF1598</f>
        <v>0</v>
      </c>
      <c r="K1526" s="742"/>
      <c r="L1526" s="742">
        <f>Calculs!CH1598</f>
        <v>0</v>
      </c>
    </row>
    <row r="1527" spans="2:12">
      <c r="B1527" s="742">
        <f>Calculs!B1599</f>
        <v>0</v>
      </c>
      <c r="C1527" s="742">
        <f>Calculs!BY1599</f>
        <v>0</v>
      </c>
      <c r="D1527" s="742">
        <f>Calculs!BZ1599</f>
        <v>0</v>
      </c>
      <c r="E1527" s="742">
        <f>Calculs!CA1599</f>
        <v>0</v>
      </c>
      <c r="F1527" s="742">
        <f>Calculs!CB1599</f>
        <v>0</v>
      </c>
      <c r="G1527" s="742">
        <f>Calculs!CC1599</f>
        <v>0</v>
      </c>
      <c r="H1527" s="742"/>
      <c r="I1527" s="742">
        <f>Calculs!CE1599</f>
        <v>0</v>
      </c>
      <c r="J1527" s="742">
        <f>Calculs!CF1599</f>
        <v>0</v>
      </c>
      <c r="K1527" s="742"/>
      <c r="L1527" s="742">
        <f>Calculs!CH1599</f>
        <v>0</v>
      </c>
    </row>
    <row r="1528" spans="2:12">
      <c r="B1528" s="742">
        <f>Calculs!B1600</f>
        <v>0</v>
      </c>
      <c r="C1528" s="742">
        <f>Calculs!BY1600</f>
        <v>0</v>
      </c>
      <c r="D1528" s="742">
        <f>Calculs!BZ1600</f>
        <v>0</v>
      </c>
      <c r="E1528" s="742">
        <f>Calculs!CA1600</f>
        <v>0</v>
      </c>
      <c r="F1528" s="742">
        <f>Calculs!CB1600</f>
        <v>0</v>
      </c>
      <c r="G1528" s="742">
        <f>Calculs!CC1600</f>
        <v>0</v>
      </c>
      <c r="H1528" s="742"/>
      <c r="I1528" s="742">
        <f>Calculs!CE1600</f>
        <v>0</v>
      </c>
      <c r="J1528" s="742">
        <f>Calculs!CF1600</f>
        <v>0</v>
      </c>
      <c r="K1528" s="742"/>
      <c r="L1528" s="742">
        <f>Calculs!CH1600</f>
        <v>0</v>
      </c>
    </row>
    <row r="1529" spans="2:12">
      <c r="B1529" s="742">
        <f>Calculs!B1601</f>
        <v>0</v>
      </c>
      <c r="C1529" s="742">
        <f>Calculs!BY1601</f>
        <v>0</v>
      </c>
      <c r="D1529" s="742">
        <f>Calculs!BZ1601</f>
        <v>0</v>
      </c>
      <c r="E1529" s="742">
        <f>Calculs!CA1601</f>
        <v>0</v>
      </c>
      <c r="F1529" s="742">
        <f>Calculs!CB1601</f>
        <v>0</v>
      </c>
      <c r="G1529" s="742">
        <f>Calculs!CC1601</f>
        <v>0</v>
      </c>
      <c r="H1529" s="742"/>
      <c r="I1529" s="742">
        <f>Calculs!CE1601</f>
        <v>0</v>
      </c>
      <c r="J1529" s="742">
        <f>Calculs!CF1601</f>
        <v>0</v>
      </c>
      <c r="K1529" s="742"/>
      <c r="L1529" s="742">
        <f>Calculs!CH1601</f>
        <v>0</v>
      </c>
    </row>
    <row r="1530" spans="2:12">
      <c r="B1530" s="742">
        <f>Calculs!B1602</f>
        <v>0</v>
      </c>
      <c r="C1530" s="742">
        <f>Calculs!BY1602</f>
        <v>0</v>
      </c>
      <c r="D1530" s="742">
        <f>Calculs!BZ1602</f>
        <v>0</v>
      </c>
      <c r="E1530" s="742">
        <f>Calculs!CA1602</f>
        <v>0</v>
      </c>
      <c r="F1530" s="742">
        <f>Calculs!CB1602</f>
        <v>0</v>
      </c>
      <c r="G1530" s="742">
        <f>Calculs!CC1602</f>
        <v>0</v>
      </c>
      <c r="H1530" s="742"/>
      <c r="I1530" s="742">
        <f>Calculs!CE1602</f>
        <v>0</v>
      </c>
      <c r="J1530" s="742">
        <f>Calculs!CF1602</f>
        <v>0</v>
      </c>
      <c r="K1530" s="742"/>
      <c r="L1530" s="742">
        <f>Calculs!CH1602</f>
        <v>0</v>
      </c>
    </row>
    <row r="1531" spans="2:12">
      <c r="B1531" s="742">
        <f>Calculs!B1603</f>
        <v>0</v>
      </c>
      <c r="C1531" s="742">
        <f>Calculs!BY1603</f>
        <v>0</v>
      </c>
      <c r="D1531" s="742">
        <f>Calculs!BZ1603</f>
        <v>0</v>
      </c>
      <c r="E1531" s="742">
        <f>Calculs!CA1603</f>
        <v>0</v>
      </c>
      <c r="F1531" s="742">
        <f>Calculs!CB1603</f>
        <v>0</v>
      </c>
      <c r="G1531" s="742">
        <f>Calculs!CC1603</f>
        <v>0</v>
      </c>
      <c r="H1531" s="742"/>
      <c r="I1531" s="742">
        <f>Calculs!CE1603</f>
        <v>0</v>
      </c>
      <c r="J1531" s="742">
        <f>Calculs!CF1603</f>
        <v>0</v>
      </c>
      <c r="K1531" s="742"/>
      <c r="L1531" s="742">
        <f>Calculs!CH1603</f>
        <v>0</v>
      </c>
    </row>
    <row r="1532" spans="2:12">
      <c r="B1532" s="742">
        <f>Calculs!B1604</f>
        <v>0</v>
      </c>
      <c r="C1532" s="742">
        <f>Calculs!BY1604</f>
        <v>0</v>
      </c>
      <c r="D1532" s="742">
        <f>Calculs!BZ1604</f>
        <v>0</v>
      </c>
      <c r="E1532" s="742">
        <f>Calculs!CA1604</f>
        <v>0</v>
      </c>
      <c r="F1532" s="742">
        <f>Calculs!CB1604</f>
        <v>0</v>
      </c>
      <c r="G1532" s="742">
        <f>Calculs!CC1604</f>
        <v>0</v>
      </c>
      <c r="H1532" s="742"/>
      <c r="I1532" s="742">
        <f>Calculs!CE1604</f>
        <v>0</v>
      </c>
      <c r="J1532" s="742">
        <f>Calculs!CF1604</f>
        <v>0</v>
      </c>
      <c r="K1532" s="742"/>
      <c r="L1532" s="742">
        <f>Calculs!CH1604</f>
        <v>0</v>
      </c>
    </row>
    <row r="1533" spans="2:12">
      <c r="B1533" s="742">
        <f>Calculs!B1605</f>
        <v>0</v>
      </c>
      <c r="C1533" s="742">
        <f>Calculs!BY1605</f>
        <v>0</v>
      </c>
      <c r="D1533" s="742">
        <f>Calculs!BZ1605</f>
        <v>0</v>
      </c>
      <c r="E1533" s="742">
        <f>Calculs!CA1605</f>
        <v>0</v>
      </c>
      <c r="F1533" s="742">
        <f>Calculs!CB1605</f>
        <v>0</v>
      </c>
      <c r="G1533" s="742">
        <f>Calculs!CC1605</f>
        <v>0</v>
      </c>
      <c r="H1533" s="742"/>
      <c r="I1533" s="742">
        <f>Calculs!CE1605</f>
        <v>0</v>
      </c>
      <c r="J1533" s="742">
        <f>Calculs!CF1605</f>
        <v>0</v>
      </c>
      <c r="K1533" s="742"/>
      <c r="L1533" s="742">
        <f>Calculs!CH1605</f>
        <v>0</v>
      </c>
    </row>
    <row r="1534" spans="2:12">
      <c r="B1534" s="742">
        <f>Calculs!B1606</f>
        <v>0</v>
      </c>
      <c r="C1534" s="742">
        <f>Calculs!BY1606</f>
        <v>0</v>
      </c>
      <c r="D1534" s="742">
        <f>Calculs!BZ1606</f>
        <v>0</v>
      </c>
      <c r="E1534" s="742">
        <f>Calculs!CA1606</f>
        <v>0</v>
      </c>
      <c r="F1534" s="742">
        <f>Calculs!CB1606</f>
        <v>0</v>
      </c>
      <c r="G1534" s="742">
        <f>Calculs!CC1606</f>
        <v>0</v>
      </c>
      <c r="H1534" s="742"/>
      <c r="I1534" s="742">
        <f>Calculs!CE1606</f>
        <v>0</v>
      </c>
      <c r="J1534" s="742">
        <f>Calculs!CF1606</f>
        <v>0</v>
      </c>
      <c r="K1534" s="742"/>
      <c r="L1534" s="742">
        <f>Calculs!CH1606</f>
        <v>0</v>
      </c>
    </row>
    <row r="1535" spans="2:12">
      <c r="B1535" s="742">
        <f>Calculs!B1607</f>
        <v>0</v>
      </c>
      <c r="C1535" s="742">
        <f>Calculs!BY1607</f>
        <v>0</v>
      </c>
      <c r="D1535" s="742">
        <f>Calculs!BZ1607</f>
        <v>0</v>
      </c>
      <c r="E1535" s="742">
        <f>Calculs!CA1607</f>
        <v>0</v>
      </c>
      <c r="F1535" s="742">
        <f>Calculs!CB1607</f>
        <v>0</v>
      </c>
      <c r="G1535" s="742">
        <f>Calculs!CC1607</f>
        <v>0</v>
      </c>
      <c r="H1535" s="742"/>
      <c r="I1535" s="742">
        <f>Calculs!CE1607</f>
        <v>0</v>
      </c>
      <c r="J1535" s="742">
        <f>Calculs!CF1607</f>
        <v>0</v>
      </c>
      <c r="K1535" s="742"/>
      <c r="L1535" s="742">
        <f>Calculs!CH1607</f>
        <v>0</v>
      </c>
    </row>
    <row r="1536" spans="2:12">
      <c r="B1536" s="742">
        <f>Calculs!B1608</f>
        <v>0</v>
      </c>
      <c r="C1536" s="742">
        <f>Calculs!BY1608</f>
        <v>0</v>
      </c>
      <c r="D1536" s="742">
        <f>Calculs!BZ1608</f>
        <v>0</v>
      </c>
      <c r="E1536" s="742">
        <f>Calculs!CA1608</f>
        <v>0</v>
      </c>
      <c r="F1536" s="742">
        <f>Calculs!CB1608</f>
        <v>0</v>
      </c>
      <c r="G1536" s="742">
        <f>Calculs!CC1608</f>
        <v>0</v>
      </c>
      <c r="H1536" s="742"/>
      <c r="I1536" s="742">
        <f>Calculs!CE1608</f>
        <v>0</v>
      </c>
      <c r="J1536" s="742">
        <f>Calculs!CF1608</f>
        <v>0</v>
      </c>
      <c r="K1536" s="742"/>
      <c r="L1536" s="742">
        <f>Calculs!CH1608</f>
        <v>0</v>
      </c>
    </row>
    <row r="1537" spans="2:12">
      <c r="B1537" s="742">
        <f>Calculs!B1609</f>
        <v>0</v>
      </c>
      <c r="C1537" s="742">
        <f>Calculs!BY1609</f>
        <v>0</v>
      </c>
      <c r="D1537" s="742">
        <f>Calculs!BZ1609</f>
        <v>0</v>
      </c>
      <c r="E1537" s="742">
        <f>Calculs!CA1609</f>
        <v>0</v>
      </c>
      <c r="F1537" s="742">
        <f>Calculs!CB1609</f>
        <v>0</v>
      </c>
      <c r="G1537" s="742">
        <f>Calculs!CC1609</f>
        <v>0</v>
      </c>
      <c r="H1537" s="742"/>
      <c r="I1537" s="742">
        <f>Calculs!CE1609</f>
        <v>0</v>
      </c>
      <c r="J1537" s="742">
        <f>Calculs!CF1609</f>
        <v>0</v>
      </c>
      <c r="K1537" s="742"/>
      <c r="L1537" s="742">
        <f>Calculs!CH1609</f>
        <v>0</v>
      </c>
    </row>
    <row r="1538" spans="2:12">
      <c r="B1538" s="742">
        <f>Calculs!B1610</f>
        <v>0</v>
      </c>
      <c r="C1538" s="742">
        <f>Calculs!BY1610</f>
        <v>0</v>
      </c>
      <c r="D1538" s="742">
        <f>Calculs!BZ1610</f>
        <v>0</v>
      </c>
      <c r="E1538" s="742">
        <f>Calculs!CA1610</f>
        <v>0</v>
      </c>
      <c r="F1538" s="742">
        <f>Calculs!CB1610</f>
        <v>0</v>
      </c>
      <c r="G1538" s="742">
        <f>Calculs!CC1610</f>
        <v>0</v>
      </c>
      <c r="H1538" s="742"/>
      <c r="I1538" s="742">
        <f>Calculs!CE1610</f>
        <v>0</v>
      </c>
      <c r="J1538" s="742">
        <f>Calculs!CF1610</f>
        <v>0</v>
      </c>
      <c r="K1538" s="742"/>
      <c r="L1538" s="742">
        <f>Calculs!CH1610</f>
        <v>0</v>
      </c>
    </row>
    <row r="1539" spans="2:12">
      <c r="B1539" s="742">
        <f>Calculs!B1611</f>
        <v>0</v>
      </c>
      <c r="C1539" s="742">
        <f>Calculs!BY1611</f>
        <v>0</v>
      </c>
      <c r="D1539" s="742">
        <f>Calculs!BZ1611</f>
        <v>0</v>
      </c>
      <c r="E1539" s="742">
        <f>Calculs!CA1611</f>
        <v>0</v>
      </c>
      <c r="F1539" s="742">
        <f>Calculs!CB1611</f>
        <v>0</v>
      </c>
      <c r="G1539" s="742">
        <f>Calculs!CC1611</f>
        <v>0</v>
      </c>
      <c r="H1539" s="742"/>
      <c r="I1539" s="742">
        <f>Calculs!CE1611</f>
        <v>0</v>
      </c>
      <c r="J1539" s="742">
        <f>Calculs!CF1611</f>
        <v>0</v>
      </c>
      <c r="K1539" s="742"/>
      <c r="L1539" s="742">
        <f>Calculs!CH1611</f>
        <v>0</v>
      </c>
    </row>
    <row r="1540" spans="2:12">
      <c r="B1540" s="742">
        <f>Calculs!B1612</f>
        <v>0</v>
      </c>
      <c r="C1540" s="742">
        <f>Calculs!BY1612</f>
        <v>0</v>
      </c>
      <c r="D1540" s="742">
        <f>Calculs!BZ1612</f>
        <v>0</v>
      </c>
      <c r="E1540" s="742">
        <f>Calculs!CA1612</f>
        <v>0</v>
      </c>
      <c r="F1540" s="742">
        <f>Calculs!CB1612</f>
        <v>0</v>
      </c>
      <c r="G1540" s="742">
        <f>Calculs!CC1612</f>
        <v>0</v>
      </c>
      <c r="H1540" s="742"/>
      <c r="I1540" s="742">
        <f>Calculs!CE1612</f>
        <v>0</v>
      </c>
      <c r="J1540" s="742">
        <f>Calculs!CF1612</f>
        <v>0</v>
      </c>
      <c r="K1540" s="742"/>
      <c r="L1540" s="742">
        <f>Calculs!CH1612</f>
        <v>0</v>
      </c>
    </row>
    <row r="1541" spans="2:12">
      <c r="B1541" s="742">
        <f>Calculs!B1613</f>
        <v>0</v>
      </c>
      <c r="C1541" s="742">
        <f>Calculs!BY1613</f>
        <v>0</v>
      </c>
      <c r="D1541" s="742">
        <f>Calculs!BZ1613</f>
        <v>0</v>
      </c>
      <c r="E1541" s="742">
        <f>Calculs!CA1613</f>
        <v>0</v>
      </c>
      <c r="F1541" s="742">
        <f>Calculs!CB1613</f>
        <v>0</v>
      </c>
      <c r="G1541" s="742">
        <f>Calculs!CC1613</f>
        <v>0</v>
      </c>
      <c r="H1541" s="742"/>
      <c r="I1541" s="742">
        <f>Calculs!CE1613</f>
        <v>0</v>
      </c>
      <c r="J1541" s="742">
        <f>Calculs!CF1613</f>
        <v>0</v>
      </c>
      <c r="K1541" s="742"/>
      <c r="L1541" s="742">
        <f>Calculs!CH1613</f>
        <v>0</v>
      </c>
    </row>
    <row r="1542" spans="2:12">
      <c r="B1542" s="742">
        <f>Calculs!B1614</f>
        <v>0</v>
      </c>
      <c r="C1542" s="742">
        <f>Calculs!BY1614</f>
        <v>0</v>
      </c>
      <c r="D1542" s="742">
        <f>Calculs!BZ1614</f>
        <v>0</v>
      </c>
      <c r="E1542" s="742">
        <f>Calculs!CA1614</f>
        <v>0</v>
      </c>
      <c r="F1542" s="742">
        <f>Calculs!CB1614</f>
        <v>0</v>
      </c>
      <c r="G1542" s="742">
        <f>Calculs!CC1614</f>
        <v>0</v>
      </c>
      <c r="H1542" s="742"/>
      <c r="I1542" s="742">
        <f>Calculs!CE1614</f>
        <v>0</v>
      </c>
      <c r="J1542" s="742">
        <f>Calculs!CF1614</f>
        <v>0</v>
      </c>
      <c r="K1542" s="742"/>
      <c r="L1542" s="742">
        <f>Calculs!CH1614</f>
        <v>0</v>
      </c>
    </row>
    <row r="1543" spans="2:12">
      <c r="B1543" s="742">
        <f>Calculs!B1615</f>
        <v>0</v>
      </c>
      <c r="C1543" s="742">
        <f>Calculs!BY1615</f>
        <v>0</v>
      </c>
      <c r="D1543" s="742">
        <f>Calculs!BZ1615</f>
        <v>0</v>
      </c>
      <c r="E1543" s="742">
        <f>Calculs!CA1615</f>
        <v>0</v>
      </c>
      <c r="F1543" s="742">
        <f>Calculs!CB1615</f>
        <v>0</v>
      </c>
      <c r="G1543" s="742">
        <f>Calculs!CC1615</f>
        <v>0</v>
      </c>
      <c r="H1543" s="742"/>
      <c r="I1543" s="742">
        <f>Calculs!CE1615</f>
        <v>0</v>
      </c>
      <c r="J1543" s="742">
        <f>Calculs!CF1615</f>
        <v>0</v>
      </c>
      <c r="K1543" s="742"/>
      <c r="L1543" s="742">
        <f>Calculs!CH1615</f>
        <v>0</v>
      </c>
    </row>
    <row r="1544" spans="2:12">
      <c r="B1544" s="742">
        <f>Calculs!B1616</f>
        <v>0</v>
      </c>
      <c r="C1544" s="742">
        <f>Calculs!BY1616</f>
        <v>0</v>
      </c>
      <c r="D1544" s="742">
        <f>Calculs!BZ1616</f>
        <v>0</v>
      </c>
      <c r="E1544" s="742">
        <f>Calculs!CA1616</f>
        <v>0</v>
      </c>
      <c r="F1544" s="742">
        <f>Calculs!CB1616</f>
        <v>0</v>
      </c>
      <c r="G1544" s="742">
        <f>Calculs!CC1616</f>
        <v>0</v>
      </c>
      <c r="H1544" s="742"/>
      <c r="I1544" s="742">
        <f>Calculs!CE1616</f>
        <v>0</v>
      </c>
      <c r="J1544" s="742">
        <f>Calculs!CF1616</f>
        <v>0</v>
      </c>
      <c r="K1544" s="742"/>
      <c r="L1544" s="742">
        <f>Calculs!CH1616</f>
        <v>0</v>
      </c>
    </row>
    <row r="1545" spans="2:12">
      <c r="B1545" s="742">
        <f>Calculs!B1617</f>
        <v>0</v>
      </c>
      <c r="C1545" s="742">
        <f>Calculs!BY1617</f>
        <v>0</v>
      </c>
      <c r="D1545" s="742">
        <f>Calculs!BZ1617</f>
        <v>0</v>
      </c>
      <c r="E1545" s="742">
        <f>Calculs!CA1617</f>
        <v>0</v>
      </c>
      <c r="F1545" s="742">
        <f>Calculs!CB1617</f>
        <v>0</v>
      </c>
      <c r="G1545" s="742">
        <f>Calculs!CC1617</f>
        <v>0</v>
      </c>
      <c r="H1545" s="742"/>
      <c r="I1545" s="742">
        <f>Calculs!CE1617</f>
        <v>0</v>
      </c>
      <c r="J1545" s="742">
        <f>Calculs!CF1617</f>
        <v>0</v>
      </c>
      <c r="K1545" s="742"/>
      <c r="L1545" s="742">
        <f>Calculs!CH1617</f>
        <v>0</v>
      </c>
    </row>
    <row r="1546" spans="2:12">
      <c r="B1546" s="742">
        <f>Calculs!B1618</f>
        <v>0</v>
      </c>
      <c r="C1546" s="742">
        <f>Calculs!BY1618</f>
        <v>0</v>
      </c>
      <c r="D1546" s="742">
        <f>Calculs!BZ1618</f>
        <v>0</v>
      </c>
      <c r="E1546" s="742">
        <f>Calculs!CA1618</f>
        <v>0</v>
      </c>
      <c r="F1546" s="742">
        <f>Calculs!CB1618</f>
        <v>0</v>
      </c>
      <c r="G1546" s="742">
        <f>Calculs!CC1618</f>
        <v>0</v>
      </c>
      <c r="H1546" s="742"/>
      <c r="I1546" s="742">
        <f>Calculs!CE1618</f>
        <v>0</v>
      </c>
      <c r="J1546" s="742">
        <f>Calculs!CF1618</f>
        <v>0</v>
      </c>
      <c r="K1546" s="742"/>
      <c r="L1546" s="742">
        <f>Calculs!CH1618</f>
        <v>0</v>
      </c>
    </row>
    <row r="1547" spans="2:12">
      <c r="B1547" s="742">
        <f>Calculs!B1619</f>
        <v>0</v>
      </c>
      <c r="C1547" s="742">
        <f>Calculs!BY1619</f>
        <v>0</v>
      </c>
      <c r="D1547" s="742">
        <f>Calculs!BZ1619</f>
        <v>0</v>
      </c>
      <c r="E1547" s="742">
        <f>Calculs!CA1619</f>
        <v>0</v>
      </c>
      <c r="F1547" s="742">
        <f>Calculs!CB1619</f>
        <v>0</v>
      </c>
      <c r="G1547" s="742">
        <f>Calculs!CC1619</f>
        <v>0</v>
      </c>
      <c r="H1547" s="742"/>
      <c r="I1547" s="742">
        <f>Calculs!CE1619</f>
        <v>0</v>
      </c>
      <c r="J1547" s="742">
        <f>Calculs!CF1619</f>
        <v>0</v>
      </c>
      <c r="K1547" s="742"/>
      <c r="L1547" s="742">
        <f>Calculs!CH1619</f>
        <v>0</v>
      </c>
    </row>
    <row r="1548" spans="2:12">
      <c r="B1548" s="742">
        <f>Calculs!B1620</f>
        <v>0</v>
      </c>
      <c r="C1548" s="742">
        <f>Calculs!BY1620</f>
        <v>0</v>
      </c>
      <c r="D1548" s="742">
        <f>Calculs!BZ1620</f>
        <v>0</v>
      </c>
      <c r="E1548" s="742">
        <f>Calculs!CA1620</f>
        <v>0</v>
      </c>
      <c r="F1548" s="742">
        <f>Calculs!CB1620</f>
        <v>0</v>
      </c>
      <c r="G1548" s="742">
        <f>Calculs!CC1620</f>
        <v>0</v>
      </c>
      <c r="H1548" s="742"/>
      <c r="I1548" s="742">
        <f>Calculs!CE1620</f>
        <v>0</v>
      </c>
      <c r="J1548" s="742">
        <f>Calculs!CF1620</f>
        <v>0</v>
      </c>
      <c r="K1548" s="742"/>
      <c r="L1548" s="742">
        <f>Calculs!CH1620</f>
        <v>0</v>
      </c>
    </row>
    <row r="1549" spans="2:12">
      <c r="B1549" s="742">
        <f>Calculs!B1621</f>
        <v>0</v>
      </c>
      <c r="C1549" s="742">
        <f>Calculs!BY1621</f>
        <v>0</v>
      </c>
      <c r="D1549" s="742">
        <f>Calculs!BZ1621</f>
        <v>0</v>
      </c>
      <c r="E1549" s="742">
        <f>Calculs!CA1621</f>
        <v>0</v>
      </c>
      <c r="F1549" s="742">
        <f>Calculs!CB1621</f>
        <v>0</v>
      </c>
      <c r="G1549" s="742">
        <f>Calculs!CC1621</f>
        <v>0</v>
      </c>
      <c r="H1549" s="742"/>
      <c r="I1549" s="742">
        <f>Calculs!CE1621</f>
        <v>0</v>
      </c>
      <c r="J1549" s="742">
        <f>Calculs!CF1621</f>
        <v>0</v>
      </c>
      <c r="K1549" s="742"/>
      <c r="L1549" s="742">
        <f>Calculs!CH1621</f>
        <v>0</v>
      </c>
    </row>
    <row r="1550" spans="2:12">
      <c r="B1550" s="742">
        <f>Calculs!B1622</f>
        <v>0</v>
      </c>
      <c r="C1550" s="742">
        <f>Calculs!BY1622</f>
        <v>0</v>
      </c>
      <c r="D1550" s="742">
        <f>Calculs!BZ1622</f>
        <v>0</v>
      </c>
      <c r="E1550" s="742">
        <f>Calculs!CA1622</f>
        <v>0</v>
      </c>
      <c r="F1550" s="742">
        <f>Calculs!CB1622</f>
        <v>0</v>
      </c>
      <c r="G1550" s="742">
        <f>Calculs!CC1622</f>
        <v>0</v>
      </c>
      <c r="H1550" s="742"/>
      <c r="I1550" s="742">
        <f>Calculs!CE1622</f>
        <v>0</v>
      </c>
      <c r="J1550" s="742">
        <f>Calculs!CF1622</f>
        <v>0</v>
      </c>
      <c r="K1550" s="742"/>
      <c r="L1550" s="742">
        <f>Calculs!CH1622</f>
        <v>0</v>
      </c>
    </row>
    <row r="1551" spans="2:12">
      <c r="B1551" s="742">
        <f>Calculs!B1623</f>
        <v>0</v>
      </c>
      <c r="C1551" s="742">
        <f>Calculs!BY1623</f>
        <v>0</v>
      </c>
      <c r="D1551" s="742">
        <f>Calculs!BZ1623</f>
        <v>0</v>
      </c>
      <c r="E1551" s="742">
        <f>Calculs!CA1623</f>
        <v>0</v>
      </c>
      <c r="F1551" s="742">
        <f>Calculs!CB1623</f>
        <v>0</v>
      </c>
      <c r="G1551" s="742">
        <f>Calculs!CC1623</f>
        <v>0</v>
      </c>
      <c r="H1551" s="742"/>
      <c r="I1551" s="742">
        <f>Calculs!CE1623</f>
        <v>0</v>
      </c>
      <c r="J1551" s="742">
        <f>Calculs!CF1623</f>
        <v>0</v>
      </c>
      <c r="K1551" s="742"/>
      <c r="L1551" s="742">
        <f>Calculs!CH1623</f>
        <v>0</v>
      </c>
    </row>
    <row r="1552" spans="2:12">
      <c r="B1552" s="742">
        <f>Calculs!B1624</f>
        <v>0</v>
      </c>
      <c r="C1552" s="742">
        <f>Calculs!BY1624</f>
        <v>0</v>
      </c>
      <c r="D1552" s="742">
        <f>Calculs!BZ1624</f>
        <v>0</v>
      </c>
      <c r="E1552" s="742">
        <f>Calculs!CA1624</f>
        <v>0</v>
      </c>
      <c r="F1552" s="742">
        <f>Calculs!CB1624</f>
        <v>0</v>
      </c>
      <c r="G1552" s="742">
        <f>Calculs!CC1624</f>
        <v>0</v>
      </c>
      <c r="H1552" s="742"/>
      <c r="I1552" s="742">
        <f>Calculs!CE1624</f>
        <v>0</v>
      </c>
      <c r="J1552" s="742">
        <f>Calculs!CF1624</f>
        <v>0</v>
      </c>
      <c r="K1552" s="742"/>
      <c r="L1552" s="742">
        <f>Calculs!CH1624</f>
        <v>0</v>
      </c>
    </row>
    <row r="1553" spans="2:12">
      <c r="B1553" s="742">
        <f>Calculs!B1625</f>
        <v>0</v>
      </c>
      <c r="C1553" s="742">
        <f>Calculs!BY1625</f>
        <v>0</v>
      </c>
      <c r="D1553" s="742">
        <f>Calculs!BZ1625</f>
        <v>0</v>
      </c>
      <c r="E1553" s="742">
        <f>Calculs!CA1625</f>
        <v>0</v>
      </c>
      <c r="F1553" s="742">
        <f>Calculs!CB1625</f>
        <v>0</v>
      </c>
      <c r="G1553" s="742">
        <f>Calculs!CC1625</f>
        <v>0</v>
      </c>
      <c r="H1553" s="742"/>
      <c r="I1553" s="742">
        <f>Calculs!CE1625</f>
        <v>0</v>
      </c>
      <c r="J1553" s="742">
        <f>Calculs!CF1625</f>
        <v>0</v>
      </c>
      <c r="K1553" s="742"/>
      <c r="L1553" s="742">
        <f>Calculs!CH1625</f>
        <v>0</v>
      </c>
    </row>
    <row r="1554" spans="2:12">
      <c r="B1554" s="742">
        <f>Calculs!B1626</f>
        <v>0</v>
      </c>
      <c r="C1554" s="742">
        <f>Calculs!BY1626</f>
        <v>0</v>
      </c>
      <c r="D1554" s="742">
        <f>Calculs!BZ1626</f>
        <v>0</v>
      </c>
      <c r="E1554" s="742">
        <f>Calculs!CA1626</f>
        <v>0</v>
      </c>
      <c r="F1554" s="742">
        <f>Calculs!CB1626</f>
        <v>0</v>
      </c>
      <c r="G1554" s="742">
        <f>Calculs!CC1626</f>
        <v>0</v>
      </c>
      <c r="H1554" s="742"/>
      <c r="I1554" s="742">
        <f>Calculs!CE1626</f>
        <v>0</v>
      </c>
      <c r="J1554" s="742">
        <f>Calculs!CF1626</f>
        <v>0</v>
      </c>
      <c r="K1554" s="742"/>
      <c r="L1554" s="742">
        <f>Calculs!CH1626</f>
        <v>0</v>
      </c>
    </row>
    <row r="1555" spans="2:12">
      <c r="B1555" s="742">
        <f>Calculs!B1627</f>
        <v>0</v>
      </c>
      <c r="C1555" s="742">
        <f>Calculs!BY1627</f>
        <v>0</v>
      </c>
      <c r="D1555" s="742">
        <f>Calculs!BZ1627</f>
        <v>0</v>
      </c>
      <c r="E1555" s="742">
        <f>Calculs!CA1627</f>
        <v>0</v>
      </c>
      <c r="F1555" s="742">
        <f>Calculs!CB1627</f>
        <v>0</v>
      </c>
      <c r="G1555" s="742">
        <f>Calculs!CC1627</f>
        <v>0</v>
      </c>
      <c r="H1555" s="742"/>
      <c r="I1555" s="742">
        <f>Calculs!CE1627</f>
        <v>0</v>
      </c>
      <c r="J1555" s="742">
        <f>Calculs!CF1627</f>
        <v>0</v>
      </c>
      <c r="K1555" s="742"/>
      <c r="L1555" s="742">
        <f>Calculs!CH1627</f>
        <v>0</v>
      </c>
    </row>
    <row r="1556" spans="2:12">
      <c r="B1556" s="742">
        <f>Calculs!B1628</f>
        <v>0</v>
      </c>
      <c r="C1556" s="742">
        <f>Calculs!BY1628</f>
        <v>0</v>
      </c>
      <c r="D1556" s="742">
        <f>Calculs!BZ1628</f>
        <v>0</v>
      </c>
      <c r="E1556" s="742">
        <f>Calculs!CA1628</f>
        <v>0</v>
      </c>
      <c r="F1556" s="742">
        <f>Calculs!CB1628</f>
        <v>0</v>
      </c>
      <c r="G1556" s="742">
        <f>Calculs!CC1628</f>
        <v>0</v>
      </c>
      <c r="H1556" s="742"/>
      <c r="I1556" s="742">
        <f>Calculs!CE1628</f>
        <v>0</v>
      </c>
      <c r="J1556" s="742">
        <f>Calculs!CF1628</f>
        <v>0</v>
      </c>
      <c r="K1556" s="742"/>
      <c r="L1556" s="742">
        <f>Calculs!CH1628</f>
        <v>0</v>
      </c>
    </row>
    <row r="1557" spans="2:12">
      <c r="B1557" s="742">
        <f>Calculs!B1629</f>
        <v>0</v>
      </c>
      <c r="C1557" s="742">
        <f>Calculs!BY1629</f>
        <v>0</v>
      </c>
      <c r="D1557" s="742">
        <f>Calculs!BZ1629</f>
        <v>0</v>
      </c>
      <c r="E1557" s="742">
        <f>Calculs!CA1629</f>
        <v>0</v>
      </c>
      <c r="F1557" s="742">
        <f>Calculs!CB1629</f>
        <v>0</v>
      </c>
      <c r="G1557" s="742">
        <f>Calculs!CC1629</f>
        <v>0</v>
      </c>
      <c r="H1557" s="742"/>
      <c r="I1557" s="742">
        <f>Calculs!CE1629</f>
        <v>0</v>
      </c>
      <c r="J1557" s="742">
        <f>Calculs!CF1629</f>
        <v>0</v>
      </c>
      <c r="K1557" s="742"/>
      <c r="L1557" s="742">
        <f>Calculs!CH1629</f>
        <v>0</v>
      </c>
    </row>
    <row r="1558" spans="2:12">
      <c r="B1558" s="742">
        <f>Calculs!B1630</f>
        <v>0</v>
      </c>
      <c r="C1558" s="742">
        <f>Calculs!BY1630</f>
        <v>0</v>
      </c>
      <c r="D1558" s="742">
        <f>Calculs!BZ1630</f>
        <v>0</v>
      </c>
      <c r="E1558" s="742">
        <f>Calculs!CA1630</f>
        <v>0</v>
      </c>
      <c r="F1558" s="742">
        <f>Calculs!CB1630</f>
        <v>0</v>
      </c>
      <c r="G1558" s="742">
        <f>Calculs!CC1630</f>
        <v>0</v>
      </c>
      <c r="H1558" s="742"/>
      <c r="I1558" s="742">
        <f>Calculs!CE1630</f>
        <v>0</v>
      </c>
      <c r="J1558" s="742">
        <f>Calculs!CF1630</f>
        <v>0</v>
      </c>
      <c r="K1558" s="742"/>
      <c r="L1558" s="742">
        <f>Calculs!CH1630</f>
        <v>0</v>
      </c>
    </row>
    <row r="1559" spans="2:12">
      <c r="B1559" s="742">
        <f>Calculs!B1631</f>
        <v>0</v>
      </c>
      <c r="C1559" s="742">
        <f>Calculs!BY1631</f>
        <v>0</v>
      </c>
      <c r="D1559" s="742">
        <f>Calculs!BZ1631</f>
        <v>0</v>
      </c>
      <c r="E1559" s="742">
        <f>Calculs!CA1631</f>
        <v>0</v>
      </c>
      <c r="F1559" s="742">
        <f>Calculs!CB1631</f>
        <v>0</v>
      </c>
      <c r="G1559" s="742">
        <f>Calculs!CC1631</f>
        <v>0</v>
      </c>
      <c r="H1559" s="742"/>
      <c r="I1559" s="742">
        <f>Calculs!CE1631</f>
        <v>0</v>
      </c>
      <c r="J1559" s="742">
        <f>Calculs!CF1631</f>
        <v>0</v>
      </c>
      <c r="K1559" s="742"/>
      <c r="L1559" s="742">
        <f>Calculs!CH1631</f>
        <v>0</v>
      </c>
    </row>
    <row r="1560" spans="2:12">
      <c r="B1560" s="742">
        <f>Calculs!B1632</f>
        <v>0</v>
      </c>
      <c r="C1560" s="742">
        <f>Calculs!BY1632</f>
        <v>0</v>
      </c>
      <c r="D1560" s="742">
        <f>Calculs!BZ1632</f>
        <v>0</v>
      </c>
      <c r="E1560" s="742">
        <f>Calculs!CA1632</f>
        <v>0</v>
      </c>
      <c r="F1560" s="742">
        <f>Calculs!CB1632</f>
        <v>0</v>
      </c>
      <c r="G1560" s="742">
        <f>Calculs!CC1632</f>
        <v>0</v>
      </c>
      <c r="H1560" s="742"/>
      <c r="I1560" s="742">
        <f>Calculs!CE1632</f>
        <v>0</v>
      </c>
      <c r="J1560" s="742">
        <f>Calculs!CF1632</f>
        <v>0</v>
      </c>
      <c r="K1560" s="742"/>
      <c r="L1560" s="742">
        <f>Calculs!CH1632</f>
        <v>0</v>
      </c>
    </row>
    <row r="1561" spans="2:12">
      <c r="B1561" s="742">
        <f>Calculs!B1633</f>
        <v>0</v>
      </c>
      <c r="C1561" s="742">
        <f>Calculs!BY1633</f>
        <v>0</v>
      </c>
      <c r="D1561" s="742">
        <f>Calculs!BZ1633</f>
        <v>0</v>
      </c>
      <c r="E1561" s="742">
        <f>Calculs!CA1633</f>
        <v>0</v>
      </c>
      <c r="F1561" s="742">
        <f>Calculs!CB1633</f>
        <v>0</v>
      </c>
      <c r="G1561" s="742">
        <f>Calculs!CC1633</f>
        <v>0</v>
      </c>
      <c r="H1561" s="742"/>
      <c r="I1561" s="742">
        <f>Calculs!CE1633</f>
        <v>0</v>
      </c>
      <c r="J1561" s="742">
        <f>Calculs!CF1633</f>
        <v>0</v>
      </c>
      <c r="K1561" s="742"/>
      <c r="L1561" s="742">
        <f>Calculs!CH1633</f>
        <v>0</v>
      </c>
    </row>
    <row r="1562" spans="2:12">
      <c r="B1562" s="742">
        <f>Calculs!B1634</f>
        <v>0</v>
      </c>
      <c r="C1562" s="742">
        <f>Calculs!BY1634</f>
        <v>0</v>
      </c>
      <c r="D1562" s="742">
        <f>Calculs!BZ1634</f>
        <v>0</v>
      </c>
      <c r="E1562" s="742">
        <f>Calculs!CA1634</f>
        <v>0</v>
      </c>
      <c r="F1562" s="742">
        <f>Calculs!CB1634</f>
        <v>0</v>
      </c>
      <c r="G1562" s="742">
        <f>Calculs!CC1634</f>
        <v>0</v>
      </c>
      <c r="H1562" s="742"/>
      <c r="I1562" s="742">
        <f>Calculs!CE1634</f>
        <v>0</v>
      </c>
      <c r="J1562" s="742">
        <f>Calculs!CF1634</f>
        <v>0</v>
      </c>
      <c r="K1562" s="742"/>
      <c r="L1562" s="742">
        <f>Calculs!CH1634</f>
        <v>0</v>
      </c>
    </row>
    <row r="1563" spans="2:12">
      <c r="B1563" s="742">
        <f>Calculs!B1635</f>
        <v>0</v>
      </c>
      <c r="C1563" s="742">
        <f>Calculs!BY1635</f>
        <v>0</v>
      </c>
      <c r="D1563" s="742">
        <f>Calculs!BZ1635</f>
        <v>0</v>
      </c>
      <c r="E1563" s="742">
        <f>Calculs!CA1635</f>
        <v>0</v>
      </c>
      <c r="F1563" s="742">
        <f>Calculs!CB1635</f>
        <v>0</v>
      </c>
      <c r="G1563" s="742">
        <f>Calculs!CC1635</f>
        <v>0</v>
      </c>
      <c r="H1563" s="742"/>
      <c r="I1563" s="742">
        <f>Calculs!CE1635</f>
        <v>0</v>
      </c>
      <c r="J1563" s="742">
        <f>Calculs!CF1635</f>
        <v>0</v>
      </c>
      <c r="K1563" s="742"/>
      <c r="L1563" s="742">
        <f>Calculs!CH1635</f>
        <v>0</v>
      </c>
    </row>
    <row r="1564" spans="2:12">
      <c r="B1564" s="742">
        <f>Calculs!B1636</f>
        <v>0</v>
      </c>
      <c r="C1564" s="742">
        <f>Calculs!BY1636</f>
        <v>0</v>
      </c>
      <c r="D1564" s="742">
        <f>Calculs!BZ1636</f>
        <v>0</v>
      </c>
      <c r="E1564" s="742">
        <f>Calculs!CA1636</f>
        <v>0</v>
      </c>
      <c r="F1564" s="742">
        <f>Calculs!CB1636</f>
        <v>0</v>
      </c>
      <c r="G1564" s="742">
        <f>Calculs!CC1636</f>
        <v>0</v>
      </c>
      <c r="H1564" s="742"/>
      <c r="I1564" s="742">
        <f>Calculs!CE1636</f>
        <v>0</v>
      </c>
      <c r="J1564" s="742">
        <f>Calculs!CF1636</f>
        <v>0</v>
      </c>
      <c r="K1564" s="742"/>
      <c r="L1564" s="742">
        <f>Calculs!CH1636</f>
        <v>0</v>
      </c>
    </row>
    <row r="1565" spans="2:12">
      <c r="B1565" s="742">
        <f>Calculs!B1637</f>
        <v>0</v>
      </c>
      <c r="C1565" s="742">
        <f>Calculs!BY1637</f>
        <v>0</v>
      </c>
      <c r="D1565" s="742">
        <f>Calculs!BZ1637</f>
        <v>0</v>
      </c>
      <c r="E1565" s="742">
        <f>Calculs!CA1637</f>
        <v>0</v>
      </c>
      <c r="F1565" s="742">
        <f>Calculs!CB1637</f>
        <v>0</v>
      </c>
      <c r="G1565" s="742">
        <f>Calculs!CC1637</f>
        <v>0</v>
      </c>
      <c r="H1565" s="742"/>
      <c r="I1565" s="742">
        <f>Calculs!CE1637</f>
        <v>0</v>
      </c>
      <c r="J1565" s="742">
        <f>Calculs!CF1637</f>
        <v>0</v>
      </c>
      <c r="K1565" s="742"/>
      <c r="L1565" s="742">
        <f>Calculs!CH1637</f>
        <v>0</v>
      </c>
    </row>
    <row r="1566" spans="2:12">
      <c r="B1566" s="742">
        <f>Calculs!B1638</f>
        <v>0</v>
      </c>
      <c r="C1566" s="742">
        <f>Calculs!BY1638</f>
        <v>0</v>
      </c>
      <c r="D1566" s="742">
        <f>Calculs!BZ1638</f>
        <v>0</v>
      </c>
      <c r="E1566" s="742">
        <f>Calculs!CA1638</f>
        <v>0</v>
      </c>
      <c r="F1566" s="742">
        <f>Calculs!CB1638</f>
        <v>0</v>
      </c>
      <c r="G1566" s="742">
        <f>Calculs!CC1638</f>
        <v>0</v>
      </c>
      <c r="H1566" s="742"/>
      <c r="I1566" s="742">
        <f>Calculs!CE1638</f>
        <v>0</v>
      </c>
      <c r="J1566" s="742">
        <f>Calculs!CF1638</f>
        <v>0</v>
      </c>
      <c r="K1566" s="742"/>
      <c r="L1566" s="742">
        <f>Calculs!CH1638</f>
        <v>0</v>
      </c>
    </row>
    <row r="1567" spans="2:12">
      <c r="B1567" s="742">
        <f>Calculs!B1639</f>
        <v>0</v>
      </c>
      <c r="C1567" s="742">
        <f>Calculs!BY1639</f>
        <v>0</v>
      </c>
      <c r="D1567" s="742">
        <f>Calculs!BZ1639</f>
        <v>0</v>
      </c>
      <c r="E1567" s="742">
        <f>Calculs!CA1639</f>
        <v>0</v>
      </c>
      <c r="F1567" s="742">
        <f>Calculs!CB1639</f>
        <v>0</v>
      </c>
      <c r="G1567" s="742">
        <f>Calculs!CC1639</f>
        <v>0</v>
      </c>
      <c r="H1567" s="742"/>
      <c r="I1567" s="742">
        <f>Calculs!CE1639</f>
        <v>0</v>
      </c>
      <c r="J1567" s="742">
        <f>Calculs!CF1639</f>
        <v>0</v>
      </c>
      <c r="K1567" s="742"/>
      <c r="L1567" s="742">
        <f>Calculs!CH1639</f>
        <v>0</v>
      </c>
    </row>
    <row r="1568" spans="2:12">
      <c r="B1568" s="742">
        <f>Calculs!B1640</f>
        <v>0</v>
      </c>
      <c r="C1568" s="742">
        <f>Calculs!BY1640</f>
        <v>0</v>
      </c>
      <c r="D1568" s="742">
        <f>Calculs!BZ1640</f>
        <v>0</v>
      </c>
      <c r="E1568" s="742">
        <f>Calculs!CA1640</f>
        <v>0</v>
      </c>
      <c r="F1568" s="742">
        <f>Calculs!CB1640</f>
        <v>0</v>
      </c>
      <c r="G1568" s="742">
        <f>Calculs!CC1640</f>
        <v>0</v>
      </c>
      <c r="H1568" s="742"/>
      <c r="I1568" s="742">
        <f>Calculs!CE1640</f>
        <v>0</v>
      </c>
      <c r="J1568" s="742">
        <f>Calculs!CF1640</f>
        <v>0</v>
      </c>
      <c r="K1568" s="742"/>
      <c r="L1568" s="742">
        <f>Calculs!CH1640</f>
        <v>0</v>
      </c>
    </row>
    <row r="1569" spans="2:12">
      <c r="B1569" s="742">
        <f>Calculs!B1641</f>
        <v>0</v>
      </c>
      <c r="C1569" s="742">
        <f>Calculs!BY1641</f>
        <v>0</v>
      </c>
      <c r="D1569" s="742">
        <f>Calculs!BZ1641</f>
        <v>0</v>
      </c>
      <c r="E1569" s="742">
        <f>Calculs!CA1641</f>
        <v>0</v>
      </c>
      <c r="F1569" s="742">
        <f>Calculs!CB1641</f>
        <v>0</v>
      </c>
      <c r="G1569" s="742">
        <f>Calculs!CC1641</f>
        <v>0</v>
      </c>
      <c r="H1569" s="742"/>
      <c r="I1569" s="742">
        <f>Calculs!CE1641</f>
        <v>0</v>
      </c>
      <c r="J1569" s="742">
        <f>Calculs!CF1641</f>
        <v>0</v>
      </c>
      <c r="K1569" s="742"/>
      <c r="L1569" s="742">
        <f>Calculs!CH1641</f>
        <v>0</v>
      </c>
    </row>
    <row r="1570" spans="2:12">
      <c r="B1570" s="742">
        <f>Calculs!B1642</f>
        <v>0</v>
      </c>
      <c r="C1570" s="742">
        <f>Calculs!BY1642</f>
        <v>0</v>
      </c>
      <c r="D1570" s="742">
        <f>Calculs!BZ1642</f>
        <v>0</v>
      </c>
      <c r="E1570" s="742">
        <f>Calculs!CA1642</f>
        <v>0</v>
      </c>
      <c r="F1570" s="742">
        <f>Calculs!CB1642</f>
        <v>0</v>
      </c>
      <c r="G1570" s="742">
        <f>Calculs!CC1642</f>
        <v>0</v>
      </c>
      <c r="H1570" s="742"/>
      <c r="I1570" s="742">
        <f>Calculs!CE1642</f>
        <v>0</v>
      </c>
      <c r="J1570" s="742">
        <f>Calculs!CF1642</f>
        <v>0</v>
      </c>
      <c r="K1570" s="742"/>
      <c r="L1570" s="742">
        <f>Calculs!CH1642</f>
        <v>0</v>
      </c>
    </row>
    <row r="1571" spans="2:12">
      <c r="B1571" s="742">
        <f>Calculs!B1643</f>
        <v>0</v>
      </c>
      <c r="C1571" s="742">
        <f>Calculs!BY1643</f>
        <v>0</v>
      </c>
      <c r="D1571" s="742">
        <f>Calculs!BZ1643</f>
        <v>0</v>
      </c>
      <c r="E1571" s="742">
        <f>Calculs!CA1643</f>
        <v>0</v>
      </c>
      <c r="F1571" s="742">
        <f>Calculs!CB1643</f>
        <v>0</v>
      </c>
      <c r="G1571" s="742">
        <f>Calculs!CC1643</f>
        <v>0</v>
      </c>
      <c r="H1571" s="742"/>
      <c r="I1571" s="742">
        <f>Calculs!CE1643</f>
        <v>0</v>
      </c>
      <c r="J1571" s="742">
        <f>Calculs!CF1643</f>
        <v>0</v>
      </c>
      <c r="K1571" s="742"/>
      <c r="L1571" s="742">
        <f>Calculs!CH1643</f>
        <v>0</v>
      </c>
    </row>
    <row r="1572" spans="2:12">
      <c r="B1572" s="742">
        <f>Calculs!B1644</f>
        <v>0</v>
      </c>
      <c r="C1572" s="742">
        <f>Calculs!BY1644</f>
        <v>0</v>
      </c>
      <c r="D1572" s="742">
        <f>Calculs!BZ1644</f>
        <v>0</v>
      </c>
      <c r="E1572" s="742">
        <f>Calculs!CA1644</f>
        <v>0</v>
      </c>
      <c r="F1572" s="742">
        <f>Calculs!CB1644</f>
        <v>0</v>
      </c>
      <c r="G1572" s="742">
        <f>Calculs!CC1644</f>
        <v>0</v>
      </c>
      <c r="H1572" s="742"/>
      <c r="I1572" s="742">
        <f>Calculs!CE1644</f>
        <v>0</v>
      </c>
      <c r="J1572" s="742">
        <f>Calculs!CF1644</f>
        <v>0</v>
      </c>
      <c r="K1572" s="742"/>
      <c r="L1572" s="742">
        <f>Calculs!CH1644</f>
        <v>0</v>
      </c>
    </row>
    <row r="1573" spans="2:12">
      <c r="B1573" s="742">
        <f>Calculs!B1645</f>
        <v>0</v>
      </c>
      <c r="C1573" s="742">
        <f>Calculs!BY1645</f>
        <v>0</v>
      </c>
      <c r="D1573" s="742">
        <f>Calculs!BZ1645</f>
        <v>0</v>
      </c>
      <c r="E1573" s="742">
        <f>Calculs!CA1645</f>
        <v>0</v>
      </c>
      <c r="F1573" s="742">
        <f>Calculs!CB1645</f>
        <v>0</v>
      </c>
      <c r="G1573" s="742">
        <f>Calculs!CC1645</f>
        <v>0</v>
      </c>
      <c r="H1573" s="742"/>
      <c r="I1573" s="742">
        <f>Calculs!CE1645</f>
        <v>0</v>
      </c>
      <c r="J1573" s="742">
        <f>Calculs!CF1645</f>
        <v>0</v>
      </c>
      <c r="K1573" s="742"/>
      <c r="L1573" s="742">
        <f>Calculs!CH1645</f>
        <v>0</v>
      </c>
    </row>
    <row r="1574" spans="2:12">
      <c r="B1574" s="742">
        <f>Calculs!B1646</f>
        <v>0</v>
      </c>
      <c r="C1574" s="742">
        <f>Calculs!BY1646</f>
        <v>0</v>
      </c>
      <c r="D1574" s="742">
        <f>Calculs!BZ1646</f>
        <v>0</v>
      </c>
      <c r="E1574" s="742">
        <f>Calculs!CA1646</f>
        <v>0</v>
      </c>
      <c r="F1574" s="742">
        <f>Calculs!CB1646</f>
        <v>0</v>
      </c>
      <c r="G1574" s="742">
        <f>Calculs!CC1646</f>
        <v>0</v>
      </c>
      <c r="H1574" s="742"/>
      <c r="I1574" s="742">
        <f>Calculs!CE1646</f>
        <v>0</v>
      </c>
      <c r="J1574" s="742">
        <f>Calculs!CF1646</f>
        <v>0</v>
      </c>
      <c r="K1574" s="742"/>
      <c r="L1574" s="742">
        <f>Calculs!CH1646</f>
        <v>0</v>
      </c>
    </row>
    <row r="1575" spans="2:12">
      <c r="B1575" s="742">
        <f>Calculs!B1647</f>
        <v>0</v>
      </c>
      <c r="C1575" s="742">
        <f>Calculs!BY1647</f>
        <v>0</v>
      </c>
      <c r="D1575" s="742">
        <f>Calculs!BZ1647</f>
        <v>0</v>
      </c>
      <c r="E1575" s="742">
        <f>Calculs!CA1647</f>
        <v>0</v>
      </c>
      <c r="F1575" s="742">
        <f>Calculs!CB1647</f>
        <v>0</v>
      </c>
      <c r="G1575" s="742">
        <f>Calculs!CC1647</f>
        <v>0</v>
      </c>
      <c r="H1575" s="742"/>
      <c r="I1575" s="742">
        <f>Calculs!CE1647</f>
        <v>0</v>
      </c>
      <c r="J1575" s="742">
        <f>Calculs!CF1647</f>
        <v>0</v>
      </c>
      <c r="K1575" s="742"/>
      <c r="L1575" s="742">
        <f>Calculs!CH1647</f>
        <v>0</v>
      </c>
    </row>
    <row r="1576" spans="2:12">
      <c r="B1576" s="742">
        <f>Calculs!B1648</f>
        <v>0</v>
      </c>
      <c r="C1576" s="742">
        <f>Calculs!BY1648</f>
        <v>0</v>
      </c>
      <c r="D1576" s="742">
        <f>Calculs!BZ1648</f>
        <v>0</v>
      </c>
      <c r="E1576" s="742">
        <f>Calculs!CA1648</f>
        <v>0</v>
      </c>
      <c r="F1576" s="742">
        <f>Calculs!CB1648</f>
        <v>0</v>
      </c>
      <c r="G1576" s="742">
        <f>Calculs!CC1648</f>
        <v>0</v>
      </c>
      <c r="H1576" s="742"/>
      <c r="I1576" s="742">
        <f>Calculs!CE1648</f>
        <v>0</v>
      </c>
      <c r="J1576" s="742">
        <f>Calculs!CF1648</f>
        <v>0</v>
      </c>
      <c r="K1576" s="742"/>
      <c r="L1576" s="742">
        <f>Calculs!CH1648</f>
        <v>0</v>
      </c>
    </row>
    <row r="1577" spans="2:12">
      <c r="B1577" s="742">
        <f>Calculs!B1649</f>
        <v>0</v>
      </c>
      <c r="C1577" s="742">
        <f>Calculs!BY1649</f>
        <v>0</v>
      </c>
      <c r="D1577" s="742">
        <f>Calculs!BZ1649</f>
        <v>0</v>
      </c>
      <c r="E1577" s="742">
        <f>Calculs!CA1649</f>
        <v>0</v>
      </c>
      <c r="F1577" s="742">
        <f>Calculs!CB1649</f>
        <v>0</v>
      </c>
      <c r="G1577" s="742">
        <f>Calculs!CC1649</f>
        <v>0</v>
      </c>
      <c r="H1577" s="742"/>
      <c r="I1577" s="742">
        <f>Calculs!CE1649</f>
        <v>0</v>
      </c>
      <c r="J1577" s="742">
        <f>Calculs!CF1649</f>
        <v>0</v>
      </c>
      <c r="K1577" s="742"/>
      <c r="L1577" s="742">
        <f>Calculs!CH1649</f>
        <v>0</v>
      </c>
    </row>
    <row r="1578" spans="2:12">
      <c r="B1578" s="742">
        <f>Calculs!B1650</f>
        <v>0</v>
      </c>
      <c r="C1578" s="742">
        <f>Calculs!BY1650</f>
        <v>0</v>
      </c>
      <c r="D1578" s="742">
        <f>Calculs!BZ1650</f>
        <v>0</v>
      </c>
      <c r="E1578" s="742">
        <f>Calculs!CA1650</f>
        <v>0</v>
      </c>
      <c r="F1578" s="742">
        <f>Calculs!CB1650</f>
        <v>0</v>
      </c>
      <c r="G1578" s="742">
        <f>Calculs!CC1650</f>
        <v>0</v>
      </c>
      <c r="H1578" s="742"/>
      <c r="I1578" s="742">
        <f>Calculs!CE1650</f>
        <v>0</v>
      </c>
      <c r="J1578" s="742">
        <f>Calculs!CF1650</f>
        <v>0</v>
      </c>
      <c r="K1578" s="742"/>
      <c r="L1578" s="742">
        <f>Calculs!CH1650</f>
        <v>0</v>
      </c>
    </row>
    <row r="1579" spans="2:12">
      <c r="B1579" s="742">
        <f>Calculs!B1651</f>
        <v>0</v>
      </c>
      <c r="C1579" s="742">
        <f>Calculs!BY1651</f>
        <v>0</v>
      </c>
      <c r="D1579" s="742">
        <f>Calculs!BZ1651</f>
        <v>0</v>
      </c>
      <c r="E1579" s="742">
        <f>Calculs!CA1651</f>
        <v>0</v>
      </c>
      <c r="F1579" s="742">
        <f>Calculs!CB1651</f>
        <v>0</v>
      </c>
      <c r="G1579" s="742">
        <f>Calculs!CC1651</f>
        <v>0</v>
      </c>
      <c r="H1579" s="742"/>
      <c r="I1579" s="742">
        <f>Calculs!CE1651</f>
        <v>0</v>
      </c>
      <c r="J1579" s="742">
        <f>Calculs!CF1651</f>
        <v>0</v>
      </c>
      <c r="K1579" s="742"/>
      <c r="L1579" s="742">
        <f>Calculs!CH1651</f>
        <v>0</v>
      </c>
    </row>
    <row r="1580" spans="2:12">
      <c r="B1580" s="742">
        <f>Calculs!B1652</f>
        <v>0</v>
      </c>
      <c r="C1580" s="742">
        <f>Calculs!BY1652</f>
        <v>0</v>
      </c>
      <c r="D1580" s="742">
        <f>Calculs!BZ1652</f>
        <v>0</v>
      </c>
      <c r="E1580" s="742">
        <f>Calculs!CA1652</f>
        <v>0</v>
      </c>
      <c r="F1580" s="742">
        <f>Calculs!CB1652</f>
        <v>0</v>
      </c>
      <c r="G1580" s="742">
        <f>Calculs!CC1652</f>
        <v>0</v>
      </c>
      <c r="H1580" s="742"/>
      <c r="I1580" s="742">
        <f>Calculs!CE1652</f>
        <v>0</v>
      </c>
      <c r="J1580" s="742">
        <f>Calculs!CF1652</f>
        <v>0</v>
      </c>
      <c r="K1580" s="742"/>
      <c r="L1580" s="742">
        <f>Calculs!CH1652</f>
        <v>0</v>
      </c>
    </row>
    <row r="1581" spans="2:12">
      <c r="B1581" s="742">
        <f>Calculs!B1653</f>
        <v>0</v>
      </c>
      <c r="C1581" s="742">
        <f>Calculs!BY1653</f>
        <v>0</v>
      </c>
      <c r="D1581" s="742">
        <f>Calculs!BZ1653</f>
        <v>0</v>
      </c>
      <c r="E1581" s="742">
        <f>Calculs!CA1653</f>
        <v>0</v>
      </c>
      <c r="F1581" s="742">
        <f>Calculs!CB1653</f>
        <v>0</v>
      </c>
      <c r="G1581" s="742">
        <f>Calculs!CC1653</f>
        <v>0</v>
      </c>
      <c r="H1581" s="742"/>
      <c r="I1581" s="742">
        <f>Calculs!CE1653</f>
        <v>0</v>
      </c>
      <c r="J1581" s="742">
        <f>Calculs!CF1653</f>
        <v>0</v>
      </c>
      <c r="K1581" s="742"/>
      <c r="L1581" s="742">
        <f>Calculs!CH1653</f>
        <v>0</v>
      </c>
    </row>
    <row r="1582" spans="2:12">
      <c r="B1582" s="742">
        <f>Calculs!B1654</f>
        <v>0</v>
      </c>
      <c r="C1582" s="742">
        <f>Calculs!BY1654</f>
        <v>0</v>
      </c>
      <c r="D1582" s="742">
        <f>Calculs!BZ1654</f>
        <v>0</v>
      </c>
      <c r="E1582" s="742">
        <f>Calculs!CA1654</f>
        <v>0</v>
      </c>
      <c r="F1582" s="742">
        <f>Calculs!CB1654</f>
        <v>0</v>
      </c>
      <c r="G1582" s="742">
        <f>Calculs!CC1654</f>
        <v>0</v>
      </c>
      <c r="H1582" s="742"/>
      <c r="I1582" s="742">
        <f>Calculs!CE1654</f>
        <v>0</v>
      </c>
      <c r="J1582" s="742">
        <f>Calculs!CF1654</f>
        <v>0</v>
      </c>
      <c r="K1582" s="742"/>
      <c r="L1582" s="742">
        <f>Calculs!CH1654</f>
        <v>0</v>
      </c>
    </row>
    <row r="1583" spans="2:12">
      <c r="B1583" s="742">
        <f>Calculs!B1655</f>
        <v>0</v>
      </c>
      <c r="C1583" s="742">
        <f>Calculs!BY1655</f>
        <v>0</v>
      </c>
      <c r="D1583" s="742">
        <f>Calculs!BZ1655</f>
        <v>0</v>
      </c>
      <c r="E1583" s="742">
        <f>Calculs!CA1655</f>
        <v>0</v>
      </c>
      <c r="F1583" s="742">
        <f>Calculs!CB1655</f>
        <v>0</v>
      </c>
      <c r="G1583" s="742">
        <f>Calculs!CC1655</f>
        <v>0</v>
      </c>
      <c r="H1583" s="742"/>
      <c r="I1583" s="742">
        <f>Calculs!CE1655</f>
        <v>0</v>
      </c>
      <c r="J1583" s="742">
        <f>Calculs!CF1655</f>
        <v>0</v>
      </c>
      <c r="K1583" s="742"/>
      <c r="L1583" s="742">
        <f>Calculs!CH1655</f>
        <v>0</v>
      </c>
    </row>
    <row r="1584" spans="2:12">
      <c r="B1584" s="742">
        <f>Calculs!B1656</f>
        <v>0</v>
      </c>
      <c r="C1584" s="742">
        <f>Calculs!BY1656</f>
        <v>0</v>
      </c>
      <c r="D1584" s="742">
        <f>Calculs!BZ1656</f>
        <v>0</v>
      </c>
      <c r="E1584" s="742">
        <f>Calculs!CA1656</f>
        <v>0</v>
      </c>
      <c r="F1584" s="742">
        <f>Calculs!CB1656</f>
        <v>0</v>
      </c>
      <c r="G1584" s="742">
        <f>Calculs!CC1656</f>
        <v>0</v>
      </c>
      <c r="H1584" s="742"/>
      <c r="I1584" s="742">
        <f>Calculs!CE1656</f>
        <v>0</v>
      </c>
      <c r="J1584" s="742">
        <f>Calculs!CF1656</f>
        <v>0</v>
      </c>
      <c r="K1584" s="742"/>
      <c r="L1584" s="742">
        <f>Calculs!CH1656</f>
        <v>0</v>
      </c>
    </row>
    <row r="1585" spans="2:12">
      <c r="B1585" s="742">
        <f>Calculs!B1657</f>
        <v>0</v>
      </c>
      <c r="C1585" s="742">
        <f>Calculs!BY1657</f>
        <v>0</v>
      </c>
      <c r="D1585" s="742">
        <f>Calculs!BZ1657</f>
        <v>0</v>
      </c>
      <c r="E1585" s="742">
        <f>Calculs!CA1657</f>
        <v>0</v>
      </c>
      <c r="F1585" s="742">
        <f>Calculs!CB1657</f>
        <v>0</v>
      </c>
      <c r="G1585" s="742">
        <f>Calculs!CC1657</f>
        <v>0</v>
      </c>
      <c r="H1585" s="742"/>
      <c r="I1585" s="742">
        <f>Calculs!CE1657</f>
        <v>0</v>
      </c>
      <c r="J1585" s="742">
        <f>Calculs!CF1657</f>
        <v>0</v>
      </c>
      <c r="K1585" s="742"/>
      <c r="L1585" s="742">
        <f>Calculs!CH1657</f>
        <v>0</v>
      </c>
    </row>
    <row r="1586" spans="2:12">
      <c r="B1586" s="742">
        <f>Calculs!B1658</f>
        <v>0</v>
      </c>
      <c r="C1586" s="742">
        <f>Calculs!BY1658</f>
        <v>0</v>
      </c>
      <c r="D1586" s="742">
        <f>Calculs!BZ1658</f>
        <v>0</v>
      </c>
      <c r="E1586" s="742">
        <f>Calculs!CA1658</f>
        <v>0</v>
      </c>
      <c r="F1586" s="742">
        <f>Calculs!CB1658</f>
        <v>0</v>
      </c>
      <c r="G1586" s="742">
        <f>Calculs!CC1658</f>
        <v>0</v>
      </c>
      <c r="H1586" s="742"/>
      <c r="I1586" s="742">
        <f>Calculs!CE1658</f>
        <v>0</v>
      </c>
      <c r="J1586" s="742">
        <f>Calculs!CF1658</f>
        <v>0</v>
      </c>
      <c r="K1586" s="742"/>
      <c r="L1586" s="742">
        <f>Calculs!CH1658</f>
        <v>0</v>
      </c>
    </row>
    <row r="1587" spans="2:12">
      <c r="B1587" s="742">
        <f>Calculs!B1659</f>
        <v>0</v>
      </c>
      <c r="C1587" s="742">
        <f>Calculs!BY1659</f>
        <v>0</v>
      </c>
      <c r="D1587" s="742">
        <f>Calculs!BZ1659</f>
        <v>0</v>
      </c>
      <c r="E1587" s="742">
        <f>Calculs!CA1659</f>
        <v>0</v>
      </c>
      <c r="F1587" s="742">
        <f>Calculs!CB1659</f>
        <v>0</v>
      </c>
      <c r="G1587" s="742">
        <f>Calculs!CC1659</f>
        <v>0</v>
      </c>
      <c r="H1587" s="742"/>
      <c r="I1587" s="742">
        <f>Calculs!CE1659</f>
        <v>0</v>
      </c>
      <c r="J1587" s="742">
        <f>Calculs!CF1659</f>
        <v>0</v>
      </c>
      <c r="K1587" s="742"/>
      <c r="L1587" s="742">
        <f>Calculs!CH1659</f>
        <v>0</v>
      </c>
    </row>
    <row r="1588" spans="2:12">
      <c r="B1588" s="742">
        <f>Calculs!B1660</f>
        <v>0</v>
      </c>
      <c r="C1588" s="742">
        <f>Calculs!BY1660</f>
        <v>0</v>
      </c>
      <c r="D1588" s="742">
        <f>Calculs!BZ1660</f>
        <v>0</v>
      </c>
      <c r="E1588" s="742">
        <f>Calculs!CA1660</f>
        <v>0</v>
      </c>
      <c r="F1588" s="742">
        <f>Calculs!CB1660</f>
        <v>0</v>
      </c>
      <c r="G1588" s="742">
        <f>Calculs!CC1660</f>
        <v>0</v>
      </c>
      <c r="H1588" s="742"/>
      <c r="I1588" s="742">
        <f>Calculs!CE1660</f>
        <v>0</v>
      </c>
      <c r="J1588" s="742">
        <f>Calculs!CF1660</f>
        <v>0</v>
      </c>
      <c r="K1588" s="742"/>
      <c r="L1588" s="742">
        <f>Calculs!CH1660</f>
        <v>0</v>
      </c>
    </row>
    <row r="1589" spans="2:12">
      <c r="B1589" s="742">
        <f>Calculs!B1661</f>
        <v>0</v>
      </c>
      <c r="C1589" s="742">
        <f>Calculs!BY1661</f>
        <v>0</v>
      </c>
      <c r="D1589" s="742">
        <f>Calculs!BZ1661</f>
        <v>0</v>
      </c>
      <c r="E1589" s="742">
        <f>Calculs!CA1661</f>
        <v>0</v>
      </c>
      <c r="F1589" s="742">
        <f>Calculs!CB1661</f>
        <v>0</v>
      </c>
      <c r="G1589" s="742">
        <f>Calculs!CC1661</f>
        <v>0</v>
      </c>
      <c r="H1589" s="742"/>
      <c r="I1589" s="742">
        <f>Calculs!CE1661</f>
        <v>0</v>
      </c>
      <c r="J1589" s="742">
        <f>Calculs!CF1661</f>
        <v>0</v>
      </c>
      <c r="K1589" s="742"/>
      <c r="L1589" s="742">
        <f>Calculs!CH1661</f>
        <v>0</v>
      </c>
    </row>
    <row r="1590" spans="2:12">
      <c r="B1590" s="742">
        <f>Calculs!B1662</f>
        <v>0</v>
      </c>
      <c r="C1590" s="742">
        <f>Calculs!BY1662</f>
        <v>0</v>
      </c>
      <c r="D1590" s="742">
        <f>Calculs!BZ1662</f>
        <v>0</v>
      </c>
      <c r="E1590" s="742">
        <f>Calculs!CA1662</f>
        <v>0</v>
      </c>
      <c r="F1590" s="742">
        <f>Calculs!CB1662</f>
        <v>0</v>
      </c>
      <c r="G1590" s="742">
        <f>Calculs!CC1662</f>
        <v>0</v>
      </c>
      <c r="H1590" s="742"/>
      <c r="I1590" s="742">
        <f>Calculs!CE1662</f>
        <v>0</v>
      </c>
      <c r="J1590" s="742">
        <f>Calculs!CF1662</f>
        <v>0</v>
      </c>
      <c r="K1590" s="742"/>
      <c r="L1590" s="742">
        <f>Calculs!CH1662</f>
        <v>0</v>
      </c>
    </row>
    <row r="1591" spans="2:12">
      <c r="B1591" s="742">
        <f>Calculs!B1663</f>
        <v>0</v>
      </c>
      <c r="C1591" s="742">
        <f>Calculs!BY1663</f>
        <v>0</v>
      </c>
      <c r="D1591" s="742">
        <f>Calculs!BZ1663</f>
        <v>0</v>
      </c>
      <c r="E1591" s="742">
        <f>Calculs!CA1663</f>
        <v>0</v>
      </c>
      <c r="F1591" s="742">
        <f>Calculs!CB1663</f>
        <v>0</v>
      </c>
      <c r="G1591" s="742">
        <f>Calculs!CC1663</f>
        <v>0</v>
      </c>
      <c r="H1591" s="742"/>
      <c r="I1591" s="742">
        <f>Calculs!CE1663</f>
        <v>0</v>
      </c>
      <c r="J1591" s="742">
        <f>Calculs!CF1663</f>
        <v>0</v>
      </c>
      <c r="K1591" s="742"/>
      <c r="L1591" s="742">
        <f>Calculs!CH1663</f>
        <v>0</v>
      </c>
    </row>
    <row r="1592" spans="2:12">
      <c r="B1592" s="742">
        <f>Calculs!B1664</f>
        <v>0</v>
      </c>
      <c r="C1592" s="742">
        <f>Calculs!BY1664</f>
        <v>0</v>
      </c>
      <c r="D1592" s="742">
        <f>Calculs!BZ1664</f>
        <v>0</v>
      </c>
      <c r="E1592" s="742">
        <f>Calculs!CA1664</f>
        <v>0</v>
      </c>
      <c r="F1592" s="742">
        <f>Calculs!CB1664</f>
        <v>0</v>
      </c>
      <c r="G1592" s="742">
        <f>Calculs!CC1664</f>
        <v>0</v>
      </c>
      <c r="H1592" s="742"/>
      <c r="I1592" s="742">
        <f>Calculs!CE1664</f>
        <v>0</v>
      </c>
      <c r="J1592" s="742">
        <f>Calculs!CF1664</f>
        <v>0</v>
      </c>
      <c r="K1592" s="742"/>
      <c r="L1592" s="742">
        <f>Calculs!CH1664</f>
        <v>0</v>
      </c>
    </row>
    <row r="1593" spans="2:12">
      <c r="B1593" s="742">
        <f>Calculs!B1665</f>
        <v>0</v>
      </c>
      <c r="C1593" s="742">
        <f>Calculs!BY1665</f>
        <v>0</v>
      </c>
      <c r="D1593" s="742">
        <f>Calculs!BZ1665</f>
        <v>0</v>
      </c>
      <c r="E1593" s="742">
        <f>Calculs!CA1665</f>
        <v>0</v>
      </c>
      <c r="F1593" s="742">
        <f>Calculs!CB1665</f>
        <v>0</v>
      </c>
      <c r="G1593" s="742">
        <f>Calculs!CC1665</f>
        <v>0</v>
      </c>
      <c r="H1593" s="742"/>
      <c r="I1593" s="742">
        <f>Calculs!CE1665</f>
        <v>0</v>
      </c>
      <c r="J1593" s="742">
        <f>Calculs!CF1665</f>
        <v>0</v>
      </c>
      <c r="K1593" s="742"/>
      <c r="L1593" s="742">
        <f>Calculs!CH1665</f>
        <v>0</v>
      </c>
    </row>
    <row r="1594" spans="2:12">
      <c r="B1594" s="742">
        <f>Calculs!B1666</f>
        <v>0</v>
      </c>
      <c r="C1594" s="742">
        <f>Calculs!BY1666</f>
        <v>0</v>
      </c>
      <c r="D1594" s="742">
        <f>Calculs!BZ1666</f>
        <v>0</v>
      </c>
      <c r="E1594" s="742">
        <f>Calculs!CA1666</f>
        <v>0</v>
      </c>
      <c r="F1594" s="742">
        <f>Calculs!CB1666</f>
        <v>0</v>
      </c>
      <c r="G1594" s="742">
        <f>Calculs!CC1666</f>
        <v>0</v>
      </c>
      <c r="H1594" s="742"/>
      <c r="I1594" s="742">
        <f>Calculs!CE1666</f>
        <v>0</v>
      </c>
      <c r="J1594" s="742">
        <f>Calculs!CF1666</f>
        <v>0</v>
      </c>
      <c r="K1594" s="742"/>
      <c r="L1594" s="742">
        <f>Calculs!CH1666</f>
        <v>0</v>
      </c>
    </row>
    <row r="1595" spans="2:12">
      <c r="B1595" s="742">
        <f>Calculs!B1667</f>
        <v>0</v>
      </c>
      <c r="C1595" s="742">
        <f>Calculs!BY1667</f>
        <v>0</v>
      </c>
      <c r="D1595" s="742">
        <f>Calculs!BZ1667</f>
        <v>0</v>
      </c>
      <c r="E1595" s="742">
        <f>Calculs!CA1667</f>
        <v>0</v>
      </c>
      <c r="F1595" s="742">
        <f>Calculs!CB1667</f>
        <v>0</v>
      </c>
      <c r="G1595" s="742">
        <f>Calculs!CC1667</f>
        <v>0</v>
      </c>
      <c r="H1595" s="742"/>
      <c r="I1595" s="742">
        <f>Calculs!CE1667</f>
        <v>0</v>
      </c>
      <c r="J1595" s="742">
        <f>Calculs!CF1667</f>
        <v>0</v>
      </c>
      <c r="K1595" s="742"/>
      <c r="L1595" s="742">
        <f>Calculs!CH1667</f>
        <v>0</v>
      </c>
    </row>
    <row r="1596" spans="2:12">
      <c r="B1596" s="742">
        <f>Calculs!B1668</f>
        <v>0</v>
      </c>
      <c r="C1596" s="742">
        <f>Calculs!BY1668</f>
        <v>0</v>
      </c>
      <c r="D1596" s="742">
        <f>Calculs!BZ1668</f>
        <v>0</v>
      </c>
      <c r="E1596" s="742">
        <f>Calculs!CA1668</f>
        <v>0</v>
      </c>
      <c r="F1596" s="742">
        <f>Calculs!CB1668</f>
        <v>0</v>
      </c>
      <c r="G1596" s="742">
        <f>Calculs!CC1668</f>
        <v>0</v>
      </c>
      <c r="H1596" s="742"/>
      <c r="I1596" s="742">
        <f>Calculs!CE1668</f>
        <v>0</v>
      </c>
      <c r="J1596" s="742">
        <f>Calculs!CF1668</f>
        <v>0</v>
      </c>
      <c r="K1596" s="742"/>
      <c r="L1596" s="742">
        <f>Calculs!CH1668</f>
        <v>0</v>
      </c>
    </row>
    <row r="1597" spans="2:12">
      <c r="B1597" s="742">
        <f>Calculs!B1669</f>
        <v>0</v>
      </c>
      <c r="C1597" s="742">
        <f>Calculs!BY1669</f>
        <v>0</v>
      </c>
      <c r="D1597" s="742">
        <f>Calculs!BZ1669</f>
        <v>0</v>
      </c>
      <c r="E1597" s="742">
        <f>Calculs!CA1669</f>
        <v>0</v>
      </c>
      <c r="F1597" s="742">
        <f>Calculs!CB1669</f>
        <v>0</v>
      </c>
      <c r="G1597" s="742">
        <f>Calculs!CC1669</f>
        <v>0</v>
      </c>
      <c r="H1597" s="742"/>
      <c r="I1597" s="742">
        <f>Calculs!CE1669</f>
        <v>0</v>
      </c>
      <c r="J1597" s="742">
        <f>Calculs!CF1669</f>
        <v>0</v>
      </c>
      <c r="K1597" s="742"/>
      <c r="L1597" s="742">
        <f>Calculs!CH1669</f>
        <v>0</v>
      </c>
    </row>
    <row r="1598" spans="2:12">
      <c r="B1598" s="742">
        <f>Calculs!B1670</f>
        <v>0</v>
      </c>
      <c r="C1598" s="742">
        <f>Calculs!BY1670</f>
        <v>0</v>
      </c>
      <c r="D1598" s="742">
        <f>Calculs!BZ1670</f>
        <v>0</v>
      </c>
      <c r="E1598" s="742">
        <f>Calculs!CA1670</f>
        <v>0</v>
      </c>
      <c r="F1598" s="742">
        <f>Calculs!CB1670</f>
        <v>0</v>
      </c>
      <c r="G1598" s="742">
        <f>Calculs!CC1670</f>
        <v>0</v>
      </c>
      <c r="H1598" s="742"/>
      <c r="I1598" s="742">
        <f>Calculs!CE1670</f>
        <v>0</v>
      </c>
      <c r="J1598" s="742">
        <f>Calculs!CF1670</f>
        <v>0</v>
      </c>
      <c r="K1598" s="742"/>
      <c r="L1598" s="742">
        <f>Calculs!CH1670</f>
        <v>0</v>
      </c>
    </row>
    <row r="1599" spans="2:12">
      <c r="B1599" s="742">
        <f>Calculs!B1671</f>
        <v>0</v>
      </c>
      <c r="C1599" s="742">
        <f>Calculs!BY1671</f>
        <v>0</v>
      </c>
      <c r="D1599" s="742">
        <f>Calculs!BZ1671</f>
        <v>0</v>
      </c>
      <c r="E1599" s="742">
        <f>Calculs!CA1671</f>
        <v>0</v>
      </c>
      <c r="F1599" s="742">
        <f>Calculs!CB1671</f>
        <v>0</v>
      </c>
      <c r="G1599" s="742">
        <f>Calculs!CC1671</f>
        <v>0</v>
      </c>
      <c r="H1599" s="742"/>
      <c r="I1599" s="742">
        <f>Calculs!CE1671</f>
        <v>0</v>
      </c>
      <c r="J1599" s="742">
        <f>Calculs!CF1671</f>
        <v>0</v>
      </c>
      <c r="K1599" s="742"/>
      <c r="L1599" s="742">
        <f>Calculs!CH1671</f>
        <v>0</v>
      </c>
    </row>
    <row r="1600" spans="2:12">
      <c r="B1600" s="742">
        <f>Calculs!B1672</f>
        <v>0</v>
      </c>
      <c r="C1600" s="742">
        <f>Calculs!BY1672</f>
        <v>0</v>
      </c>
      <c r="D1600" s="742">
        <f>Calculs!BZ1672</f>
        <v>0</v>
      </c>
      <c r="E1600" s="742">
        <f>Calculs!CA1672</f>
        <v>0</v>
      </c>
      <c r="F1600" s="742">
        <f>Calculs!CB1672</f>
        <v>0</v>
      </c>
      <c r="G1600" s="742">
        <f>Calculs!CC1672</f>
        <v>0</v>
      </c>
      <c r="H1600" s="742"/>
      <c r="I1600" s="742">
        <f>Calculs!CE1672</f>
        <v>0</v>
      </c>
      <c r="J1600" s="742">
        <f>Calculs!CF1672</f>
        <v>0</v>
      </c>
      <c r="K1600" s="742"/>
      <c r="L1600" s="742">
        <f>Calculs!CH1672</f>
        <v>0</v>
      </c>
    </row>
    <row r="1601" spans="2:12">
      <c r="B1601" s="742">
        <f>Calculs!B1673</f>
        <v>0</v>
      </c>
      <c r="C1601" s="742">
        <f>Calculs!BY1673</f>
        <v>0</v>
      </c>
      <c r="D1601" s="742">
        <f>Calculs!BZ1673</f>
        <v>0</v>
      </c>
      <c r="E1601" s="742">
        <f>Calculs!CA1673</f>
        <v>0</v>
      </c>
      <c r="F1601" s="742">
        <f>Calculs!CB1673</f>
        <v>0</v>
      </c>
      <c r="G1601" s="742">
        <f>Calculs!CC1673</f>
        <v>0</v>
      </c>
      <c r="H1601" s="742"/>
      <c r="I1601" s="742">
        <f>Calculs!CE1673</f>
        <v>0</v>
      </c>
      <c r="J1601" s="742">
        <f>Calculs!CF1673</f>
        <v>0</v>
      </c>
      <c r="K1601" s="742"/>
      <c r="L1601" s="742">
        <f>Calculs!CH1673</f>
        <v>0</v>
      </c>
    </row>
    <row r="1602" spans="2:12">
      <c r="B1602" s="742">
        <f>Calculs!B1674</f>
        <v>0</v>
      </c>
      <c r="C1602" s="742">
        <f>Calculs!BY1674</f>
        <v>0</v>
      </c>
      <c r="D1602" s="742">
        <f>Calculs!BZ1674</f>
        <v>0</v>
      </c>
      <c r="E1602" s="742">
        <f>Calculs!CA1674</f>
        <v>0</v>
      </c>
      <c r="F1602" s="742">
        <f>Calculs!CB1674</f>
        <v>0</v>
      </c>
      <c r="G1602" s="742">
        <f>Calculs!CC1674</f>
        <v>0</v>
      </c>
      <c r="H1602" s="742"/>
      <c r="I1602" s="742">
        <f>Calculs!CE1674</f>
        <v>0</v>
      </c>
      <c r="J1602" s="742">
        <f>Calculs!CF1674</f>
        <v>0</v>
      </c>
      <c r="K1602" s="742"/>
      <c r="L1602" s="742">
        <f>Calculs!CH1674</f>
        <v>0</v>
      </c>
    </row>
    <row r="1603" spans="2:12">
      <c r="B1603" s="742">
        <f>Calculs!B1675</f>
        <v>0</v>
      </c>
      <c r="C1603" s="742">
        <f>Calculs!BY1675</f>
        <v>0</v>
      </c>
      <c r="D1603" s="742">
        <f>Calculs!BZ1675</f>
        <v>0</v>
      </c>
      <c r="E1603" s="742">
        <f>Calculs!CA1675</f>
        <v>0</v>
      </c>
      <c r="F1603" s="742">
        <f>Calculs!CB1675</f>
        <v>0</v>
      </c>
      <c r="G1603" s="742">
        <f>Calculs!CC1675</f>
        <v>0</v>
      </c>
      <c r="H1603" s="742"/>
      <c r="I1603" s="742">
        <f>Calculs!CE1675</f>
        <v>0</v>
      </c>
      <c r="J1603" s="742">
        <f>Calculs!CF1675</f>
        <v>0</v>
      </c>
      <c r="K1603" s="742"/>
      <c r="L1603" s="742">
        <f>Calculs!CH1675</f>
        <v>0</v>
      </c>
    </row>
    <row r="1604" spans="2:12">
      <c r="B1604" s="742">
        <f>Calculs!B1676</f>
        <v>0</v>
      </c>
      <c r="C1604" s="742">
        <f>Calculs!BY1676</f>
        <v>0</v>
      </c>
      <c r="D1604" s="742">
        <f>Calculs!BZ1676</f>
        <v>0</v>
      </c>
      <c r="E1604" s="742">
        <f>Calculs!CA1676</f>
        <v>0</v>
      </c>
      <c r="F1604" s="742">
        <f>Calculs!CB1676</f>
        <v>0</v>
      </c>
      <c r="G1604" s="742">
        <f>Calculs!CC1676</f>
        <v>0</v>
      </c>
      <c r="H1604" s="742"/>
      <c r="I1604" s="742">
        <f>Calculs!CE1676</f>
        <v>0</v>
      </c>
      <c r="J1604" s="742">
        <f>Calculs!CF1676</f>
        <v>0</v>
      </c>
      <c r="K1604" s="742"/>
      <c r="L1604" s="742">
        <f>Calculs!CH1676</f>
        <v>0</v>
      </c>
    </row>
    <row r="1605" spans="2:12">
      <c r="B1605" s="742">
        <f>Calculs!B1677</f>
        <v>0</v>
      </c>
      <c r="C1605" s="742">
        <f>Calculs!BY1677</f>
        <v>0</v>
      </c>
      <c r="D1605" s="742">
        <f>Calculs!BZ1677</f>
        <v>0</v>
      </c>
      <c r="E1605" s="742">
        <f>Calculs!CA1677</f>
        <v>0</v>
      </c>
      <c r="F1605" s="742">
        <f>Calculs!CB1677</f>
        <v>0</v>
      </c>
      <c r="G1605" s="742">
        <f>Calculs!CC1677</f>
        <v>0</v>
      </c>
      <c r="H1605" s="742"/>
      <c r="I1605" s="742">
        <f>Calculs!CE1677</f>
        <v>0</v>
      </c>
      <c r="J1605" s="742">
        <f>Calculs!CF1677</f>
        <v>0</v>
      </c>
      <c r="K1605" s="742"/>
      <c r="L1605" s="742">
        <f>Calculs!CH1677</f>
        <v>0</v>
      </c>
    </row>
    <row r="1606" spans="2:12">
      <c r="B1606" s="742">
        <f>Calculs!B1678</f>
        <v>0</v>
      </c>
      <c r="C1606" s="742">
        <f>Calculs!BY1678</f>
        <v>0</v>
      </c>
      <c r="D1606" s="742">
        <f>Calculs!BZ1678</f>
        <v>0</v>
      </c>
      <c r="E1606" s="742">
        <f>Calculs!CA1678</f>
        <v>0</v>
      </c>
      <c r="F1606" s="742">
        <f>Calculs!CB1678</f>
        <v>0</v>
      </c>
      <c r="G1606" s="742">
        <f>Calculs!CC1678</f>
        <v>0</v>
      </c>
      <c r="H1606" s="742"/>
      <c r="I1606" s="742">
        <f>Calculs!CE1678</f>
        <v>0</v>
      </c>
      <c r="J1606" s="742">
        <f>Calculs!CF1678</f>
        <v>0</v>
      </c>
      <c r="K1606" s="742"/>
      <c r="L1606" s="742">
        <f>Calculs!CH1678</f>
        <v>0</v>
      </c>
    </row>
    <row r="1607" spans="2:12">
      <c r="B1607" s="742">
        <f>Calculs!B1679</f>
        <v>0</v>
      </c>
      <c r="C1607" s="742">
        <f>Calculs!BY1679</f>
        <v>0</v>
      </c>
      <c r="D1607" s="742">
        <f>Calculs!BZ1679</f>
        <v>0</v>
      </c>
      <c r="E1607" s="742">
        <f>Calculs!CA1679</f>
        <v>0</v>
      </c>
      <c r="F1607" s="742">
        <f>Calculs!CB1679</f>
        <v>0</v>
      </c>
      <c r="G1607" s="742">
        <f>Calculs!CC1679</f>
        <v>0</v>
      </c>
      <c r="H1607" s="742"/>
      <c r="I1607" s="742">
        <f>Calculs!CE1679</f>
        <v>0</v>
      </c>
      <c r="J1607" s="742">
        <f>Calculs!CF1679</f>
        <v>0</v>
      </c>
      <c r="K1607" s="742"/>
      <c r="L1607" s="742">
        <f>Calculs!CH1679</f>
        <v>0</v>
      </c>
    </row>
    <row r="1608" spans="2:12">
      <c r="B1608" s="742">
        <f>Calculs!B1680</f>
        <v>0</v>
      </c>
      <c r="C1608" s="742">
        <f>Calculs!BY1680</f>
        <v>0</v>
      </c>
      <c r="D1608" s="742">
        <f>Calculs!BZ1680</f>
        <v>0</v>
      </c>
      <c r="E1608" s="742">
        <f>Calculs!CA1680</f>
        <v>0</v>
      </c>
      <c r="F1608" s="742">
        <f>Calculs!CB1680</f>
        <v>0</v>
      </c>
      <c r="G1608" s="742">
        <f>Calculs!CC1680</f>
        <v>0</v>
      </c>
      <c r="H1608" s="742"/>
      <c r="I1608" s="742">
        <f>Calculs!CE1680</f>
        <v>0</v>
      </c>
      <c r="J1608" s="742">
        <f>Calculs!CF1680</f>
        <v>0</v>
      </c>
      <c r="K1608" s="742"/>
      <c r="L1608" s="742">
        <f>Calculs!CH1680</f>
        <v>0</v>
      </c>
    </row>
    <row r="1609" spans="2:12">
      <c r="B1609" s="742">
        <f>Calculs!B1681</f>
        <v>0</v>
      </c>
      <c r="C1609" s="742">
        <f>Calculs!BY1681</f>
        <v>0</v>
      </c>
      <c r="D1609" s="742">
        <f>Calculs!BZ1681</f>
        <v>0</v>
      </c>
      <c r="E1609" s="742">
        <f>Calculs!CA1681</f>
        <v>0</v>
      </c>
      <c r="F1609" s="742">
        <f>Calculs!CB1681</f>
        <v>0</v>
      </c>
      <c r="G1609" s="742">
        <f>Calculs!CC1681</f>
        <v>0</v>
      </c>
      <c r="H1609" s="742"/>
      <c r="I1609" s="742">
        <f>Calculs!CE1681</f>
        <v>0</v>
      </c>
      <c r="J1609" s="742">
        <f>Calculs!CF1681</f>
        <v>0</v>
      </c>
      <c r="K1609" s="742"/>
      <c r="L1609" s="742">
        <f>Calculs!CH1681</f>
        <v>0</v>
      </c>
    </row>
    <row r="1610" spans="2:12">
      <c r="B1610" s="742">
        <f>Calculs!B1682</f>
        <v>0</v>
      </c>
      <c r="C1610" s="742">
        <f>Calculs!BY1682</f>
        <v>0</v>
      </c>
      <c r="D1610" s="742">
        <f>Calculs!BZ1682</f>
        <v>0</v>
      </c>
      <c r="E1610" s="742">
        <f>Calculs!CA1682</f>
        <v>0</v>
      </c>
      <c r="F1610" s="742">
        <f>Calculs!CB1682</f>
        <v>0</v>
      </c>
      <c r="G1610" s="742">
        <f>Calculs!CC1682</f>
        <v>0</v>
      </c>
      <c r="H1610" s="742"/>
      <c r="I1610" s="742">
        <f>Calculs!CE1682</f>
        <v>0</v>
      </c>
      <c r="J1610" s="742">
        <f>Calculs!CF1682</f>
        <v>0</v>
      </c>
      <c r="K1610" s="742"/>
      <c r="L1610" s="742">
        <f>Calculs!CH1682</f>
        <v>0</v>
      </c>
    </row>
    <row r="1611" spans="2:12">
      <c r="B1611" s="742">
        <f>Calculs!B1683</f>
        <v>0</v>
      </c>
      <c r="C1611" s="742">
        <f>Calculs!BY1683</f>
        <v>0</v>
      </c>
      <c r="D1611" s="742">
        <f>Calculs!BZ1683</f>
        <v>0</v>
      </c>
      <c r="E1611" s="742">
        <f>Calculs!CA1683</f>
        <v>0</v>
      </c>
      <c r="F1611" s="742">
        <f>Calculs!CB1683</f>
        <v>0</v>
      </c>
      <c r="G1611" s="742">
        <f>Calculs!CC1683</f>
        <v>0</v>
      </c>
      <c r="H1611" s="742"/>
      <c r="I1611" s="742">
        <f>Calculs!CE1683</f>
        <v>0</v>
      </c>
      <c r="J1611" s="742">
        <f>Calculs!CF1683</f>
        <v>0</v>
      </c>
      <c r="K1611" s="742"/>
      <c r="L1611" s="742">
        <f>Calculs!CH1683</f>
        <v>0</v>
      </c>
    </row>
    <row r="1612" spans="2:12">
      <c r="B1612" s="742">
        <f>Calculs!B1684</f>
        <v>0</v>
      </c>
      <c r="C1612" s="742">
        <f>Calculs!BY1684</f>
        <v>0</v>
      </c>
      <c r="D1612" s="742">
        <f>Calculs!BZ1684</f>
        <v>0</v>
      </c>
      <c r="E1612" s="742">
        <f>Calculs!CA1684</f>
        <v>0</v>
      </c>
      <c r="F1612" s="742">
        <f>Calculs!CB1684</f>
        <v>0</v>
      </c>
      <c r="G1612" s="742">
        <f>Calculs!CC1684</f>
        <v>0</v>
      </c>
      <c r="H1612" s="742"/>
      <c r="I1612" s="742">
        <f>Calculs!CE1684</f>
        <v>0</v>
      </c>
      <c r="J1612" s="742">
        <f>Calculs!CF1684</f>
        <v>0</v>
      </c>
      <c r="K1612" s="742"/>
      <c r="L1612" s="742">
        <f>Calculs!CH1684</f>
        <v>0</v>
      </c>
    </row>
    <row r="1613" spans="2:12">
      <c r="B1613" s="742">
        <f>Calculs!B1685</f>
        <v>0</v>
      </c>
      <c r="C1613" s="742">
        <f>Calculs!BY1685</f>
        <v>0</v>
      </c>
      <c r="D1613" s="742">
        <f>Calculs!BZ1685</f>
        <v>0</v>
      </c>
      <c r="E1613" s="742">
        <f>Calculs!CA1685</f>
        <v>0</v>
      </c>
      <c r="F1613" s="742">
        <f>Calculs!CB1685</f>
        <v>0</v>
      </c>
      <c r="G1613" s="742">
        <f>Calculs!CC1685</f>
        <v>0</v>
      </c>
      <c r="H1613" s="742"/>
      <c r="I1613" s="742">
        <f>Calculs!CE1685</f>
        <v>0</v>
      </c>
      <c r="J1613" s="742">
        <f>Calculs!CF1685</f>
        <v>0</v>
      </c>
      <c r="K1613" s="742"/>
      <c r="L1613" s="742">
        <f>Calculs!CH1685</f>
        <v>0</v>
      </c>
    </row>
    <row r="1614" spans="2:12">
      <c r="B1614" s="742">
        <f>Calculs!B1686</f>
        <v>0</v>
      </c>
      <c r="C1614" s="742">
        <f>Calculs!BY1686</f>
        <v>0</v>
      </c>
      <c r="D1614" s="742">
        <f>Calculs!BZ1686</f>
        <v>0</v>
      </c>
      <c r="E1614" s="742">
        <f>Calculs!CA1686</f>
        <v>0</v>
      </c>
      <c r="F1614" s="742">
        <f>Calculs!CB1686</f>
        <v>0</v>
      </c>
      <c r="G1614" s="742">
        <f>Calculs!CC1686</f>
        <v>0</v>
      </c>
      <c r="H1614" s="742"/>
      <c r="I1614" s="742">
        <f>Calculs!CE1686</f>
        <v>0</v>
      </c>
      <c r="J1614" s="742">
        <f>Calculs!CF1686</f>
        <v>0</v>
      </c>
      <c r="K1614" s="742"/>
      <c r="L1614" s="742">
        <f>Calculs!CH1686</f>
        <v>0</v>
      </c>
    </row>
    <row r="1615" spans="2:12">
      <c r="B1615" s="742">
        <f>Calculs!B1687</f>
        <v>0</v>
      </c>
      <c r="C1615" s="742">
        <f>Calculs!BY1687</f>
        <v>0</v>
      </c>
      <c r="D1615" s="742">
        <f>Calculs!BZ1687</f>
        <v>0</v>
      </c>
      <c r="E1615" s="742">
        <f>Calculs!CA1687</f>
        <v>0</v>
      </c>
      <c r="F1615" s="742">
        <f>Calculs!CB1687</f>
        <v>0</v>
      </c>
      <c r="G1615" s="742">
        <f>Calculs!CC1687</f>
        <v>0</v>
      </c>
      <c r="H1615" s="742"/>
      <c r="I1615" s="742">
        <f>Calculs!CE1687</f>
        <v>0</v>
      </c>
      <c r="J1615" s="742">
        <f>Calculs!CF1687</f>
        <v>0</v>
      </c>
      <c r="K1615" s="742"/>
      <c r="L1615" s="742">
        <f>Calculs!CH1687</f>
        <v>0</v>
      </c>
    </row>
    <row r="1616" spans="2:12">
      <c r="B1616" s="742">
        <f>Calculs!B1688</f>
        <v>0</v>
      </c>
      <c r="C1616" s="742">
        <f>Calculs!BY1688</f>
        <v>0</v>
      </c>
      <c r="D1616" s="742">
        <f>Calculs!BZ1688</f>
        <v>0</v>
      </c>
      <c r="E1616" s="742">
        <f>Calculs!CA1688</f>
        <v>0</v>
      </c>
      <c r="F1616" s="742">
        <f>Calculs!CB1688</f>
        <v>0</v>
      </c>
      <c r="G1616" s="742">
        <f>Calculs!CC1688</f>
        <v>0</v>
      </c>
      <c r="H1616" s="742"/>
      <c r="I1616" s="742">
        <f>Calculs!CE1688</f>
        <v>0</v>
      </c>
      <c r="J1616" s="742">
        <f>Calculs!CF1688</f>
        <v>0</v>
      </c>
      <c r="K1616" s="742"/>
      <c r="L1616" s="742">
        <f>Calculs!CH1688</f>
        <v>0</v>
      </c>
    </row>
    <row r="1617" spans="2:12">
      <c r="B1617" s="742">
        <f>Calculs!B1689</f>
        <v>0</v>
      </c>
      <c r="C1617" s="742">
        <f>Calculs!BY1689</f>
        <v>0</v>
      </c>
      <c r="D1617" s="742">
        <f>Calculs!BZ1689</f>
        <v>0</v>
      </c>
      <c r="E1617" s="742">
        <f>Calculs!CA1689</f>
        <v>0</v>
      </c>
      <c r="F1617" s="742">
        <f>Calculs!CB1689</f>
        <v>0</v>
      </c>
      <c r="G1617" s="742">
        <f>Calculs!CC1689</f>
        <v>0</v>
      </c>
      <c r="H1617" s="742"/>
      <c r="I1617" s="742">
        <f>Calculs!CE1689</f>
        <v>0</v>
      </c>
      <c r="J1617" s="742">
        <f>Calculs!CF1689</f>
        <v>0</v>
      </c>
      <c r="K1617" s="742"/>
      <c r="L1617" s="742">
        <f>Calculs!CH1689</f>
        <v>0</v>
      </c>
    </row>
    <row r="1618" spans="2:12">
      <c r="B1618" s="742">
        <f>Calculs!B1690</f>
        <v>0</v>
      </c>
      <c r="C1618" s="742">
        <f>Calculs!BY1690</f>
        <v>0</v>
      </c>
      <c r="D1618" s="742">
        <f>Calculs!BZ1690</f>
        <v>0</v>
      </c>
      <c r="E1618" s="742">
        <f>Calculs!CA1690</f>
        <v>0</v>
      </c>
      <c r="F1618" s="742">
        <f>Calculs!CB1690</f>
        <v>0</v>
      </c>
      <c r="G1618" s="742">
        <f>Calculs!CC1690</f>
        <v>0</v>
      </c>
      <c r="H1618" s="742"/>
      <c r="I1618" s="742">
        <f>Calculs!CE1690</f>
        <v>0</v>
      </c>
      <c r="J1618" s="742">
        <f>Calculs!CF1690</f>
        <v>0</v>
      </c>
      <c r="K1618" s="742"/>
      <c r="L1618" s="742">
        <f>Calculs!CH1690</f>
        <v>0</v>
      </c>
    </row>
    <row r="1619" spans="2:12">
      <c r="B1619" s="742">
        <f>Calculs!B1691</f>
        <v>0</v>
      </c>
      <c r="C1619" s="742">
        <f>Calculs!BY1691</f>
        <v>0</v>
      </c>
      <c r="D1619" s="742">
        <f>Calculs!BZ1691</f>
        <v>0</v>
      </c>
      <c r="E1619" s="742">
        <f>Calculs!CA1691</f>
        <v>0</v>
      </c>
      <c r="F1619" s="742">
        <f>Calculs!CB1691</f>
        <v>0</v>
      </c>
      <c r="G1619" s="742">
        <f>Calculs!CC1691</f>
        <v>0</v>
      </c>
      <c r="H1619" s="742"/>
      <c r="I1619" s="742">
        <f>Calculs!CE1691</f>
        <v>0</v>
      </c>
      <c r="J1619" s="742">
        <f>Calculs!CF1691</f>
        <v>0</v>
      </c>
      <c r="K1619" s="742"/>
      <c r="L1619" s="742">
        <f>Calculs!CH1691</f>
        <v>0</v>
      </c>
    </row>
    <row r="1620" spans="2:12">
      <c r="B1620" s="742">
        <f>Calculs!B1692</f>
        <v>0</v>
      </c>
      <c r="C1620" s="742">
        <f>Calculs!BY1692</f>
        <v>0</v>
      </c>
      <c r="D1620" s="742">
        <f>Calculs!BZ1692</f>
        <v>0</v>
      </c>
      <c r="E1620" s="742">
        <f>Calculs!CA1692</f>
        <v>0</v>
      </c>
      <c r="F1620" s="742">
        <f>Calculs!CB1692</f>
        <v>0</v>
      </c>
      <c r="G1620" s="742">
        <f>Calculs!CC1692</f>
        <v>0</v>
      </c>
      <c r="H1620" s="742"/>
      <c r="I1620" s="742">
        <f>Calculs!CE1692</f>
        <v>0</v>
      </c>
      <c r="J1620" s="742">
        <f>Calculs!CF1692</f>
        <v>0</v>
      </c>
      <c r="K1620" s="742"/>
      <c r="L1620" s="742">
        <f>Calculs!CH1692</f>
        <v>0</v>
      </c>
    </row>
    <row r="1621" spans="2:12">
      <c r="B1621" s="742">
        <f>Calculs!B1693</f>
        <v>0</v>
      </c>
      <c r="C1621" s="742">
        <f>Calculs!BY1693</f>
        <v>0</v>
      </c>
      <c r="D1621" s="742">
        <f>Calculs!BZ1693</f>
        <v>0</v>
      </c>
      <c r="E1621" s="742">
        <f>Calculs!CA1693</f>
        <v>0</v>
      </c>
      <c r="F1621" s="742">
        <f>Calculs!CB1693</f>
        <v>0</v>
      </c>
      <c r="G1621" s="742">
        <f>Calculs!CC1693</f>
        <v>0</v>
      </c>
      <c r="H1621" s="742"/>
      <c r="I1621" s="742">
        <f>Calculs!CE1693</f>
        <v>0</v>
      </c>
      <c r="J1621" s="742">
        <f>Calculs!CF1693</f>
        <v>0</v>
      </c>
      <c r="K1621" s="742"/>
      <c r="L1621" s="742">
        <f>Calculs!CH1693</f>
        <v>0</v>
      </c>
    </row>
    <row r="1622" spans="2:12">
      <c r="B1622" s="742">
        <f>Calculs!B1694</f>
        <v>0</v>
      </c>
      <c r="C1622" s="742">
        <f>Calculs!BY1694</f>
        <v>0</v>
      </c>
      <c r="D1622" s="742">
        <f>Calculs!BZ1694</f>
        <v>0</v>
      </c>
      <c r="E1622" s="742">
        <f>Calculs!CA1694</f>
        <v>0</v>
      </c>
      <c r="F1622" s="742">
        <f>Calculs!CB1694</f>
        <v>0</v>
      </c>
      <c r="G1622" s="742">
        <f>Calculs!CC1694</f>
        <v>0</v>
      </c>
      <c r="H1622" s="742"/>
      <c r="I1622" s="742">
        <f>Calculs!CE1694</f>
        <v>0</v>
      </c>
      <c r="J1622" s="742">
        <f>Calculs!CF1694</f>
        <v>0</v>
      </c>
      <c r="K1622" s="742"/>
      <c r="L1622" s="742">
        <f>Calculs!CH1694</f>
        <v>0</v>
      </c>
    </row>
    <row r="1623" spans="2:12">
      <c r="B1623" s="742">
        <f>Calculs!B1695</f>
        <v>0</v>
      </c>
      <c r="C1623" s="742">
        <f>Calculs!BY1695</f>
        <v>0</v>
      </c>
      <c r="D1623" s="742">
        <f>Calculs!BZ1695</f>
        <v>0</v>
      </c>
      <c r="E1623" s="742">
        <f>Calculs!CA1695</f>
        <v>0</v>
      </c>
      <c r="F1623" s="742">
        <f>Calculs!CB1695</f>
        <v>0</v>
      </c>
      <c r="G1623" s="742">
        <f>Calculs!CC1695</f>
        <v>0</v>
      </c>
      <c r="H1623" s="742"/>
      <c r="I1623" s="742">
        <f>Calculs!CE1695</f>
        <v>0</v>
      </c>
      <c r="J1623" s="742">
        <f>Calculs!CF1695</f>
        <v>0</v>
      </c>
      <c r="K1623" s="742"/>
      <c r="L1623" s="742">
        <f>Calculs!CH1695</f>
        <v>0</v>
      </c>
    </row>
    <row r="1624" spans="2:12">
      <c r="B1624" s="742">
        <f>Calculs!B1696</f>
        <v>0</v>
      </c>
      <c r="C1624" s="742">
        <f>Calculs!BY1696</f>
        <v>0</v>
      </c>
      <c r="D1624" s="742">
        <f>Calculs!BZ1696</f>
        <v>0</v>
      </c>
      <c r="E1624" s="742">
        <f>Calculs!CA1696</f>
        <v>0</v>
      </c>
      <c r="F1624" s="742">
        <f>Calculs!CB1696</f>
        <v>0</v>
      </c>
      <c r="G1624" s="742">
        <f>Calculs!CC1696</f>
        <v>0</v>
      </c>
      <c r="H1624" s="742"/>
      <c r="I1624" s="742">
        <f>Calculs!CE1696</f>
        <v>0</v>
      </c>
      <c r="J1624" s="742">
        <f>Calculs!CF1696</f>
        <v>0</v>
      </c>
      <c r="K1624" s="742"/>
      <c r="L1624" s="742">
        <f>Calculs!CH1696</f>
        <v>0</v>
      </c>
    </row>
    <row r="1625" spans="2:12">
      <c r="B1625" s="742">
        <f>Calculs!B1697</f>
        <v>0</v>
      </c>
      <c r="C1625" s="742">
        <f>Calculs!BY1697</f>
        <v>0</v>
      </c>
      <c r="D1625" s="742">
        <f>Calculs!BZ1697</f>
        <v>0</v>
      </c>
      <c r="E1625" s="742">
        <f>Calculs!CA1697</f>
        <v>0</v>
      </c>
      <c r="F1625" s="742">
        <f>Calculs!CB1697</f>
        <v>0</v>
      </c>
      <c r="G1625" s="742">
        <f>Calculs!CC1697</f>
        <v>0</v>
      </c>
      <c r="H1625" s="742"/>
      <c r="I1625" s="742">
        <f>Calculs!CE1697</f>
        <v>0</v>
      </c>
      <c r="J1625" s="742">
        <f>Calculs!CF1697</f>
        <v>0</v>
      </c>
      <c r="K1625" s="742"/>
      <c r="L1625" s="742">
        <f>Calculs!CH1697</f>
        <v>0</v>
      </c>
    </row>
    <row r="1626" spans="2:12">
      <c r="B1626" s="742">
        <f>Calculs!B1698</f>
        <v>0</v>
      </c>
      <c r="C1626" s="742">
        <f>Calculs!BY1698</f>
        <v>0</v>
      </c>
      <c r="D1626" s="742">
        <f>Calculs!BZ1698</f>
        <v>0</v>
      </c>
      <c r="E1626" s="742">
        <f>Calculs!CA1698</f>
        <v>0</v>
      </c>
      <c r="F1626" s="742">
        <f>Calculs!CB1698</f>
        <v>0</v>
      </c>
      <c r="G1626" s="742">
        <f>Calculs!CC1698</f>
        <v>0</v>
      </c>
      <c r="H1626" s="742"/>
      <c r="I1626" s="742">
        <f>Calculs!CE1698</f>
        <v>0</v>
      </c>
      <c r="J1626" s="742">
        <f>Calculs!CF1698</f>
        <v>0</v>
      </c>
      <c r="K1626" s="742"/>
      <c r="L1626" s="742">
        <f>Calculs!CH1698</f>
        <v>0</v>
      </c>
    </row>
    <row r="1627" spans="2:12">
      <c r="B1627" s="742">
        <f>Calculs!B1699</f>
        <v>0</v>
      </c>
      <c r="C1627" s="742">
        <f>Calculs!BY1699</f>
        <v>0</v>
      </c>
      <c r="D1627" s="742">
        <f>Calculs!BZ1699</f>
        <v>0</v>
      </c>
      <c r="E1627" s="742">
        <f>Calculs!CA1699</f>
        <v>0</v>
      </c>
      <c r="F1627" s="742">
        <f>Calculs!CB1699</f>
        <v>0</v>
      </c>
      <c r="G1627" s="742">
        <f>Calculs!CC1699</f>
        <v>0</v>
      </c>
      <c r="H1627" s="742"/>
      <c r="I1627" s="742">
        <f>Calculs!CE1699</f>
        <v>0</v>
      </c>
      <c r="J1627" s="742">
        <f>Calculs!CF1699</f>
        <v>0</v>
      </c>
      <c r="K1627" s="742"/>
      <c r="L1627" s="742">
        <f>Calculs!CH1699</f>
        <v>0</v>
      </c>
    </row>
    <row r="1628" spans="2:12">
      <c r="B1628" s="742">
        <f>Calculs!B1700</f>
        <v>0</v>
      </c>
      <c r="C1628" s="742">
        <f>Calculs!BY1700</f>
        <v>0</v>
      </c>
      <c r="D1628" s="742">
        <f>Calculs!BZ1700</f>
        <v>0</v>
      </c>
      <c r="E1628" s="742">
        <f>Calculs!CA1700</f>
        <v>0</v>
      </c>
      <c r="F1628" s="742">
        <f>Calculs!CB1700</f>
        <v>0</v>
      </c>
      <c r="G1628" s="742">
        <f>Calculs!CC1700</f>
        <v>0</v>
      </c>
      <c r="H1628" s="742"/>
      <c r="I1628" s="742">
        <f>Calculs!CE1700</f>
        <v>0</v>
      </c>
      <c r="J1628" s="742">
        <f>Calculs!CF1700</f>
        <v>0</v>
      </c>
      <c r="K1628" s="742"/>
      <c r="L1628" s="742">
        <f>Calculs!CH1700</f>
        <v>0</v>
      </c>
    </row>
    <row r="1629" spans="2:12">
      <c r="B1629" s="742">
        <f>Calculs!B1701</f>
        <v>0</v>
      </c>
      <c r="C1629" s="742">
        <f>Calculs!BY1701</f>
        <v>0</v>
      </c>
      <c r="D1629" s="742">
        <f>Calculs!BZ1701</f>
        <v>0</v>
      </c>
      <c r="E1629" s="742">
        <f>Calculs!CA1701</f>
        <v>0</v>
      </c>
      <c r="F1629" s="742">
        <f>Calculs!CB1701</f>
        <v>0</v>
      </c>
      <c r="G1629" s="742">
        <f>Calculs!CC1701</f>
        <v>0</v>
      </c>
      <c r="H1629" s="742"/>
      <c r="I1629" s="742">
        <f>Calculs!CE1701</f>
        <v>0</v>
      </c>
      <c r="J1629" s="742">
        <f>Calculs!CF1701</f>
        <v>0</v>
      </c>
      <c r="K1629" s="742"/>
      <c r="L1629" s="742">
        <f>Calculs!CH1701</f>
        <v>0</v>
      </c>
    </row>
    <row r="1630" spans="2:12">
      <c r="B1630" s="742">
        <f>Calculs!B1702</f>
        <v>0</v>
      </c>
      <c r="C1630" s="742">
        <f>Calculs!BY1702</f>
        <v>0</v>
      </c>
      <c r="D1630" s="742">
        <f>Calculs!BZ1702</f>
        <v>0</v>
      </c>
      <c r="E1630" s="742">
        <f>Calculs!CA1702</f>
        <v>0</v>
      </c>
      <c r="F1630" s="742">
        <f>Calculs!CB1702</f>
        <v>0</v>
      </c>
      <c r="G1630" s="742">
        <f>Calculs!CC1702</f>
        <v>0</v>
      </c>
      <c r="H1630" s="742"/>
      <c r="I1630" s="742">
        <f>Calculs!CE1702</f>
        <v>0</v>
      </c>
      <c r="J1630" s="742">
        <f>Calculs!CF1702</f>
        <v>0</v>
      </c>
      <c r="K1630" s="742"/>
      <c r="L1630" s="742">
        <f>Calculs!CH1702</f>
        <v>0</v>
      </c>
    </row>
    <row r="1631" spans="2:12">
      <c r="B1631" s="742">
        <f>Calculs!B1703</f>
        <v>0</v>
      </c>
      <c r="C1631" s="742">
        <f>Calculs!BY1703</f>
        <v>0</v>
      </c>
      <c r="D1631" s="742">
        <f>Calculs!BZ1703</f>
        <v>0</v>
      </c>
      <c r="E1631" s="742">
        <f>Calculs!CA1703</f>
        <v>0</v>
      </c>
      <c r="F1631" s="742">
        <f>Calculs!CB1703</f>
        <v>0</v>
      </c>
      <c r="G1631" s="742">
        <f>Calculs!CC1703</f>
        <v>0</v>
      </c>
      <c r="H1631" s="742"/>
      <c r="I1631" s="742">
        <f>Calculs!CE1703</f>
        <v>0</v>
      </c>
      <c r="J1631" s="742">
        <f>Calculs!CF1703</f>
        <v>0</v>
      </c>
      <c r="K1631" s="742"/>
      <c r="L1631" s="742">
        <f>Calculs!CH1703</f>
        <v>0</v>
      </c>
    </row>
    <row r="1632" spans="2:12">
      <c r="B1632" s="742">
        <f>Calculs!B1704</f>
        <v>0</v>
      </c>
      <c r="C1632" s="742">
        <f>Calculs!BY1704</f>
        <v>0</v>
      </c>
      <c r="D1632" s="742">
        <f>Calculs!BZ1704</f>
        <v>0</v>
      </c>
      <c r="E1632" s="742">
        <f>Calculs!CA1704</f>
        <v>0</v>
      </c>
      <c r="F1632" s="742">
        <f>Calculs!CB1704</f>
        <v>0</v>
      </c>
      <c r="G1632" s="742">
        <f>Calculs!CC1704</f>
        <v>0</v>
      </c>
      <c r="H1632" s="742"/>
      <c r="I1632" s="742">
        <f>Calculs!CE1704</f>
        <v>0</v>
      </c>
      <c r="J1632" s="742">
        <f>Calculs!CF1704</f>
        <v>0</v>
      </c>
      <c r="K1632" s="742"/>
      <c r="L1632" s="742">
        <f>Calculs!CH1704</f>
        <v>0</v>
      </c>
    </row>
    <row r="1633" spans="2:12">
      <c r="B1633" s="742">
        <f>Calculs!B1705</f>
        <v>0</v>
      </c>
      <c r="C1633" s="742">
        <f>Calculs!BY1705</f>
        <v>0</v>
      </c>
      <c r="D1633" s="742">
        <f>Calculs!BZ1705</f>
        <v>0</v>
      </c>
      <c r="E1633" s="742">
        <f>Calculs!CA1705</f>
        <v>0</v>
      </c>
      <c r="F1633" s="742">
        <f>Calculs!CB1705</f>
        <v>0</v>
      </c>
      <c r="G1633" s="742">
        <f>Calculs!CC1705</f>
        <v>0</v>
      </c>
      <c r="H1633" s="742"/>
      <c r="I1633" s="742">
        <f>Calculs!CE1705</f>
        <v>0</v>
      </c>
      <c r="J1633" s="742">
        <f>Calculs!CF1705</f>
        <v>0</v>
      </c>
      <c r="K1633" s="742"/>
      <c r="L1633" s="742">
        <f>Calculs!CH1705</f>
        <v>0</v>
      </c>
    </row>
    <row r="1634" spans="2:12">
      <c r="B1634" s="742">
        <f>Calculs!B1706</f>
        <v>0</v>
      </c>
      <c r="C1634" s="742">
        <f>Calculs!BY1706</f>
        <v>0</v>
      </c>
      <c r="D1634" s="742">
        <f>Calculs!BZ1706</f>
        <v>0</v>
      </c>
      <c r="E1634" s="742">
        <f>Calculs!CA1706</f>
        <v>0</v>
      </c>
      <c r="F1634" s="742">
        <f>Calculs!CB1706</f>
        <v>0</v>
      </c>
      <c r="G1634" s="742">
        <f>Calculs!CC1706</f>
        <v>0</v>
      </c>
      <c r="H1634" s="742"/>
      <c r="I1634" s="742">
        <f>Calculs!CE1706</f>
        <v>0</v>
      </c>
      <c r="J1634" s="742">
        <f>Calculs!CF1706</f>
        <v>0</v>
      </c>
      <c r="K1634" s="742"/>
      <c r="L1634" s="742">
        <f>Calculs!CH1706</f>
        <v>0</v>
      </c>
    </row>
    <row r="1635" spans="2:12">
      <c r="B1635" s="742">
        <f>Calculs!B1707</f>
        <v>0</v>
      </c>
      <c r="C1635" s="742">
        <f>Calculs!BY1707</f>
        <v>0</v>
      </c>
      <c r="D1635" s="742">
        <f>Calculs!BZ1707</f>
        <v>0</v>
      </c>
      <c r="E1635" s="742">
        <f>Calculs!CA1707</f>
        <v>0</v>
      </c>
      <c r="F1635" s="742">
        <f>Calculs!CB1707</f>
        <v>0</v>
      </c>
      <c r="G1635" s="742">
        <f>Calculs!CC1707</f>
        <v>0</v>
      </c>
      <c r="H1635" s="742"/>
      <c r="I1635" s="742">
        <f>Calculs!CE1707</f>
        <v>0</v>
      </c>
      <c r="J1635" s="742">
        <f>Calculs!CF1707</f>
        <v>0</v>
      </c>
      <c r="K1635" s="742"/>
      <c r="L1635" s="742">
        <f>Calculs!CH1707</f>
        <v>0</v>
      </c>
    </row>
    <row r="1636" spans="2:12">
      <c r="B1636" s="742">
        <f>Calculs!B1708</f>
        <v>0</v>
      </c>
      <c r="C1636" s="742">
        <f>Calculs!BY1708</f>
        <v>0</v>
      </c>
      <c r="D1636" s="742">
        <f>Calculs!BZ1708</f>
        <v>0</v>
      </c>
      <c r="E1636" s="742">
        <f>Calculs!CA1708</f>
        <v>0</v>
      </c>
      <c r="F1636" s="742">
        <f>Calculs!CB1708</f>
        <v>0</v>
      </c>
      <c r="G1636" s="742">
        <f>Calculs!CC1708</f>
        <v>0</v>
      </c>
      <c r="H1636" s="742"/>
      <c r="I1636" s="742">
        <f>Calculs!CE1708</f>
        <v>0</v>
      </c>
      <c r="J1636" s="742">
        <f>Calculs!CF1708</f>
        <v>0</v>
      </c>
      <c r="K1636" s="742"/>
      <c r="L1636" s="742">
        <f>Calculs!CH1708</f>
        <v>0</v>
      </c>
    </row>
    <row r="1637" spans="2:12">
      <c r="B1637" s="742">
        <f>Calculs!B1709</f>
        <v>0</v>
      </c>
      <c r="C1637" s="742">
        <f>Calculs!BY1709</f>
        <v>0</v>
      </c>
      <c r="D1637" s="742">
        <f>Calculs!BZ1709</f>
        <v>0</v>
      </c>
      <c r="E1637" s="742">
        <f>Calculs!CA1709</f>
        <v>0</v>
      </c>
      <c r="F1637" s="742">
        <f>Calculs!CB1709</f>
        <v>0</v>
      </c>
      <c r="G1637" s="742">
        <f>Calculs!CC1709</f>
        <v>0</v>
      </c>
      <c r="H1637" s="742"/>
      <c r="I1637" s="742">
        <f>Calculs!CE1709</f>
        <v>0</v>
      </c>
      <c r="J1637" s="742">
        <f>Calculs!CF1709</f>
        <v>0</v>
      </c>
      <c r="K1637" s="742"/>
      <c r="L1637" s="742">
        <f>Calculs!CH1709</f>
        <v>0</v>
      </c>
    </row>
    <row r="1638" spans="2:12">
      <c r="B1638" s="742">
        <f>Calculs!B1710</f>
        <v>0</v>
      </c>
      <c r="C1638" s="742">
        <f>Calculs!BY1710</f>
        <v>0</v>
      </c>
      <c r="D1638" s="742">
        <f>Calculs!BZ1710</f>
        <v>0</v>
      </c>
      <c r="E1638" s="742">
        <f>Calculs!CA1710</f>
        <v>0</v>
      </c>
      <c r="F1638" s="742">
        <f>Calculs!CB1710</f>
        <v>0</v>
      </c>
      <c r="G1638" s="742">
        <f>Calculs!CC1710</f>
        <v>0</v>
      </c>
      <c r="H1638" s="742"/>
      <c r="I1638" s="742">
        <f>Calculs!CE1710</f>
        <v>0</v>
      </c>
      <c r="J1638" s="742">
        <f>Calculs!CF1710</f>
        <v>0</v>
      </c>
      <c r="K1638" s="742"/>
      <c r="L1638" s="742">
        <f>Calculs!CH1710</f>
        <v>0</v>
      </c>
    </row>
    <row r="1639" spans="2:12">
      <c r="B1639" s="742">
        <f>Calculs!B1711</f>
        <v>0</v>
      </c>
      <c r="C1639" s="742">
        <f>Calculs!BY1711</f>
        <v>0</v>
      </c>
      <c r="D1639" s="742">
        <f>Calculs!BZ1711</f>
        <v>0</v>
      </c>
      <c r="E1639" s="742">
        <f>Calculs!CA1711</f>
        <v>0</v>
      </c>
      <c r="F1639" s="742">
        <f>Calculs!CB1711</f>
        <v>0</v>
      </c>
      <c r="G1639" s="742">
        <f>Calculs!CC1711</f>
        <v>0</v>
      </c>
      <c r="H1639" s="742"/>
      <c r="I1639" s="742">
        <f>Calculs!CE1711</f>
        <v>0</v>
      </c>
      <c r="J1639" s="742">
        <f>Calculs!CF1711</f>
        <v>0</v>
      </c>
      <c r="K1639" s="742"/>
      <c r="L1639" s="742">
        <f>Calculs!CH1711</f>
        <v>0</v>
      </c>
    </row>
    <row r="1640" spans="2:12">
      <c r="B1640" s="742">
        <f>Calculs!B1712</f>
        <v>0</v>
      </c>
      <c r="C1640" s="742">
        <f>Calculs!BY1712</f>
        <v>0</v>
      </c>
      <c r="D1640" s="742">
        <f>Calculs!BZ1712</f>
        <v>0</v>
      </c>
      <c r="E1640" s="742">
        <f>Calculs!CA1712</f>
        <v>0</v>
      </c>
      <c r="F1640" s="742">
        <f>Calculs!CB1712</f>
        <v>0</v>
      </c>
      <c r="G1640" s="742">
        <f>Calculs!CC1712</f>
        <v>0</v>
      </c>
      <c r="H1640" s="742"/>
      <c r="I1640" s="742">
        <f>Calculs!CE1712</f>
        <v>0</v>
      </c>
      <c r="J1640" s="742">
        <f>Calculs!CF1712</f>
        <v>0</v>
      </c>
      <c r="K1640" s="742"/>
      <c r="L1640" s="742">
        <f>Calculs!CH1712</f>
        <v>0</v>
      </c>
    </row>
    <row r="1641" spans="2:12">
      <c r="B1641" s="742">
        <f>Calculs!B1713</f>
        <v>0</v>
      </c>
      <c r="C1641" s="742">
        <f>Calculs!BY1713</f>
        <v>0</v>
      </c>
      <c r="D1641" s="742">
        <f>Calculs!BZ1713</f>
        <v>0</v>
      </c>
      <c r="E1641" s="742">
        <f>Calculs!CA1713</f>
        <v>0</v>
      </c>
      <c r="F1641" s="742">
        <f>Calculs!CB1713</f>
        <v>0</v>
      </c>
      <c r="G1641" s="742">
        <f>Calculs!CC1713</f>
        <v>0</v>
      </c>
      <c r="H1641" s="742"/>
      <c r="I1641" s="742">
        <f>Calculs!CE1713</f>
        <v>0</v>
      </c>
      <c r="J1641" s="742">
        <f>Calculs!CF1713</f>
        <v>0</v>
      </c>
      <c r="K1641" s="742"/>
      <c r="L1641" s="742">
        <f>Calculs!CH1713</f>
        <v>0</v>
      </c>
    </row>
    <row r="1642" spans="2:12">
      <c r="B1642" s="742">
        <f>Calculs!B1714</f>
        <v>0</v>
      </c>
      <c r="C1642" s="742">
        <f>Calculs!BY1714</f>
        <v>0</v>
      </c>
      <c r="D1642" s="742">
        <f>Calculs!BZ1714</f>
        <v>0</v>
      </c>
      <c r="E1642" s="742">
        <f>Calculs!CA1714</f>
        <v>0</v>
      </c>
      <c r="F1642" s="742">
        <f>Calculs!CB1714</f>
        <v>0</v>
      </c>
      <c r="G1642" s="742">
        <f>Calculs!CC1714</f>
        <v>0</v>
      </c>
      <c r="H1642" s="742"/>
      <c r="I1642" s="742">
        <f>Calculs!CE1714</f>
        <v>0</v>
      </c>
      <c r="J1642" s="742">
        <f>Calculs!CF1714</f>
        <v>0</v>
      </c>
      <c r="K1642" s="742"/>
      <c r="L1642" s="742">
        <f>Calculs!CH1714</f>
        <v>0</v>
      </c>
    </row>
    <row r="1643" spans="2:12">
      <c r="B1643" s="742">
        <f>Calculs!B1715</f>
        <v>0</v>
      </c>
      <c r="C1643" s="742">
        <f>Calculs!BY1715</f>
        <v>0</v>
      </c>
      <c r="D1643" s="742">
        <f>Calculs!BZ1715</f>
        <v>0</v>
      </c>
      <c r="E1643" s="742">
        <f>Calculs!CA1715</f>
        <v>0</v>
      </c>
      <c r="F1643" s="742">
        <f>Calculs!CB1715</f>
        <v>0</v>
      </c>
      <c r="G1643" s="742">
        <f>Calculs!CC1715</f>
        <v>0</v>
      </c>
      <c r="H1643" s="742"/>
      <c r="I1643" s="742">
        <f>Calculs!CE1715</f>
        <v>0</v>
      </c>
      <c r="J1643" s="742">
        <f>Calculs!CF1715</f>
        <v>0</v>
      </c>
      <c r="K1643" s="742"/>
      <c r="L1643" s="742">
        <f>Calculs!CH1715</f>
        <v>0</v>
      </c>
    </row>
    <row r="1644" spans="2:12">
      <c r="B1644" s="742">
        <f>Calculs!B1716</f>
        <v>0</v>
      </c>
      <c r="C1644" s="742">
        <f>Calculs!BY1716</f>
        <v>0</v>
      </c>
      <c r="D1644" s="742">
        <f>Calculs!BZ1716</f>
        <v>0</v>
      </c>
      <c r="E1644" s="742">
        <f>Calculs!CA1716</f>
        <v>0</v>
      </c>
      <c r="F1644" s="742">
        <f>Calculs!CB1716</f>
        <v>0</v>
      </c>
      <c r="G1644" s="742">
        <f>Calculs!CC1716</f>
        <v>0</v>
      </c>
      <c r="H1644" s="742"/>
      <c r="I1644" s="742">
        <f>Calculs!CE1716</f>
        <v>0</v>
      </c>
      <c r="J1644" s="742">
        <f>Calculs!CF1716</f>
        <v>0</v>
      </c>
      <c r="K1644" s="742"/>
      <c r="L1644" s="742">
        <f>Calculs!CH1716</f>
        <v>0</v>
      </c>
    </row>
    <row r="1645" spans="2:12">
      <c r="B1645" s="742">
        <f>Calculs!B1717</f>
        <v>0</v>
      </c>
      <c r="C1645" s="742">
        <f>Calculs!BY1717</f>
        <v>0</v>
      </c>
      <c r="D1645" s="742">
        <f>Calculs!BZ1717</f>
        <v>0</v>
      </c>
      <c r="E1645" s="742">
        <f>Calculs!CA1717</f>
        <v>0</v>
      </c>
      <c r="F1645" s="742">
        <f>Calculs!CB1717</f>
        <v>0</v>
      </c>
      <c r="G1645" s="742">
        <f>Calculs!CC1717</f>
        <v>0</v>
      </c>
      <c r="H1645" s="742"/>
      <c r="I1645" s="742">
        <f>Calculs!CE1717</f>
        <v>0</v>
      </c>
      <c r="J1645" s="742">
        <f>Calculs!CF1717</f>
        <v>0</v>
      </c>
      <c r="K1645" s="742"/>
      <c r="L1645" s="742">
        <f>Calculs!CH1717</f>
        <v>0</v>
      </c>
    </row>
    <row r="1646" spans="2:12">
      <c r="B1646" s="742">
        <f>Calculs!B1718</f>
        <v>0</v>
      </c>
      <c r="C1646" s="742">
        <f>Calculs!BY1718</f>
        <v>0</v>
      </c>
      <c r="D1646" s="742">
        <f>Calculs!BZ1718</f>
        <v>0</v>
      </c>
      <c r="E1646" s="742">
        <f>Calculs!CA1718</f>
        <v>0</v>
      </c>
      <c r="F1646" s="742">
        <f>Calculs!CB1718</f>
        <v>0</v>
      </c>
      <c r="G1646" s="742">
        <f>Calculs!CC1718</f>
        <v>0</v>
      </c>
      <c r="H1646" s="742"/>
      <c r="I1646" s="742">
        <f>Calculs!CE1718</f>
        <v>0</v>
      </c>
      <c r="J1646" s="742">
        <f>Calculs!CF1718</f>
        <v>0</v>
      </c>
      <c r="K1646" s="742"/>
      <c r="L1646" s="742">
        <f>Calculs!CH1718</f>
        <v>0</v>
      </c>
    </row>
    <row r="1647" spans="2:12">
      <c r="B1647" s="742">
        <f>Calculs!B1719</f>
        <v>0</v>
      </c>
      <c r="C1647" s="742">
        <f>Calculs!BY1719</f>
        <v>0</v>
      </c>
      <c r="D1647" s="742">
        <f>Calculs!BZ1719</f>
        <v>0</v>
      </c>
      <c r="E1647" s="742">
        <f>Calculs!CA1719</f>
        <v>0</v>
      </c>
      <c r="F1647" s="742">
        <f>Calculs!CB1719</f>
        <v>0</v>
      </c>
      <c r="G1647" s="742">
        <f>Calculs!CC1719</f>
        <v>0</v>
      </c>
      <c r="H1647" s="742"/>
      <c r="I1647" s="742">
        <f>Calculs!CE1719</f>
        <v>0</v>
      </c>
      <c r="J1647" s="742">
        <f>Calculs!CF1719</f>
        <v>0</v>
      </c>
      <c r="K1647" s="742"/>
      <c r="L1647" s="742">
        <f>Calculs!CH1719</f>
        <v>0</v>
      </c>
    </row>
    <row r="1648" spans="2:12">
      <c r="B1648" s="742">
        <f>Calculs!B1720</f>
        <v>0</v>
      </c>
      <c r="C1648" s="742">
        <f>Calculs!BY1720</f>
        <v>0</v>
      </c>
      <c r="D1648" s="742">
        <f>Calculs!BZ1720</f>
        <v>0</v>
      </c>
      <c r="E1648" s="742">
        <f>Calculs!CA1720</f>
        <v>0</v>
      </c>
      <c r="F1648" s="742">
        <f>Calculs!CB1720</f>
        <v>0</v>
      </c>
      <c r="G1648" s="742">
        <f>Calculs!CC1720</f>
        <v>0</v>
      </c>
      <c r="H1648" s="742"/>
      <c r="I1648" s="742">
        <f>Calculs!CE1720</f>
        <v>0</v>
      </c>
      <c r="J1648" s="742">
        <f>Calculs!CF1720</f>
        <v>0</v>
      </c>
      <c r="K1648" s="742"/>
      <c r="L1648" s="742">
        <f>Calculs!CH1720</f>
        <v>0</v>
      </c>
    </row>
    <row r="1649" spans="2:12">
      <c r="B1649" s="742">
        <f>Calculs!B1721</f>
        <v>0</v>
      </c>
      <c r="C1649" s="742">
        <f>Calculs!BY1721</f>
        <v>0</v>
      </c>
      <c r="D1649" s="742">
        <f>Calculs!BZ1721</f>
        <v>0</v>
      </c>
      <c r="E1649" s="742">
        <f>Calculs!CA1721</f>
        <v>0</v>
      </c>
      <c r="F1649" s="742">
        <f>Calculs!CB1721</f>
        <v>0</v>
      </c>
      <c r="G1649" s="742">
        <f>Calculs!CC1721</f>
        <v>0</v>
      </c>
      <c r="H1649" s="742"/>
      <c r="I1649" s="742">
        <f>Calculs!CE1721</f>
        <v>0</v>
      </c>
      <c r="J1649" s="742">
        <f>Calculs!CF1721</f>
        <v>0</v>
      </c>
      <c r="K1649" s="742"/>
      <c r="L1649" s="742">
        <f>Calculs!CH1721</f>
        <v>0</v>
      </c>
    </row>
    <row r="1650" spans="2:12">
      <c r="B1650" s="742">
        <f>Calculs!B1722</f>
        <v>0</v>
      </c>
      <c r="C1650" s="742">
        <f>Calculs!BY1722</f>
        <v>0</v>
      </c>
      <c r="D1650" s="742">
        <f>Calculs!BZ1722</f>
        <v>0</v>
      </c>
      <c r="E1650" s="742">
        <f>Calculs!CA1722</f>
        <v>0</v>
      </c>
      <c r="F1650" s="742">
        <f>Calculs!CB1722</f>
        <v>0</v>
      </c>
      <c r="G1650" s="742">
        <f>Calculs!CC1722</f>
        <v>0</v>
      </c>
      <c r="H1650" s="742"/>
      <c r="I1650" s="742">
        <f>Calculs!CE1722</f>
        <v>0</v>
      </c>
      <c r="J1650" s="742">
        <f>Calculs!CF1722</f>
        <v>0</v>
      </c>
      <c r="K1650" s="742"/>
      <c r="L1650" s="742">
        <f>Calculs!CH1722</f>
        <v>0</v>
      </c>
    </row>
    <row r="1651" spans="2:12">
      <c r="B1651" s="742">
        <f>Calculs!B1723</f>
        <v>0</v>
      </c>
      <c r="C1651" s="742">
        <f>Calculs!BY1723</f>
        <v>0</v>
      </c>
      <c r="D1651" s="742">
        <f>Calculs!BZ1723</f>
        <v>0</v>
      </c>
      <c r="E1651" s="742">
        <f>Calculs!CA1723</f>
        <v>0</v>
      </c>
      <c r="F1651" s="742">
        <f>Calculs!CB1723</f>
        <v>0</v>
      </c>
      <c r="G1651" s="742">
        <f>Calculs!CC1723</f>
        <v>0</v>
      </c>
      <c r="H1651" s="742"/>
      <c r="I1651" s="742">
        <f>Calculs!CE1723</f>
        <v>0</v>
      </c>
      <c r="J1651" s="742">
        <f>Calculs!CF1723</f>
        <v>0</v>
      </c>
      <c r="K1651" s="742"/>
      <c r="L1651" s="742">
        <f>Calculs!CH1723</f>
        <v>0</v>
      </c>
    </row>
    <row r="1652" spans="2:12">
      <c r="B1652" s="742">
        <f>Calculs!B1724</f>
        <v>0</v>
      </c>
      <c r="C1652" s="742">
        <f>Calculs!BY1724</f>
        <v>0</v>
      </c>
      <c r="D1652" s="742">
        <f>Calculs!BZ1724</f>
        <v>0</v>
      </c>
      <c r="E1652" s="742">
        <f>Calculs!CA1724</f>
        <v>0</v>
      </c>
      <c r="F1652" s="742">
        <f>Calculs!CB1724</f>
        <v>0</v>
      </c>
      <c r="G1652" s="742">
        <f>Calculs!CC1724</f>
        <v>0</v>
      </c>
      <c r="H1652" s="742"/>
      <c r="I1652" s="742">
        <f>Calculs!CE1724</f>
        <v>0</v>
      </c>
      <c r="J1652" s="742">
        <f>Calculs!CF1724</f>
        <v>0</v>
      </c>
      <c r="K1652" s="742"/>
      <c r="L1652" s="742">
        <f>Calculs!CH1724</f>
        <v>0</v>
      </c>
    </row>
    <row r="1653" spans="2:12">
      <c r="B1653" s="742">
        <f>Calculs!B1725</f>
        <v>0</v>
      </c>
      <c r="C1653" s="742">
        <f>Calculs!BY1725</f>
        <v>0</v>
      </c>
      <c r="D1653" s="742">
        <f>Calculs!BZ1725</f>
        <v>0</v>
      </c>
      <c r="E1653" s="742">
        <f>Calculs!CA1725</f>
        <v>0</v>
      </c>
      <c r="F1653" s="742">
        <f>Calculs!CB1725</f>
        <v>0</v>
      </c>
      <c r="G1653" s="742">
        <f>Calculs!CC1725</f>
        <v>0</v>
      </c>
      <c r="H1653" s="742"/>
      <c r="I1653" s="742">
        <f>Calculs!CE1725</f>
        <v>0</v>
      </c>
      <c r="J1653" s="742">
        <f>Calculs!CF1725</f>
        <v>0</v>
      </c>
      <c r="K1653" s="742"/>
      <c r="L1653" s="742">
        <f>Calculs!CH1725</f>
        <v>0</v>
      </c>
    </row>
    <row r="1654" spans="2:12">
      <c r="B1654" s="742">
        <f>Calculs!B1726</f>
        <v>0</v>
      </c>
      <c r="C1654" s="742">
        <f>Calculs!BY1726</f>
        <v>0</v>
      </c>
      <c r="D1654" s="742">
        <f>Calculs!BZ1726</f>
        <v>0</v>
      </c>
      <c r="E1654" s="742">
        <f>Calculs!CA1726</f>
        <v>0</v>
      </c>
      <c r="F1654" s="742">
        <f>Calculs!CB1726</f>
        <v>0</v>
      </c>
      <c r="G1654" s="742">
        <f>Calculs!CC1726</f>
        <v>0</v>
      </c>
      <c r="H1654" s="742"/>
      <c r="I1654" s="742">
        <f>Calculs!CE1726</f>
        <v>0</v>
      </c>
      <c r="J1654" s="742">
        <f>Calculs!CF1726</f>
        <v>0</v>
      </c>
      <c r="K1654" s="742"/>
      <c r="L1654" s="742">
        <f>Calculs!CH1726</f>
        <v>0</v>
      </c>
    </row>
    <row r="1655" spans="2:12">
      <c r="B1655" s="742">
        <f>Calculs!B1727</f>
        <v>0</v>
      </c>
      <c r="C1655" s="742">
        <f>Calculs!BY1727</f>
        <v>0</v>
      </c>
      <c r="D1655" s="742">
        <f>Calculs!BZ1727</f>
        <v>0</v>
      </c>
      <c r="E1655" s="742">
        <f>Calculs!CA1727</f>
        <v>0</v>
      </c>
      <c r="F1655" s="742">
        <f>Calculs!CB1727</f>
        <v>0</v>
      </c>
      <c r="G1655" s="742">
        <f>Calculs!CC1727</f>
        <v>0</v>
      </c>
      <c r="H1655" s="742"/>
      <c r="I1655" s="742">
        <f>Calculs!CE1727</f>
        <v>0</v>
      </c>
      <c r="J1655" s="742">
        <f>Calculs!CF1727</f>
        <v>0</v>
      </c>
      <c r="K1655" s="742"/>
      <c r="L1655" s="742">
        <f>Calculs!CH1727</f>
        <v>0</v>
      </c>
    </row>
    <row r="1656" spans="2:12">
      <c r="B1656" s="742">
        <f>Calculs!B1728</f>
        <v>0</v>
      </c>
      <c r="C1656" s="742">
        <f>Calculs!BY1728</f>
        <v>0</v>
      </c>
      <c r="D1656" s="742">
        <f>Calculs!BZ1728</f>
        <v>0</v>
      </c>
      <c r="E1656" s="742">
        <f>Calculs!CA1728</f>
        <v>0</v>
      </c>
      <c r="F1656" s="742">
        <f>Calculs!CB1728</f>
        <v>0</v>
      </c>
      <c r="G1656" s="742">
        <f>Calculs!CC1728</f>
        <v>0</v>
      </c>
      <c r="H1656" s="742"/>
      <c r="I1656" s="742">
        <f>Calculs!CE1728</f>
        <v>0</v>
      </c>
      <c r="J1656" s="742">
        <f>Calculs!CF1728</f>
        <v>0</v>
      </c>
      <c r="K1656" s="742"/>
      <c r="L1656" s="742">
        <f>Calculs!CH1728</f>
        <v>0</v>
      </c>
    </row>
    <row r="1657" spans="2:12">
      <c r="B1657" s="742">
        <f>Calculs!B1729</f>
        <v>0</v>
      </c>
      <c r="C1657" s="742">
        <f>Calculs!BY1729</f>
        <v>0</v>
      </c>
      <c r="D1657" s="742">
        <f>Calculs!BZ1729</f>
        <v>0</v>
      </c>
      <c r="E1657" s="742">
        <f>Calculs!CA1729</f>
        <v>0</v>
      </c>
      <c r="F1657" s="742">
        <f>Calculs!CB1729</f>
        <v>0</v>
      </c>
      <c r="G1657" s="742">
        <f>Calculs!CC1729</f>
        <v>0</v>
      </c>
      <c r="H1657" s="742"/>
      <c r="I1657" s="742">
        <f>Calculs!CE1729</f>
        <v>0</v>
      </c>
      <c r="J1657" s="742">
        <f>Calculs!CF1729</f>
        <v>0</v>
      </c>
      <c r="K1657" s="742"/>
      <c r="L1657" s="742">
        <f>Calculs!CH1729</f>
        <v>0</v>
      </c>
    </row>
    <row r="1658" spans="2:12">
      <c r="B1658" s="742">
        <f>Calculs!B1730</f>
        <v>0</v>
      </c>
      <c r="C1658" s="742">
        <f>Calculs!BY1730</f>
        <v>0</v>
      </c>
      <c r="D1658" s="742">
        <f>Calculs!BZ1730</f>
        <v>0</v>
      </c>
      <c r="E1658" s="742">
        <f>Calculs!CA1730</f>
        <v>0</v>
      </c>
      <c r="F1658" s="742">
        <f>Calculs!CB1730</f>
        <v>0</v>
      </c>
      <c r="G1658" s="742">
        <f>Calculs!CC1730</f>
        <v>0</v>
      </c>
      <c r="H1658" s="742"/>
      <c r="I1658" s="742">
        <f>Calculs!CE1730</f>
        <v>0</v>
      </c>
      <c r="J1658" s="742">
        <f>Calculs!CF1730</f>
        <v>0</v>
      </c>
      <c r="K1658" s="742"/>
      <c r="L1658" s="742">
        <f>Calculs!CH1730</f>
        <v>0</v>
      </c>
    </row>
    <row r="1659" spans="2:12">
      <c r="B1659" s="742">
        <f>Calculs!B1731</f>
        <v>0</v>
      </c>
      <c r="C1659" s="742">
        <f>Calculs!BY1731</f>
        <v>0</v>
      </c>
      <c r="D1659" s="742">
        <f>Calculs!BZ1731</f>
        <v>0</v>
      </c>
      <c r="E1659" s="742">
        <f>Calculs!CA1731</f>
        <v>0</v>
      </c>
      <c r="F1659" s="742">
        <f>Calculs!CB1731</f>
        <v>0</v>
      </c>
      <c r="G1659" s="742">
        <f>Calculs!CC1731</f>
        <v>0</v>
      </c>
      <c r="H1659" s="742"/>
      <c r="I1659" s="742">
        <f>Calculs!CE1731</f>
        <v>0</v>
      </c>
      <c r="J1659" s="742">
        <f>Calculs!CF1731</f>
        <v>0</v>
      </c>
      <c r="K1659" s="742"/>
      <c r="L1659" s="742">
        <f>Calculs!CH1731</f>
        <v>0</v>
      </c>
    </row>
    <row r="1660" spans="2:12">
      <c r="B1660" s="742">
        <f>Calculs!B1732</f>
        <v>0</v>
      </c>
      <c r="C1660" s="742">
        <f>Calculs!BY1732</f>
        <v>0</v>
      </c>
      <c r="D1660" s="742">
        <f>Calculs!BZ1732</f>
        <v>0</v>
      </c>
      <c r="E1660" s="742">
        <f>Calculs!CA1732</f>
        <v>0</v>
      </c>
      <c r="F1660" s="742">
        <f>Calculs!CB1732</f>
        <v>0</v>
      </c>
      <c r="G1660" s="742">
        <f>Calculs!CC1732</f>
        <v>0</v>
      </c>
      <c r="H1660" s="742"/>
      <c r="I1660" s="742">
        <f>Calculs!CE1732</f>
        <v>0</v>
      </c>
      <c r="J1660" s="742">
        <f>Calculs!CF1732</f>
        <v>0</v>
      </c>
      <c r="K1660" s="742"/>
      <c r="L1660" s="742">
        <f>Calculs!CH1732</f>
        <v>0</v>
      </c>
    </row>
    <row r="1661" spans="2:12">
      <c r="B1661" s="742">
        <f>Calculs!B1733</f>
        <v>0</v>
      </c>
      <c r="C1661" s="742">
        <f>Calculs!BY1733</f>
        <v>0</v>
      </c>
      <c r="D1661" s="742">
        <f>Calculs!BZ1733</f>
        <v>0</v>
      </c>
      <c r="E1661" s="742">
        <f>Calculs!CA1733</f>
        <v>0</v>
      </c>
      <c r="F1661" s="742">
        <f>Calculs!CB1733</f>
        <v>0</v>
      </c>
      <c r="G1661" s="742">
        <f>Calculs!CC1733</f>
        <v>0</v>
      </c>
      <c r="H1661" s="742"/>
      <c r="I1661" s="742">
        <f>Calculs!CE1733</f>
        <v>0</v>
      </c>
      <c r="J1661" s="742">
        <f>Calculs!CF1733</f>
        <v>0</v>
      </c>
      <c r="K1661" s="742"/>
      <c r="L1661" s="742">
        <f>Calculs!CH1733</f>
        <v>0</v>
      </c>
    </row>
    <row r="1662" spans="2:12">
      <c r="B1662" s="742">
        <f>Calculs!B1734</f>
        <v>0</v>
      </c>
      <c r="C1662" s="742">
        <f>Calculs!BY1734</f>
        <v>0</v>
      </c>
      <c r="D1662" s="742">
        <f>Calculs!BZ1734</f>
        <v>0</v>
      </c>
      <c r="E1662" s="742">
        <f>Calculs!CA1734</f>
        <v>0</v>
      </c>
      <c r="F1662" s="742">
        <f>Calculs!CB1734</f>
        <v>0</v>
      </c>
      <c r="G1662" s="742">
        <f>Calculs!CC1734</f>
        <v>0</v>
      </c>
      <c r="H1662" s="742"/>
      <c r="I1662" s="742">
        <f>Calculs!CE1734</f>
        <v>0</v>
      </c>
      <c r="J1662" s="742">
        <f>Calculs!CF1734</f>
        <v>0</v>
      </c>
      <c r="K1662" s="742"/>
      <c r="L1662" s="742">
        <f>Calculs!CH1734</f>
        <v>0</v>
      </c>
    </row>
    <row r="1663" spans="2:12">
      <c r="B1663" s="742">
        <f>Calculs!B1735</f>
        <v>0</v>
      </c>
      <c r="C1663" s="742">
        <f>Calculs!BY1735</f>
        <v>0</v>
      </c>
      <c r="D1663" s="742">
        <f>Calculs!BZ1735</f>
        <v>0</v>
      </c>
      <c r="E1663" s="742">
        <f>Calculs!CA1735</f>
        <v>0</v>
      </c>
      <c r="F1663" s="742">
        <f>Calculs!CB1735</f>
        <v>0</v>
      </c>
      <c r="G1663" s="742">
        <f>Calculs!CC1735</f>
        <v>0</v>
      </c>
      <c r="H1663" s="742"/>
      <c r="I1663" s="742">
        <f>Calculs!CE1735</f>
        <v>0</v>
      </c>
      <c r="J1663" s="742">
        <f>Calculs!CF1735</f>
        <v>0</v>
      </c>
      <c r="K1663" s="742"/>
      <c r="L1663" s="742">
        <f>Calculs!CH1735</f>
        <v>0</v>
      </c>
    </row>
    <row r="1664" spans="2:12">
      <c r="B1664" s="742">
        <f>Calculs!B1736</f>
        <v>0</v>
      </c>
      <c r="C1664" s="742">
        <f>Calculs!BY1736</f>
        <v>0</v>
      </c>
      <c r="D1664" s="742">
        <f>Calculs!BZ1736</f>
        <v>0</v>
      </c>
      <c r="E1664" s="742">
        <f>Calculs!CA1736</f>
        <v>0</v>
      </c>
      <c r="F1664" s="742">
        <f>Calculs!CB1736</f>
        <v>0</v>
      </c>
      <c r="G1664" s="742">
        <f>Calculs!CC1736</f>
        <v>0</v>
      </c>
      <c r="H1664" s="742"/>
      <c r="I1664" s="742">
        <f>Calculs!CE1736</f>
        <v>0</v>
      </c>
      <c r="J1664" s="742">
        <f>Calculs!CF1736</f>
        <v>0</v>
      </c>
      <c r="K1664" s="742"/>
      <c r="L1664" s="742">
        <f>Calculs!CH1736</f>
        <v>0</v>
      </c>
    </row>
    <row r="1665" spans="2:12">
      <c r="B1665" s="742">
        <f>Calculs!B1737</f>
        <v>0</v>
      </c>
      <c r="C1665" s="742">
        <f>Calculs!BY1737</f>
        <v>0</v>
      </c>
      <c r="D1665" s="742">
        <f>Calculs!BZ1737</f>
        <v>0</v>
      </c>
      <c r="E1665" s="742">
        <f>Calculs!CA1737</f>
        <v>0</v>
      </c>
      <c r="F1665" s="742">
        <f>Calculs!CB1737</f>
        <v>0</v>
      </c>
      <c r="G1665" s="742">
        <f>Calculs!CC1737</f>
        <v>0</v>
      </c>
      <c r="H1665" s="742"/>
      <c r="I1665" s="742">
        <f>Calculs!CE1737</f>
        <v>0</v>
      </c>
      <c r="J1665" s="742">
        <f>Calculs!CF1737</f>
        <v>0</v>
      </c>
      <c r="K1665" s="742"/>
      <c r="L1665" s="742">
        <f>Calculs!CH1737</f>
        <v>0</v>
      </c>
    </row>
    <row r="1666" spans="2:12">
      <c r="B1666" s="742">
        <f>Calculs!B1738</f>
        <v>0</v>
      </c>
      <c r="C1666" s="742">
        <f>Calculs!BY1738</f>
        <v>0</v>
      </c>
      <c r="D1666" s="742">
        <f>Calculs!BZ1738</f>
        <v>0</v>
      </c>
      <c r="E1666" s="742">
        <f>Calculs!CA1738</f>
        <v>0</v>
      </c>
      <c r="F1666" s="742">
        <f>Calculs!CB1738</f>
        <v>0</v>
      </c>
      <c r="G1666" s="742">
        <f>Calculs!CC1738</f>
        <v>0</v>
      </c>
      <c r="H1666" s="742"/>
      <c r="I1666" s="742">
        <f>Calculs!CE1738</f>
        <v>0</v>
      </c>
      <c r="J1666" s="742">
        <f>Calculs!CF1738</f>
        <v>0</v>
      </c>
      <c r="K1666" s="742"/>
      <c r="L1666" s="742">
        <f>Calculs!CH1738</f>
        <v>0</v>
      </c>
    </row>
    <row r="1667" spans="2:12">
      <c r="B1667" s="742">
        <f>Calculs!B1739</f>
        <v>0</v>
      </c>
      <c r="C1667" s="742">
        <f>Calculs!BY1739</f>
        <v>0</v>
      </c>
      <c r="D1667" s="742">
        <f>Calculs!BZ1739</f>
        <v>0</v>
      </c>
      <c r="E1667" s="742">
        <f>Calculs!CA1739</f>
        <v>0</v>
      </c>
      <c r="F1667" s="742">
        <f>Calculs!CB1739</f>
        <v>0</v>
      </c>
      <c r="G1667" s="742">
        <f>Calculs!CC1739</f>
        <v>0</v>
      </c>
      <c r="H1667" s="742"/>
      <c r="I1667" s="742">
        <f>Calculs!CE1739</f>
        <v>0</v>
      </c>
      <c r="J1667" s="742">
        <f>Calculs!CF1739</f>
        <v>0</v>
      </c>
      <c r="K1667" s="742"/>
      <c r="L1667" s="742">
        <f>Calculs!CH1739</f>
        <v>0</v>
      </c>
    </row>
    <row r="1668" spans="2:12">
      <c r="B1668" s="742">
        <f>Calculs!B1740</f>
        <v>0</v>
      </c>
      <c r="C1668" s="742">
        <f>Calculs!BY1740</f>
        <v>0</v>
      </c>
      <c r="D1668" s="742">
        <f>Calculs!BZ1740</f>
        <v>0</v>
      </c>
      <c r="E1668" s="742">
        <f>Calculs!CA1740</f>
        <v>0</v>
      </c>
      <c r="F1668" s="742">
        <f>Calculs!CB1740</f>
        <v>0</v>
      </c>
      <c r="G1668" s="742">
        <f>Calculs!CC1740</f>
        <v>0</v>
      </c>
      <c r="H1668" s="742"/>
      <c r="I1668" s="742">
        <f>Calculs!CE1740</f>
        <v>0</v>
      </c>
      <c r="J1668" s="742">
        <f>Calculs!CF1740</f>
        <v>0</v>
      </c>
      <c r="K1668" s="742"/>
      <c r="L1668" s="742">
        <f>Calculs!CH1740</f>
        <v>0</v>
      </c>
    </row>
    <row r="1669" spans="2:12">
      <c r="B1669" s="742">
        <f>Calculs!B1741</f>
        <v>0</v>
      </c>
      <c r="C1669" s="742">
        <f>Calculs!BY1741</f>
        <v>0</v>
      </c>
      <c r="D1669" s="742">
        <f>Calculs!BZ1741</f>
        <v>0</v>
      </c>
      <c r="E1669" s="742">
        <f>Calculs!CA1741</f>
        <v>0</v>
      </c>
      <c r="F1669" s="742">
        <f>Calculs!CB1741</f>
        <v>0</v>
      </c>
      <c r="G1669" s="742">
        <f>Calculs!CC1741</f>
        <v>0</v>
      </c>
      <c r="H1669" s="742"/>
      <c r="I1669" s="742">
        <f>Calculs!CE1741</f>
        <v>0</v>
      </c>
      <c r="J1669" s="742">
        <f>Calculs!CF1741</f>
        <v>0</v>
      </c>
      <c r="K1669" s="742"/>
      <c r="L1669" s="742">
        <f>Calculs!CH1741</f>
        <v>0</v>
      </c>
    </row>
    <row r="1670" spans="2:12">
      <c r="B1670" s="742">
        <f>Calculs!B1742</f>
        <v>0</v>
      </c>
      <c r="C1670" s="742">
        <f>Calculs!BY1742</f>
        <v>0</v>
      </c>
      <c r="D1670" s="742">
        <f>Calculs!BZ1742</f>
        <v>0</v>
      </c>
      <c r="E1670" s="742">
        <f>Calculs!CA1742</f>
        <v>0</v>
      </c>
      <c r="F1670" s="742">
        <f>Calculs!CB1742</f>
        <v>0</v>
      </c>
      <c r="G1670" s="742">
        <f>Calculs!CC1742</f>
        <v>0</v>
      </c>
      <c r="H1670" s="742"/>
      <c r="I1670" s="742">
        <f>Calculs!CE1742</f>
        <v>0</v>
      </c>
      <c r="J1670" s="742">
        <f>Calculs!CF1742</f>
        <v>0</v>
      </c>
      <c r="K1670" s="742"/>
      <c r="L1670" s="742">
        <f>Calculs!CH1742</f>
        <v>0</v>
      </c>
    </row>
    <row r="1671" spans="2:12">
      <c r="B1671" s="742">
        <f>Calculs!B1743</f>
        <v>0</v>
      </c>
      <c r="C1671" s="742">
        <f>Calculs!BY1743</f>
        <v>0</v>
      </c>
      <c r="D1671" s="742">
        <f>Calculs!BZ1743</f>
        <v>0</v>
      </c>
      <c r="E1671" s="742">
        <f>Calculs!CA1743</f>
        <v>0</v>
      </c>
      <c r="F1671" s="742">
        <f>Calculs!CB1743</f>
        <v>0</v>
      </c>
      <c r="G1671" s="742">
        <f>Calculs!CC1743</f>
        <v>0</v>
      </c>
      <c r="H1671" s="742"/>
      <c r="I1671" s="742">
        <f>Calculs!CE1743</f>
        <v>0</v>
      </c>
      <c r="J1671" s="742">
        <f>Calculs!CF1743</f>
        <v>0</v>
      </c>
      <c r="K1671" s="742"/>
      <c r="L1671" s="742">
        <f>Calculs!CH1743</f>
        <v>0</v>
      </c>
    </row>
    <row r="1672" spans="2:12">
      <c r="B1672" s="742">
        <f>Calculs!B1744</f>
        <v>0</v>
      </c>
      <c r="C1672" s="742">
        <f>Calculs!BY1744</f>
        <v>0</v>
      </c>
      <c r="D1672" s="742">
        <f>Calculs!BZ1744</f>
        <v>0</v>
      </c>
      <c r="E1672" s="742">
        <f>Calculs!CA1744</f>
        <v>0</v>
      </c>
      <c r="F1672" s="742">
        <f>Calculs!CB1744</f>
        <v>0</v>
      </c>
      <c r="G1672" s="742">
        <f>Calculs!CC1744</f>
        <v>0</v>
      </c>
      <c r="H1672" s="742"/>
      <c r="I1672" s="742">
        <f>Calculs!CE1744</f>
        <v>0</v>
      </c>
      <c r="J1672" s="742">
        <f>Calculs!CF1744</f>
        <v>0</v>
      </c>
      <c r="K1672" s="742"/>
      <c r="L1672" s="742">
        <f>Calculs!CH1744</f>
        <v>0</v>
      </c>
    </row>
    <row r="1673" spans="2:12">
      <c r="B1673" s="742">
        <f>Calculs!B1745</f>
        <v>0</v>
      </c>
      <c r="C1673" s="742">
        <f>Calculs!BY1745</f>
        <v>0</v>
      </c>
      <c r="D1673" s="742">
        <f>Calculs!BZ1745</f>
        <v>0</v>
      </c>
      <c r="E1673" s="742">
        <f>Calculs!CA1745</f>
        <v>0</v>
      </c>
      <c r="F1673" s="742">
        <f>Calculs!CB1745</f>
        <v>0</v>
      </c>
      <c r="G1673" s="742">
        <f>Calculs!CC1745</f>
        <v>0</v>
      </c>
      <c r="H1673" s="742"/>
      <c r="I1673" s="742">
        <f>Calculs!CE1745</f>
        <v>0</v>
      </c>
      <c r="J1673" s="742">
        <f>Calculs!CF1745</f>
        <v>0</v>
      </c>
      <c r="K1673" s="742"/>
      <c r="L1673" s="742">
        <f>Calculs!CH1745</f>
        <v>0</v>
      </c>
    </row>
    <row r="1674" spans="2:12">
      <c r="B1674" s="742">
        <f>Calculs!B1746</f>
        <v>0</v>
      </c>
      <c r="C1674" s="742">
        <f>Calculs!BY1746</f>
        <v>0</v>
      </c>
      <c r="D1674" s="742">
        <f>Calculs!BZ1746</f>
        <v>0</v>
      </c>
      <c r="E1674" s="742">
        <f>Calculs!CA1746</f>
        <v>0</v>
      </c>
      <c r="F1674" s="742">
        <f>Calculs!CB1746</f>
        <v>0</v>
      </c>
      <c r="G1674" s="742">
        <f>Calculs!CC1746</f>
        <v>0</v>
      </c>
      <c r="H1674" s="742"/>
      <c r="I1674" s="742">
        <f>Calculs!CE1746</f>
        <v>0</v>
      </c>
      <c r="J1674" s="742">
        <f>Calculs!CF1746</f>
        <v>0</v>
      </c>
      <c r="K1674" s="742"/>
      <c r="L1674" s="742">
        <f>Calculs!CH1746</f>
        <v>0</v>
      </c>
    </row>
    <row r="1675" spans="2:12">
      <c r="B1675" s="742">
        <f>Calculs!B1747</f>
        <v>0</v>
      </c>
      <c r="C1675" s="742">
        <f>Calculs!BY1747</f>
        <v>0</v>
      </c>
      <c r="D1675" s="742">
        <f>Calculs!BZ1747</f>
        <v>0</v>
      </c>
      <c r="E1675" s="742">
        <f>Calculs!CA1747</f>
        <v>0</v>
      </c>
      <c r="F1675" s="742">
        <f>Calculs!CB1747</f>
        <v>0</v>
      </c>
      <c r="G1675" s="742">
        <f>Calculs!CC1747</f>
        <v>0</v>
      </c>
      <c r="H1675" s="742"/>
      <c r="I1675" s="742">
        <f>Calculs!CE1747</f>
        <v>0</v>
      </c>
      <c r="J1675" s="742">
        <f>Calculs!CF1747</f>
        <v>0</v>
      </c>
      <c r="K1675" s="742"/>
      <c r="L1675" s="742">
        <f>Calculs!CH1747</f>
        <v>0</v>
      </c>
    </row>
    <row r="1676" spans="2:12">
      <c r="B1676" s="742">
        <f>Calculs!B1748</f>
        <v>0</v>
      </c>
      <c r="C1676" s="742">
        <f>Calculs!BY1748</f>
        <v>0</v>
      </c>
      <c r="D1676" s="742">
        <f>Calculs!BZ1748</f>
        <v>0</v>
      </c>
      <c r="E1676" s="742">
        <f>Calculs!CA1748</f>
        <v>0</v>
      </c>
      <c r="F1676" s="742">
        <f>Calculs!CB1748</f>
        <v>0</v>
      </c>
      <c r="G1676" s="742">
        <f>Calculs!CC1748</f>
        <v>0</v>
      </c>
      <c r="H1676" s="742"/>
      <c r="I1676" s="742">
        <f>Calculs!CE1748</f>
        <v>0</v>
      </c>
      <c r="J1676" s="742">
        <f>Calculs!CF1748</f>
        <v>0</v>
      </c>
      <c r="K1676" s="742"/>
      <c r="L1676" s="742">
        <f>Calculs!CH1748</f>
        <v>0</v>
      </c>
    </row>
    <row r="1677" spans="2:12">
      <c r="B1677" s="742">
        <f>Calculs!B1749</f>
        <v>0</v>
      </c>
      <c r="C1677" s="742">
        <f>Calculs!BY1749</f>
        <v>0</v>
      </c>
      <c r="D1677" s="742">
        <f>Calculs!BZ1749</f>
        <v>0</v>
      </c>
      <c r="E1677" s="742">
        <f>Calculs!CA1749</f>
        <v>0</v>
      </c>
      <c r="F1677" s="742">
        <f>Calculs!CB1749</f>
        <v>0</v>
      </c>
      <c r="G1677" s="742">
        <f>Calculs!CC1749</f>
        <v>0</v>
      </c>
      <c r="H1677" s="742"/>
      <c r="I1677" s="742">
        <f>Calculs!CE1749</f>
        <v>0</v>
      </c>
      <c r="J1677" s="742">
        <f>Calculs!CF1749</f>
        <v>0</v>
      </c>
      <c r="K1677" s="742"/>
      <c r="L1677" s="742">
        <f>Calculs!CH1749</f>
        <v>0</v>
      </c>
    </row>
    <row r="1678" spans="2:12">
      <c r="B1678" s="742">
        <f>Calculs!B1750</f>
        <v>0</v>
      </c>
      <c r="C1678" s="742">
        <f>Calculs!BY1750</f>
        <v>0</v>
      </c>
      <c r="D1678" s="742">
        <f>Calculs!BZ1750</f>
        <v>0</v>
      </c>
      <c r="E1678" s="742">
        <f>Calculs!CA1750</f>
        <v>0</v>
      </c>
      <c r="F1678" s="742">
        <f>Calculs!CB1750</f>
        <v>0</v>
      </c>
      <c r="G1678" s="742">
        <f>Calculs!CC1750</f>
        <v>0</v>
      </c>
      <c r="H1678" s="742"/>
      <c r="I1678" s="742">
        <f>Calculs!CE1750</f>
        <v>0</v>
      </c>
      <c r="J1678" s="742">
        <f>Calculs!CF1750</f>
        <v>0</v>
      </c>
      <c r="K1678" s="742"/>
      <c r="L1678" s="742">
        <f>Calculs!CH1750</f>
        <v>0</v>
      </c>
    </row>
    <row r="1679" spans="2:12">
      <c r="B1679" s="742">
        <f>Calculs!B1751</f>
        <v>0</v>
      </c>
      <c r="C1679" s="742">
        <f>Calculs!BY1751</f>
        <v>0</v>
      </c>
      <c r="D1679" s="742">
        <f>Calculs!BZ1751</f>
        <v>0</v>
      </c>
      <c r="E1679" s="742">
        <f>Calculs!CA1751</f>
        <v>0</v>
      </c>
      <c r="F1679" s="742">
        <f>Calculs!CB1751</f>
        <v>0</v>
      </c>
      <c r="G1679" s="742">
        <f>Calculs!CC1751</f>
        <v>0</v>
      </c>
      <c r="H1679" s="742"/>
      <c r="I1679" s="742">
        <f>Calculs!CE1751</f>
        <v>0</v>
      </c>
      <c r="J1679" s="742">
        <f>Calculs!CF1751</f>
        <v>0</v>
      </c>
      <c r="K1679" s="742"/>
      <c r="L1679" s="742">
        <f>Calculs!CH1751</f>
        <v>0</v>
      </c>
    </row>
    <row r="1680" spans="2:12">
      <c r="B1680" s="742">
        <f>Calculs!B1752</f>
        <v>0</v>
      </c>
      <c r="C1680" s="742">
        <f>Calculs!BY1752</f>
        <v>0</v>
      </c>
      <c r="D1680" s="742">
        <f>Calculs!BZ1752</f>
        <v>0</v>
      </c>
      <c r="E1680" s="742">
        <f>Calculs!CA1752</f>
        <v>0</v>
      </c>
      <c r="F1680" s="742">
        <f>Calculs!CB1752</f>
        <v>0</v>
      </c>
      <c r="G1680" s="742">
        <f>Calculs!CC1752</f>
        <v>0</v>
      </c>
      <c r="H1680" s="742"/>
      <c r="I1680" s="742">
        <f>Calculs!CE1752</f>
        <v>0</v>
      </c>
      <c r="J1680" s="742">
        <f>Calculs!CF1752</f>
        <v>0</v>
      </c>
      <c r="K1680" s="742"/>
      <c r="L1680" s="742">
        <f>Calculs!CH1752</f>
        <v>0</v>
      </c>
    </row>
    <row r="1681" spans="2:12">
      <c r="B1681" s="742">
        <f>Calculs!B1753</f>
        <v>0</v>
      </c>
      <c r="C1681" s="742">
        <f>Calculs!BY1753</f>
        <v>0</v>
      </c>
      <c r="D1681" s="742">
        <f>Calculs!BZ1753</f>
        <v>0</v>
      </c>
      <c r="E1681" s="742">
        <f>Calculs!CA1753</f>
        <v>0</v>
      </c>
      <c r="F1681" s="742">
        <f>Calculs!CB1753</f>
        <v>0</v>
      </c>
      <c r="G1681" s="742">
        <f>Calculs!CC1753</f>
        <v>0</v>
      </c>
      <c r="H1681" s="742"/>
      <c r="I1681" s="742">
        <f>Calculs!CE1753</f>
        <v>0</v>
      </c>
      <c r="J1681" s="742">
        <f>Calculs!CF1753</f>
        <v>0</v>
      </c>
      <c r="K1681" s="742"/>
      <c r="L1681" s="742">
        <f>Calculs!CH1753</f>
        <v>0</v>
      </c>
    </row>
    <row r="1682" spans="2:12">
      <c r="B1682" s="742">
        <f>Calculs!B1754</f>
        <v>0</v>
      </c>
      <c r="C1682" s="742">
        <f>Calculs!BY1754</f>
        <v>0</v>
      </c>
      <c r="D1682" s="742">
        <f>Calculs!BZ1754</f>
        <v>0</v>
      </c>
      <c r="E1682" s="742">
        <f>Calculs!CA1754</f>
        <v>0</v>
      </c>
      <c r="F1682" s="742">
        <f>Calculs!CB1754</f>
        <v>0</v>
      </c>
      <c r="G1682" s="742">
        <f>Calculs!CC1754</f>
        <v>0</v>
      </c>
      <c r="H1682" s="742"/>
      <c r="I1682" s="742">
        <f>Calculs!CE1754</f>
        <v>0</v>
      </c>
      <c r="J1682" s="742">
        <f>Calculs!CF1754</f>
        <v>0</v>
      </c>
      <c r="K1682" s="742"/>
      <c r="L1682" s="742">
        <f>Calculs!CH1754</f>
        <v>0</v>
      </c>
    </row>
    <row r="1683" spans="2:12">
      <c r="B1683" s="742">
        <f>Calculs!B1755</f>
        <v>0</v>
      </c>
      <c r="C1683" s="742">
        <f>Calculs!BY1755</f>
        <v>0</v>
      </c>
      <c r="D1683" s="742">
        <f>Calculs!BZ1755</f>
        <v>0</v>
      </c>
      <c r="E1683" s="742">
        <f>Calculs!CA1755</f>
        <v>0</v>
      </c>
      <c r="F1683" s="742">
        <f>Calculs!CB1755</f>
        <v>0</v>
      </c>
      <c r="G1683" s="742">
        <f>Calculs!CC1755</f>
        <v>0</v>
      </c>
      <c r="H1683" s="742"/>
      <c r="I1683" s="742">
        <f>Calculs!CE1755</f>
        <v>0</v>
      </c>
      <c r="J1683" s="742">
        <f>Calculs!CF1755</f>
        <v>0</v>
      </c>
      <c r="K1683" s="742"/>
      <c r="L1683" s="742">
        <f>Calculs!CH1755</f>
        <v>0</v>
      </c>
    </row>
    <row r="1684" spans="2:12">
      <c r="B1684" s="742">
        <f>Calculs!B1756</f>
        <v>0</v>
      </c>
      <c r="C1684" s="742">
        <f>Calculs!BY1756</f>
        <v>0</v>
      </c>
      <c r="D1684" s="742">
        <f>Calculs!BZ1756</f>
        <v>0</v>
      </c>
      <c r="E1684" s="742">
        <f>Calculs!CA1756</f>
        <v>0</v>
      </c>
      <c r="F1684" s="742">
        <f>Calculs!CB1756</f>
        <v>0</v>
      </c>
      <c r="G1684" s="742">
        <f>Calculs!CC1756</f>
        <v>0</v>
      </c>
      <c r="H1684" s="742"/>
      <c r="I1684" s="742">
        <f>Calculs!CE1756</f>
        <v>0</v>
      </c>
      <c r="J1684" s="742">
        <f>Calculs!CF1756</f>
        <v>0</v>
      </c>
      <c r="K1684" s="742"/>
      <c r="L1684" s="742">
        <f>Calculs!CH1756</f>
        <v>0</v>
      </c>
    </row>
    <row r="1685" spans="2:12">
      <c r="B1685" s="742">
        <f>Calculs!B1757</f>
        <v>0</v>
      </c>
      <c r="C1685" s="742">
        <f>Calculs!BY1757</f>
        <v>0</v>
      </c>
      <c r="D1685" s="742">
        <f>Calculs!BZ1757</f>
        <v>0</v>
      </c>
      <c r="E1685" s="742">
        <f>Calculs!CA1757</f>
        <v>0</v>
      </c>
      <c r="F1685" s="742">
        <f>Calculs!CB1757</f>
        <v>0</v>
      </c>
      <c r="G1685" s="742">
        <f>Calculs!CC1757</f>
        <v>0</v>
      </c>
      <c r="H1685" s="742"/>
      <c r="I1685" s="742">
        <f>Calculs!CE1757</f>
        <v>0</v>
      </c>
      <c r="J1685" s="742">
        <f>Calculs!CF1757</f>
        <v>0</v>
      </c>
      <c r="K1685" s="742"/>
      <c r="L1685" s="742">
        <f>Calculs!CH1757</f>
        <v>0</v>
      </c>
    </row>
    <row r="1686" spans="2:12">
      <c r="B1686" s="742">
        <f>Calculs!B1758</f>
        <v>0</v>
      </c>
      <c r="C1686" s="742">
        <f>Calculs!BY1758</f>
        <v>0</v>
      </c>
      <c r="D1686" s="742">
        <f>Calculs!BZ1758</f>
        <v>0</v>
      </c>
      <c r="E1686" s="742">
        <f>Calculs!CA1758</f>
        <v>0</v>
      </c>
      <c r="F1686" s="742">
        <f>Calculs!CB1758</f>
        <v>0</v>
      </c>
      <c r="G1686" s="742">
        <f>Calculs!CC1758</f>
        <v>0</v>
      </c>
      <c r="H1686" s="742"/>
      <c r="I1686" s="742">
        <f>Calculs!CE1758</f>
        <v>0</v>
      </c>
      <c r="J1686" s="742">
        <f>Calculs!CF1758</f>
        <v>0</v>
      </c>
      <c r="K1686" s="742"/>
      <c r="L1686" s="742">
        <f>Calculs!CH1758</f>
        <v>0</v>
      </c>
    </row>
    <row r="1687" spans="2:12">
      <c r="B1687" s="742">
        <f>Calculs!B1759</f>
        <v>0</v>
      </c>
      <c r="C1687" s="742">
        <f>Calculs!BY1759</f>
        <v>0</v>
      </c>
      <c r="D1687" s="742">
        <f>Calculs!BZ1759</f>
        <v>0</v>
      </c>
      <c r="E1687" s="742">
        <f>Calculs!CA1759</f>
        <v>0</v>
      </c>
      <c r="F1687" s="742">
        <f>Calculs!CB1759</f>
        <v>0</v>
      </c>
      <c r="G1687" s="742">
        <f>Calculs!CC1759</f>
        <v>0</v>
      </c>
      <c r="H1687" s="742"/>
      <c r="I1687" s="742">
        <f>Calculs!CE1759</f>
        <v>0</v>
      </c>
      <c r="J1687" s="742">
        <f>Calculs!CF1759</f>
        <v>0</v>
      </c>
      <c r="K1687" s="742"/>
      <c r="L1687" s="742">
        <f>Calculs!CH1759</f>
        <v>0</v>
      </c>
    </row>
    <row r="1688" spans="2:12">
      <c r="B1688" s="742">
        <f>Calculs!B1760</f>
        <v>0</v>
      </c>
      <c r="C1688" s="742">
        <f>Calculs!BY1760</f>
        <v>0</v>
      </c>
      <c r="D1688" s="742">
        <f>Calculs!BZ1760</f>
        <v>0</v>
      </c>
      <c r="E1688" s="742">
        <f>Calculs!CA1760</f>
        <v>0</v>
      </c>
      <c r="F1688" s="742">
        <f>Calculs!CB1760</f>
        <v>0</v>
      </c>
      <c r="G1688" s="742">
        <f>Calculs!CC1760</f>
        <v>0</v>
      </c>
      <c r="H1688" s="742"/>
      <c r="I1688" s="742">
        <f>Calculs!CE1760</f>
        <v>0</v>
      </c>
      <c r="J1688" s="742">
        <f>Calculs!CF1760</f>
        <v>0</v>
      </c>
      <c r="K1688" s="742"/>
      <c r="L1688" s="742">
        <f>Calculs!CH1760</f>
        <v>0</v>
      </c>
    </row>
    <row r="1689" spans="2:12">
      <c r="B1689" s="742">
        <f>Calculs!B1761</f>
        <v>0</v>
      </c>
      <c r="C1689" s="742">
        <f>Calculs!BY1761</f>
        <v>0</v>
      </c>
      <c r="D1689" s="742">
        <f>Calculs!BZ1761</f>
        <v>0</v>
      </c>
      <c r="E1689" s="742">
        <f>Calculs!CA1761</f>
        <v>0</v>
      </c>
      <c r="F1689" s="742">
        <f>Calculs!CB1761</f>
        <v>0</v>
      </c>
      <c r="G1689" s="742">
        <f>Calculs!CC1761</f>
        <v>0</v>
      </c>
      <c r="H1689" s="742"/>
      <c r="I1689" s="742">
        <f>Calculs!CE1761</f>
        <v>0</v>
      </c>
      <c r="J1689" s="742">
        <f>Calculs!CF1761</f>
        <v>0</v>
      </c>
      <c r="K1689" s="742"/>
      <c r="L1689" s="742">
        <f>Calculs!CH1761</f>
        <v>0</v>
      </c>
    </row>
    <row r="1690" spans="2:12">
      <c r="B1690" s="742">
        <f>Calculs!B1762</f>
        <v>0</v>
      </c>
      <c r="C1690" s="742">
        <f>Calculs!BY1762</f>
        <v>0</v>
      </c>
      <c r="D1690" s="742">
        <f>Calculs!BZ1762</f>
        <v>0</v>
      </c>
      <c r="E1690" s="742">
        <f>Calculs!CA1762</f>
        <v>0</v>
      </c>
      <c r="F1690" s="742">
        <f>Calculs!CB1762</f>
        <v>0</v>
      </c>
      <c r="G1690" s="742">
        <f>Calculs!CC1762</f>
        <v>0</v>
      </c>
      <c r="H1690" s="742"/>
      <c r="I1690" s="742">
        <f>Calculs!CE1762</f>
        <v>0</v>
      </c>
      <c r="J1690" s="742">
        <f>Calculs!CF1762</f>
        <v>0</v>
      </c>
      <c r="K1690" s="742"/>
      <c r="L1690" s="742">
        <f>Calculs!CH1762</f>
        <v>0</v>
      </c>
    </row>
    <row r="1691" spans="2:12">
      <c r="B1691" s="742">
        <f>Calculs!B1763</f>
        <v>0</v>
      </c>
      <c r="C1691" s="742">
        <f>Calculs!BY1763</f>
        <v>0</v>
      </c>
      <c r="D1691" s="742">
        <f>Calculs!BZ1763</f>
        <v>0</v>
      </c>
      <c r="E1691" s="742">
        <f>Calculs!CA1763</f>
        <v>0</v>
      </c>
      <c r="F1691" s="742">
        <f>Calculs!CB1763</f>
        <v>0</v>
      </c>
      <c r="G1691" s="742">
        <f>Calculs!CC1763</f>
        <v>0</v>
      </c>
      <c r="H1691" s="742"/>
      <c r="I1691" s="742">
        <f>Calculs!CE1763</f>
        <v>0</v>
      </c>
      <c r="J1691" s="742">
        <f>Calculs!CF1763</f>
        <v>0</v>
      </c>
      <c r="K1691" s="742"/>
      <c r="L1691" s="742">
        <f>Calculs!CH1763</f>
        <v>0</v>
      </c>
    </row>
    <row r="1692" spans="2:12">
      <c r="B1692" s="742">
        <f>Calculs!B1764</f>
        <v>0</v>
      </c>
      <c r="C1692" s="742">
        <f>Calculs!BY1764</f>
        <v>0</v>
      </c>
      <c r="D1692" s="742">
        <f>Calculs!BZ1764</f>
        <v>0</v>
      </c>
      <c r="E1692" s="742">
        <f>Calculs!CA1764</f>
        <v>0</v>
      </c>
      <c r="F1692" s="742">
        <f>Calculs!CB1764</f>
        <v>0</v>
      </c>
      <c r="G1692" s="742">
        <f>Calculs!CC1764</f>
        <v>0</v>
      </c>
      <c r="H1692" s="742"/>
      <c r="I1692" s="742">
        <f>Calculs!CE1764</f>
        <v>0</v>
      </c>
      <c r="J1692" s="742">
        <f>Calculs!CF1764</f>
        <v>0</v>
      </c>
      <c r="K1692" s="742"/>
      <c r="L1692" s="742">
        <f>Calculs!CH1764</f>
        <v>0</v>
      </c>
    </row>
    <row r="1693" spans="2:12">
      <c r="B1693" s="742">
        <f>Calculs!B1765</f>
        <v>0</v>
      </c>
      <c r="C1693" s="742">
        <f>Calculs!BY1765</f>
        <v>0</v>
      </c>
      <c r="D1693" s="742">
        <f>Calculs!BZ1765</f>
        <v>0</v>
      </c>
      <c r="E1693" s="742">
        <f>Calculs!CA1765</f>
        <v>0</v>
      </c>
      <c r="F1693" s="742">
        <f>Calculs!CB1765</f>
        <v>0</v>
      </c>
      <c r="G1693" s="742">
        <f>Calculs!CC1765</f>
        <v>0</v>
      </c>
      <c r="H1693" s="742"/>
      <c r="I1693" s="742">
        <f>Calculs!CE1765</f>
        <v>0</v>
      </c>
      <c r="J1693" s="742">
        <f>Calculs!CF1765</f>
        <v>0</v>
      </c>
      <c r="K1693" s="742"/>
      <c r="L1693" s="742">
        <f>Calculs!CH1765</f>
        <v>0</v>
      </c>
    </row>
    <row r="1694" spans="2:12">
      <c r="B1694" s="742">
        <f>Calculs!B1766</f>
        <v>0</v>
      </c>
      <c r="C1694" s="742">
        <f>Calculs!BY1766</f>
        <v>0</v>
      </c>
      <c r="D1694" s="742">
        <f>Calculs!BZ1766</f>
        <v>0</v>
      </c>
      <c r="E1694" s="742">
        <f>Calculs!CA1766</f>
        <v>0</v>
      </c>
      <c r="F1694" s="742">
        <f>Calculs!CB1766</f>
        <v>0</v>
      </c>
      <c r="G1694" s="742">
        <f>Calculs!CC1766</f>
        <v>0</v>
      </c>
      <c r="H1694" s="742"/>
      <c r="I1694" s="742">
        <f>Calculs!CE1766</f>
        <v>0</v>
      </c>
      <c r="J1694" s="742">
        <f>Calculs!CF1766</f>
        <v>0</v>
      </c>
      <c r="K1694" s="742"/>
      <c r="L1694" s="742">
        <f>Calculs!CH1766</f>
        <v>0</v>
      </c>
    </row>
    <row r="1695" spans="2:12">
      <c r="B1695" s="742">
        <f>Calculs!B1767</f>
        <v>0</v>
      </c>
      <c r="C1695" s="742">
        <f>Calculs!BY1767</f>
        <v>0</v>
      </c>
      <c r="D1695" s="742">
        <f>Calculs!BZ1767</f>
        <v>0</v>
      </c>
      <c r="E1695" s="742">
        <f>Calculs!CA1767</f>
        <v>0</v>
      </c>
      <c r="F1695" s="742">
        <f>Calculs!CB1767</f>
        <v>0</v>
      </c>
      <c r="G1695" s="742">
        <f>Calculs!CC1767</f>
        <v>0</v>
      </c>
      <c r="H1695" s="742"/>
      <c r="I1695" s="742">
        <f>Calculs!CE1767</f>
        <v>0</v>
      </c>
      <c r="J1695" s="742">
        <f>Calculs!CF1767</f>
        <v>0</v>
      </c>
      <c r="K1695" s="742"/>
      <c r="L1695" s="742">
        <f>Calculs!CH1767</f>
        <v>0</v>
      </c>
    </row>
    <row r="1696" spans="2:12">
      <c r="B1696" s="742">
        <f>Calculs!B1768</f>
        <v>0</v>
      </c>
      <c r="C1696" s="742">
        <f>Calculs!BY1768</f>
        <v>0</v>
      </c>
      <c r="D1696" s="742">
        <f>Calculs!BZ1768</f>
        <v>0</v>
      </c>
      <c r="E1696" s="742">
        <f>Calculs!CA1768</f>
        <v>0</v>
      </c>
      <c r="F1696" s="742">
        <f>Calculs!CB1768</f>
        <v>0</v>
      </c>
      <c r="G1696" s="742">
        <f>Calculs!CC1768</f>
        <v>0</v>
      </c>
      <c r="H1696" s="742"/>
      <c r="I1696" s="742">
        <f>Calculs!CE1768</f>
        <v>0</v>
      </c>
      <c r="J1696" s="742">
        <f>Calculs!CF1768</f>
        <v>0</v>
      </c>
      <c r="K1696" s="742"/>
      <c r="L1696" s="742">
        <f>Calculs!CH1768</f>
        <v>0</v>
      </c>
    </row>
    <row r="1697" spans="2:12">
      <c r="B1697" s="742">
        <f>Calculs!B1769</f>
        <v>0</v>
      </c>
      <c r="C1697" s="742">
        <f>Calculs!BY1769</f>
        <v>0</v>
      </c>
      <c r="D1697" s="742">
        <f>Calculs!BZ1769</f>
        <v>0</v>
      </c>
      <c r="E1697" s="742">
        <f>Calculs!CA1769</f>
        <v>0</v>
      </c>
      <c r="F1697" s="742">
        <f>Calculs!CB1769</f>
        <v>0</v>
      </c>
      <c r="G1697" s="742">
        <f>Calculs!CC1769</f>
        <v>0</v>
      </c>
      <c r="H1697" s="742"/>
      <c r="I1697" s="742">
        <f>Calculs!CE1769</f>
        <v>0</v>
      </c>
      <c r="J1697" s="742">
        <f>Calculs!CF1769</f>
        <v>0</v>
      </c>
      <c r="K1697" s="742"/>
      <c r="L1697" s="742">
        <f>Calculs!CH1769</f>
        <v>0</v>
      </c>
    </row>
    <row r="1698" spans="2:12">
      <c r="B1698" s="742">
        <f>Calculs!B1770</f>
        <v>0</v>
      </c>
      <c r="C1698" s="742">
        <f>Calculs!BY1770</f>
        <v>0</v>
      </c>
      <c r="D1698" s="742">
        <f>Calculs!BZ1770</f>
        <v>0</v>
      </c>
      <c r="E1698" s="742">
        <f>Calculs!CA1770</f>
        <v>0</v>
      </c>
      <c r="F1698" s="742">
        <f>Calculs!CB1770</f>
        <v>0</v>
      </c>
      <c r="G1698" s="742">
        <f>Calculs!CC1770</f>
        <v>0</v>
      </c>
      <c r="H1698" s="742"/>
      <c r="I1698" s="742">
        <f>Calculs!CE1770</f>
        <v>0</v>
      </c>
      <c r="J1698" s="742">
        <f>Calculs!CF1770</f>
        <v>0</v>
      </c>
      <c r="K1698" s="742"/>
      <c r="L1698" s="742">
        <f>Calculs!CH1770</f>
        <v>0</v>
      </c>
    </row>
    <row r="1699" spans="2:12">
      <c r="B1699" s="742">
        <f>Calculs!B1771</f>
        <v>0</v>
      </c>
      <c r="C1699" s="742">
        <f>Calculs!BY1771</f>
        <v>0</v>
      </c>
      <c r="D1699" s="742">
        <f>Calculs!BZ1771</f>
        <v>0</v>
      </c>
      <c r="E1699" s="742">
        <f>Calculs!CA1771</f>
        <v>0</v>
      </c>
      <c r="F1699" s="742">
        <f>Calculs!CB1771</f>
        <v>0</v>
      </c>
      <c r="G1699" s="742">
        <f>Calculs!CC1771</f>
        <v>0</v>
      </c>
      <c r="H1699" s="742"/>
      <c r="I1699" s="742">
        <f>Calculs!CE1771</f>
        <v>0</v>
      </c>
      <c r="J1699" s="742">
        <f>Calculs!CF1771</f>
        <v>0</v>
      </c>
      <c r="K1699" s="742"/>
      <c r="L1699" s="742">
        <f>Calculs!CH1771</f>
        <v>0</v>
      </c>
    </row>
    <row r="1700" spans="2:12">
      <c r="B1700" s="742">
        <f>Calculs!B1772</f>
        <v>0</v>
      </c>
      <c r="C1700" s="742">
        <f>Calculs!BY1772</f>
        <v>0</v>
      </c>
      <c r="D1700" s="742">
        <f>Calculs!BZ1772</f>
        <v>0</v>
      </c>
      <c r="E1700" s="742">
        <f>Calculs!CA1772</f>
        <v>0</v>
      </c>
      <c r="F1700" s="742">
        <f>Calculs!CB1772</f>
        <v>0</v>
      </c>
      <c r="G1700" s="742">
        <f>Calculs!CC1772</f>
        <v>0</v>
      </c>
      <c r="H1700" s="742"/>
      <c r="I1700" s="742">
        <f>Calculs!CE1772</f>
        <v>0</v>
      </c>
      <c r="J1700" s="742">
        <f>Calculs!CF1772</f>
        <v>0</v>
      </c>
      <c r="K1700" s="742"/>
      <c r="L1700" s="742">
        <f>Calculs!CH1772</f>
        <v>0</v>
      </c>
    </row>
    <row r="1701" spans="2:12">
      <c r="B1701" s="742">
        <f>Calculs!B1773</f>
        <v>0</v>
      </c>
      <c r="C1701" s="742">
        <f>Calculs!BY1773</f>
        <v>0</v>
      </c>
      <c r="D1701" s="742">
        <f>Calculs!BZ1773</f>
        <v>0</v>
      </c>
      <c r="E1701" s="742">
        <f>Calculs!CA1773</f>
        <v>0</v>
      </c>
      <c r="F1701" s="742">
        <f>Calculs!CB1773</f>
        <v>0</v>
      </c>
      <c r="G1701" s="742">
        <f>Calculs!CC1773</f>
        <v>0</v>
      </c>
      <c r="H1701" s="742"/>
      <c r="I1701" s="742">
        <f>Calculs!CE1773</f>
        <v>0</v>
      </c>
      <c r="J1701" s="742">
        <f>Calculs!CF1773</f>
        <v>0</v>
      </c>
      <c r="K1701" s="742"/>
      <c r="L1701" s="742">
        <f>Calculs!CH1773</f>
        <v>0</v>
      </c>
    </row>
    <row r="1702" spans="2:12">
      <c r="B1702" s="742">
        <f>Calculs!B1774</f>
        <v>0</v>
      </c>
      <c r="C1702" s="742">
        <f>Calculs!BY1774</f>
        <v>0</v>
      </c>
      <c r="D1702" s="742">
        <f>Calculs!BZ1774</f>
        <v>0</v>
      </c>
      <c r="E1702" s="742">
        <f>Calculs!CA1774</f>
        <v>0</v>
      </c>
      <c r="F1702" s="742">
        <f>Calculs!CB1774</f>
        <v>0</v>
      </c>
      <c r="G1702" s="742">
        <f>Calculs!CC1774</f>
        <v>0</v>
      </c>
      <c r="H1702" s="742"/>
      <c r="I1702" s="742">
        <f>Calculs!CE1774</f>
        <v>0</v>
      </c>
      <c r="J1702" s="742">
        <f>Calculs!CF1774</f>
        <v>0</v>
      </c>
      <c r="K1702" s="742"/>
      <c r="L1702" s="742">
        <f>Calculs!CH1774</f>
        <v>0</v>
      </c>
    </row>
    <row r="1703" spans="2:12">
      <c r="B1703" s="742">
        <f>Calculs!B1775</f>
        <v>0</v>
      </c>
      <c r="C1703" s="742">
        <f>Calculs!BY1775</f>
        <v>0</v>
      </c>
      <c r="D1703" s="742">
        <f>Calculs!BZ1775</f>
        <v>0</v>
      </c>
      <c r="E1703" s="742">
        <f>Calculs!CA1775</f>
        <v>0</v>
      </c>
      <c r="F1703" s="742">
        <f>Calculs!CB1775</f>
        <v>0</v>
      </c>
      <c r="G1703" s="742">
        <f>Calculs!CC1775</f>
        <v>0</v>
      </c>
      <c r="H1703" s="742"/>
      <c r="I1703" s="742">
        <f>Calculs!CE1775</f>
        <v>0</v>
      </c>
      <c r="J1703" s="742">
        <f>Calculs!CF1775</f>
        <v>0</v>
      </c>
      <c r="K1703" s="742"/>
      <c r="L1703" s="742">
        <f>Calculs!CH1775</f>
        <v>0</v>
      </c>
    </row>
    <row r="1704" spans="2:12">
      <c r="B1704" s="742">
        <f>Calculs!B1776</f>
        <v>0</v>
      </c>
      <c r="C1704" s="742">
        <f>Calculs!BY1776</f>
        <v>0</v>
      </c>
      <c r="D1704" s="742">
        <f>Calculs!BZ1776</f>
        <v>0</v>
      </c>
      <c r="E1704" s="742">
        <f>Calculs!CA1776</f>
        <v>0</v>
      </c>
      <c r="F1704" s="742">
        <f>Calculs!CB1776</f>
        <v>0</v>
      </c>
      <c r="G1704" s="742">
        <f>Calculs!CC1776</f>
        <v>0</v>
      </c>
      <c r="H1704" s="742"/>
      <c r="I1704" s="742">
        <f>Calculs!CE1776</f>
        <v>0</v>
      </c>
      <c r="J1704" s="742">
        <f>Calculs!CF1776</f>
        <v>0</v>
      </c>
      <c r="K1704" s="742"/>
      <c r="L1704" s="742">
        <f>Calculs!CH1776</f>
        <v>0</v>
      </c>
    </row>
    <row r="1705" spans="2:12">
      <c r="B1705" s="742">
        <f>Calculs!B1777</f>
        <v>0</v>
      </c>
      <c r="C1705" s="742">
        <f>Calculs!BY1777</f>
        <v>0</v>
      </c>
      <c r="D1705" s="742">
        <f>Calculs!BZ1777</f>
        <v>0</v>
      </c>
      <c r="E1705" s="742">
        <f>Calculs!CA1777</f>
        <v>0</v>
      </c>
      <c r="F1705" s="742">
        <f>Calculs!CB1777</f>
        <v>0</v>
      </c>
      <c r="G1705" s="742">
        <f>Calculs!CC1777</f>
        <v>0</v>
      </c>
      <c r="H1705" s="742"/>
      <c r="I1705" s="742">
        <f>Calculs!CE1777</f>
        <v>0</v>
      </c>
      <c r="J1705" s="742">
        <f>Calculs!CF1777</f>
        <v>0</v>
      </c>
      <c r="K1705" s="742"/>
      <c r="L1705" s="742">
        <f>Calculs!CH1777</f>
        <v>0</v>
      </c>
    </row>
    <row r="1706" spans="2:12">
      <c r="B1706" s="742">
        <f>Calculs!B1778</f>
        <v>0</v>
      </c>
      <c r="C1706" s="742">
        <f>Calculs!BY1778</f>
        <v>0</v>
      </c>
      <c r="D1706" s="742">
        <f>Calculs!BZ1778</f>
        <v>0</v>
      </c>
      <c r="E1706" s="742">
        <f>Calculs!CA1778</f>
        <v>0</v>
      </c>
      <c r="F1706" s="742">
        <f>Calculs!CB1778</f>
        <v>0</v>
      </c>
      <c r="G1706" s="742">
        <f>Calculs!CC1778</f>
        <v>0</v>
      </c>
      <c r="H1706" s="742"/>
      <c r="I1706" s="742">
        <f>Calculs!CE1778</f>
        <v>0</v>
      </c>
      <c r="J1706" s="742">
        <f>Calculs!CF1778</f>
        <v>0</v>
      </c>
      <c r="K1706" s="742"/>
      <c r="L1706" s="742">
        <f>Calculs!CH1778</f>
        <v>0</v>
      </c>
    </row>
    <row r="1707" spans="2:12">
      <c r="B1707" s="742">
        <f>Calculs!B1779</f>
        <v>0</v>
      </c>
      <c r="C1707" s="742">
        <f>Calculs!BY1779</f>
        <v>0</v>
      </c>
      <c r="D1707" s="742">
        <f>Calculs!BZ1779</f>
        <v>0</v>
      </c>
      <c r="E1707" s="742">
        <f>Calculs!CA1779</f>
        <v>0</v>
      </c>
      <c r="F1707" s="742">
        <f>Calculs!CB1779</f>
        <v>0</v>
      </c>
      <c r="G1707" s="742">
        <f>Calculs!CC1779</f>
        <v>0</v>
      </c>
      <c r="H1707" s="742"/>
      <c r="I1707" s="742">
        <f>Calculs!CE1779</f>
        <v>0</v>
      </c>
      <c r="J1707" s="742">
        <f>Calculs!CF1779</f>
        <v>0</v>
      </c>
      <c r="K1707" s="742"/>
      <c r="L1707" s="742">
        <f>Calculs!CH1779</f>
        <v>0</v>
      </c>
    </row>
    <row r="1708" spans="2:12">
      <c r="B1708" s="742">
        <f>Calculs!B1780</f>
        <v>0</v>
      </c>
      <c r="C1708" s="742">
        <f>Calculs!BY1780</f>
        <v>0</v>
      </c>
      <c r="D1708" s="742">
        <f>Calculs!BZ1780</f>
        <v>0</v>
      </c>
      <c r="E1708" s="742">
        <f>Calculs!CA1780</f>
        <v>0</v>
      </c>
      <c r="F1708" s="742">
        <f>Calculs!CB1780</f>
        <v>0</v>
      </c>
      <c r="G1708" s="742">
        <f>Calculs!CC1780</f>
        <v>0</v>
      </c>
      <c r="H1708" s="742"/>
      <c r="I1708" s="742">
        <f>Calculs!CE1780</f>
        <v>0</v>
      </c>
      <c r="J1708" s="742">
        <f>Calculs!CF1780</f>
        <v>0</v>
      </c>
      <c r="K1708" s="742"/>
      <c r="L1708" s="742">
        <f>Calculs!CH1780</f>
        <v>0</v>
      </c>
    </row>
    <row r="1709" spans="2:12">
      <c r="B1709" s="742">
        <f>Calculs!B1781</f>
        <v>0</v>
      </c>
      <c r="C1709" s="742">
        <f>Calculs!BY1781</f>
        <v>0</v>
      </c>
      <c r="D1709" s="742">
        <f>Calculs!BZ1781</f>
        <v>0</v>
      </c>
      <c r="E1709" s="742">
        <f>Calculs!CA1781</f>
        <v>0</v>
      </c>
      <c r="F1709" s="742">
        <f>Calculs!CB1781</f>
        <v>0</v>
      </c>
      <c r="G1709" s="742">
        <f>Calculs!CC1781</f>
        <v>0</v>
      </c>
      <c r="H1709" s="742"/>
      <c r="I1709" s="742">
        <f>Calculs!CE1781</f>
        <v>0</v>
      </c>
      <c r="J1709" s="742">
        <f>Calculs!CF1781</f>
        <v>0</v>
      </c>
      <c r="K1709" s="742"/>
      <c r="L1709" s="742">
        <f>Calculs!CH1781</f>
        <v>0</v>
      </c>
    </row>
    <row r="1710" spans="2:12">
      <c r="B1710" s="742">
        <f>Calculs!B1782</f>
        <v>0</v>
      </c>
      <c r="C1710" s="742">
        <f>Calculs!BY1782</f>
        <v>0</v>
      </c>
      <c r="D1710" s="742">
        <f>Calculs!BZ1782</f>
        <v>0</v>
      </c>
      <c r="E1710" s="742">
        <f>Calculs!CA1782</f>
        <v>0</v>
      </c>
      <c r="F1710" s="742">
        <f>Calculs!CB1782</f>
        <v>0</v>
      </c>
      <c r="G1710" s="742">
        <f>Calculs!CC1782</f>
        <v>0</v>
      </c>
      <c r="H1710" s="742"/>
      <c r="I1710" s="742">
        <f>Calculs!CE1782</f>
        <v>0</v>
      </c>
      <c r="J1710" s="742">
        <f>Calculs!CF1782</f>
        <v>0</v>
      </c>
      <c r="K1710" s="742"/>
      <c r="L1710" s="742">
        <f>Calculs!CH1782</f>
        <v>0</v>
      </c>
    </row>
    <row r="1711" spans="2:12">
      <c r="B1711" s="742">
        <f>Calculs!B1783</f>
        <v>0</v>
      </c>
      <c r="C1711" s="742">
        <f>Calculs!BY1783</f>
        <v>0</v>
      </c>
      <c r="D1711" s="742">
        <f>Calculs!BZ1783</f>
        <v>0</v>
      </c>
      <c r="E1711" s="742">
        <f>Calculs!CA1783</f>
        <v>0</v>
      </c>
      <c r="F1711" s="742">
        <f>Calculs!CB1783</f>
        <v>0</v>
      </c>
      <c r="G1711" s="742">
        <f>Calculs!CC1783</f>
        <v>0</v>
      </c>
      <c r="H1711" s="742"/>
      <c r="I1711" s="742">
        <f>Calculs!CE1783</f>
        <v>0</v>
      </c>
      <c r="J1711" s="742">
        <f>Calculs!CF1783</f>
        <v>0</v>
      </c>
      <c r="K1711" s="742"/>
      <c r="L1711" s="742">
        <f>Calculs!CH1783</f>
        <v>0</v>
      </c>
    </row>
    <row r="1712" spans="2:12">
      <c r="B1712" s="742">
        <f>Calculs!B1784</f>
        <v>0</v>
      </c>
      <c r="C1712" s="742">
        <f>Calculs!BY1784</f>
        <v>0</v>
      </c>
      <c r="D1712" s="742">
        <f>Calculs!BZ1784</f>
        <v>0</v>
      </c>
      <c r="E1712" s="742">
        <f>Calculs!CA1784</f>
        <v>0</v>
      </c>
      <c r="F1712" s="742">
        <f>Calculs!CB1784</f>
        <v>0</v>
      </c>
      <c r="G1712" s="742">
        <f>Calculs!CC1784</f>
        <v>0</v>
      </c>
      <c r="H1712" s="742"/>
      <c r="I1712" s="742">
        <f>Calculs!CE1784</f>
        <v>0</v>
      </c>
      <c r="J1712" s="742">
        <f>Calculs!CF1784</f>
        <v>0</v>
      </c>
      <c r="K1712" s="742"/>
      <c r="L1712" s="742">
        <f>Calculs!CH1784</f>
        <v>0</v>
      </c>
    </row>
    <row r="1713" spans="2:12">
      <c r="B1713" s="742">
        <f>Calculs!B1785</f>
        <v>0</v>
      </c>
      <c r="C1713" s="742">
        <f>Calculs!BY1785</f>
        <v>0</v>
      </c>
      <c r="D1713" s="742">
        <f>Calculs!BZ1785</f>
        <v>0</v>
      </c>
      <c r="E1713" s="742">
        <f>Calculs!CA1785</f>
        <v>0</v>
      </c>
      <c r="F1713" s="742">
        <f>Calculs!CB1785</f>
        <v>0</v>
      </c>
      <c r="G1713" s="742">
        <f>Calculs!CC1785</f>
        <v>0</v>
      </c>
      <c r="H1713" s="742"/>
      <c r="I1713" s="742">
        <f>Calculs!CE1785</f>
        <v>0</v>
      </c>
      <c r="J1713" s="742">
        <f>Calculs!CF1785</f>
        <v>0</v>
      </c>
      <c r="K1713" s="742"/>
      <c r="L1713" s="742">
        <f>Calculs!CH1785</f>
        <v>0</v>
      </c>
    </row>
    <row r="1714" spans="2:12">
      <c r="B1714" s="742">
        <f>Calculs!B1786</f>
        <v>0</v>
      </c>
      <c r="C1714" s="742">
        <f>Calculs!BY1786</f>
        <v>0</v>
      </c>
      <c r="D1714" s="742">
        <f>Calculs!BZ1786</f>
        <v>0</v>
      </c>
      <c r="E1714" s="742">
        <f>Calculs!CA1786</f>
        <v>0</v>
      </c>
      <c r="F1714" s="742">
        <f>Calculs!CB1786</f>
        <v>0</v>
      </c>
      <c r="G1714" s="742">
        <f>Calculs!CC1786</f>
        <v>0</v>
      </c>
      <c r="H1714" s="742"/>
      <c r="I1714" s="742">
        <f>Calculs!CE1786</f>
        <v>0</v>
      </c>
      <c r="J1714" s="742">
        <f>Calculs!CF1786</f>
        <v>0</v>
      </c>
      <c r="K1714" s="742"/>
      <c r="L1714" s="742">
        <f>Calculs!CH1786</f>
        <v>0</v>
      </c>
    </row>
    <row r="1715" spans="2:12">
      <c r="B1715" s="742">
        <f>Calculs!B1787</f>
        <v>0</v>
      </c>
      <c r="C1715" s="742">
        <f>Calculs!BY1787</f>
        <v>0</v>
      </c>
      <c r="D1715" s="742">
        <f>Calculs!BZ1787</f>
        <v>0</v>
      </c>
      <c r="E1715" s="742">
        <f>Calculs!CA1787</f>
        <v>0</v>
      </c>
      <c r="F1715" s="742">
        <f>Calculs!CB1787</f>
        <v>0</v>
      </c>
      <c r="G1715" s="742">
        <f>Calculs!CC1787</f>
        <v>0</v>
      </c>
      <c r="H1715" s="742"/>
      <c r="I1715" s="742">
        <f>Calculs!CE1787</f>
        <v>0</v>
      </c>
      <c r="J1715" s="742">
        <f>Calculs!CF1787</f>
        <v>0</v>
      </c>
      <c r="K1715" s="742"/>
      <c r="L1715" s="742">
        <f>Calculs!CH1787</f>
        <v>0</v>
      </c>
    </row>
    <row r="1716" spans="2:12">
      <c r="B1716" s="742">
        <f>Calculs!B1788</f>
        <v>0</v>
      </c>
      <c r="C1716" s="742">
        <f>Calculs!BY1788</f>
        <v>0</v>
      </c>
      <c r="D1716" s="742">
        <f>Calculs!BZ1788</f>
        <v>0</v>
      </c>
      <c r="E1716" s="742">
        <f>Calculs!CA1788</f>
        <v>0</v>
      </c>
      <c r="F1716" s="742">
        <f>Calculs!CB1788</f>
        <v>0</v>
      </c>
      <c r="G1716" s="742">
        <f>Calculs!CC1788</f>
        <v>0</v>
      </c>
      <c r="H1716" s="742"/>
      <c r="I1716" s="742">
        <f>Calculs!CE1788</f>
        <v>0</v>
      </c>
      <c r="J1716" s="742">
        <f>Calculs!CF1788</f>
        <v>0</v>
      </c>
      <c r="K1716" s="742"/>
      <c r="L1716" s="742">
        <f>Calculs!CH1788</f>
        <v>0</v>
      </c>
    </row>
    <row r="1717" spans="2:12">
      <c r="B1717" s="742">
        <f>Calculs!B1789</f>
        <v>0</v>
      </c>
      <c r="C1717" s="742">
        <f>Calculs!BY1789</f>
        <v>0</v>
      </c>
      <c r="D1717" s="742">
        <f>Calculs!BZ1789</f>
        <v>0</v>
      </c>
      <c r="E1717" s="742">
        <f>Calculs!CA1789</f>
        <v>0</v>
      </c>
      <c r="F1717" s="742">
        <f>Calculs!CB1789</f>
        <v>0</v>
      </c>
      <c r="G1717" s="742">
        <f>Calculs!CC1789</f>
        <v>0</v>
      </c>
      <c r="H1717" s="742"/>
      <c r="I1717" s="742">
        <f>Calculs!CE1789</f>
        <v>0</v>
      </c>
      <c r="J1717" s="742">
        <f>Calculs!CF1789</f>
        <v>0</v>
      </c>
      <c r="K1717" s="742"/>
      <c r="L1717" s="742">
        <f>Calculs!CH1789</f>
        <v>0</v>
      </c>
    </row>
    <row r="1718" spans="2:12">
      <c r="B1718" s="742">
        <f>Calculs!B1790</f>
        <v>0</v>
      </c>
      <c r="C1718" s="742">
        <f>Calculs!BY1790</f>
        <v>0</v>
      </c>
      <c r="D1718" s="742">
        <f>Calculs!BZ1790</f>
        <v>0</v>
      </c>
      <c r="E1718" s="742">
        <f>Calculs!CA1790</f>
        <v>0</v>
      </c>
      <c r="F1718" s="742">
        <f>Calculs!CB1790</f>
        <v>0</v>
      </c>
      <c r="G1718" s="742">
        <f>Calculs!CC1790</f>
        <v>0</v>
      </c>
      <c r="H1718" s="742"/>
      <c r="I1718" s="742">
        <f>Calculs!CE1790</f>
        <v>0</v>
      </c>
      <c r="J1718" s="742">
        <f>Calculs!CF1790</f>
        <v>0</v>
      </c>
      <c r="K1718" s="742"/>
      <c r="L1718" s="742">
        <f>Calculs!CH1790</f>
        <v>0</v>
      </c>
    </row>
    <row r="1719" spans="2:12">
      <c r="B1719" s="742">
        <f>Calculs!B1791</f>
        <v>0</v>
      </c>
      <c r="C1719" s="742">
        <f>Calculs!BY1791</f>
        <v>0</v>
      </c>
      <c r="D1719" s="742">
        <f>Calculs!BZ1791</f>
        <v>0</v>
      </c>
      <c r="E1719" s="742">
        <f>Calculs!CA1791</f>
        <v>0</v>
      </c>
      <c r="F1719" s="742">
        <f>Calculs!CB1791</f>
        <v>0</v>
      </c>
      <c r="G1719" s="742">
        <f>Calculs!CC1791</f>
        <v>0</v>
      </c>
      <c r="H1719" s="742"/>
      <c r="I1719" s="742">
        <f>Calculs!CE1791</f>
        <v>0</v>
      </c>
      <c r="J1719" s="742">
        <f>Calculs!CF1791</f>
        <v>0</v>
      </c>
      <c r="K1719" s="742"/>
      <c r="L1719" s="742">
        <f>Calculs!CH1791</f>
        <v>0</v>
      </c>
    </row>
    <row r="1720" spans="2:12">
      <c r="B1720" s="742">
        <f>Calculs!B1792</f>
        <v>0</v>
      </c>
      <c r="C1720" s="742">
        <f>Calculs!BY1792</f>
        <v>0</v>
      </c>
      <c r="D1720" s="742">
        <f>Calculs!BZ1792</f>
        <v>0</v>
      </c>
      <c r="E1720" s="742">
        <f>Calculs!CA1792</f>
        <v>0</v>
      </c>
      <c r="F1720" s="742">
        <f>Calculs!CB1792</f>
        <v>0</v>
      </c>
      <c r="G1720" s="742">
        <f>Calculs!CC1792</f>
        <v>0</v>
      </c>
      <c r="H1720" s="742"/>
      <c r="I1720" s="742">
        <f>Calculs!CE1792</f>
        <v>0</v>
      </c>
      <c r="J1720" s="742">
        <f>Calculs!CF1792</f>
        <v>0</v>
      </c>
      <c r="K1720" s="742"/>
      <c r="L1720" s="742">
        <f>Calculs!CH1792</f>
        <v>0</v>
      </c>
    </row>
    <row r="1721" spans="2:12">
      <c r="B1721" s="742">
        <f>Calculs!B1793</f>
        <v>0</v>
      </c>
      <c r="C1721" s="742">
        <f>Calculs!BY1793</f>
        <v>0</v>
      </c>
      <c r="D1721" s="742">
        <f>Calculs!BZ1793</f>
        <v>0</v>
      </c>
      <c r="E1721" s="742">
        <f>Calculs!CA1793</f>
        <v>0</v>
      </c>
      <c r="F1721" s="742">
        <f>Calculs!CB1793</f>
        <v>0</v>
      </c>
      <c r="G1721" s="742">
        <f>Calculs!CC1793</f>
        <v>0</v>
      </c>
      <c r="H1721" s="742"/>
      <c r="I1721" s="742">
        <f>Calculs!CE1793</f>
        <v>0</v>
      </c>
      <c r="J1721" s="742">
        <f>Calculs!CF1793</f>
        <v>0</v>
      </c>
      <c r="K1721" s="742"/>
      <c r="L1721" s="742">
        <f>Calculs!CH1793</f>
        <v>0</v>
      </c>
    </row>
    <row r="1722" spans="2:12">
      <c r="B1722" s="742">
        <f>Calculs!B1794</f>
        <v>0</v>
      </c>
      <c r="C1722" s="742">
        <f>Calculs!BY1794</f>
        <v>0</v>
      </c>
      <c r="D1722" s="742">
        <f>Calculs!BZ1794</f>
        <v>0</v>
      </c>
      <c r="E1722" s="742">
        <f>Calculs!CA1794</f>
        <v>0</v>
      </c>
      <c r="F1722" s="742">
        <f>Calculs!CB1794</f>
        <v>0</v>
      </c>
      <c r="G1722" s="742">
        <f>Calculs!CC1794</f>
        <v>0</v>
      </c>
      <c r="H1722" s="742"/>
      <c r="I1722" s="742">
        <f>Calculs!CE1794</f>
        <v>0</v>
      </c>
      <c r="J1722" s="742">
        <f>Calculs!CF1794</f>
        <v>0</v>
      </c>
      <c r="K1722" s="742"/>
      <c r="L1722" s="742">
        <f>Calculs!CH1794</f>
        <v>0</v>
      </c>
    </row>
    <row r="1723" spans="2:12">
      <c r="B1723" s="742">
        <f>Calculs!B1795</f>
        <v>0</v>
      </c>
      <c r="C1723" s="742">
        <f>Calculs!BY1795</f>
        <v>0</v>
      </c>
      <c r="D1723" s="742">
        <f>Calculs!BZ1795</f>
        <v>0</v>
      </c>
      <c r="E1723" s="742">
        <f>Calculs!CA1795</f>
        <v>0</v>
      </c>
      <c r="F1723" s="742">
        <f>Calculs!CB1795</f>
        <v>0</v>
      </c>
      <c r="G1723" s="742">
        <f>Calculs!CC1795</f>
        <v>0</v>
      </c>
      <c r="H1723" s="742"/>
      <c r="I1723" s="742">
        <f>Calculs!CE1795</f>
        <v>0</v>
      </c>
      <c r="J1723" s="742">
        <f>Calculs!CF1795</f>
        <v>0</v>
      </c>
      <c r="K1723" s="742"/>
      <c r="L1723" s="742">
        <f>Calculs!CH1795</f>
        <v>0</v>
      </c>
    </row>
    <row r="1724" spans="2:12">
      <c r="B1724" s="742">
        <f>Calculs!B1796</f>
        <v>0</v>
      </c>
      <c r="C1724" s="742">
        <f>Calculs!BY1796</f>
        <v>0</v>
      </c>
      <c r="D1724" s="742">
        <f>Calculs!BZ1796</f>
        <v>0</v>
      </c>
      <c r="E1724" s="742">
        <f>Calculs!CA1796</f>
        <v>0</v>
      </c>
      <c r="F1724" s="742">
        <f>Calculs!CB1796</f>
        <v>0</v>
      </c>
      <c r="G1724" s="742">
        <f>Calculs!CC1796</f>
        <v>0</v>
      </c>
      <c r="H1724" s="742"/>
      <c r="I1724" s="742">
        <f>Calculs!CE1796</f>
        <v>0</v>
      </c>
      <c r="J1724" s="742">
        <f>Calculs!CF1796</f>
        <v>0</v>
      </c>
      <c r="K1724" s="742"/>
      <c r="L1724" s="742">
        <f>Calculs!CH1796</f>
        <v>0</v>
      </c>
    </row>
    <row r="1725" spans="2:12">
      <c r="B1725" s="742">
        <f>Calculs!B1797</f>
        <v>0</v>
      </c>
      <c r="C1725" s="742">
        <f>Calculs!BY1797</f>
        <v>0</v>
      </c>
      <c r="D1725" s="742">
        <f>Calculs!BZ1797</f>
        <v>0</v>
      </c>
      <c r="E1725" s="742">
        <f>Calculs!CA1797</f>
        <v>0</v>
      </c>
      <c r="F1725" s="742">
        <f>Calculs!CB1797</f>
        <v>0</v>
      </c>
      <c r="G1725" s="742">
        <f>Calculs!CC1797</f>
        <v>0</v>
      </c>
      <c r="H1725" s="742"/>
      <c r="I1725" s="742">
        <f>Calculs!CE1797</f>
        <v>0</v>
      </c>
      <c r="J1725" s="742">
        <f>Calculs!CF1797</f>
        <v>0</v>
      </c>
      <c r="K1725" s="742"/>
      <c r="L1725" s="742">
        <f>Calculs!CH1797</f>
        <v>0</v>
      </c>
    </row>
    <row r="1726" spans="2:12">
      <c r="B1726" s="742">
        <f>Calculs!B1798</f>
        <v>0</v>
      </c>
      <c r="C1726" s="742">
        <f>Calculs!BY1798</f>
        <v>0</v>
      </c>
      <c r="D1726" s="742">
        <f>Calculs!BZ1798</f>
        <v>0</v>
      </c>
      <c r="E1726" s="742">
        <f>Calculs!CA1798</f>
        <v>0</v>
      </c>
      <c r="F1726" s="742">
        <f>Calculs!CB1798</f>
        <v>0</v>
      </c>
      <c r="G1726" s="742">
        <f>Calculs!CC1798</f>
        <v>0</v>
      </c>
      <c r="H1726" s="742"/>
      <c r="I1726" s="742">
        <f>Calculs!CE1798</f>
        <v>0</v>
      </c>
      <c r="J1726" s="742">
        <f>Calculs!CF1798</f>
        <v>0</v>
      </c>
      <c r="K1726" s="742"/>
      <c r="L1726" s="742">
        <f>Calculs!CH1798</f>
        <v>0</v>
      </c>
    </row>
    <row r="1727" spans="2:12">
      <c r="B1727" s="742">
        <f>Calculs!B1799</f>
        <v>0</v>
      </c>
      <c r="C1727" s="742">
        <f>Calculs!BY1799</f>
        <v>0</v>
      </c>
      <c r="D1727" s="742">
        <f>Calculs!BZ1799</f>
        <v>0</v>
      </c>
      <c r="E1727" s="742">
        <f>Calculs!CA1799</f>
        <v>0</v>
      </c>
      <c r="F1727" s="742">
        <f>Calculs!CB1799</f>
        <v>0</v>
      </c>
      <c r="G1727" s="742">
        <f>Calculs!CC1799</f>
        <v>0</v>
      </c>
      <c r="H1727" s="742"/>
      <c r="I1727" s="742">
        <f>Calculs!CE1799</f>
        <v>0</v>
      </c>
      <c r="J1727" s="742">
        <f>Calculs!CF1799</f>
        <v>0</v>
      </c>
      <c r="K1727" s="742"/>
      <c r="L1727" s="742">
        <f>Calculs!CH1799</f>
        <v>0</v>
      </c>
    </row>
    <row r="1728" spans="2:12">
      <c r="B1728" s="742">
        <f>Calculs!B1800</f>
        <v>0</v>
      </c>
      <c r="C1728" s="742">
        <f>Calculs!BY1800</f>
        <v>0</v>
      </c>
      <c r="D1728" s="742">
        <f>Calculs!BZ1800</f>
        <v>0</v>
      </c>
      <c r="E1728" s="742">
        <f>Calculs!CA1800</f>
        <v>0</v>
      </c>
      <c r="F1728" s="742">
        <f>Calculs!CB1800</f>
        <v>0</v>
      </c>
      <c r="G1728" s="742">
        <f>Calculs!CC1800</f>
        <v>0</v>
      </c>
      <c r="H1728" s="742"/>
      <c r="I1728" s="742">
        <f>Calculs!CE1800</f>
        <v>0</v>
      </c>
      <c r="J1728" s="742">
        <f>Calculs!CF1800</f>
        <v>0</v>
      </c>
      <c r="K1728" s="742"/>
      <c r="L1728" s="742">
        <f>Calculs!CH1800</f>
        <v>0</v>
      </c>
    </row>
    <row r="1729" spans="2:12">
      <c r="B1729" s="742">
        <f>Calculs!B1801</f>
        <v>0</v>
      </c>
      <c r="C1729" s="742">
        <f>Calculs!BY1801</f>
        <v>0</v>
      </c>
      <c r="D1729" s="742">
        <f>Calculs!BZ1801</f>
        <v>0</v>
      </c>
      <c r="E1729" s="742">
        <f>Calculs!CA1801</f>
        <v>0</v>
      </c>
      <c r="F1729" s="742">
        <f>Calculs!CB1801</f>
        <v>0</v>
      </c>
      <c r="G1729" s="742">
        <f>Calculs!CC1801</f>
        <v>0</v>
      </c>
      <c r="H1729" s="742"/>
      <c r="I1729" s="742">
        <f>Calculs!CE1801</f>
        <v>0</v>
      </c>
      <c r="J1729" s="742">
        <f>Calculs!CF1801</f>
        <v>0</v>
      </c>
      <c r="K1729" s="742"/>
      <c r="L1729" s="742">
        <f>Calculs!CH1801</f>
        <v>0</v>
      </c>
    </row>
    <row r="1730" spans="2:12">
      <c r="B1730" s="742">
        <f>Calculs!B1802</f>
        <v>0</v>
      </c>
      <c r="C1730" s="742">
        <f>Calculs!BY1802</f>
        <v>0</v>
      </c>
      <c r="D1730" s="742">
        <f>Calculs!BZ1802</f>
        <v>0</v>
      </c>
      <c r="E1730" s="742">
        <f>Calculs!CA1802</f>
        <v>0</v>
      </c>
      <c r="F1730" s="742">
        <f>Calculs!CB1802</f>
        <v>0</v>
      </c>
      <c r="G1730" s="742">
        <f>Calculs!CC1802</f>
        <v>0</v>
      </c>
      <c r="H1730" s="742"/>
      <c r="I1730" s="742">
        <f>Calculs!CE1802</f>
        <v>0</v>
      </c>
      <c r="J1730" s="742">
        <f>Calculs!CF1802</f>
        <v>0</v>
      </c>
      <c r="K1730" s="742"/>
      <c r="L1730" s="742">
        <f>Calculs!CH1802</f>
        <v>0</v>
      </c>
    </row>
    <row r="1731" spans="2:12">
      <c r="B1731" s="742">
        <f>Calculs!B1803</f>
        <v>0</v>
      </c>
      <c r="C1731" s="742">
        <f>Calculs!BY1803</f>
        <v>0</v>
      </c>
      <c r="D1731" s="742">
        <f>Calculs!BZ1803</f>
        <v>0</v>
      </c>
      <c r="E1731" s="742">
        <f>Calculs!CA1803</f>
        <v>0</v>
      </c>
      <c r="F1731" s="742">
        <f>Calculs!CB1803</f>
        <v>0</v>
      </c>
      <c r="G1731" s="742">
        <f>Calculs!CC1803</f>
        <v>0</v>
      </c>
      <c r="H1731" s="742"/>
      <c r="I1731" s="742">
        <f>Calculs!CE1803</f>
        <v>0</v>
      </c>
      <c r="J1731" s="742">
        <f>Calculs!CF1803</f>
        <v>0</v>
      </c>
      <c r="K1731" s="742"/>
      <c r="L1731" s="742">
        <f>Calculs!CH1803</f>
        <v>0</v>
      </c>
    </row>
    <row r="1732" spans="2:12">
      <c r="B1732" s="742">
        <f>Calculs!B1804</f>
        <v>0</v>
      </c>
      <c r="C1732" s="742">
        <f>Calculs!BY1804</f>
        <v>0</v>
      </c>
      <c r="D1732" s="742">
        <f>Calculs!BZ1804</f>
        <v>0</v>
      </c>
      <c r="E1732" s="742">
        <f>Calculs!CA1804</f>
        <v>0</v>
      </c>
      <c r="F1732" s="742">
        <f>Calculs!CB1804</f>
        <v>0</v>
      </c>
      <c r="G1732" s="742">
        <f>Calculs!CC1804</f>
        <v>0</v>
      </c>
      <c r="H1732" s="742"/>
      <c r="I1732" s="742">
        <f>Calculs!CE1804</f>
        <v>0</v>
      </c>
      <c r="J1732" s="742">
        <f>Calculs!CF1804</f>
        <v>0</v>
      </c>
      <c r="K1732" s="742"/>
      <c r="L1732" s="742">
        <f>Calculs!CH1804</f>
        <v>0</v>
      </c>
    </row>
    <row r="1733" spans="2:12">
      <c r="B1733" s="742">
        <f>Calculs!B1805</f>
        <v>0</v>
      </c>
      <c r="C1733" s="742">
        <f>Calculs!BY1805</f>
        <v>0</v>
      </c>
      <c r="D1733" s="742">
        <f>Calculs!BZ1805</f>
        <v>0</v>
      </c>
      <c r="E1733" s="742">
        <f>Calculs!CA1805</f>
        <v>0</v>
      </c>
      <c r="F1733" s="742">
        <f>Calculs!CB1805</f>
        <v>0</v>
      </c>
      <c r="G1733" s="742">
        <f>Calculs!CC1805</f>
        <v>0</v>
      </c>
      <c r="H1733" s="742"/>
      <c r="I1733" s="742">
        <f>Calculs!CE1805</f>
        <v>0</v>
      </c>
      <c r="J1733" s="742">
        <f>Calculs!CF1805</f>
        <v>0</v>
      </c>
      <c r="K1733" s="742"/>
      <c r="L1733" s="742">
        <f>Calculs!CH1805</f>
        <v>0</v>
      </c>
    </row>
    <row r="1734" spans="2:12">
      <c r="B1734" s="742">
        <f>Calculs!B1806</f>
        <v>0</v>
      </c>
      <c r="C1734" s="742">
        <f>Calculs!BY1806</f>
        <v>0</v>
      </c>
      <c r="D1734" s="742">
        <f>Calculs!BZ1806</f>
        <v>0</v>
      </c>
      <c r="E1734" s="742">
        <f>Calculs!CA1806</f>
        <v>0</v>
      </c>
      <c r="F1734" s="742">
        <f>Calculs!CB1806</f>
        <v>0</v>
      </c>
      <c r="G1734" s="742">
        <f>Calculs!CC1806</f>
        <v>0</v>
      </c>
      <c r="H1734" s="742"/>
      <c r="I1734" s="742">
        <f>Calculs!CE1806</f>
        <v>0</v>
      </c>
      <c r="J1734" s="742">
        <f>Calculs!CF1806</f>
        <v>0</v>
      </c>
      <c r="K1734" s="742"/>
      <c r="L1734" s="742">
        <f>Calculs!CH1806</f>
        <v>0</v>
      </c>
    </row>
    <row r="1735" spans="2:12">
      <c r="B1735" s="742">
        <f>Calculs!B1807</f>
        <v>0</v>
      </c>
      <c r="C1735" s="742">
        <f>Calculs!BY1807</f>
        <v>0</v>
      </c>
      <c r="D1735" s="742">
        <f>Calculs!BZ1807</f>
        <v>0</v>
      </c>
      <c r="E1735" s="742">
        <f>Calculs!CA1807</f>
        <v>0</v>
      </c>
      <c r="F1735" s="742">
        <f>Calculs!CB1807</f>
        <v>0</v>
      </c>
      <c r="G1735" s="742">
        <f>Calculs!CC1807</f>
        <v>0</v>
      </c>
      <c r="H1735" s="742"/>
      <c r="I1735" s="742">
        <f>Calculs!CE1807</f>
        <v>0</v>
      </c>
      <c r="J1735" s="742">
        <f>Calculs!CF1807</f>
        <v>0</v>
      </c>
      <c r="K1735" s="742"/>
      <c r="L1735" s="742">
        <f>Calculs!CH1807</f>
        <v>0</v>
      </c>
    </row>
    <row r="1736" spans="2:12">
      <c r="B1736" s="742">
        <f>Calculs!B1808</f>
        <v>0</v>
      </c>
      <c r="C1736" s="742">
        <f>Calculs!BY1808</f>
        <v>0</v>
      </c>
      <c r="D1736" s="742">
        <f>Calculs!BZ1808</f>
        <v>0</v>
      </c>
      <c r="E1736" s="742">
        <f>Calculs!CA1808</f>
        <v>0</v>
      </c>
      <c r="F1736" s="742">
        <f>Calculs!CB1808</f>
        <v>0</v>
      </c>
      <c r="G1736" s="742">
        <f>Calculs!CC1808</f>
        <v>0</v>
      </c>
      <c r="H1736" s="742"/>
      <c r="I1736" s="742">
        <f>Calculs!CE1808</f>
        <v>0</v>
      </c>
      <c r="J1736" s="742">
        <f>Calculs!CF1808</f>
        <v>0</v>
      </c>
      <c r="K1736" s="742"/>
      <c r="L1736" s="742">
        <f>Calculs!CH1808</f>
        <v>0</v>
      </c>
    </row>
    <row r="1737" spans="2:12">
      <c r="B1737" s="742">
        <f>Calculs!B1809</f>
        <v>0</v>
      </c>
      <c r="C1737" s="742">
        <f>Calculs!BY1809</f>
        <v>0</v>
      </c>
      <c r="D1737" s="742">
        <f>Calculs!BZ1809</f>
        <v>0</v>
      </c>
      <c r="E1737" s="742">
        <f>Calculs!CA1809</f>
        <v>0</v>
      </c>
      <c r="F1737" s="742">
        <f>Calculs!CB1809</f>
        <v>0</v>
      </c>
      <c r="G1737" s="742">
        <f>Calculs!CC1809</f>
        <v>0</v>
      </c>
      <c r="H1737" s="742"/>
      <c r="I1737" s="742">
        <f>Calculs!CE1809</f>
        <v>0</v>
      </c>
      <c r="J1737" s="742">
        <f>Calculs!CF1809</f>
        <v>0</v>
      </c>
      <c r="K1737" s="742"/>
      <c r="L1737" s="742">
        <f>Calculs!CH1809</f>
        <v>0</v>
      </c>
    </row>
    <row r="1738" spans="2:12">
      <c r="B1738" s="742">
        <f>Calculs!B1810</f>
        <v>0</v>
      </c>
      <c r="C1738" s="742">
        <f>Calculs!BY1810</f>
        <v>0</v>
      </c>
      <c r="D1738" s="742">
        <f>Calculs!BZ1810</f>
        <v>0</v>
      </c>
      <c r="E1738" s="742">
        <f>Calculs!CA1810</f>
        <v>0</v>
      </c>
      <c r="F1738" s="742">
        <f>Calculs!CB1810</f>
        <v>0</v>
      </c>
      <c r="G1738" s="742">
        <f>Calculs!CC1810</f>
        <v>0</v>
      </c>
      <c r="H1738" s="742"/>
      <c r="I1738" s="742">
        <f>Calculs!CE1810</f>
        <v>0</v>
      </c>
      <c r="J1738" s="742">
        <f>Calculs!CF1810</f>
        <v>0</v>
      </c>
      <c r="K1738" s="742"/>
      <c r="L1738" s="742">
        <f>Calculs!CH1810</f>
        <v>0</v>
      </c>
    </row>
    <row r="1739" spans="2:12">
      <c r="B1739" s="742">
        <f>Calculs!B1811</f>
        <v>0</v>
      </c>
      <c r="C1739" s="742">
        <f>Calculs!BY1811</f>
        <v>0</v>
      </c>
      <c r="D1739" s="742">
        <f>Calculs!BZ1811</f>
        <v>0</v>
      </c>
      <c r="E1739" s="742">
        <f>Calculs!CA1811</f>
        <v>0</v>
      </c>
      <c r="F1739" s="742">
        <f>Calculs!CB1811</f>
        <v>0</v>
      </c>
      <c r="G1739" s="742">
        <f>Calculs!CC1811</f>
        <v>0</v>
      </c>
      <c r="H1739" s="742"/>
      <c r="I1739" s="742">
        <f>Calculs!CE1811</f>
        <v>0</v>
      </c>
      <c r="J1739" s="742">
        <f>Calculs!CF1811</f>
        <v>0</v>
      </c>
      <c r="K1739" s="742"/>
      <c r="L1739" s="742">
        <f>Calculs!CH1811</f>
        <v>0</v>
      </c>
    </row>
    <row r="1740" spans="2:12">
      <c r="B1740" s="742">
        <f>Calculs!B1812</f>
        <v>0</v>
      </c>
      <c r="C1740" s="742">
        <f>Calculs!BY1812</f>
        <v>0</v>
      </c>
      <c r="D1740" s="742">
        <f>Calculs!BZ1812</f>
        <v>0</v>
      </c>
      <c r="E1740" s="742">
        <f>Calculs!CA1812</f>
        <v>0</v>
      </c>
      <c r="F1740" s="742">
        <f>Calculs!CB1812</f>
        <v>0</v>
      </c>
      <c r="G1740" s="742">
        <f>Calculs!CC1812</f>
        <v>0</v>
      </c>
      <c r="H1740" s="742"/>
      <c r="I1740" s="742">
        <f>Calculs!CE1812</f>
        <v>0</v>
      </c>
      <c r="J1740" s="742">
        <f>Calculs!CF1812</f>
        <v>0</v>
      </c>
      <c r="K1740" s="742"/>
      <c r="L1740" s="742">
        <f>Calculs!CH1812</f>
        <v>0</v>
      </c>
    </row>
    <row r="1741" spans="2:12">
      <c r="B1741" s="742">
        <f>Calculs!B1813</f>
        <v>0</v>
      </c>
      <c r="C1741" s="742">
        <f>Calculs!BY1813</f>
        <v>0</v>
      </c>
      <c r="D1741" s="742">
        <f>Calculs!BZ1813</f>
        <v>0</v>
      </c>
      <c r="E1741" s="742">
        <f>Calculs!CA1813</f>
        <v>0</v>
      </c>
      <c r="F1741" s="742">
        <f>Calculs!CB1813</f>
        <v>0</v>
      </c>
      <c r="G1741" s="742">
        <f>Calculs!CC1813</f>
        <v>0</v>
      </c>
      <c r="H1741" s="742"/>
      <c r="I1741" s="742">
        <f>Calculs!CE1813</f>
        <v>0</v>
      </c>
      <c r="J1741" s="742">
        <f>Calculs!CF1813</f>
        <v>0</v>
      </c>
      <c r="K1741" s="742"/>
      <c r="L1741" s="742">
        <f>Calculs!CH1813</f>
        <v>0</v>
      </c>
    </row>
    <row r="1742" spans="2:12">
      <c r="B1742" s="742">
        <f>Calculs!B1814</f>
        <v>0</v>
      </c>
      <c r="C1742" s="742">
        <f>Calculs!BY1814</f>
        <v>0</v>
      </c>
      <c r="D1742" s="742">
        <f>Calculs!BZ1814</f>
        <v>0</v>
      </c>
      <c r="E1742" s="742">
        <f>Calculs!CA1814</f>
        <v>0</v>
      </c>
      <c r="F1742" s="742">
        <f>Calculs!CB1814</f>
        <v>0</v>
      </c>
      <c r="G1742" s="742">
        <f>Calculs!CC1814</f>
        <v>0</v>
      </c>
      <c r="H1742" s="742"/>
      <c r="I1742" s="742">
        <f>Calculs!CE1814</f>
        <v>0</v>
      </c>
      <c r="J1742" s="742">
        <f>Calculs!CF1814</f>
        <v>0</v>
      </c>
      <c r="K1742" s="742"/>
      <c r="L1742" s="742">
        <f>Calculs!CH1814</f>
        <v>0</v>
      </c>
    </row>
    <row r="1743" spans="2:12">
      <c r="B1743" s="742">
        <f>Calculs!B1815</f>
        <v>0</v>
      </c>
      <c r="C1743" s="742">
        <f>Calculs!BY1815</f>
        <v>0</v>
      </c>
      <c r="D1743" s="742">
        <f>Calculs!BZ1815</f>
        <v>0</v>
      </c>
      <c r="E1743" s="742">
        <f>Calculs!CA1815</f>
        <v>0</v>
      </c>
      <c r="F1743" s="742">
        <f>Calculs!CB1815</f>
        <v>0</v>
      </c>
      <c r="G1743" s="742">
        <f>Calculs!CC1815</f>
        <v>0</v>
      </c>
      <c r="H1743" s="742"/>
      <c r="I1743" s="742">
        <f>Calculs!CE1815</f>
        <v>0</v>
      </c>
      <c r="J1743" s="742">
        <f>Calculs!CF1815</f>
        <v>0</v>
      </c>
      <c r="K1743" s="742"/>
      <c r="L1743" s="742">
        <f>Calculs!CH1815</f>
        <v>0</v>
      </c>
    </row>
    <row r="1744" spans="2:12">
      <c r="B1744" s="742">
        <f>Calculs!B1816</f>
        <v>0</v>
      </c>
      <c r="C1744" s="742">
        <f>Calculs!BY1816</f>
        <v>0</v>
      </c>
      <c r="D1744" s="742">
        <f>Calculs!BZ1816</f>
        <v>0</v>
      </c>
      <c r="E1744" s="742">
        <f>Calculs!CA1816</f>
        <v>0</v>
      </c>
      <c r="F1744" s="742">
        <f>Calculs!CB1816</f>
        <v>0</v>
      </c>
      <c r="G1744" s="742">
        <f>Calculs!CC1816</f>
        <v>0</v>
      </c>
      <c r="H1744" s="742"/>
      <c r="I1744" s="742">
        <f>Calculs!CE1816</f>
        <v>0</v>
      </c>
      <c r="J1744" s="742">
        <f>Calculs!CF1816</f>
        <v>0</v>
      </c>
      <c r="K1744" s="742"/>
      <c r="L1744" s="742">
        <f>Calculs!CH1816</f>
        <v>0</v>
      </c>
    </row>
    <row r="1745" spans="2:12">
      <c r="B1745" s="742">
        <f>Calculs!B1817</f>
        <v>0</v>
      </c>
      <c r="C1745" s="742">
        <f>Calculs!BY1817</f>
        <v>0</v>
      </c>
      <c r="D1745" s="742">
        <f>Calculs!BZ1817</f>
        <v>0</v>
      </c>
      <c r="E1745" s="742">
        <f>Calculs!CA1817</f>
        <v>0</v>
      </c>
      <c r="F1745" s="742">
        <f>Calculs!CB1817</f>
        <v>0</v>
      </c>
      <c r="G1745" s="742">
        <f>Calculs!CC1817</f>
        <v>0</v>
      </c>
      <c r="H1745" s="742"/>
      <c r="I1745" s="742">
        <f>Calculs!CE1817</f>
        <v>0</v>
      </c>
      <c r="J1745" s="742">
        <f>Calculs!CF1817</f>
        <v>0</v>
      </c>
      <c r="K1745" s="742"/>
      <c r="L1745" s="742">
        <f>Calculs!CH1817</f>
        <v>0</v>
      </c>
    </row>
    <row r="1746" spans="2:12">
      <c r="B1746" s="742">
        <f>Calculs!B1818</f>
        <v>0</v>
      </c>
      <c r="C1746" s="742">
        <f>Calculs!BY1818</f>
        <v>0</v>
      </c>
      <c r="D1746" s="742">
        <f>Calculs!BZ1818</f>
        <v>0</v>
      </c>
      <c r="E1746" s="742">
        <f>Calculs!CA1818</f>
        <v>0</v>
      </c>
      <c r="F1746" s="742">
        <f>Calculs!CB1818</f>
        <v>0</v>
      </c>
      <c r="G1746" s="742">
        <f>Calculs!CC1818</f>
        <v>0</v>
      </c>
      <c r="H1746" s="742"/>
      <c r="I1746" s="742">
        <f>Calculs!CE1818</f>
        <v>0</v>
      </c>
      <c r="J1746" s="742">
        <f>Calculs!CF1818</f>
        <v>0</v>
      </c>
      <c r="K1746" s="742"/>
      <c r="L1746" s="742">
        <f>Calculs!CH1818</f>
        <v>0</v>
      </c>
    </row>
    <row r="1747" spans="2:12">
      <c r="B1747" s="742">
        <f>Calculs!B1819</f>
        <v>0</v>
      </c>
      <c r="C1747" s="742">
        <f>Calculs!BY1819</f>
        <v>0</v>
      </c>
      <c r="D1747" s="742">
        <f>Calculs!BZ1819</f>
        <v>0</v>
      </c>
      <c r="E1747" s="742">
        <f>Calculs!CA1819</f>
        <v>0</v>
      </c>
      <c r="F1747" s="742">
        <f>Calculs!CB1819</f>
        <v>0</v>
      </c>
      <c r="G1747" s="742">
        <f>Calculs!CC1819</f>
        <v>0</v>
      </c>
      <c r="H1747" s="742"/>
      <c r="I1747" s="742">
        <f>Calculs!CE1819</f>
        <v>0</v>
      </c>
      <c r="J1747" s="742">
        <f>Calculs!CF1819</f>
        <v>0</v>
      </c>
      <c r="K1747" s="742"/>
      <c r="L1747" s="742">
        <f>Calculs!CH1819</f>
        <v>0</v>
      </c>
    </row>
    <row r="1748" spans="2:12">
      <c r="B1748" s="742">
        <f>Calculs!B1820</f>
        <v>0</v>
      </c>
      <c r="C1748" s="742">
        <f>Calculs!BY1820</f>
        <v>0</v>
      </c>
      <c r="D1748" s="742">
        <f>Calculs!BZ1820</f>
        <v>0</v>
      </c>
      <c r="E1748" s="742">
        <f>Calculs!CA1820</f>
        <v>0</v>
      </c>
      <c r="F1748" s="742">
        <f>Calculs!CB1820</f>
        <v>0</v>
      </c>
      <c r="G1748" s="742">
        <f>Calculs!CC1820</f>
        <v>0</v>
      </c>
      <c r="H1748" s="742"/>
      <c r="I1748" s="742">
        <f>Calculs!CE1820</f>
        <v>0</v>
      </c>
      <c r="J1748" s="742">
        <f>Calculs!CF1820</f>
        <v>0</v>
      </c>
      <c r="K1748" s="742"/>
      <c r="L1748" s="742">
        <f>Calculs!CH1820</f>
        <v>0</v>
      </c>
    </row>
    <row r="1749" spans="2:12">
      <c r="B1749" s="742">
        <f>Calculs!B1821</f>
        <v>0</v>
      </c>
      <c r="C1749" s="742">
        <f>Calculs!BY1821</f>
        <v>0</v>
      </c>
      <c r="D1749" s="742">
        <f>Calculs!BZ1821</f>
        <v>0</v>
      </c>
      <c r="E1749" s="742">
        <f>Calculs!CA1821</f>
        <v>0</v>
      </c>
      <c r="F1749" s="742">
        <f>Calculs!CB1821</f>
        <v>0</v>
      </c>
      <c r="G1749" s="742">
        <f>Calculs!CC1821</f>
        <v>0</v>
      </c>
      <c r="H1749" s="742"/>
      <c r="I1749" s="742">
        <f>Calculs!CE1821</f>
        <v>0</v>
      </c>
      <c r="J1749" s="742">
        <f>Calculs!CF1821</f>
        <v>0</v>
      </c>
      <c r="K1749" s="742"/>
      <c r="L1749" s="742">
        <f>Calculs!CH1821</f>
        <v>0</v>
      </c>
    </row>
    <row r="1750" spans="2:12">
      <c r="B1750" s="742">
        <f>Calculs!B1822</f>
        <v>0</v>
      </c>
      <c r="C1750" s="742">
        <f>Calculs!BY1822</f>
        <v>0</v>
      </c>
      <c r="D1750" s="742">
        <f>Calculs!BZ1822</f>
        <v>0</v>
      </c>
      <c r="E1750" s="742">
        <f>Calculs!CA1822</f>
        <v>0</v>
      </c>
      <c r="F1750" s="742">
        <f>Calculs!CB1822</f>
        <v>0</v>
      </c>
      <c r="G1750" s="742">
        <f>Calculs!CC1822</f>
        <v>0</v>
      </c>
      <c r="H1750" s="742"/>
      <c r="I1750" s="742">
        <f>Calculs!CE1822</f>
        <v>0</v>
      </c>
      <c r="J1750" s="742">
        <f>Calculs!CF1822</f>
        <v>0</v>
      </c>
      <c r="K1750" s="742"/>
      <c r="L1750" s="742">
        <f>Calculs!CH1822</f>
        <v>0</v>
      </c>
    </row>
    <row r="1751" spans="2:12">
      <c r="B1751" s="742">
        <f>Calculs!B1823</f>
        <v>0</v>
      </c>
      <c r="C1751" s="742">
        <f>Calculs!BY1823</f>
        <v>0</v>
      </c>
      <c r="D1751" s="742">
        <f>Calculs!BZ1823</f>
        <v>0</v>
      </c>
      <c r="E1751" s="742">
        <f>Calculs!CA1823</f>
        <v>0</v>
      </c>
      <c r="F1751" s="742">
        <f>Calculs!CB1823</f>
        <v>0</v>
      </c>
      <c r="G1751" s="742">
        <f>Calculs!CC1823</f>
        <v>0</v>
      </c>
      <c r="H1751" s="742"/>
      <c r="I1751" s="742">
        <f>Calculs!CE1823</f>
        <v>0</v>
      </c>
      <c r="J1751" s="742">
        <f>Calculs!CF1823</f>
        <v>0</v>
      </c>
      <c r="K1751" s="742"/>
      <c r="L1751" s="742">
        <f>Calculs!CH1823</f>
        <v>0</v>
      </c>
    </row>
    <row r="1752" spans="2:12">
      <c r="B1752" s="742">
        <f>Calculs!B1824</f>
        <v>0</v>
      </c>
      <c r="C1752" s="742">
        <f>Calculs!BY1824</f>
        <v>0</v>
      </c>
      <c r="D1752" s="742">
        <f>Calculs!BZ1824</f>
        <v>0</v>
      </c>
      <c r="E1752" s="742">
        <f>Calculs!CA1824</f>
        <v>0</v>
      </c>
      <c r="F1752" s="742">
        <f>Calculs!CB1824</f>
        <v>0</v>
      </c>
      <c r="G1752" s="742">
        <f>Calculs!CC1824</f>
        <v>0</v>
      </c>
      <c r="H1752" s="742"/>
      <c r="I1752" s="742">
        <f>Calculs!CE1824</f>
        <v>0</v>
      </c>
      <c r="J1752" s="742">
        <f>Calculs!CF1824</f>
        <v>0</v>
      </c>
      <c r="K1752" s="742"/>
      <c r="L1752" s="742">
        <f>Calculs!CH1824</f>
        <v>0</v>
      </c>
    </row>
    <row r="1753" spans="2:12">
      <c r="B1753" s="742">
        <f>Calculs!B1825</f>
        <v>0</v>
      </c>
      <c r="C1753" s="742">
        <f>Calculs!BY1825</f>
        <v>0</v>
      </c>
      <c r="D1753" s="742">
        <f>Calculs!BZ1825</f>
        <v>0</v>
      </c>
      <c r="E1753" s="742">
        <f>Calculs!CA1825</f>
        <v>0</v>
      </c>
      <c r="F1753" s="742">
        <f>Calculs!CB1825</f>
        <v>0</v>
      </c>
      <c r="G1753" s="742">
        <f>Calculs!CC1825</f>
        <v>0</v>
      </c>
      <c r="H1753" s="742"/>
      <c r="I1753" s="742">
        <f>Calculs!CE1825</f>
        <v>0</v>
      </c>
      <c r="J1753" s="742">
        <f>Calculs!CF1825</f>
        <v>0</v>
      </c>
      <c r="K1753" s="742"/>
      <c r="L1753" s="742">
        <f>Calculs!CH1825</f>
        <v>0</v>
      </c>
    </row>
    <row r="1754" spans="2:12">
      <c r="B1754" s="742">
        <f>Calculs!B1826</f>
        <v>0</v>
      </c>
      <c r="C1754" s="742">
        <f>Calculs!BY1826</f>
        <v>0</v>
      </c>
      <c r="D1754" s="742">
        <f>Calculs!BZ1826</f>
        <v>0</v>
      </c>
      <c r="E1754" s="742">
        <f>Calculs!CA1826</f>
        <v>0</v>
      </c>
      <c r="F1754" s="742">
        <f>Calculs!CB1826</f>
        <v>0</v>
      </c>
      <c r="G1754" s="742">
        <f>Calculs!CC1826</f>
        <v>0</v>
      </c>
      <c r="H1754" s="742"/>
      <c r="I1754" s="742">
        <f>Calculs!CE1826</f>
        <v>0</v>
      </c>
      <c r="J1754" s="742">
        <f>Calculs!CF1826</f>
        <v>0</v>
      </c>
      <c r="K1754" s="742"/>
      <c r="L1754" s="742">
        <f>Calculs!CH1826</f>
        <v>0</v>
      </c>
    </row>
    <row r="1755" spans="2:12">
      <c r="B1755" s="742">
        <f>Calculs!B1827</f>
        <v>0</v>
      </c>
      <c r="C1755" s="742">
        <f>Calculs!BY1827</f>
        <v>0</v>
      </c>
      <c r="D1755" s="742">
        <f>Calculs!BZ1827</f>
        <v>0</v>
      </c>
      <c r="E1755" s="742">
        <f>Calculs!CA1827</f>
        <v>0</v>
      </c>
      <c r="F1755" s="742">
        <f>Calculs!CB1827</f>
        <v>0</v>
      </c>
      <c r="G1755" s="742">
        <f>Calculs!CC1827</f>
        <v>0</v>
      </c>
      <c r="H1755" s="742"/>
      <c r="I1755" s="742">
        <f>Calculs!CE1827</f>
        <v>0</v>
      </c>
      <c r="J1755" s="742">
        <f>Calculs!CF1827</f>
        <v>0</v>
      </c>
      <c r="K1755" s="742"/>
      <c r="L1755" s="742">
        <f>Calculs!CH1827</f>
        <v>0</v>
      </c>
    </row>
    <row r="1756" spans="2:12">
      <c r="B1756" s="742">
        <f>Calculs!B1828</f>
        <v>0</v>
      </c>
      <c r="C1756" s="742">
        <f>Calculs!BY1828</f>
        <v>0</v>
      </c>
      <c r="D1756" s="742">
        <f>Calculs!BZ1828</f>
        <v>0</v>
      </c>
      <c r="E1756" s="742">
        <f>Calculs!CA1828</f>
        <v>0</v>
      </c>
      <c r="F1756" s="742">
        <f>Calculs!CB1828</f>
        <v>0</v>
      </c>
      <c r="G1756" s="742">
        <f>Calculs!CC1828</f>
        <v>0</v>
      </c>
      <c r="H1756" s="742"/>
      <c r="I1756" s="742">
        <f>Calculs!CE1828</f>
        <v>0</v>
      </c>
      <c r="J1756" s="742">
        <f>Calculs!CF1828</f>
        <v>0</v>
      </c>
      <c r="K1756" s="742"/>
      <c r="L1756" s="742">
        <f>Calculs!CH1828</f>
        <v>0</v>
      </c>
    </row>
    <row r="1757" spans="2:12">
      <c r="B1757" s="742">
        <f>Calculs!B1829</f>
        <v>0</v>
      </c>
      <c r="C1757" s="742">
        <f>Calculs!BY1829</f>
        <v>0</v>
      </c>
      <c r="D1757" s="742">
        <f>Calculs!BZ1829</f>
        <v>0</v>
      </c>
      <c r="E1757" s="742">
        <f>Calculs!CA1829</f>
        <v>0</v>
      </c>
      <c r="F1757" s="742">
        <f>Calculs!CB1829</f>
        <v>0</v>
      </c>
      <c r="G1757" s="742">
        <f>Calculs!CC1829</f>
        <v>0</v>
      </c>
      <c r="H1757" s="742"/>
      <c r="I1757" s="742">
        <f>Calculs!CE1829</f>
        <v>0</v>
      </c>
      <c r="J1757" s="742">
        <f>Calculs!CF1829</f>
        <v>0</v>
      </c>
      <c r="K1757" s="742"/>
      <c r="L1757" s="742">
        <f>Calculs!CH1829</f>
        <v>0</v>
      </c>
    </row>
    <row r="1758" spans="2:12">
      <c r="B1758" s="742">
        <f>Calculs!B1830</f>
        <v>0</v>
      </c>
      <c r="C1758" s="742">
        <f>Calculs!BY1830</f>
        <v>0</v>
      </c>
      <c r="D1758" s="742">
        <f>Calculs!BZ1830</f>
        <v>0</v>
      </c>
      <c r="E1758" s="742">
        <f>Calculs!CA1830</f>
        <v>0</v>
      </c>
      <c r="F1758" s="742">
        <f>Calculs!CB1830</f>
        <v>0</v>
      </c>
      <c r="G1758" s="742">
        <f>Calculs!CC1830</f>
        <v>0</v>
      </c>
      <c r="H1758" s="742"/>
      <c r="I1758" s="742">
        <f>Calculs!CE1830</f>
        <v>0</v>
      </c>
      <c r="J1758" s="742">
        <f>Calculs!CF1830</f>
        <v>0</v>
      </c>
      <c r="K1758" s="742"/>
      <c r="L1758" s="742">
        <f>Calculs!CH1830</f>
        <v>0</v>
      </c>
    </row>
    <row r="1759" spans="2:12">
      <c r="B1759" s="742">
        <f>Calculs!B1831</f>
        <v>0</v>
      </c>
      <c r="C1759" s="742">
        <f>Calculs!BY1831</f>
        <v>0</v>
      </c>
      <c r="D1759" s="742">
        <f>Calculs!BZ1831</f>
        <v>0</v>
      </c>
      <c r="E1759" s="742">
        <f>Calculs!CA1831</f>
        <v>0</v>
      </c>
      <c r="F1759" s="742">
        <f>Calculs!CB1831</f>
        <v>0</v>
      </c>
      <c r="G1759" s="742">
        <f>Calculs!CC1831</f>
        <v>0</v>
      </c>
      <c r="H1759" s="742"/>
      <c r="I1759" s="742">
        <f>Calculs!CE1831</f>
        <v>0</v>
      </c>
      <c r="J1759" s="742">
        <f>Calculs!CF1831</f>
        <v>0</v>
      </c>
      <c r="K1759" s="742"/>
      <c r="L1759" s="742">
        <f>Calculs!CH1831</f>
        <v>0</v>
      </c>
    </row>
    <row r="1760" spans="2:12">
      <c r="B1760" s="742">
        <f>Calculs!B1832</f>
        <v>0</v>
      </c>
      <c r="C1760" s="742">
        <f>Calculs!BY1832</f>
        <v>0</v>
      </c>
      <c r="D1760" s="742">
        <f>Calculs!BZ1832</f>
        <v>0</v>
      </c>
      <c r="E1760" s="742">
        <f>Calculs!CA1832</f>
        <v>0</v>
      </c>
      <c r="F1760" s="742">
        <f>Calculs!CB1832</f>
        <v>0</v>
      </c>
      <c r="G1760" s="742">
        <f>Calculs!CC1832</f>
        <v>0</v>
      </c>
      <c r="H1760" s="742"/>
      <c r="I1760" s="742">
        <f>Calculs!CE1832</f>
        <v>0</v>
      </c>
      <c r="J1760" s="742">
        <f>Calculs!CF1832</f>
        <v>0</v>
      </c>
      <c r="K1760" s="742"/>
      <c r="L1760" s="742">
        <f>Calculs!CH1832</f>
        <v>0</v>
      </c>
    </row>
    <row r="1761" spans="2:12">
      <c r="B1761" s="742">
        <f>Calculs!B1833</f>
        <v>0</v>
      </c>
      <c r="C1761" s="742">
        <f>Calculs!BY1833</f>
        <v>0</v>
      </c>
      <c r="D1761" s="742">
        <f>Calculs!BZ1833</f>
        <v>0</v>
      </c>
      <c r="E1761" s="742">
        <f>Calculs!CA1833</f>
        <v>0</v>
      </c>
      <c r="F1761" s="742">
        <f>Calculs!CB1833</f>
        <v>0</v>
      </c>
      <c r="G1761" s="742">
        <f>Calculs!CC1833</f>
        <v>0</v>
      </c>
      <c r="H1761" s="742"/>
      <c r="I1761" s="742">
        <f>Calculs!CE1833</f>
        <v>0</v>
      </c>
      <c r="J1761" s="742">
        <f>Calculs!CF1833</f>
        <v>0</v>
      </c>
      <c r="K1761" s="742"/>
      <c r="L1761" s="742">
        <f>Calculs!CH1833</f>
        <v>0</v>
      </c>
    </row>
    <row r="1762" spans="2:12">
      <c r="B1762" s="742">
        <f>Calculs!B1834</f>
        <v>0</v>
      </c>
      <c r="C1762" s="742">
        <f>Calculs!BY1834</f>
        <v>0</v>
      </c>
      <c r="D1762" s="742">
        <f>Calculs!BZ1834</f>
        <v>0</v>
      </c>
      <c r="E1762" s="742">
        <f>Calculs!CA1834</f>
        <v>0</v>
      </c>
      <c r="F1762" s="742">
        <f>Calculs!CB1834</f>
        <v>0</v>
      </c>
      <c r="G1762" s="742">
        <f>Calculs!CC1834</f>
        <v>0</v>
      </c>
      <c r="H1762" s="742"/>
      <c r="I1762" s="742">
        <f>Calculs!CE1834</f>
        <v>0</v>
      </c>
      <c r="J1762" s="742">
        <f>Calculs!CF1834</f>
        <v>0</v>
      </c>
      <c r="K1762" s="742"/>
      <c r="L1762" s="742">
        <f>Calculs!CH1834</f>
        <v>0</v>
      </c>
    </row>
    <row r="1763" spans="2:12">
      <c r="B1763" s="742">
        <f>Calculs!B1835</f>
        <v>0</v>
      </c>
      <c r="C1763" s="742">
        <f>Calculs!BY1835</f>
        <v>0</v>
      </c>
      <c r="D1763" s="742">
        <f>Calculs!BZ1835</f>
        <v>0</v>
      </c>
      <c r="E1763" s="742">
        <f>Calculs!CA1835</f>
        <v>0</v>
      </c>
      <c r="F1763" s="742">
        <f>Calculs!CB1835</f>
        <v>0</v>
      </c>
      <c r="G1763" s="742">
        <f>Calculs!CC1835</f>
        <v>0</v>
      </c>
      <c r="H1763" s="742"/>
      <c r="I1763" s="742">
        <f>Calculs!CE1835</f>
        <v>0</v>
      </c>
      <c r="J1763" s="742">
        <f>Calculs!CF1835</f>
        <v>0</v>
      </c>
      <c r="K1763" s="742"/>
      <c r="L1763" s="742">
        <f>Calculs!CH1835</f>
        <v>0</v>
      </c>
    </row>
    <row r="1764" spans="2:12">
      <c r="B1764" s="742">
        <f>Calculs!B1836</f>
        <v>0</v>
      </c>
      <c r="C1764" s="742">
        <f>Calculs!BY1836</f>
        <v>0</v>
      </c>
      <c r="D1764" s="742">
        <f>Calculs!BZ1836</f>
        <v>0</v>
      </c>
      <c r="E1764" s="742">
        <f>Calculs!CA1836</f>
        <v>0</v>
      </c>
      <c r="F1764" s="742">
        <f>Calculs!CB1836</f>
        <v>0</v>
      </c>
      <c r="G1764" s="742">
        <f>Calculs!CC1836</f>
        <v>0</v>
      </c>
      <c r="H1764" s="742"/>
      <c r="I1764" s="742">
        <f>Calculs!CE1836</f>
        <v>0</v>
      </c>
      <c r="J1764" s="742">
        <f>Calculs!CF1836</f>
        <v>0</v>
      </c>
      <c r="K1764" s="742"/>
      <c r="L1764" s="742">
        <f>Calculs!CH1836</f>
        <v>0</v>
      </c>
    </row>
    <row r="1765" spans="2:12">
      <c r="B1765" s="742">
        <f>Calculs!B1837</f>
        <v>0</v>
      </c>
      <c r="C1765" s="742">
        <f>Calculs!BY1837</f>
        <v>0</v>
      </c>
      <c r="D1765" s="742">
        <f>Calculs!BZ1837</f>
        <v>0</v>
      </c>
      <c r="E1765" s="742">
        <f>Calculs!CA1837</f>
        <v>0</v>
      </c>
      <c r="F1765" s="742">
        <f>Calculs!CB1837</f>
        <v>0</v>
      </c>
      <c r="G1765" s="742">
        <f>Calculs!CC1837</f>
        <v>0</v>
      </c>
      <c r="H1765" s="742"/>
      <c r="I1765" s="742">
        <f>Calculs!CE1837</f>
        <v>0</v>
      </c>
      <c r="J1765" s="742">
        <f>Calculs!CF1837</f>
        <v>0</v>
      </c>
      <c r="K1765" s="742"/>
      <c r="L1765" s="742">
        <f>Calculs!CH1837</f>
        <v>0</v>
      </c>
    </row>
    <row r="1766" spans="2:12">
      <c r="B1766" s="742">
        <f>Calculs!B1838</f>
        <v>0</v>
      </c>
      <c r="C1766" s="742">
        <f>Calculs!BY1838</f>
        <v>0</v>
      </c>
      <c r="D1766" s="742">
        <f>Calculs!BZ1838</f>
        <v>0</v>
      </c>
      <c r="E1766" s="742">
        <f>Calculs!CA1838</f>
        <v>0</v>
      </c>
      <c r="F1766" s="742">
        <f>Calculs!CB1838</f>
        <v>0</v>
      </c>
      <c r="G1766" s="742">
        <f>Calculs!CC1838</f>
        <v>0</v>
      </c>
      <c r="H1766" s="742"/>
      <c r="I1766" s="742">
        <f>Calculs!CE1838</f>
        <v>0</v>
      </c>
      <c r="J1766" s="742">
        <f>Calculs!CF1838</f>
        <v>0</v>
      </c>
      <c r="K1766" s="742"/>
      <c r="L1766" s="742">
        <f>Calculs!CH1838</f>
        <v>0</v>
      </c>
    </row>
    <row r="1767" spans="2:12">
      <c r="B1767" s="742">
        <f>Calculs!B1839</f>
        <v>0</v>
      </c>
      <c r="C1767" s="742">
        <f>Calculs!BY1839</f>
        <v>0</v>
      </c>
      <c r="D1767" s="742">
        <f>Calculs!BZ1839</f>
        <v>0</v>
      </c>
      <c r="E1767" s="742">
        <f>Calculs!CA1839</f>
        <v>0</v>
      </c>
      <c r="F1767" s="742">
        <f>Calculs!CB1839</f>
        <v>0</v>
      </c>
      <c r="G1767" s="742">
        <f>Calculs!CC1839</f>
        <v>0</v>
      </c>
      <c r="H1767" s="742"/>
      <c r="I1767" s="742">
        <f>Calculs!CE1839</f>
        <v>0</v>
      </c>
      <c r="J1767" s="742">
        <f>Calculs!CF1839</f>
        <v>0</v>
      </c>
      <c r="K1767" s="742"/>
      <c r="L1767" s="742">
        <f>Calculs!CH1839</f>
        <v>0</v>
      </c>
    </row>
    <row r="1768" spans="2:12">
      <c r="B1768" s="742">
        <f>Calculs!B1840</f>
        <v>0</v>
      </c>
      <c r="C1768" s="742">
        <f>Calculs!BY1840</f>
        <v>0</v>
      </c>
      <c r="D1768" s="742">
        <f>Calculs!BZ1840</f>
        <v>0</v>
      </c>
      <c r="E1768" s="742">
        <f>Calculs!CA1840</f>
        <v>0</v>
      </c>
      <c r="F1768" s="742">
        <f>Calculs!CB1840</f>
        <v>0</v>
      </c>
      <c r="G1768" s="742">
        <f>Calculs!CC1840</f>
        <v>0</v>
      </c>
      <c r="H1768" s="742"/>
      <c r="I1768" s="742">
        <f>Calculs!CE1840</f>
        <v>0</v>
      </c>
      <c r="J1768" s="742">
        <f>Calculs!CF1840</f>
        <v>0</v>
      </c>
      <c r="K1768" s="742"/>
      <c r="L1768" s="742">
        <f>Calculs!CH1840</f>
        <v>0</v>
      </c>
    </row>
    <row r="1769" spans="2:12">
      <c r="B1769" s="742">
        <f>Calculs!B1841</f>
        <v>0</v>
      </c>
      <c r="C1769" s="742">
        <f>Calculs!BY1841</f>
        <v>0</v>
      </c>
      <c r="D1769" s="742">
        <f>Calculs!BZ1841</f>
        <v>0</v>
      </c>
      <c r="E1769" s="742">
        <f>Calculs!CA1841</f>
        <v>0</v>
      </c>
      <c r="F1769" s="742">
        <f>Calculs!CB1841</f>
        <v>0</v>
      </c>
      <c r="G1769" s="742">
        <f>Calculs!CC1841</f>
        <v>0</v>
      </c>
      <c r="H1769" s="742"/>
      <c r="I1769" s="742">
        <f>Calculs!CE1841</f>
        <v>0</v>
      </c>
      <c r="J1769" s="742">
        <f>Calculs!CF1841</f>
        <v>0</v>
      </c>
      <c r="K1769" s="742"/>
      <c r="L1769" s="742">
        <f>Calculs!CH1841</f>
        <v>0</v>
      </c>
    </row>
    <row r="1770" spans="2:12">
      <c r="B1770" s="742">
        <f>Calculs!B1842</f>
        <v>0</v>
      </c>
      <c r="C1770" s="742">
        <f>Calculs!BY1842</f>
        <v>0</v>
      </c>
      <c r="D1770" s="742">
        <f>Calculs!BZ1842</f>
        <v>0</v>
      </c>
      <c r="E1770" s="742">
        <f>Calculs!CA1842</f>
        <v>0</v>
      </c>
      <c r="F1770" s="742">
        <f>Calculs!CB1842</f>
        <v>0</v>
      </c>
      <c r="G1770" s="742">
        <f>Calculs!CC1842</f>
        <v>0</v>
      </c>
      <c r="H1770" s="742"/>
      <c r="I1770" s="742">
        <f>Calculs!CE1842</f>
        <v>0</v>
      </c>
      <c r="J1770" s="742">
        <f>Calculs!CF1842</f>
        <v>0</v>
      </c>
      <c r="K1770" s="742"/>
      <c r="L1770" s="742">
        <f>Calculs!CH1842</f>
        <v>0</v>
      </c>
    </row>
    <row r="1771" spans="2:12">
      <c r="B1771" s="742">
        <f>Calculs!B1843</f>
        <v>0</v>
      </c>
      <c r="C1771" s="742">
        <f>Calculs!BY1843</f>
        <v>0</v>
      </c>
      <c r="D1771" s="742">
        <f>Calculs!BZ1843</f>
        <v>0</v>
      </c>
      <c r="E1771" s="742">
        <f>Calculs!CA1843</f>
        <v>0</v>
      </c>
      <c r="F1771" s="742">
        <f>Calculs!CB1843</f>
        <v>0</v>
      </c>
      <c r="G1771" s="742">
        <f>Calculs!CC1843</f>
        <v>0</v>
      </c>
      <c r="H1771" s="742"/>
      <c r="I1771" s="742">
        <f>Calculs!CE1843</f>
        <v>0</v>
      </c>
      <c r="J1771" s="742">
        <f>Calculs!CF1843</f>
        <v>0</v>
      </c>
      <c r="K1771" s="742"/>
      <c r="L1771" s="742">
        <f>Calculs!CH1843</f>
        <v>0</v>
      </c>
    </row>
    <row r="1772" spans="2:12">
      <c r="B1772" s="742">
        <f>Calculs!B1844</f>
        <v>0</v>
      </c>
      <c r="C1772" s="742">
        <f>Calculs!BY1844</f>
        <v>0</v>
      </c>
      <c r="D1772" s="742">
        <f>Calculs!BZ1844</f>
        <v>0</v>
      </c>
      <c r="E1772" s="742">
        <f>Calculs!CA1844</f>
        <v>0</v>
      </c>
      <c r="F1772" s="742">
        <f>Calculs!CB1844</f>
        <v>0</v>
      </c>
      <c r="G1772" s="742">
        <f>Calculs!CC1844</f>
        <v>0</v>
      </c>
      <c r="H1772" s="742"/>
      <c r="I1772" s="742">
        <f>Calculs!CE1844</f>
        <v>0</v>
      </c>
      <c r="J1772" s="742">
        <f>Calculs!CF1844</f>
        <v>0</v>
      </c>
      <c r="K1772" s="742"/>
      <c r="L1772" s="742">
        <f>Calculs!CH1844</f>
        <v>0</v>
      </c>
    </row>
    <row r="1773" spans="2:12">
      <c r="B1773" s="742">
        <f>Calculs!B1845</f>
        <v>0</v>
      </c>
      <c r="C1773" s="742">
        <f>Calculs!BY1845</f>
        <v>0</v>
      </c>
      <c r="D1773" s="742">
        <f>Calculs!BZ1845</f>
        <v>0</v>
      </c>
      <c r="E1773" s="742">
        <f>Calculs!CA1845</f>
        <v>0</v>
      </c>
      <c r="F1773" s="742">
        <f>Calculs!CB1845</f>
        <v>0</v>
      </c>
      <c r="G1773" s="742">
        <f>Calculs!CC1845</f>
        <v>0</v>
      </c>
      <c r="H1773" s="742"/>
      <c r="I1773" s="742">
        <f>Calculs!CE1845</f>
        <v>0</v>
      </c>
      <c r="J1773" s="742">
        <f>Calculs!CF1845</f>
        <v>0</v>
      </c>
      <c r="K1773" s="742"/>
      <c r="L1773" s="742">
        <f>Calculs!CH1845</f>
        <v>0</v>
      </c>
    </row>
    <row r="1774" spans="2:12">
      <c r="B1774" s="742">
        <f>Calculs!B1846</f>
        <v>0</v>
      </c>
      <c r="C1774" s="742">
        <f>Calculs!BY1846</f>
        <v>0</v>
      </c>
      <c r="D1774" s="742">
        <f>Calculs!BZ1846</f>
        <v>0</v>
      </c>
      <c r="E1774" s="742">
        <f>Calculs!CA1846</f>
        <v>0</v>
      </c>
      <c r="F1774" s="742">
        <f>Calculs!CB1846</f>
        <v>0</v>
      </c>
      <c r="G1774" s="742">
        <f>Calculs!CC1846</f>
        <v>0</v>
      </c>
      <c r="H1774" s="742"/>
      <c r="I1774" s="742">
        <f>Calculs!CE1846</f>
        <v>0</v>
      </c>
      <c r="J1774" s="742">
        <f>Calculs!CF1846</f>
        <v>0</v>
      </c>
      <c r="K1774" s="742"/>
      <c r="L1774" s="742">
        <f>Calculs!CH1846</f>
        <v>0</v>
      </c>
    </row>
    <row r="1775" spans="2:12">
      <c r="B1775" s="742">
        <f>Calculs!B1847</f>
        <v>0</v>
      </c>
      <c r="C1775" s="742">
        <f>Calculs!BY1847</f>
        <v>0</v>
      </c>
      <c r="D1775" s="742">
        <f>Calculs!BZ1847</f>
        <v>0</v>
      </c>
      <c r="E1775" s="742">
        <f>Calculs!CA1847</f>
        <v>0</v>
      </c>
      <c r="F1775" s="742">
        <f>Calculs!CB1847</f>
        <v>0</v>
      </c>
      <c r="G1775" s="742">
        <f>Calculs!CC1847</f>
        <v>0</v>
      </c>
      <c r="H1775" s="742"/>
      <c r="I1775" s="742">
        <f>Calculs!CE1847</f>
        <v>0</v>
      </c>
      <c r="J1775" s="742">
        <f>Calculs!CF1847</f>
        <v>0</v>
      </c>
      <c r="K1775" s="742"/>
      <c r="L1775" s="742">
        <f>Calculs!CH1847</f>
        <v>0</v>
      </c>
    </row>
    <row r="1776" spans="2:12">
      <c r="B1776" s="742">
        <f>Calculs!B1848</f>
        <v>0</v>
      </c>
      <c r="C1776" s="742">
        <f>Calculs!BY1848</f>
        <v>0</v>
      </c>
      <c r="D1776" s="742">
        <f>Calculs!BZ1848</f>
        <v>0</v>
      </c>
      <c r="E1776" s="742">
        <f>Calculs!CA1848</f>
        <v>0</v>
      </c>
      <c r="F1776" s="742">
        <f>Calculs!CB1848</f>
        <v>0</v>
      </c>
      <c r="G1776" s="742">
        <f>Calculs!CC1848</f>
        <v>0</v>
      </c>
      <c r="H1776" s="742"/>
      <c r="I1776" s="742">
        <f>Calculs!CE1848</f>
        <v>0</v>
      </c>
      <c r="J1776" s="742">
        <f>Calculs!CF1848</f>
        <v>0</v>
      </c>
      <c r="K1776" s="742"/>
      <c r="L1776" s="742">
        <f>Calculs!CH1848</f>
        <v>0</v>
      </c>
    </row>
    <row r="1777" spans="2:12">
      <c r="B1777" s="742">
        <f>Calculs!B1849</f>
        <v>0</v>
      </c>
      <c r="C1777" s="742">
        <f>Calculs!BY1849</f>
        <v>0</v>
      </c>
      <c r="D1777" s="742">
        <f>Calculs!BZ1849</f>
        <v>0</v>
      </c>
      <c r="E1777" s="742">
        <f>Calculs!CA1849</f>
        <v>0</v>
      </c>
      <c r="F1777" s="742">
        <f>Calculs!CB1849</f>
        <v>0</v>
      </c>
      <c r="G1777" s="742">
        <f>Calculs!CC1849</f>
        <v>0</v>
      </c>
      <c r="H1777" s="742"/>
      <c r="I1777" s="742">
        <f>Calculs!CE1849</f>
        <v>0</v>
      </c>
      <c r="J1777" s="742">
        <f>Calculs!CF1849</f>
        <v>0</v>
      </c>
      <c r="K1777" s="742"/>
      <c r="L1777" s="742">
        <f>Calculs!CH1849</f>
        <v>0</v>
      </c>
    </row>
    <row r="1778" spans="2:12">
      <c r="B1778" s="742">
        <f>Calculs!B1850</f>
        <v>0</v>
      </c>
      <c r="C1778" s="742">
        <f>Calculs!BY1850</f>
        <v>0</v>
      </c>
      <c r="D1778" s="742">
        <f>Calculs!BZ1850</f>
        <v>0</v>
      </c>
      <c r="E1778" s="742">
        <f>Calculs!CA1850</f>
        <v>0</v>
      </c>
      <c r="F1778" s="742">
        <f>Calculs!CB1850</f>
        <v>0</v>
      </c>
      <c r="G1778" s="742">
        <f>Calculs!CC1850</f>
        <v>0</v>
      </c>
      <c r="H1778" s="742"/>
      <c r="I1778" s="742">
        <f>Calculs!CE1850</f>
        <v>0</v>
      </c>
      <c r="J1778" s="742">
        <f>Calculs!CF1850</f>
        <v>0</v>
      </c>
      <c r="K1778" s="742"/>
      <c r="L1778" s="742">
        <f>Calculs!CH1850</f>
        <v>0</v>
      </c>
    </row>
    <row r="1779" spans="2:12">
      <c r="B1779" s="742">
        <f>Calculs!B1851</f>
        <v>0</v>
      </c>
      <c r="C1779" s="742">
        <f>Calculs!BY1851</f>
        <v>0</v>
      </c>
      <c r="D1779" s="742">
        <f>Calculs!BZ1851</f>
        <v>0</v>
      </c>
      <c r="E1779" s="742">
        <f>Calculs!CA1851</f>
        <v>0</v>
      </c>
      <c r="F1779" s="742">
        <f>Calculs!CB1851</f>
        <v>0</v>
      </c>
      <c r="G1779" s="742">
        <f>Calculs!CC1851</f>
        <v>0</v>
      </c>
      <c r="H1779" s="742"/>
      <c r="I1779" s="742">
        <f>Calculs!CE1851</f>
        <v>0</v>
      </c>
      <c r="J1779" s="742">
        <f>Calculs!CF1851</f>
        <v>0</v>
      </c>
      <c r="K1779" s="742"/>
      <c r="L1779" s="742">
        <f>Calculs!CH1851</f>
        <v>0</v>
      </c>
    </row>
    <row r="1780" spans="2:12">
      <c r="B1780" s="742">
        <f>Calculs!B1852</f>
        <v>0</v>
      </c>
      <c r="C1780" s="742">
        <f>Calculs!BY1852</f>
        <v>0</v>
      </c>
      <c r="D1780" s="742">
        <f>Calculs!BZ1852</f>
        <v>0</v>
      </c>
      <c r="E1780" s="742">
        <f>Calculs!CA1852</f>
        <v>0</v>
      </c>
      <c r="F1780" s="742">
        <f>Calculs!CB1852</f>
        <v>0</v>
      </c>
      <c r="G1780" s="742">
        <f>Calculs!CC1852</f>
        <v>0</v>
      </c>
      <c r="H1780" s="742"/>
      <c r="I1780" s="742">
        <f>Calculs!CE1852</f>
        <v>0</v>
      </c>
      <c r="J1780" s="742">
        <f>Calculs!CF1852</f>
        <v>0</v>
      </c>
      <c r="K1780" s="742"/>
      <c r="L1780" s="742">
        <f>Calculs!CH1852</f>
        <v>0</v>
      </c>
    </row>
    <row r="1781" spans="2:12">
      <c r="B1781" s="742">
        <f>Calculs!B1853</f>
        <v>0</v>
      </c>
      <c r="C1781" s="742">
        <f>Calculs!BY1853</f>
        <v>0</v>
      </c>
      <c r="D1781" s="742">
        <f>Calculs!BZ1853</f>
        <v>0</v>
      </c>
      <c r="E1781" s="742">
        <f>Calculs!CA1853</f>
        <v>0</v>
      </c>
      <c r="F1781" s="742">
        <f>Calculs!CB1853</f>
        <v>0</v>
      </c>
      <c r="G1781" s="742">
        <f>Calculs!CC1853</f>
        <v>0</v>
      </c>
      <c r="H1781" s="742"/>
      <c r="I1781" s="742">
        <f>Calculs!CE1853</f>
        <v>0</v>
      </c>
      <c r="J1781" s="742">
        <f>Calculs!CF1853</f>
        <v>0</v>
      </c>
      <c r="K1781" s="742"/>
      <c r="L1781" s="742">
        <f>Calculs!CH1853</f>
        <v>0</v>
      </c>
    </row>
    <row r="1782" spans="2:12">
      <c r="B1782" s="742">
        <f>Calculs!B1854</f>
        <v>0</v>
      </c>
      <c r="C1782" s="742">
        <f>Calculs!BY1854</f>
        <v>0</v>
      </c>
      <c r="D1782" s="742">
        <f>Calculs!BZ1854</f>
        <v>0</v>
      </c>
      <c r="E1782" s="742">
        <f>Calculs!CA1854</f>
        <v>0</v>
      </c>
      <c r="F1782" s="742">
        <f>Calculs!CB1854</f>
        <v>0</v>
      </c>
      <c r="G1782" s="742">
        <f>Calculs!CC1854</f>
        <v>0</v>
      </c>
      <c r="H1782" s="742"/>
      <c r="I1782" s="742">
        <f>Calculs!CE1854</f>
        <v>0</v>
      </c>
      <c r="J1782" s="742">
        <f>Calculs!CF1854</f>
        <v>0</v>
      </c>
      <c r="K1782" s="742"/>
      <c r="L1782" s="742">
        <f>Calculs!CH1854</f>
        <v>0</v>
      </c>
    </row>
    <row r="1783" spans="2:12">
      <c r="B1783" s="742">
        <f>Calculs!B1855</f>
        <v>0</v>
      </c>
      <c r="C1783" s="742">
        <f>Calculs!BY1855</f>
        <v>0</v>
      </c>
      <c r="D1783" s="742">
        <f>Calculs!BZ1855</f>
        <v>0</v>
      </c>
      <c r="E1783" s="742">
        <f>Calculs!CA1855</f>
        <v>0</v>
      </c>
      <c r="F1783" s="742">
        <f>Calculs!CB1855</f>
        <v>0</v>
      </c>
      <c r="G1783" s="742">
        <f>Calculs!CC1855</f>
        <v>0</v>
      </c>
      <c r="H1783" s="742"/>
      <c r="I1783" s="742">
        <f>Calculs!CE1855</f>
        <v>0</v>
      </c>
      <c r="J1783" s="742">
        <f>Calculs!CF1855</f>
        <v>0</v>
      </c>
      <c r="K1783" s="742"/>
      <c r="L1783" s="742">
        <f>Calculs!CH1855</f>
        <v>0</v>
      </c>
    </row>
    <row r="1784" spans="2:12">
      <c r="B1784" s="742">
        <f>Calculs!B1856</f>
        <v>0</v>
      </c>
      <c r="C1784" s="742">
        <f>Calculs!BY1856</f>
        <v>0</v>
      </c>
      <c r="D1784" s="742">
        <f>Calculs!BZ1856</f>
        <v>0</v>
      </c>
      <c r="E1784" s="742">
        <f>Calculs!CA1856</f>
        <v>0</v>
      </c>
      <c r="F1784" s="742">
        <f>Calculs!CB1856</f>
        <v>0</v>
      </c>
      <c r="G1784" s="742">
        <f>Calculs!CC1856</f>
        <v>0</v>
      </c>
      <c r="H1784" s="742"/>
      <c r="I1784" s="742">
        <f>Calculs!CE1856</f>
        <v>0</v>
      </c>
      <c r="J1784" s="742">
        <f>Calculs!CF1856</f>
        <v>0</v>
      </c>
      <c r="K1784" s="742"/>
      <c r="L1784" s="742">
        <f>Calculs!CH1856</f>
        <v>0</v>
      </c>
    </row>
    <row r="1785" spans="2:12">
      <c r="B1785" s="742">
        <f>Calculs!B1857</f>
        <v>0</v>
      </c>
      <c r="C1785" s="742">
        <f>Calculs!BY1857</f>
        <v>0</v>
      </c>
      <c r="D1785" s="742">
        <f>Calculs!BZ1857</f>
        <v>0</v>
      </c>
      <c r="E1785" s="742">
        <f>Calculs!CA1857</f>
        <v>0</v>
      </c>
      <c r="F1785" s="742">
        <f>Calculs!CB1857</f>
        <v>0</v>
      </c>
      <c r="G1785" s="742">
        <f>Calculs!CC1857</f>
        <v>0</v>
      </c>
      <c r="H1785" s="742"/>
      <c r="I1785" s="742">
        <f>Calculs!CE1857</f>
        <v>0</v>
      </c>
      <c r="J1785" s="742">
        <f>Calculs!CF1857</f>
        <v>0</v>
      </c>
      <c r="K1785" s="742"/>
      <c r="L1785" s="742">
        <f>Calculs!CH1857</f>
        <v>0</v>
      </c>
    </row>
    <row r="1786" spans="2:12">
      <c r="B1786" s="742">
        <f>Calculs!B1858</f>
        <v>0</v>
      </c>
      <c r="C1786" s="742">
        <f>Calculs!BY1858</f>
        <v>0</v>
      </c>
      <c r="D1786" s="742">
        <f>Calculs!BZ1858</f>
        <v>0</v>
      </c>
      <c r="E1786" s="742">
        <f>Calculs!CA1858</f>
        <v>0</v>
      </c>
      <c r="F1786" s="742">
        <f>Calculs!CB1858</f>
        <v>0</v>
      </c>
      <c r="G1786" s="742">
        <f>Calculs!CC1858</f>
        <v>0</v>
      </c>
      <c r="H1786" s="742"/>
      <c r="I1786" s="742">
        <f>Calculs!CE1858</f>
        <v>0</v>
      </c>
      <c r="J1786" s="742">
        <f>Calculs!CF1858</f>
        <v>0</v>
      </c>
      <c r="K1786" s="742"/>
      <c r="L1786" s="742">
        <f>Calculs!CH1858</f>
        <v>0</v>
      </c>
    </row>
    <row r="1787" spans="2:12">
      <c r="B1787" s="742">
        <f>Calculs!B1859</f>
        <v>0</v>
      </c>
      <c r="C1787" s="742">
        <f>Calculs!BY1859</f>
        <v>0</v>
      </c>
      <c r="D1787" s="742">
        <f>Calculs!BZ1859</f>
        <v>0</v>
      </c>
      <c r="E1787" s="742">
        <f>Calculs!CA1859</f>
        <v>0</v>
      </c>
      <c r="F1787" s="742">
        <f>Calculs!CB1859</f>
        <v>0</v>
      </c>
      <c r="G1787" s="742">
        <f>Calculs!CC1859</f>
        <v>0</v>
      </c>
      <c r="H1787" s="742"/>
      <c r="I1787" s="742">
        <f>Calculs!CE1859</f>
        <v>0</v>
      </c>
      <c r="J1787" s="742">
        <f>Calculs!CF1859</f>
        <v>0</v>
      </c>
      <c r="K1787" s="742"/>
      <c r="L1787" s="742">
        <f>Calculs!CH1859</f>
        <v>0</v>
      </c>
    </row>
    <row r="1788" spans="2:12">
      <c r="B1788" s="742">
        <f>Calculs!B1860</f>
        <v>0</v>
      </c>
      <c r="C1788" s="742">
        <f>Calculs!BY1860</f>
        <v>0</v>
      </c>
      <c r="D1788" s="742">
        <f>Calculs!BZ1860</f>
        <v>0</v>
      </c>
      <c r="E1788" s="742">
        <f>Calculs!CA1860</f>
        <v>0</v>
      </c>
      <c r="F1788" s="742">
        <f>Calculs!CB1860</f>
        <v>0</v>
      </c>
      <c r="G1788" s="742">
        <f>Calculs!CC1860</f>
        <v>0</v>
      </c>
      <c r="H1788" s="742"/>
      <c r="I1788" s="742">
        <f>Calculs!CE1860</f>
        <v>0</v>
      </c>
      <c r="J1788" s="742">
        <f>Calculs!CF1860</f>
        <v>0</v>
      </c>
      <c r="K1788" s="742"/>
      <c r="L1788" s="742">
        <f>Calculs!CH1860</f>
        <v>0</v>
      </c>
    </row>
    <row r="1789" spans="2:12">
      <c r="B1789" s="742">
        <f>Calculs!B1861</f>
        <v>0</v>
      </c>
      <c r="C1789" s="742">
        <f>Calculs!BY1861</f>
        <v>0</v>
      </c>
      <c r="D1789" s="742">
        <f>Calculs!BZ1861</f>
        <v>0</v>
      </c>
      <c r="E1789" s="742">
        <f>Calculs!CA1861</f>
        <v>0</v>
      </c>
      <c r="F1789" s="742">
        <f>Calculs!CB1861</f>
        <v>0</v>
      </c>
      <c r="G1789" s="742">
        <f>Calculs!CC1861</f>
        <v>0</v>
      </c>
      <c r="H1789" s="742"/>
      <c r="I1789" s="742">
        <f>Calculs!CE1861</f>
        <v>0</v>
      </c>
      <c r="J1789" s="742">
        <f>Calculs!CF1861</f>
        <v>0</v>
      </c>
      <c r="K1789" s="742"/>
      <c r="L1789" s="742">
        <f>Calculs!CH1861</f>
        <v>0</v>
      </c>
    </row>
    <row r="1790" spans="2:12">
      <c r="B1790" s="742">
        <f>Calculs!B1862</f>
        <v>0</v>
      </c>
      <c r="C1790" s="742">
        <f>Calculs!BY1862</f>
        <v>0</v>
      </c>
      <c r="D1790" s="742">
        <f>Calculs!BZ1862</f>
        <v>0</v>
      </c>
      <c r="E1790" s="742">
        <f>Calculs!CA1862</f>
        <v>0</v>
      </c>
      <c r="F1790" s="742">
        <f>Calculs!CB1862</f>
        <v>0</v>
      </c>
      <c r="G1790" s="742">
        <f>Calculs!CC1862</f>
        <v>0</v>
      </c>
      <c r="H1790" s="742"/>
      <c r="I1790" s="742">
        <f>Calculs!CE1862</f>
        <v>0</v>
      </c>
      <c r="J1790" s="742">
        <f>Calculs!CF1862</f>
        <v>0</v>
      </c>
      <c r="K1790" s="742"/>
      <c r="L1790" s="742">
        <f>Calculs!CH1862</f>
        <v>0</v>
      </c>
    </row>
    <row r="1791" spans="2:12">
      <c r="B1791" s="742">
        <f>Calculs!B1863</f>
        <v>0</v>
      </c>
      <c r="C1791" s="742">
        <f>Calculs!BY1863</f>
        <v>0</v>
      </c>
      <c r="D1791" s="742">
        <f>Calculs!BZ1863</f>
        <v>0</v>
      </c>
      <c r="E1791" s="742">
        <f>Calculs!CA1863</f>
        <v>0</v>
      </c>
      <c r="F1791" s="742">
        <f>Calculs!CB1863</f>
        <v>0</v>
      </c>
      <c r="G1791" s="742">
        <f>Calculs!CC1863</f>
        <v>0</v>
      </c>
      <c r="H1791" s="742"/>
      <c r="I1791" s="742">
        <f>Calculs!CE1863</f>
        <v>0</v>
      </c>
      <c r="J1791" s="742">
        <f>Calculs!CF1863</f>
        <v>0</v>
      </c>
      <c r="K1791" s="742"/>
      <c r="L1791" s="742">
        <f>Calculs!CH1863</f>
        <v>0</v>
      </c>
    </row>
    <row r="1792" spans="2:12">
      <c r="B1792" s="742">
        <f>Calculs!B1864</f>
        <v>0</v>
      </c>
      <c r="C1792" s="742">
        <f>Calculs!BY1864</f>
        <v>0</v>
      </c>
      <c r="D1792" s="742">
        <f>Calculs!BZ1864</f>
        <v>0</v>
      </c>
      <c r="E1792" s="742">
        <f>Calculs!CA1864</f>
        <v>0</v>
      </c>
      <c r="F1792" s="742">
        <f>Calculs!CB1864</f>
        <v>0</v>
      </c>
      <c r="G1792" s="742">
        <f>Calculs!CC1864</f>
        <v>0</v>
      </c>
      <c r="H1792" s="742"/>
      <c r="I1792" s="742">
        <f>Calculs!CE1864</f>
        <v>0</v>
      </c>
      <c r="J1792" s="742">
        <f>Calculs!CF1864</f>
        <v>0</v>
      </c>
      <c r="K1792" s="742"/>
      <c r="L1792" s="742">
        <f>Calculs!CH1864</f>
        <v>0</v>
      </c>
    </row>
    <row r="1793" spans="2:12">
      <c r="B1793" s="742">
        <f>Calculs!B1865</f>
        <v>0</v>
      </c>
      <c r="C1793" s="742">
        <f>Calculs!BY1865</f>
        <v>0</v>
      </c>
      <c r="D1793" s="742">
        <f>Calculs!BZ1865</f>
        <v>0</v>
      </c>
      <c r="E1793" s="742">
        <f>Calculs!CA1865</f>
        <v>0</v>
      </c>
      <c r="F1793" s="742">
        <f>Calculs!CB1865</f>
        <v>0</v>
      </c>
      <c r="G1793" s="742">
        <f>Calculs!CC1865</f>
        <v>0</v>
      </c>
      <c r="H1793" s="742"/>
      <c r="I1793" s="742">
        <f>Calculs!CE1865</f>
        <v>0</v>
      </c>
      <c r="J1793" s="742">
        <f>Calculs!CF1865</f>
        <v>0</v>
      </c>
      <c r="K1793" s="742"/>
      <c r="L1793" s="742">
        <f>Calculs!CH1865</f>
        <v>0</v>
      </c>
    </row>
    <row r="1794" spans="2:12">
      <c r="B1794" s="742">
        <f>Calculs!B1866</f>
        <v>0</v>
      </c>
      <c r="C1794" s="742">
        <f>Calculs!BY1866</f>
        <v>0</v>
      </c>
      <c r="D1794" s="742">
        <f>Calculs!BZ1866</f>
        <v>0</v>
      </c>
      <c r="E1794" s="742">
        <f>Calculs!CA1866</f>
        <v>0</v>
      </c>
      <c r="F1794" s="742">
        <f>Calculs!CB1866</f>
        <v>0</v>
      </c>
      <c r="G1794" s="742">
        <f>Calculs!CC1866</f>
        <v>0</v>
      </c>
      <c r="H1794" s="742"/>
      <c r="I1794" s="742">
        <f>Calculs!CE1866</f>
        <v>0</v>
      </c>
      <c r="J1794" s="742">
        <f>Calculs!CF1866</f>
        <v>0</v>
      </c>
      <c r="K1794" s="742"/>
      <c r="L1794" s="742">
        <f>Calculs!CH1866</f>
        <v>0</v>
      </c>
    </row>
    <row r="1795" spans="2:12">
      <c r="B1795" s="742">
        <f>Calculs!B1867</f>
        <v>0</v>
      </c>
      <c r="C1795" s="742">
        <f>Calculs!BY1867</f>
        <v>0</v>
      </c>
      <c r="D1795" s="742">
        <f>Calculs!BZ1867</f>
        <v>0</v>
      </c>
      <c r="E1795" s="742">
        <f>Calculs!CA1867</f>
        <v>0</v>
      </c>
      <c r="F1795" s="742">
        <f>Calculs!CB1867</f>
        <v>0</v>
      </c>
      <c r="G1795" s="742">
        <f>Calculs!CC1867</f>
        <v>0</v>
      </c>
      <c r="H1795" s="742"/>
      <c r="I1795" s="742">
        <f>Calculs!CE1867</f>
        <v>0</v>
      </c>
      <c r="J1795" s="742">
        <f>Calculs!CF1867</f>
        <v>0</v>
      </c>
      <c r="K1795" s="742"/>
      <c r="L1795" s="742">
        <f>Calculs!CH1867</f>
        <v>0</v>
      </c>
    </row>
    <row r="1796" spans="2:12">
      <c r="B1796" s="742">
        <f>Calculs!B1868</f>
        <v>0</v>
      </c>
      <c r="C1796" s="742">
        <f>Calculs!BY1868</f>
        <v>0</v>
      </c>
      <c r="D1796" s="742">
        <f>Calculs!BZ1868</f>
        <v>0</v>
      </c>
      <c r="E1796" s="742">
        <f>Calculs!CA1868</f>
        <v>0</v>
      </c>
      <c r="F1796" s="742">
        <f>Calculs!CB1868</f>
        <v>0</v>
      </c>
      <c r="G1796" s="742">
        <f>Calculs!CC1868</f>
        <v>0</v>
      </c>
      <c r="H1796" s="742"/>
      <c r="I1796" s="742">
        <f>Calculs!CE1868</f>
        <v>0</v>
      </c>
      <c r="J1796" s="742">
        <f>Calculs!CF1868</f>
        <v>0</v>
      </c>
      <c r="K1796" s="742"/>
      <c r="L1796" s="742">
        <f>Calculs!CH1868</f>
        <v>0</v>
      </c>
    </row>
    <row r="1797" spans="2:12">
      <c r="B1797" s="742">
        <f>Calculs!B1869</f>
        <v>0</v>
      </c>
      <c r="C1797" s="742">
        <f>Calculs!BY1869</f>
        <v>0</v>
      </c>
      <c r="D1797" s="742">
        <f>Calculs!BZ1869</f>
        <v>0</v>
      </c>
      <c r="E1797" s="742">
        <f>Calculs!CA1869</f>
        <v>0</v>
      </c>
      <c r="F1797" s="742">
        <f>Calculs!CB1869</f>
        <v>0</v>
      </c>
      <c r="G1797" s="742">
        <f>Calculs!CC1869</f>
        <v>0</v>
      </c>
      <c r="H1797" s="742"/>
      <c r="I1797" s="742">
        <f>Calculs!CE1869</f>
        <v>0</v>
      </c>
      <c r="J1797" s="742">
        <f>Calculs!CF1869</f>
        <v>0</v>
      </c>
      <c r="K1797" s="742"/>
      <c r="L1797" s="742">
        <f>Calculs!CH1869</f>
        <v>0</v>
      </c>
    </row>
    <row r="1798" spans="2:12">
      <c r="B1798" s="742">
        <f>Calculs!B1870</f>
        <v>0</v>
      </c>
      <c r="C1798" s="742">
        <f>Calculs!BY1870</f>
        <v>0</v>
      </c>
      <c r="D1798" s="742">
        <f>Calculs!BZ1870</f>
        <v>0</v>
      </c>
      <c r="E1798" s="742">
        <f>Calculs!CA1870</f>
        <v>0</v>
      </c>
      <c r="F1798" s="742">
        <f>Calculs!CB1870</f>
        <v>0</v>
      </c>
      <c r="G1798" s="742">
        <f>Calculs!CC1870</f>
        <v>0</v>
      </c>
      <c r="H1798" s="742"/>
      <c r="I1798" s="742">
        <f>Calculs!CE1870</f>
        <v>0</v>
      </c>
      <c r="J1798" s="742">
        <f>Calculs!CF1870</f>
        <v>0</v>
      </c>
      <c r="K1798" s="742"/>
      <c r="L1798" s="742">
        <f>Calculs!CH1870</f>
        <v>0</v>
      </c>
    </row>
    <row r="1799" spans="2:12">
      <c r="B1799" s="742">
        <f>Calculs!B1871</f>
        <v>0</v>
      </c>
      <c r="C1799" s="742">
        <f>Calculs!BY1871</f>
        <v>0</v>
      </c>
      <c r="D1799" s="742">
        <f>Calculs!BZ1871</f>
        <v>0</v>
      </c>
      <c r="E1799" s="742">
        <f>Calculs!CA1871</f>
        <v>0</v>
      </c>
      <c r="F1799" s="742">
        <f>Calculs!CB1871</f>
        <v>0</v>
      </c>
      <c r="G1799" s="742">
        <f>Calculs!CC1871</f>
        <v>0</v>
      </c>
      <c r="H1799" s="742"/>
      <c r="I1799" s="742">
        <f>Calculs!CE1871</f>
        <v>0</v>
      </c>
      <c r="J1799" s="742">
        <f>Calculs!CF1871</f>
        <v>0</v>
      </c>
      <c r="K1799" s="742"/>
      <c r="L1799" s="742">
        <f>Calculs!CH1871</f>
        <v>0</v>
      </c>
    </row>
    <row r="1800" spans="2:12">
      <c r="B1800" s="742">
        <f>Calculs!B1872</f>
        <v>0</v>
      </c>
      <c r="C1800" s="742">
        <f>Calculs!BY1872</f>
        <v>0</v>
      </c>
      <c r="D1800" s="742">
        <f>Calculs!BZ1872</f>
        <v>0</v>
      </c>
      <c r="E1800" s="742">
        <f>Calculs!CA1872</f>
        <v>0</v>
      </c>
      <c r="F1800" s="742">
        <f>Calculs!CB1872</f>
        <v>0</v>
      </c>
      <c r="G1800" s="742">
        <f>Calculs!CC1872</f>
        <v>0</v>
      </c>
      <c r="H1800" s="742"/>
      <c r="I1800" s="742">
        <f>Calculs!CE1872</f>
        <v>0</v>
      </c>
      <c r="J1800" s="742">
        <f>Calculs!CF1872</f>
        <v>0</v>
      </c>
      <c r="K1800" s="742"/>
      <c r="L1800" s="742">
        <f>Calculs!CH1872</f>
        <v>0</v>
      </c>
    </row>
    <row r="1801" spans="2:12">
      <c r="B1801" s="742">
        <f>Calculs!B1873</f>
        <v>0</v>
      </c>
      <c r="C1801" s="742">
        <f>Calculs!BY1873</f>
        <v>0</v>
      </c>
      <c r="D1801" s="742">
        <f>Calculs!BZ1873</f>
        <v>0</v>
      </c>
      <c r="E1801" s="742">
        <f>Calculs!CA1873</f>
        <v>0</v>
      </c>
      <c r="F1801" s="742">
        <f>Calculs!CB1873</f>
        <v>0</v>
      </c>
      <c r="G1801" s="742">
        <f>Calculs!CC1873</f>
        <v>0</v>
      </c>
      <c r="H1801" s="742"/>
      <c r="I1801" s="742">
        <f>Calculs!CE1873</f>
        <v>0</v>
      </c>
      <c r="J1801" s="742">
        <f>Calculs!CF1873</f>
        <v>0</v>
      </c>
      <c r="K1801" s="742"/>
      <c r="L1801" s="742">
        <f>Calculs!CH1873</f>
        <v>0</v>
      </c>
    </row>
    <row r="1802" spans="2:12">
      <c r="B1802" s="742">
        <f>Calculs!B1874</f>
        <v>0</v>
      </c>
      <c r="C1802" s="742">
        <f>Calculs!BY1874</f>
        <v>0</v>
      </c>
      <c r="D1802" s="742">
        <f>Calculs!BZ1874</f>
        <v>0</v>
      </c>
      <c r="E1802" s="742">
        <f>Calculs!CA1874</f>
        <v>0</v>
      </c>
      <c r="F1802" s="742">
        <f>Calculs!CB1874</f>
        <v>0</v>
      </c>
      <c r="G1802" s="742">
        <f>Calculs!CC1874</f>
        <v>0</v>
      </c>
      <c r="H1802" s="742"/>
      <c r="I1802" s="742">
        <f>Calculs!CE1874</f>
        <v>0</v>
      </c>
      <c r="J1802" s="742">
        <f>Calculs!CF1874</f>
        <v>0</v>
      </c>
      <c r="K1802" s="742"/>
      <c r="L1802" s="742">
        <f>Calculs!CH1874</f>
        <v>0</v>
      </c>
    </row>
    <row r="1803" spans="2:12">
      <c r="B1803" s="742">
        <f>Calculs!B1875</f>
        <v>0</v>
      </c>
      <c r="C1803" s="742">
        <f>Calculs!BY1875</f>
        <v>0</v>
      </c>
      <c r="D1803" s="742">
        <f>Calculs!BZ1875</f>
        <v>0</v>
      </c>
      <c r="E1803" s="742">
        <f>Calculs!CA1875</f>
        <v>0</v>
      </c>
      <c r="F1803" s="742">
        <f>Calculs!CB1875</f>
        <v>0</v>
      </c>
      <c r="G1803" s="742">
        <f>Calculs!CC1875</f>
        <v>0</v>
      </c>
      <c r="H1803" s="742"/>
      <c r="I1803" s="742">
        <f>Calculs!CE1875</f>
        <v>0</v>
      </c>
      <c r="J1803" s="742">
        <f>Calculs!CF1875</f>
        <v>0</v>
      </c>
      <c r="K1803" s="742"/>
      <c r="L1803" s="742">
        <f>Calculs!CH1875</f>
        <v>0</v>
      </c>
    </row>
    <row r="1804" spans="2:12">
      <c r="B1804" s="742">
        <f>Calculs!B1876</f>
        <v>0</v>
      </c>
      <c r="C1804" s="742">
        <f>Calculs!BY1876</f>
        <v>0</v>
      </c>
      <c r="D1804" s="742">
        <f>Calculs!BZ1876</f>
        <v>0</v>
      </c>
      <c r="E1804" s="742">
        <f>Calculs!CA1876</f>
        <v>0</v>
      </c>
      <c r="F1804" s="742">
        <f>Calculs!CB1876</f>
        <v>0</v>
      </c>
      <c r="G1804" s="742">
        <f>Calculs!CC1876</f>
        <v>0</v>
      </c>
      <c r="H1804" s="742"/>
      <c r="I1804" s="742">
        <f>Calculs!CE1876</f>
        <v>0</v>
      </c>
      <c r="J1804" s="742">
        <f>Calculs!CF1876</f>
        <v>0</v>
      </c>
      <c r="K1804" s="742"/>
      <c r="L1804" s="742">
        <f>Calculs!CH1876</f>
        <v>0</v>
      </c>
    </row>
    <row r="1805" spans="2:12">
      <c r="B1805" s="742">
        <f>Calculs!B1877</f>
        <v>0</v>
      </c>
      <c r="C1805" s="742">
        <f>Calculs!BY1877</f>
        <v>0</v>
      </c>
      <c r="D1805" s="742">
        <f>Calculs!BZ1877</f>
        <v>0</v>
      </c>
      <c r="E1805" s="742">
        <f>Calculs!CA1877</f>
        <v>0</v>
      </c>
      <c r="F1805" s="742">
        <f>Calculs!CB1877</f>
        <v>0</v>
      </c>
      <c r="G1805" s="742">
        <f>Calculs!CC1877</f>
        <v>0</v>
      </c>
      <c r="H1805" s="742"/>
      <c r="I1805" s="742">
        <f>Calculs!CE1877</f>
        <v>0</v>
      </c>
      <c r="J1805" s="742">
        <f>Calculs!CF1877</f>
        <v>0</v>
      </c>
      <c r="K1805" s="742"/>
      <c r="L1805" s="742">
        <f>Calculs!CH1877</f>
        <v>0</v>
      </c>
    </row>
    <row r="1806" spans="2:12">
      <c r="B1806" s="742">
        <f>Calculs!B1878</f>
        <v>0</v>
      </c>
      <c r="C1806" s="742">
        <f>Calculs!BY1878</f>
        <v>0</v>
      </c>
      <c r="D1806" s="742">
        <f>Calculs!BZ1878</f>
        <v>0</v>
      </c>
      <c r="E1806" s="742">
        <f>Calculs!CA1878</f>
        <v>0</v>
      </c>
      <c r="F1806" s="742">
        <f>Calculs!CB1878</f>
        <v>0</v>
      </c>
      <c r="G1806" s="742">
        <f>Calculs!CC1878</f>
        <v>0</v>
      </c>
      <c r="H1806" s="742"/>
      <c r="I1806" s="742">
        <f>Calculs!CE1878</f>
        <v>0</v>
      </c>
      <c r="J1806" s="742">
        <f>Calculs!CF1878</f>
        <v>0</v>
      </c>
      <c r="K1806" s="742"/>
      <c r="L1806" s="742">
        <f>Calculs!CH1878</f>
        <v>0</v>
      </c>
    </row>
    <row r="1807" spans="2:12">
      <c r="B1807" s="742">
        <f>Calculs!B1879</f>
        <v>0</v>
      </c>
      <c r="C1807" s="742">
        <f>Calculs!BY1879</f>
        <v>0</v>
      </c>
      <c r="D1807" s="742">
        <f>Calculs!BZ1879</f>
        <v>0</v>
      </c>
      <c r="E1807" s="742">
        <f>Calculs!CA1879</f>
        <v>0</v>
      </c>
      <c r="F1807" s="742">
        <f>Calculs!CB1879</f>
        <v>0</v>
      </c>
      <c r="G1807" s="742">
        <f>Calculs!CC1879</f>
        <v>0</v>
      </c>
      <c r="H1807" s="742"/>
      <c r="I1807" s="742">
        <f>Calculs!CE1879</f>
        <v>0</v>
      </c>
      <c r="J1807" s="742">
        <f>Calculs!CF1879</f>
        <v>0</v>
      </c>
      <c r="K1807" s="742"/>
      <c r="L1807" s="742">
        <f>Calculs!CH1879</f>
        <v>0</v>
      </c>
    </row>
    <row r="1808" spans="2:12">
      <c r="B1808" s="742">
        <f>Calculs!B1880</f>
        <v>0</v>
      </c>
      <c r="C1808" s="742">
        <f>Calculs!BY1880</f>
        <v>0</v>
      </c>
      <c r="D1808" s="742">
        <f>Calculs!BZ1880</f>
        <v>0</v>
      </c>
      <c r="E1808" s="742">
        <f>Calculs!CA1880</f>
        <v>0</v>
      </c>
      <c r="F1808" s="742">
        <f>Calculs!CB1880</f>
        <v>0</v>
      </c>
      <c r="G1808" s="742">
        <f>Calculs!CC1880</f>
        <v>0</v>
      </c>
      <c r="H1808" s="742"/>
      <c r="I1808" s="742">
        <f>Calculs!CE1880</f>
        <v>0</v>
      </c>
      <c r="J1808" s="742">
        <f>Calculs!CF1880</f>
        <v>0</v>
      </c>
      <c r="K1808" s="742"/>
      <c r="L1808" s="742">
        <f>Calculs!CH1880</f>
        <v>0</v>
      </c>
    </row>
    <row r="1809" spans="2:12">
      <c r="B1809" s="742">
        <f>Calculs!B1881</f>
        <v>0</v>
      </c>
      <c r="C1809" s="742">
        <f>Calculs!BY1881</f>
        <v>0</v>
      </c>
      <c r="D1809" s="742">
        <f>Calculs!BZ1881</f>
        <v>0</v>
      </c>
      <c r="E1809" s="742">
        <f>Calculs!CA1881</f>
        <v>0</v>
      </c>
      <c r="F1809" s="742">
        <f>Calculs!CB1881</f>
        <v>0</v>
      </c>
      <c r="G1809" s="742">
        <f>Calculs!CC1881</f>
        <v>0</v>
      </c>
      <c r="H1809" s="742"/>
      <c r="I1809" s="742">
        <f>Calculs!CE1881</f>
        <v>0</v>
      </c>
      <c r="J1809" s="742">
        <f>Calculs!CF1881</f>
        <v>0</v>
      </c>
      <c r="K1809" s="742"/>
      <c r="L1809" s="742">
        <f>Calculs!CH1881</f>
        <v>0</v>
      </c>
    </row>
    <row r="1810" spans="2:12">
      <c r="B1810" s="742">
        <f>Calculs!B1882</f>
        <v>0</v>
      </c>
      <c r="C1810" s="742">
        <f>Calculs!BY1882</f>
        <v>0</v>
      </c>
      <c r="D1810" s="742">
        <f>Calculs!BZ1882</f>
        <v>0</v>
      </c>
      <c r="E1810" s="742">
        <f>Calculs!CA1882</f>
        <v>0</v>
      </c>
      <c r="F1810" s="742">
        <f>Calculs!CB1882</f>
        <v>0</v>
      </c>
      <c r="G1810" s="742">
        <f>Calculs!CC1882</f>
        <v>0</v>
      </c>
      <c r="H1810" s="742"/>
      <c r="I1810" s="742">
        <f>Calculs!CE1882</f>
        <v>0</v>
      </c>
      <c r="J1810" s="742">
        <f>Calculs!CF1882</f>
        <v>0</v>
      </c>
      <c r="K1810" s="742"/>
      <c r="L1810" s="742">
        <f>Calculs!CH1882</f>
        <v>0</v>
      </c>
    </row>
    <row r="1811" spans="2:12">
      <c r="B1811" s="742">
        <f>Calculs!B1883</f>
        <v>0</v>
      </c>
      <c r="C1811" s="742">
        <f>Calculs!BY1883</f>
        <v>0</v>
      </c>
      <c r="D1811" s="742">
        <f>Calculs!BZ1883</f>
        <v>0</v>
      </c>
      <c r="E1811" s="742">
        <f>Calculs!CA1883</f>
        <v>0</v>
      </c>
      <c r="F1811" s="742">
        <f>Calculs!CB1883</f>
        <v>0</v>
      </c>
      <c r="G1811" s="742">
        <f>Calculs!CC1883</f>
        <v>0</v>
      </c>
      <c r="H1811" s="742"/>
      <c r="I1811" s="742">
        <f>Calculs!CE1883</f>
        <v>0</v>
      </c>
      <c r="J1811" s="742">
        <f>Calculs!CF1883</f>
        <v>0</v>
      </c>
      <c r="K1811" s="742"/>
      <c r="L1811" s="742">
        <f>Calculs!CH1883</f>
        <v>0</v>
      </c>
    </row>
    <row r="1812" spans="2:12">
      <c r="B1812" s="742">
        <f>Calculs!B1884</f>
        <v>0</v>
      </c>
      <c r="C1812" s="742">
        <f>Calculs!BY1884</f>
        <v>0</v>
      </c>
      <c r="D1812" s="742">
        <f>Calculs!BZ1884</f>
        <v>0</v>
      </c>
      <c r="E1812" s="742">
        <f>Calculs!CA1884</f>
        <v>0</v>
      </c>
      <c r="F1812" s="742">
        <f>Calculs!CB1884</f>
        <v>0</v>
      </c>
      <c r="G1812" s="742">
        <f>Calculs!CC1884</f>
        <v>0</v>
      </c>
      <c r="H1812" s="742"/>
      <c r="I1812" s="742">
        <f>Calculs!CE1884</f>
        <v>0</v>
      </c>
      <c r="J1812" s="742">
        <f>Calculs!CF1884</f>
        <v>0</v>
      </c>
      <c r="K1812" s="742"/>
      <c r="L1812" s="742">
        <f>Calculs!CH1884</f>
        <v>0</v>
      </c>
    </row>
    <row r="1813" spans="2:12">
      <c r="B1813" s="742">
        <f>Calculs!B1885</f>
        <v>0</v>
      </c>
      <c r="C1813" s="742">
        <f>Calculs!BY1885</f>
        <v>0</v>
      </c>
      <c r="D1813" s="742">
        <f>Calculs!BZ1885</f>
        <v>0</v>
      </c>
      <c r="E1813" s="742">
        <f>Calculs!CA1885</f>
        <v>0</v>
      </c>
      <c r="F1813" s="742">
        <f>Calculs!CB1885</f>
        <v>0</v>
      </c>
      <c r="G1813" s="742">
        <f>Calculs!CC1885</f>
        <v>0</v>
      </c>
      <c r="H1813" s="742"/>
      <c r="I1813" s="742">
        <f>Calculs!CE1885</f>
        <v>0</v>
      </c>
      <c r="J1813" s="742">
        <f>Calculs!CF1885</f>
        <v>0</v>
      </c>
      <c r="K1813" s="742"/>
      <c r="L1813" s="742">
        <f>Calculs!CH1885</f>
        <v>0</v>
      </c>
    </row>
    <row r="1814" spans="2:12">
      <c r="B1814" s="742">
        <f>Calculs!B1886</f>
        <v>0</v>
      </c>
      <c r="C1814" s="742">
        <f>Calculs!BY1886</f>
        <v>0</v>
      </c>
      <c r="D1814" s="742">
        <f>Calculs!BZ1886</f>
        <v>0</v>
      </c>
      <c r="E1814" s="742">
        <f>Calculs!CA1886</f>
        <v>0</v>
      </c>
      <c r="F1814" s="742">
        <f>Calculs!CB1886</f>
        <v>0</v>
      </c>
      <c r="G1814" s="742">
        <f>Calculs!CC1886</f>
        <v>0</v>
      </c>
      <c r="H1814" s="742"/>
      <c r="I1814" s="742">
        <f>Calculs!CE1886</f>
        <v>0</v>
      </c>
      <c r="J1814" s="742">
        <f>Calculs!CF1886</f>
        <v>0</v>
      </c>
      <c r="K1814" s="742"/>
      <c r="L1814" s="742">
        <f>Calculs!CH1886</f>
        <v>0</v>
      </c>
    </row>
    <row r="1815" spans="2:12">
      <c r="B1815" s="742">
        <f>Calculs!B1887</f>
        <v>0</v>
      </c>
      <c r="C1815" s="742">
        <f>Calculs!BY1887</f>
        <v>0</v>
      </c>
      <c r="D1815" s="742">
        <f>Calculs!BZ1887</f>
        <v>0</v>
      </c>
      <c r="E1815" s="742">
        <f>Calculs!CA1887</f>
        <v>0</v>
      </c>
      <c r="F1815" s="742">
        <f>Calculs!CB1887</f>
        <v>0</v>
      </c>
      <c r="G1815" s="742">
        <f>Calculs!CC1887</f>
        <v>0</v>
      </c>
      <c r="H1815" s="742"/>
      <c r="I1815" s="742">
        <f>Calculs!CE1887</f>
        <v>0</v>
      </c>
      <c r="J1815" s="742">
        <f>Calculs!CF1887</f>
        <v>0</v>
      </c>
      <c r="K1815" s="742"/>
      <c r="L1815" s="742">
        <f>Calculs!CH1887</f>
        <v>0</v>
      </c>
    </row>
    <row r="1816" spans="2:12">
      <c r="B1816" s="742">
        <f>Calculs!B1888</f>
        <v>0</v>
      </c>
      <c r="C1816" s="742">
        <f>Calculs!BY1888</f>
        <v>0</v>
      </c>
      <c r="D1816" s="742">
        <f>Calculs!BZ1888</f>
        <v>0</v>
      </c>
      <c r="E1816" s="742">
        <f>Calculs!CA1888</f>
        <v>0</v>
      </c>
      <c r="F1816" s="742">
        <f>Calculs!CB1888</f>
        <v>0</v>
      </c>
      <c r="G1816" s="742">
        <f>Calculs!CC1888</f>
        <v>0</v>
      </c>
      <c r="H1816" s="742"/>
      <c r="I1816" s="742">
        <f>Calculs!CE1888</f>
        <v>0</v>
      </c>
      <c r="J1816" s="742">
        <f>Calculs!CF1888</f>
        <v>0</v>
      </c>
      <c r="K1816" s="742"/>
      <c r="L1816" s="742">
        <f>Calculs!CH1888</f>
        <v>0</v>
      </c>
    </row>
    <row r="1817" spans="2:12">
      <c r="B1817" s="742">
        <f>Calculs!B1889</f>
        <v>0</v>
      </c>
      <c r="C1817" s="742">
        <f>Calculs!BY1889</f>
        <v>0</v>
      </c>
      <c r="D1817" s="742">
        <f>Calculs!BZ1889</f>
        <v>0</v>
      </c>
      <c r="E1817" s="742">
        <f>Calculs!CA1889</f>
        <v>0</v>
      </c>
      <c r="F1817" s="742">
        <f>Calculs!CB1889</f>
        <v>0</v>
      </c>
      <c r="G1817" s="742">
        <f>Calculs!CC1889</f>
        <v>0</v>
      </c>
      <c r="H1817" s="742"/>
      <c r="I1817" s="742">
        <f>Calculs!CE1889</f>
        <v>0</v>
      </c>
      <c r="J1817" s="742">
        <f>Calculs!CF1889</f>
        <v>0</v>
      </c>
      <c r="K1817" s="742"/>
      <c r="L1817" s="742">
        <f>Calculs!CH1889</f>
        <v>0</v>
      </c>
    </row>
    <row r="1818" spans="2:12">
      <c r="B1818" s="742">
        <f>Calculs!B1890</f>
        <v>0</v>
      </c>
      <c r="C1818" s="742">
        <f>Calculs!BY1890</f>
        <v>0</v>
      </c>
      <c r="D1818" s="742">
        <f>Calculs!BZ1890</f>
        <v>0</v>
      </c>
      <c r="E1818" s="742">
        <f>Calculs!CA1890</f>
        <v>0</v>
      </c>
      <c r="F1818" s="742">
        <f>Calculs!CB1890</f>
        <v>0</v>
      </c>
      <c r="G1818" s="742">
        <f>Calculs!CC1890</f>
        <v>0</v>
      </c>
      <c r="H1818" s="742"/>
      <c r="I1818" s="742">
        <f>Calculs!CE1890</f>
        <v>0</v>
      </c>
      <c r="J1818" s="742">
        <f>Calculs!CF1890</f>
        <v>0</v>
      </c>
      <c r="K1818" s="742"/>
      <c r="L1818" s="742">
        <f>Calculs!CH1890</f>
        <v>0</v>
      </c>
    </row>
    <row r="1819" spans="2:12">
      <c r="B1819" s="742">
        <f>Calculs!B1891</f>
        <v>0</v>
      </c>
      <c r="C1819" s="742">
        <f>Calculs!BY1891</f>
        <v>0</v>
      </c>
      <c r="D1819" s="742">
        <f>Calculs!BZ1891</f>
        <v>0</v>
      </c>
      <c r="E1819" s="742">
        <f>Calculs!CA1891</f>
        <v>0</v>
      </c>
      <c r="F1819" s="742">
        <f>Calculs!CB1891</f>
        <v>0</v>
      </c>
      <c r="G1819" s="742">
        <f>Calculs!CC1891</f>
        <v>0</v>
      </c>
      <c r="H1819" s="742"/>
      <c r="I1819" s="742">
        <f>Calculs!CE1891</f>
        <v>0</v>
      </c>
      <c r="J1819" s="742">
        <f>Calculs!CF1891</f>
        <v>0</v>
      </c>
      <c r="K1819" s="742"/>
      <c r="L1819" s="742">
        <f>Calculs!CH1891</f>
        <v>0</v>
      </c>
    </row>
    <row r="1820" spans="2:12">
      <c r="B1820" s="742">
        <f>Calculs!B1892</f>
        <v>0</v>
      </c>
      <c r="C1820" s="742">
        <f>Calculs!BY1892</f>
        <v>0</v>
      </c>
      <c r="D1820" s="742">
        <f>Calculs!BZ1892</f>
        <v>0</v>
      </c>
      <c r="E1820" s="742">
        <f>Calculs!CA1892</f>
        <v>0</v>
      </c>
      <c r="F1820" s="742">
        <f>Calculs!CB1892</f>
        <v>0</v>
      </c>
      <c r="G1820" s="742">
        <f>Calculs!CC1892</f>
        <v>0</v>
      </c>
      <c r="H1820" s="742"/>
      <c r="I1820" s="742">
        <f>Calculs!CE1892</f>
        <v>0</v>
      </c>
      <c r="J1820" s="742">
        <f>Calculs!CF1892</f>
        <v>0</v>
      </c>
      <c r="K1820" s="742"/>
      <c r="L1820" s="742">
        <f>Calculs!CH1892</f>
        <v>0</v>
      </c>
    </row>
    <row r="1821" spans="2:12">
      <c r="B1821" s="742">
        <f>Calculs!B1893</f>
        <v>0</v>
      </c>
      <c r="C1821" s="742">
        <f>Calculs!BY1893</f>
        <v>0</v>
      </c>
      <c r="D1821" s="742">
        <f>Calculs!BZ1893</f>
        <v>0</v>
      </c>
      <c r="E1821" s="742">
        <f>Calculs!CA1893</f>
        <v>0</v>
      </c>
      <c r="F1821" s="742">
        <f>Calculs!CB1893</f>
        <v>0</v>
      </c>
      <c r="G1821" s="742">
        <f>Calculs!CC1893</f>
        <v>0</v>
      </c>
      <c r="H1821" s="742"/>
      <c r="I1821" s="742">
        <f>Calculs!CE1893</f>
        <v>0</v>
      </c>
      <c r="J1821" s="742">
        <f>Calculs!CF1893</f>
        <v>0</v>
      </c>
      <c r="K1821" s="742"/>
      <c r="L1821" s="742">
        <f>Calculs!CH1893</f>
        <v>0</v>
      </c>
    </row>
    <row r="1822" spans="2:12">
      <c r="B1822" s="742">
        <f>Calculs!B1894</f>
        <v>0</v>
      </c>
      <c r="C1822" s="742">
        <f>Calculs!BY1894</f>
        <v>0</v>
      </c>
      <c r="D1822" s="742">
        <f>Calculs!BZ1894</f>
        <v>0</v>
      </c>
      <c r="E1822" s="742">
        <f>Calculs!CA1894</f>
        <v>0</v>
      </c>
      <c r="F1822" s="742">
        <f>Calculs!CB1894</f>
        <v>0</v>
      </c>
      <c r="G1822" s="742">
        <f>Calculs!CC1894</f>
        <v>0</v>
      </c>
      <c r="H1822" s="742"/>
      <c r="I1822" s="742">
        <f>Calculs!CE1894</f>
        <v>0</v>
      </c>
      <c r="J1822" s="742">
        <f>Calculs!CF1894</f>
        <v>0</v>
      </c>
      <c r="K1822" s="742"/>
      <c r="L1822" s="742">
        <f>Calculs!CH1894</f>
        <v>0</v>
      </c>
    </row>
    <row r="1823" spans="2:12">
      <c r="B1823" s="742">
        <f>Calculs!B1895</f>
        <v>0</v>
      </c>
      <c r="C1823" s="742">
        <f>Calculs!BY1895</f>
        <v>0</v>
      </c>
      <c r="D1823" s="742">
        <f>Calculs!BZ1895</f>
        <v>0</v>
      </c>
      <c r="E1823" s="742">
        <f>Calculs!CA1895</f>
        <v>0</v>
      </c>
      <c r="F1823" s="742">
        <f>Calculs!CB1895</f>
        <v>0</v>
      </c>
      <c r="G1823" s="742">
        <f>Calculs!CC1895</f>
        <v>0</v>
      </c>
      <c r="H1823" s="742"/>
      <c r="I1823" s="742">
        <f>Calculs!CE1895</f>
        <v>0</v>
      </c>
      <c r="J1823" s="742">
        <f>Calculs!CF1895</f>
        <v>0</v>
      </c>
      <c r="K1823" s="742"/>
      <c r="L1823" s="742">
        <f>Calculs!CH1895</f>
        <v>0</v>
      </c>
    </row>
    <row r="1824" spans="2:12">
      <c r="B1824" s="742">
        <f>Calculs!B1896</f>
        <v>0</v>
      </c>
      <c r="C1824" s="742">
        <f>Calculs!BY1896</f>
        <v>0</v>
      </c>
      <c r="D1824" s="742">
        <f>Calculs!BZ1896</f>
        <v>0</v>
      </c>
      <c r="E1824" s="742">
        <f>Calculs!CA1896</f>
        <v>0</v>
      </c>
      <c r="F1824" s="742">
        <f>Calculs!CB1896</f>
        <v>0</v>
      </c>
      <c r="G1824" s="742">
        <f>Calculs!CC1896</f>
        <v>0</v>
      </c>
      <c r="H1824" s="742"/>
      <c r="I1824" s="742">
        <f>Calculs!CE1896</f>
        <v>0</v>
      </c>
      <c r="J1824" s="742">
        <f>Calculs!CF1896</f>
        <v>0</v>
      </c>
      <c r="K1824" s="742"/>
      <c r="L1824" s="742">
        <f>Calculs!CH1896</f>
        <v>0</v>
      </c>
    </row>
    <row r="1825" spans="2:12">
      <c r="B1825" s="742">
        <f>Calculs!B1897</f>
        <v>0</v>
      </c>
      <c r="C1825" s="742">
        <f>Calculs!BY1897</f>
        <v>0</v>
      </c>
      <c r="D1825" s="742">
        <f>Calculs!BZ1897</f>
        <v>0</v>
      </c>
      <c r="E1825" s="742">
        <f>Calculs!CA1897</f>
        <v>0</v>
      </c>
      <c r="F1825" s="742">
        <f>Calculs!CB1897</f>
        <v>0</v>
      </c>
      <c r="G1825" s="742">
        <f>Calculs!CC1897</f>
        <v>0</v>
      </c>
      <c r="H1825" s="742"/>
      <c r="I1825" s="742">
        <f>Calculs!CE1897</f>
        <v>0</v>
      </c>
      <c r="J1825" s="742">
        <f>Calculs!CF1897</f>
        <v>0</v>
      </c>
      <c r="K1825" s="742"/>
      <c r="L1825" s="742">
        <f>Calculs!CH1897</f>
        <v>0</v>
      </c>
    </row>
    <row r="1826" spans="2:12">
      <c r="B1826" s="742">
        <f>Calculs!B1898</f>
        <v>0</v>
      </c>
      <c r="C1826" s="742">
        <f>Calculs!BY1898</f>
        <v>0</v>
      </c>
      <c r="D1826" s="742">
        <f>Calculs!BZ1898</f>
        <v>0</v>
      </c>
      <c r="E1826" s="742">
        <f>Calculs!CA1898</f>
        <v>0</v>
      </c>
      <c r="F1826" s="742">
        <f>Calculs!CB1898</f>
        <v>0</v>
      </c>
      <c r="G1826" s="742">
        <f>Calculs!CC1898</f>
        <v>0</v>
      </c>
      <c r="H1826" s="742"/>
      <c r="I1826" s="742">
        <f>Calculs!CE1898</f>
        <v>0</v>
      </c>
      <c r="J1826" s="742">
        <f>Calculs!CF1898</f>
        <v>0</v>
      </c>
      <c r="K1826" s="742"/>
      <c r="L1826" s="742">
        <f>Calculs!CH1898</f>
        <v>0</v>
      </c>
    </row>
    <row r="1827" spans="2:12">
      <c r="B1827" s="742">
        <f>Calculs!B1899</f>
        <v>0</v>
      </c>
      <c r="C1827" s="742">
        <f>Calculs!BY1899</f>
        <v>0</v>
      </c>
      <c r="D1827" s="742">
        <f>Calculs!BZ1899</f>
        <v>0</v>
      </c>
      <c r="E1827" s="742">
        <f>Calculs!CA1899</f>
        <v>0</v>
      </c>
      <c r="F1827" s="742">
        <f>Calculs!CB1899</f>
        <v>0</v>
      </c>
      <c r="G1827" s="742">
        <f>Calculs!CC1899</f>
        <v>0</v>
      </c>
      <c r="H1827" s="742"/>
      <c r="I1827" s="742">
        <f>Calculs!CE1899</f>
        <v>0</v>
      </c>
      <c r="J1827" s="742">
        <f>Calculs!CF1899</f>
        <v>0</v>
      </c>
      <c r="K1827" s="742"/>
      <c r="L1827" s="742">
        <f>Calculs!CH1899</f>
        <v>0</v>
      </c>
    </row>
    <row r="1828" spans="2:12">
      <c r="B1828" s="742">
        <f>Calculs!B1900</f>
        <v>0</v>
      </c>
      <c r="C1828" s="742">
        <f>Calculs!BY1900</f>
        <v>0</v>
      </c>
      <c r="D1828" s="742">
        <f>Calculs!BZ1900</f>
        <v>0</v>
      </c>
      <c r="E1828" s="742">
        <f>Calculs!CA1900</f>
        <v>0</v>
      </c>
      <c r="F1828" s="742">
        <f>Calculs!CB1900</f>
        <v>0</v>
      </c>
      <c r="G1828" s="742">
        <f>Calculs!CC1900</f>
        <v>0</v>
      </c>
      <c r="H1828" s="742"/>
      <c r="I1828" s="742">
        <f>Calculs!CE1900</f>
        <v>0</v>
      </c>
      <c r="J1828" s="742">
        <f>Calculs!CF1900</f>
        <v>0</v>
      </c>
      <c r="K1828" s="742"/>
      <c r="L1828" s="742">
        <f>Calculs!CH1900</f>
        <v>0</v>
      </c>
    </row>
    <row r="1829" spans="2:12">
      <c r="B1829" s="742">
        <f>Calculs!B1901</f>
        <v>0</v>
      </c>
      <c r="C1829" s="742">
        <f>Calculs!BY1901</f>
        <v>0</v>
      </c>
      <c r="D1829" s="742">
        <f>Calculs!BZ1901</f>
        <v>0</v>
      </c>
      <c r="E1829" s="742">
        <f>Calculs!CA1901</f>
        <v>0</v>
      </c>
      <c r="F1829" s="742">
        <f>Calculs!CB1901</f>
        <v>0</v>
      </c>
      <c r="G1829" s="742">
        <f>Calculs!CC1901</f>
        <v>0</v>
      </c>
      <c r="H1829" s="742"/>
      <c r="I1829" s="742">
        <f>Calculs!CE1901</f>
        <v>0</v>
      </c>
      <c r="J1829" s="742">
        <f>Calculs!CF1901</f>
        <v>0</v>
      </c>
      <c r="K1829" s="742"/>
      <c r="L1829" s="742">
        <f>Calculs!CH1901</f>
        <v>0</v>
      </c>
    </row>
    <row r="1830" spans="2:12">
      <c r="B1830" s="742">
        <f>Calculs!B1902</f>
        <v>0</v>
      </c>
      <c r="C1830" s="742">
        <f>Calculs!BY1902</f>
        <v>0</v>
      </c>
      <c r="D1830" s="742">
        <f>Calculs!BZ1902</f>
        <v>0</v>
      </c>
      <c r="E1830" s="742">
        <f>Calculs!CA1902</f>
        <v>0</v>
      </c>
      <c r="F1830" s="742">
        <f>Calculs!CB1902</f>
        <v>0</v>
      </c>
      <c r="G1830" s="742">
        <f>Calculs!CC1902</f>
        <v>0</v>
      </c>
      <c r="H1830" s="742"/>
      <c r="I1830" s="742">
        <f>Calculs!CE1902</f>
        <v>0</v>
      </c>
      <c r="J1830" s="742">
        <f>Calculs!CF1902</f>
        <v>0</v>
      </c>
      <c r="K1830" s="742"/>
      <c r="L1830" s="742">
        <f>Calculs!CH1902</f>
        <v>0</v>
      </c>
    </row>
    <row r="1831" spans="2:12">
      <c r="B1831" s="742">
        <f>Calculs!B1903</f>
        <v>0</v>
      </c>
      <c r="C1831" s="742">
        <f>Calculs!BY1903</f>
        <v>0</v>
      </c>
      <c r="D1831" s="742">
        <f>Calculs!BZ1903</f>
        <v>0</v>
      </c>
      <c r="E1831" s="742">
        <f>Calculs!CA1903</f>
        <v>0</v>
      </c>
      <c r="F1831" s="742">
        <f>Calculs!CB1903</f>
        <v>0</v>
      </c>
      <c r="G1831" s="742">
        <f>Calculs!CC1903</f>
        <v>0</v>
      </c>
      <c r="H1831" s="742"/>
      <c r="I1831" s="742">
        <f>Calculs!CE1903</f>
        <v>0</v>
      </c>
      <c r="J1831" s="742">
        <f>Calculs!CF1903</f>
        <v>0</v>
      </c>
      <c r="K1831" s="742"/>
      <c r="L1831" s="742">
        <f>Calculs!CH1903</f>
        <v>0</v>
      </c>
    </row>
    <row r="1832" spans="2:12">
      <c r="B1832" s="742">
        <f>Calculs!B1904</f>
        <v>0</v>
      </c>
      <c r="C1832" s="742">
        <f>Calculs!BY1904</f>
        <v>0</v>
      </c>
      <c r="D1832" s="742">
        <f>Calculs!BZ1904</f>
        <v>0</v>
      </c>
      <c r="E1832" s="742">
        <f>Calculs!CA1904</f>
        <v>0</v>
      </c>
      <c r="F1832" s="742">
        <f>Calculs!CB1904</f>
        <v>0</v>
      </c>
      <c r="G1832" s="742">
        <f>Calculs!CC1904</f>
        <v>0</v>
      </c>
      <c r="H1832" s="742"/>
      <c r="I1832" s="742">
        <f>Calculs!CE1904</f>
        <v>0</v>
      </c>
      <c r="J1832" s="742">
        <f>Calculs!CF1904</f>
        <v>0</v>
      </c>
      <c r="K1832" s="742"/>
      <c r="L1832" s="742">
        <f>Calculs!CH1904</f>
        <v>0</v>
      </c>
    </row>
    <row r="1833" spans="2:12">
      <c r="B1833" s="742">
        <f>Calculs!B1905</f>
        <v>0</v>
      </c>
      <c r="C1833" s="742">
        <f>Calculs!BY1905</f>
        <v>0</v>
      </c>
      <c r="D1833" s="742">
        <f>Calculs!BZ1905</f>
        <v>0</v>
      </c>
      <c r="E1833" s="742">
        <f>Calculs!CA1905</f>
        <v>0</v>
      </c>
      <c r="F1833" s="742">
        <f>Calculs!CB1905</f>
        <v>0</v>
      </c>
      <c r="G1833" s="742">
        <f>Calculs!CC1905</f>
        <v>0</v>
      </c>
      <c r="H1833" s="742"/>
      <c r="I1833" s="742">
        <f>Calculs!CE1905</f>
        <v>0</v>
      </c>
      <c r="J1833" s="742">
        <f>Calculs!CF1905</f>
        <v>0</v>
      </c>
      <c r="K1833" s="742"/>
      <c r="L1833" s="742">
        <f>Calculs!CH1905</f>
        <v>0</v>
      </c>
    </row>
    <row r="1834" spans="2:12">
      <c r="B1834" s="742">
        <f>Calculs!B1906</f>
        <v>0</v>
      </c>
      <c r="C1834" s="742">
        <f>Calculs!BY1906</f>
        <v>0</v>
      </c>
      <c r="D1834" s="742">
        <f>Calculs!BZ1906</f>
        <v>0</v>
      </c>
      <c r="E1834" s="742">
        <f>Calculs!CA1906</f>
        <v>0</v>
      </c>
      <c r="F1834" s="742">
        <f>Calculs!CB1906</f>
        <v>0</v>
      </c>
      <c r="G1834" s="742">
        <f>Calculs!CC1906</f>
        <v>0</v>
      </c>
      <c r="H1834" s="742"/>
      <c r="I1834" s="742">
        <f>Calculs!CE1906</f>
        <v>0</v>
      </c>
      <c r="J1834" s="742">
        <f>Calculs!CF1906</f>
        <v>0</v>
      </c>
      <c r="K1834" s="742"/>
      <c r="L1834" s="742">
        <f>Calculs!CH1906</f>
        <v>0</v>
      </c>
    </row>
    <row r="1835" spans="2:12">
      <c r="B1835" s="742">
        <f>Calculs!B1907</f>
        <v>0</v>
      </c>
      <c r="C1835" s="742">
        <f>Calculs!BY1907</f>
        <v>0</v>
      </c>
      <c r="D1835" s="742">
        <f>Calculs!BZ1907</f>
        <v>0</v>
      </c>
      <c r="E1835" s="742">
        <f>Calculs!CA1907</f>
        <v>0</v>
      </c>
      <c r="F1835" s="742">
        <f>Calculs!CB1907</f>
        <v>0</v>
      </c>
      <c r="G1835" s="742">
        <f>Calculs!CC1907</f>
        <v>0</v>
      </c>
      <c r="H1835" s="742"/>
      <c r="I1835" s="742">
        <f>Calculs!CE1907</f>
        <v>0</v>
      </c>
      <c r="J1835" s="742">
        <f>Calculs!CF1907</f>
        <v>0</v>
      </c>
      <c r="K1835" s="742"/>
      <c r="L1835" s="742">
        <f>Calculs!CH1907</f>
        <v>0</v>
      </c>
    </row>
    <row r="1836" spans="2:12">
      <c r="B1836" s="742">
        <f>Calculs!B1908</f>
        <v>0</v>
      </c>
      <c r="C1836" s="742">
        <f>Calculs!BY1908</f>
        <v>0</v>
      </c>
      <c r="D1836" s="742">
        <f>Calculs!BZ1908</f>
        <v>0</v>
      </c>
      <c r="E1836" s="742">
        <f>Calculs!CA1908</f>
        <v>0</v>
      </c>
      <c r="F1836" s="742">
        <f>Calculs!CB1908</f>
        <v>0</v>
      </c>
      <c r="G1836" s="742">
        <f>Calculs!CC1908</f>
        <v>0</v>
      </c>
      <c r="H1836" s="742"/>
      <c r="I1836" s="742">
        <f>Calculs!CE1908</f>
        <v>0</v>
      </c>
      <c r="J1836" s="742">
        <f>Calculs!CF1908</f>
        <v>0</v>
      </c>
      <c r="K1836" s="742"/>
      <c r="L1836" s="742">
        <f>Calculs!CH1908</f>
        <v>0</v>
      </c>
    </row>
    <row r="1837" spans="2:12">
      <c r="B1837" s="742">
        <f>Calculs!B1909</f>
        <v>0</v>
      </c>
      <c r="C1837" s="742">
        <f>Calculs!BY1909</f>
        <v>0</v>
      </c>
      <c r="D1837" s="742">
        <f>Calculs!BZ1909</f>
        <v>0</v>
      </c>
      <c r="E1837" s="742">
        <f>Calculs!CA1909</f>
        <v>0</v>
      </c>
      <c r="F1837" s="742">
        <f>Calculs!CB1909</f>
        <v>0</v>
      </c>
      <c r="G1837" s="742">
        <f>Calculs!CC1909</f>
        <v>0</v>
      </c>
      <c r="H1837" s="742"/>
      <c r="I1837" s="742">
        <f>Calculs!CE1909</f>
        <v>0</v>
      </c>
      <c r="J1837" s="742">
        <f>Calculs!CF1909</f>
        <v>0</v>
      </c>
      <c r="K1837" s="742"/>
      <c r="L1837" s="742">
        <f>Calculs!CH1909</f>
        <v>0</v>
      </c>
    </row>
    <row r="1838" spans="2:12">
      <c r="B1838" s="742">
        <f>Calculs!B1910</f>
        <v>0</v>
      </c>
      <c r="C1838" s="742">
        <f>Calculs!BY1910</f>
        <v>0</v>
      </c>
      <c r="D1838" s="742">
        <f>Calculs!BZ1910</f>
        <v>0</v>
      </c>
      <c r="E1838" s="742">
        <f>Calculs!CA1910</f>
        <v>0</v>
      </c>
      <c r="F1838" s="742">
        <f>Calculs!CB1910</f>
        <v>0</v>
      </c>
      <c r="G1838" s="742">
        <f>Calculs!CC1910</f>
        <v>0</v>
      </c>
      <c r="H1838" s="742"/>
      <c r="I1838" s="742">
        <f>Calculs!CE1910</f>
        <v>0</v>
      </c>
      <c r="J1838" s="742">
        <f>Calculs!CF1910</f>
        <v>0</v>
      </c>
      <c r="K1838" s="742"/>
      <c r="L1838" s="742">
        <f>Calculs!CH1910</f>
        <v>0</v>
      </c>
    </row>
    <row r="1839" spans="2:12">
      <c r="B1839" s="742">
        <f>Calculs!B1911</f>
        <v>0</v>
      </c>
      <c r="C1839" s="742">
        <f>Calculs!BY1911</f>
        <v>0</v>
      </c>
      <c r="D1839" s="742">
        <f>Calculs!BZ1911</f>
        <v>0</v>
      </c>
      <c r="E1839" s="742">
        <f>Calculs!CA1911</f>
        <v>0</v>
      </c>
      <c r="F1839" s="742">
        <f>Calculs!CB1911</f>
        <v>0</v>
      </c>
      <c r="G1839" s="742">
        <f>Calculs!CC1911</f>
        <v>0</v>
      </c>
      <c r="H1839" s="742"/>
      <c r="I1839" s="742">
        <f>Calculs!CE1911</f>
        <v>0</v>
      </c>
      <c r="J1839" s="742">
        <f>Calculs!CF1911</f>
        <v>0</v>
      </c>
      <c r="K1839" s="742"/>
      <c r="L1839" s="742">
        <f>Calculs!CH1911</f>
        <v>0</v>
      </c>
    </row>
    <row r="1840" spans="2:12">
      <c r="B1840" s="742">
        <f>Calculs!B1912</f>
        <v>0</v>
      </c>
      <c r="C1840" s="742">
        <f>Calculs!BY1912</f>
        <v>0</v>
      </c>
      <c r="D1840" s="742">
        <f>Calculs!BZ1912</f>
        <v>0</v>
      </c>
      <c r="E1840" s="742">
        <f>Calculs!CA1912</f>
        <v>0</v>
      </c>
      <c r="F1840" s="742">
        <f>Calculs!CB1912</f>
        <v>0</v>
      </c>
      <c r="G1840" s="742">
        <f>Calculs!CC1912</f>
        <v>0</v>
      </c>
      <c r="H1840" s="742"/>
      <c r="I1840" s="742">
        <f>Calculs!CE1912</f>
        <v>0</v>
      </c>
      <c r="J1840" s="742">
        <f>Calculs!CF1912</f>
        <v>0</v>
      </c>
      <c r="K1840" s="742"/>
      <c r="L1840" s="742">
        <f>Calculs!CH1912</f>
        <v>0</v>
      </c>
    </row>
    <row r="1841" spans="2:12">
      <c r="B1841" s="742">
        <f>Calculs!B1913</f>
        <v>0</v>
      </c>
      <c r="C1841" s="742">
        <f>Calculs!BY1913</f>
        <v>0</v>
      </c>
      <c r="D1841" s="742">
        <f>Calculs!BZ1913</f>
        <v>0</v>
      </c>
      <c r="E1841" s="742">
        <f>Calculs!CA1913</f>
        <v>0</v>
      </c>
      <c r="F1841" s="742">
        <f>Calculs!CB1913</f>
        <v>0</v>
      </c>
      <c r="G1841" s="742">
        <f>Calculs!CC1913</f>
        <v>0</v>
      </c>
      <c r="H1841" s="742"/>
      <c r="I1841" s="742">
        <f>Calculs!CE1913</f>
        <v>0</v>
      </c>
      <c r="J1841" s="742">
        <f>Calculs!CF1913</f>
        <v>0</v>
      </c>
      <c r="K1841" s="742"/>
      <c r="L1841" s="742">
        <f>Calculs!CH1913</f>
        <v>0</v>
      </c>
    </row>
    <row r="1842" spans="2:12">
      <c r="B1842" s="742">
        <f>Calculs!B1914</f>
        <v>0</v>
      </c>
      <c r="C1842" s="742">
        <f>Calculs!BY1914</f>
        <v>0</v>
      </c>
      <c r="D1842" s="742">
        <f>Calculs!BZ1914</f>
        <v>0</v>
      </c>
      <c r="E1842" s="742">
        <f>Calculs!CA1914</f>
        <v>0</v>
      </c>
      <c r="F1842" s="742">
        <f>Calculs!CB1914</f>
        <v>0</v>
      </c>
      <c r="G1842" s="742">
        <f>Calculs!CC1914</f>
        <v>0</v>
      </c>
      <c r="H1842" s="742"/>
      <c r="I1842" s="742">
        <f>Calculs!CE1914</f>
        <v>0</v>
      </c>
      <c r="J1842" s="742">
        <f>Calculs!CF1914</f>
        <v>0</v>
      </c>
      <c r="K1842" s="742"/>
      <c r="L1842" s="742">
        <f>Calculs!CH1914</f>
        <v>0</v>
      </c>
    </row>
    <row r="1843" spans="2:12">
      <c r="B1843" s="742">
        <f>Calculs!B1915</f>
        <v>0</v>
      </c>
      <c r="C1843" s="742">
        <f>Calculs!BY1915</f>
        <v>0</v>
      </c>
      <c r="D1843" s="742">
        <f>Calculs!BZ1915</f>
        <v>0</v>
      </c>
      <c r="E1843" s="742">
        <f>Calculs!CA1915</f>
        <v>0</v>
      </c>
      <c r="F1843" s="742">
        <f>Calculs!CB1915</f>
        <v>0</v>
      </c>
      <c r="G1843" s="742">
        <f>Calculs!CC1915</f>
        <v>0</v>
      </c>
      <c r="H1843" s="742"/>
      <c r="I1843" s="742">
        <f>Calculs!CE1915</f>
        <v>0</v>
      </c>
      <c r="J1843" s="742">
        <f>Calculs!CF1915</f>
        <v>0</v>
      </c>
      <c r="K1843" s="742"/>
      <c r="L1843" s="742">
        <f>Calculs!CH1915</f>
        <v>0</v>
      </c>
    </row>
    <row r="1844" spans="2:12">
      <c r="B1844" s="742">
        <f>Calculs!B1916</f>
        <v>0</v>
      </c>
      <c r="C1844" s="742">
        <f>Calculs!BY1916</f>
        <v>0</v>
      </c>
      <c r="D1844" s="742">
        <f>Calculs!BZ1916</f>
        <v>0</v>
      </c>
      <c r="E1844" s="742">
        <f>Calculs!CA1916</f>
        <v>0</v>
      </c>
      <c r="F1844" s="742">
        <f>Calculs!CB1916</f>
        <v>0</v>
      </c>
      <c r="G1844" s="742">
        <f>Calculs!CC1916</f>
        <v>0</v>
      </c>
      <c r="H1844" s="742"/>
      <c r="I1844" s="742">
        <f>Calculs!CE1916</f>
        <v>0</v>
      </c>
      <c r="J1844" s="742">
        <f>Calculs!CF1916</f>
        <v>0</v>
      </c>
      <c r="K1844" s="742"/>
      <c r="L1844" s="742">
        <f>Calculs!CH1916</f>
        <v>0</v>
      </c>
    </row>
    <row r="1845" spans="2:12">
      <c r="B1845" s="742">
        <f>Calculs!B1917</f>
        <v>0</v>
      </c>
      <c r="C1845" s="742">
        <f>Calculs!BY1917</f>
        <v>0</v>
      </c>
      <c r="D1845" s="742">
        <f>Calculs!BZ1917</f>
        <v>0</v>
      </c>
      <c r="E1845" s="742">
        <f>Calculs!CA1917</f>
        <v>0</v>
      </c>
      <c r="F1845" s="742">
        <f>Calculs!CB1917</f>
        <v>0</v>
      </c>
      <c r="G1845" s="742">
        <f>Calculs!CC1917</f>
        <v>0</v>
      </c>
      <c r="H1845" s="742"/>
      <c r="I1845" s="742">
        <f>Calculs!CE1917</f>
        <v>0</v>
      </c>
      <c r="J1845" s="742">
        <f>Calculs!CF1917</f>
        <v>0</v>
      </c>
      <c r="K1845" s="742"/>
      <c r="L1845" s="742">
        <f>Calculs!CH1917</f>
        <v>0</v>
      </c>
    </row>
    <row r="1846" spans="2:12">
      <c r="B1846" s="742">
        <f>Calculs!B1918</f>
        <v>0</v>
      </c>
      <c r="C1846" s="742">
        <f>Calculs!BY1918</f>
        <v>0</v>
      </c>
      <c r="D1846" s="742">
        <f>Calculs!BZ1918</f>
        <v>0</v>
      </c>
      <c r="E1846" s="742">
        <f>Calculs!CA1918</f>
        <v>0</v>
      </c>
      <c r="F1846" s="742">
        <f>Calculs!CB1918</f>
        <v>0</v>
      </c>
      <c r="G1846" s="742">
        <f>Calculs!CC1918</f>
        <v>0</v>
      </c>
      <c r="H1846" s="742"/>
      <c r="I1846" s="742">
        <f>Calculs!CE1918</f>
        <v>0</v>
      </c>
      <c r="J1846" s="742">
        <f>Calculs!CF1918</f>
        <v>0</v>
      </c>
      <c r="K1846" s="742"/>
      <c r="L1846" s="742">
        <f>Calculs!CH1918</f>
        <v>0</v>
      </c>
    </row>
    <row r="1847" spans="2:12">
      <c r="B1847" s="742">
        <f>Calculs!B1919</f>
        <v>0</v>
      </c>
      <c r="C1847" s="742">
        <f>Calculs!BY1919</f>
        <v>0</v>
      </c>
      <c r="D1847" s="742">
        <f>Calculs!BZ1919</f>
        <v>0</v>
      </c>
      <c r="E1847" s="742">
        <f>Calculs!CA1919</f>
        <v>0</v>
      </c>
      <c r="F1847" s="742">
        <f>Calculs!CB1919</f>
        <v>0</v>
      </c>
      <c r="G1847" s="742">
        <f>Calculs!CC1919</f>
        <v>0</v>
      </c>
      <c r="H1847" s="742"/>
      <c r="I1847" s="742">
        <f>Calculs!CE1919</f>
        <v>0</v>
      </c>
      <c r="J1847" s="742">
        <f>Calculs!CF1919</f>
        <v>0</v>
      </c>
      <c r="K1847" s="742"/>
      <c r="L1847" s="742">
        <f>Calculs!CH1919</f>
        <v>0</v>
      </c>
    </row>
    <row r="1848" spans="2:12">
      <c r="B1848" s="742">
        <f>Calculs!B1920</f>
        <v>0</v>
      </c>
      <c r="C1848" s="742">
        <f>Calculs!BY1920</f>
        <v>0</v>
      </c>
      <c r="D1848" s="742">
        <f>Calculs!BZ1920</f>
        <v>0</v>
      </c>
      <c r="E1848" s="742">
        <f>Calculs!CA1920</f>
        <v>0</v>
      </c>
      <c r="F1848" s="742">
        <f>Calculs!CB1920</f>
        <v>0</v>
      </c>
      <c r="G1848" s="742">
        <f>Calculs!CC1920</f>
        <v>0</v>
      </c>
      <c r="H1848" s="742"/>
      <c r="I1848" s="742">
        <f>Calculs!CE1920</f>
        <v>0</v>
      </c>
      <c r="J1848" s="742">
        <f>Calculs!CF1920</f>
        <v>0</v>
      </c>
      <c r="K1848" s="742"/>
      <c r="L1848" s="742">
        <f>Calculs!CH1920</f>
        <v>0</v>
      </c>
    </row>
    <row r="1849" spans="2:12">
      <c r="B1849" s="742">
        <f>Calculs!B1921</f>
        <v>0</v>
      </c>
      <c r="C1849" s="742">
        <f>Calculs!BY1921</f>
        <v>0</v>
      </c>
      <c r="D1849" s="742">
        <f>Calculs!BZ1921</f>
        <v>0</v>
      </c>
      <c r="E1849" s="742">
        <f>Calculs!CA1921</f>
        <v>0</v>
      </c>
      <c r="F1849" s="742">
        <f>Calculs!CB1921</f>
        <v>0</v>
      </c>
      <c r="G1849" s="742">
        <f>Calculs!CC1921</f>
        <v>0</v>
      </c>
      <c r="H1849" s="742"/>
      <c r="I1849" s="742">
        <f>Calculs!CE1921</f>
        <v>0</v>
      </c>
      <c r="J1849" s="742">
        <f>Calculs!CF1921</f>
        <v>0</v>
      </c>
      <c r="K1849" s="742"/>
      <c r="L1849" s="742">
        <f>Calculs!CH1921</f>
        <v>0</v>
      </c>
    </row>
    <row r="1850" spans="2:12">
      <c r="B1850" s="742">
        <f>Calculs!B1922</f>
        <v>0</v>
      </c>
      <c r="C1850" s="742">
        <f>Calculs!BY1922</f>
        <v>0</v>
      </c>
      <c r="D1850" s="742">
        <f>Calculs!BZ1922</f>
        <v>0</v>
      </c>
      <c r="E1850" s="742">
        <f>Calculs!CA1922</f>
        <v>0</v>
      </c>
      <c r="F1850" s="742">
        <f>Calculs!CB1922</f>
        <v>0</v>
      </c>
      <c r="G1850" s="742">
        <f>Calculs!CC1922</f>
        <v>0</v>
      </c>
      <c r="H1850" s="742"/>
      <c r="I1850" s="742">
        <f>Calculs!CE1922</f>
        <v>0</v>
      </c>
      <c r="J1850" s="742">
        <f>Calculs!CF1922</f>
        <v>0</v>
      </c>
      <c r="K1850" s="742"/>
      <c r="L1850" s="742">
        <f>Calculs!CH1922</f>
        <v>0</v>
      </c>
    </row>
    <row r="1851" spans="2:12">
      <c r="B1851" s="742">
        <f>Calculs!B1923</f>
        <v>0</v>
      </c>
      <c r="C1851" s="742">
        <f>Calculs!BY1923</f>
        <v>0</v>
      </c>
      <c r="D1851" s="742">
        <f>Calculs!BZ1923</f>
        <v>0</v>
      </c>
      <c r="E1851" s="742">
        <f>Calculs!CA1923</f>
        <v>0</v>
      </c>
      <c r="F1851" s="742">
        <f>Calculs!CB1923</f>
        <v>0</v>
      </c>
      <c r="G1851" s="742">
        <f>Calculs!CC1923</f>
        <v>0</v>
      </c>
      <c r="H1851" s="742"/>
      <c r="I1851" s="742">
        <f>Calculs!CE1923</f>
        <v>0</v>
      </c>
      <c r="J1851" s="742">
        <f>Calculs!CF1923</f>
        <v>0</v>
      </c>
      <c r="K1851" s="742"/>
      <c r="L1851" s="742">
        <f>Calculs!CH1923</f>
        <v>0</v>
      </c>
    </row>
    <row r="1852" spans="2:12">
      <c r="B1852" s="742">
        <f>Calculs!B1924</f>
        <v>0</v>
      </c>
      <c r="C1852" s="742">
        <f>Calculs!BY1924</f>
        <v>0</v>
      </c>
      <c r="D1852" s="742">
        <f>Calculs!BZ1924</f>
        <v>0</v>
      </c>
      <c r="E1852" s="742">
        <f>Calculs!CA1924</f>
        <v>0</v>
      </c>
      <c r="F1852" s="742">
        <f>Calculs!CB1924</f>
        <v>0</v>
      </c>
      <c r="G1852" s="742">
        <f>Calculs!CC1924</f>
        <v>0</v>
      </c>
      <c r="H1852" s="742"/>
      <c r="I1852" s="742">
        <f>Calculs!CE1924</f>
        <v>0</v>
      </c>
      <c r="J1852" s="742">
        <f>Calculs!CF1924</f>
        <v>0</v>
      </c>
      <c r="K1852" s="742"/>
      <c r="L1852" s="742">
        <f>Calculs!CH1924</f>
        <v>0</v>
      </c>
    </row>
    <row r="1853" spans="2:12">
      <c r="B1853" s="742">
        <f>Calculs!B1925</f>
        <v>0</v>
      </c>
      <c r="C1853" s="742">
        <f>Calculs!BY1925</f>
        <v>0</v>
      </c>
      <c r="D1853" s="742">
        <f>Calculs!BZ1925</f>
        <v>0</v>
      </c>
      <c r="E1853" s="742">
        <f>Calculs!CA1925</f>
        <v>0</v>
      </c>
      <c r="F1853" s="742">
        <f>Calculs!CB1925</f>
        <v>0</v>
      </c>
      <c r="G1853" s="742">
        <f>Calculs!CC1925</f>
        <v>0</v>
      </c>
      <c r="H1853" s="742"/>
      <c r="I1853" s="742">
        <f>Calculs!CE1925</f>
        <v>0</v>
      </c>
      <c r="J1853" s="742">
        <f>Calculs!CF1925</f>
        <v>0</v>
      </c>
      <c r="K1853" s="742"/>
      <c r="L1853" s="742">
        <f>Calculs!CH1925</f>
        <v>0</v>
      </c>
    </row>
    <row r="1854" spans="2:12">
      <c r="B1854" s="742">
        <f>Calculs!B1926</f>
        <v>0</v>
      </c>
      <c r="C1854" s="742">
        <f>Calculs!BY1926</f>
        <v>0</v>
      </c>
      <c r="D1854" s="742">
        <f>Calculs!BZ1926</f>
        <v>0</v>
      </c>
      <c r="E1854" s="742">
        <f>Calculs!CA1926</f>
        <v>0</v>
      </c>
      <c r="F1854" s="742">
        <f>Calculs!CB1926</f>
        <v>0</v>
      </c>
      <c r="G1854" s="742">
        <f>Calculs!CC1926</f>
        <v>0</v>
      </c>
      <c r="H1854" s="742"/>
      <c r="I1854" s="742">
        <f>Calculs!CE1926</f>
        <v>0</v>
      </c>
      <c r="J1854" s="742">
        <f>Calculs!CF1926</f>
        <v>0</v>
      </c>
      <c r="K1854" s="742"/>
      <c r="L1854" s="742">
        <f>Calculs!CH1926</f>
        <v>0</v>
      </c>
    </row>
    <row r="1855" spans="2:12">
      <c r="B1855" s="742">
        <f>Calculs!B1927</f>
        <v>0</v>
      </c>
      <c r="C1855" s="742">
        <f>Calculs!BY1927</f>
        <v>0</v>
      </c>
      <c r="D1855" s="742">
        <f>Calculs!BZ1927</f>
        <v>0</v>
      </c>
      <c r="E1855" s="742">
        <f>Calculs!CA1927</f>
        <v>0</v>
      </c>
      <c r="F1855" s="742">
        <f>Calculs!CB1927</f>
        <v>0</v>
      </c>
      <c r="G1855" s="742">
        <f>Calculs!CC1927</f>
        <v>0</v>
      </c>
      <c r="H1855" s="742"/>
      <c r="I1855" s="742">
        <f>Calculs!CE1927</f>
        <v>0</v>
      </c>
      <c r="J1855" s="742">
        <f>Calculs!CF1927</f>
        <v>0</v>
      </c>
      <c r="K1855" s="742"/>
      <c r="L1855" s="742">
        <f>Calculs!CH1927</f>
        <v>0</v>
      </c>
    </row>
    <row r="1856" spans="2:12">
      <c r="B1856" s="742">
        <f>Calculs!B1928</f>
        <v>0</v>
      </c>
      <c r="C1856" s="742">
        <f>Calculs!BY1928</f>
        <v>0</v>
      </c>
      <c r="D1856" s="742">
        <f>Calculs!BZ1928</f>
        <v>0</v>
      </c>
      <c r="E1856" s="742">
        <f>Calculs!CA1928</f>
        <v>0</v>
      </c>
      <c r="F1856" s="742">
        <f>Calculs!CB1928</f>
        <v>0</v>
      </c>
      <c r="G1856" s="742">
        <f>Calculs!CC1928</f>
        <v>0</v>
      </c>
      <c r="H1856" s="742"/>
      <c r="I1856" s="742">
        <f>Calculs!CE1928</f>
        <v>0</v>
      </c>
      <c r="J1856" s="742">
        <f>Calculs!CF1928</f>
        <v>0</v>
      </c>
      <c r="K1856" s="742"/>
      <c r="L1856" s="742">
        <f>Calculs!CH1928</f>
        <v>0</v>
      </c>
    </row>
    <row r="1857" spans="2:12">
      <c r="B1857" s="742">
        <f>Calculs!B1929</f>
        <v>0</v>
      </c>
      <c r="C1857" s="742">
        <f>Calculs!BY1929</f>
        <v>0</v>
      </c>
      <c r="D1857" s="742">
        <f>Calculs!BZ1929</f>
        <v>0</v>
      </c>
      <c r="E1857" s="742">
        <f>Calculs!CA1929</f>
        <v>0</v>
      </c>
      <c r="F1857" s="742">
        <f>Calculs!CB1929</f>
        <v>0</v>
      </c>
      <c r="G1857" s="742">
        <f>Calculs!CC1929</f>
        <v>0</v>
      </c>
      <c r="H1857" s="742"/>
      <c r="I1857" s="742">
        <f>Calculs!CE1929</f>
        <v>0</v>
      </c>
      <c r="J1857" s="742">
        <f>Calculs!CF1929</f>
        <v>0</v>
      </c>
      <c r="K1857" s="742"/>
      <c r="L1857" s="742">
        <f>Calculs!CH1929</f>
        <v>0</v>
      </c>
    </row>
    <row r="1858" spans="2:12">
      <c r="B1858" s="742">
        <f>Calculs!B1930</f>
        <v>0</v>
      </c>
      <c r="C1858" s="742">
        <f>Calculs!BY1930</f>
        <v>0</v>
      </c>
      <c r="D1858" s="742">
        <f>Calculs!BZ1930</f>
        <v>0</v>
      </c>
      <c r="E1858" s="742">
        <f>Calculs!CA1930</f>
        <v>0</v>
      </c>
      <c r="F1858" s="742">
        <f>Calculs!CB1930</f>
        <v>0</v>
      </c>
      <c r="G1858" s="742">
        <f>Calculs!CC1930</f>
        <v>0</v>
      </c>
      <c r="H1858" s="742"/>
      <c r="I1858" s="742">
        <f>Calculs!CE1930</f>
        <v>0</v>
      </c>
      <c r="J1858" s="742">
        <f>Calculs!CF1930</f>
        <v>0</v>
      </c>
      <c r="K1858" s="742"/>
      <c r="L1858" s="742">
        <f>Calculs!CH1930</f>
        <v>0</v>
      </c>
    </row>
    <row r="1859" spans="2:12">
      <c r="B1859" s="742">
        <f>Calculs!B1931</f>
        <v>0</v>
      </c>
      <c r="C1859" s="742">
        <f>Calculs!BY1931</f>
        <v>0</v>
      </c>
      <c r="D1859" s="742">
        <f>Calculs!BZ1931</f>
        <v>0</v>
      </c>
      <c r="E1859" s="742">
        <f>Calculs!CA1931</f>
        <v>0</v>
      </c>
      <c r="F1859" s="742">
        <f>Calculs!CB1931</f>
        <v>0</v>
      </c>
      <c r="G1859" s="742">
        <f>Calculs!CC1931</f>
        <v>0</v>
      </c>
      <c r="H1859" s="742"/>
      <c r="I1859" s="742">
        <f>Calculs!CE1931</f>
        <v>0</v>
      </c>
      <c r="J1859" s="742">
        <f>Calculs!CF1931</f>
        <v>0</v>
      </c>
      <c r="K1859" s="742"/>
      <c r="L1859" s="742">
        <f>Calculs!CH1931</f>
        <v>0</v>
      </c>
    </row>
    <row r="1860" spans="2:12">
      <c r="B1860" s="742">
        <f>Calculs!B1932</f>
        <v>0</v>
      </c>
      <c r="C1860" s="742">
        <f>Calculs!BY1932</f>
        <v>0</v>
      </c>
      <c r="D1860" s="742">
        <f>Calculs!BZ1932</f>
        <v>0</v>
      </c>
      <c r="E1860" s="742">
        <f>Calculs!CA1932</f>
        <v>0</v>
      </c>
      <c r="F1860" s="742">
        <f>Calculs!CB1932</f>
        <v>0</v>
      </c>
      <c r="G1860" s="742">
        <f>Calculs!CC1932</f>
        <v>0</v>
      </c>
      <c r="H1860" s="742"/>
      <c r="I1860" s="742">
        <f>Calculs!CE1932</f>
        <v>0</v>
      </c>
      <c r="J1860" s="742">
        <f>Calculs!CF1932</f>
        <v>0</v>
      </c>
      <c r="K1860" s="742"/>
      <c r="L1860" s="742">
        <f>Calculs!CH1932</f>
        <v>0</v>
      </c>
    </row>
    <row r="1861" spans="2:12">
      <c r="B1861" s="742">
        <f>Calculs!B1933</f>
        <v>0</v>
      </c>
      <c r="C1861" s="742">
        <f>Calculs!BY1933</f>
        <v>0</v>
      </c>
      <c r="D1861" s="742">
        <f>Calculs!BZ1933</f>
        <v>0</v>
      </c>
      <c r="E1861" s="742">
        <f>Calculs!CA1933</f>
        <v>0</v>
      </c>
      <c r="F1861" s="742">
        <f>Calculs!CB1933</f>
        <v>0</v>
      </c>
      <c r="G1861" s="742">
        <f>Calculs!CC1933</f>
        <v>0</v>
      </c>
      <c r="H1861" s="742"/>
      <c r="I1861" s="742">
        <f>Calculs!CE1933</f>
        <v>0</v>
      </c>
      <c r="J1861" s="742">
        <f>Calculs!CF1933</f>
        <v>0</v>
      </c>
      <c r="K1861" s="742"/>
      <c r="L1861" s="742">
        <f>Calculs!CH1933</f>
        <v>0</v>
      </c>
    </row>
    <row r="1862" spans="2:12">
      <c r="B1862" s="742">
        <f>Calculs!B1934</f>
        <v>0</v>
      </c>
      <c r="C1862" s="742">
        <f>Calculs!BY1934</f>
        <v>0</v>
      </c>
      <c r="D1862" s="742">
        <f>Calculs!BZ1934</f>
        <v>0</v>
      </c>
      <c r="E1862" s="742">
        <f>Calculs!CA1934</f>
        <v>0</v>
      </c>
      <c r="F1862" s="742">
        <f>Calculs!CB1934</f>
        <v>0</v>
      </c>
      <c r="G1862" s="742">
        <f>Calculs!CC1934</f>
        <v>0</v>
      </c>
      <c r="H1862" s="742"/>
      <c r="I1862" s="742">
        <f>Calculs!CE1934</f>
        <v>0</v>
      </c>
      <c r="J1862" s="742">
        <f>Calculs!CF1934</f>
        <v>0</v>
      </c>
      <c r="K1862" s="742"/>
      <c r="L1862" s="742">
        <f>Calculs!CH1934</f>
        <v>0</v>
      </c>
    </row>
    <row r="1863" spans="2:12">
      <c r="B1863" s="742">
        <f>Calculs!B1935</f>
        <v>0</v>
      </c>
      <c r="C1863" s="742">
        <f>Calculs!BY1935</f>
        <v>0</v>
      </c>
      <c r="D1863" s="742">
        <f>Calculs!BZ1935</f>
        <v>0</v>
      </c>
      <c r="E1863" s="742">
        <f>Calculs!CA1935</f>
        <v>0</v>
      </c>
      <c r="F1863" s="742">
        <f>Calculs!CB1935</f>
        <v>0</v>
      </c>
      <c r="G1863" s="742">
        <f>Calculs!CC1935</f>
        <v>0</v>
      </c>
      <c r="H1863" s="742"/>
      <c r="I1863" s="742">
        <f>Calculs!CE1935</f>
        <v>0</v>
      </c>
      <c r="J1863" s="742">
        <f>Calculs!CF1935</f>
        <v>0</v>
      </c>
      <c r="K1863" s="742"/>
      <c r="L1863" s="742">
        <f>Calculs!CH1935</f>
        <v>0</v>
      </c>
    </row>
    <row r="1864" spans="2:12">
      <c r="B1864" s="742">
        <f>Calculs!B1936</f>
        <v>0</v>
      </c>
      <c r="C1864" s="742">
        <f>Calculs!BY1936</f>
        <v>0</v>
      </c>
      <c r="D1864" s="742">
        <f>Calculs!BZ1936</f>
        <v>0</v>
      </c>
      <c r="E1864" s="742">
        <f>Calculs!CA1936</f>
        <v>0</v>
      </c>
      <c r="F1864" s="742">
        <f>Calculs!CB1936</f>
        <v>0</v>
      </c>
      <c r="G1864" s="742">
        <f>Calculs!CC1936</f>
        <v>0</v>
      </c>
      <c r="H1864" s="742"/>
      <c r="I1864" s="742">
        <f>Calculs!CE1936</f>
        <v>0</v>
      </c>
      <c r="J1864" s="742">
        <f>Calculs!CF1936</f>
        <v>0</v>
      </c>
      <c r="K1864" s="742"/>
      <c r="L1864" s="742">
        <f>Calculs!CH1936</f>
        <v>0</v>
      </c>
    </row>
    <row r="1865" spans="2:12">
      <c r="B1865" s="742">
        <f>Calculs!B1937</f>
        <v>0</v>
      </c>
      <c r="C1865" s="742">
        <f>Calculs!BY1937</f>
        <v>0</v>
      </c>
      <c r="D1865" s="742">
        <f>Calculs!BZ1937</f>
        <v>0</v>
      </c>
      <c r="E1865" s="742">
        <f>Calculs!CA1937</f>
        <v>0</v>
      </c>
      <c r="F1865" s="742">
        <f>Calculs!CB1937</f>
        <v>0</v>
      </c>
      <c r="G1865" s="742">
        <f>Calculs!CC1937</f>
        <v>0</v>
      </c>
      <c r="H1865" s="742"/>
      <c r="I1865" s="742">
        <f>Calculs!CE1937</f>
        <v>0</v>
      </c>
      <c r="J1865" s="742">
        <f>Calculs!CF1937</f>
        <v>0</v>
      </c>
      <c r="K1865" s="742"/>
      <c r="L1865" s="742">
        <f>Calculs!CH1937</f>
        <v>0</v>
      </c>
    </row>
    <row r="1866" spans="2:12">
      <c r="B1866" s="742">
        <f>Calculs!B1938</f>
        <v>0</v>
      </c>
      <c r="C1866" s="742">
        <f>Calculs!BY1938</f>
        <v>0</v>
      </c>
      <c r="D1866" s="742">
        <f>Calculs!BZ1938</f>
        <v>0</v>
      </c>
      <c r="E1866" s="742">
        <f>Calculs!CA1938</f>
        <v>0</v>
      </c>
      <c r="F1866" s="742">
        <f>Calculs!CB1938</f>
        <v>0</v>
      </c>
      <c r="G1866" s="742">
        <f>Calculs!CC1938</f>
        <v>0</v>
      </c>
      <c r="H1866" s="742"/>
      <c r="I1866" s="742">
        <f>Calculs!CE1938</f>
        <v>0</v>
      </c>
      <c r="J1866" s="742">
        <f>Calculs!CF1938</f>
        <v>0</v>
      </c>
      <c r="K1866" s="742"/>
      <c r="L1866" s="742">
        <f>Calculs!CH1938</f>
        <v>0</v>
      </c>
    </row>
    <row r="1867" spans="2:12">
      <c r="B1867" s="742">
        <f>Calculs!B1939</f>
        <v>0</v>
      </c>
      <c r="C1867" s="742">
        <f>Calculs!BY1939</f>
        <v>0</v>
      </c>
      <c r="D1867" s="742">
        <f>Calculs!BZ1939</f>
        <v>0</v>
      </c>
      <c r="E1867" s="742">
        <f>Calculs!CA1939</f>
        <v>0</v>
      </c>
      <c r="F1867" s="742">
        <f>Calculs!CB1939</f>
        <v>0</v>
      </c>
      <c r="G1867" s="742">
        <f>Calculs!CC1939</f>
        <v>0</v>
      </c>
      <c r="H1867" s="742"/>
      <c r="I1867" s="742">
        <f>Calculs!CE1939</f>
        <v>0</v>
      </c>
      <c r="J1867" s="742">
        <f>Calculs!CF1939</f>
        <v>0</v>
      </c>
      <c r="K1867" s="742"/>
      <c r="L1867" s="742">
        <f>Calculs!CH1939</f>
        <v>0</v>
      </c>
    </row>
    <row r="1868" spans="2:12">
      <c r="B1868" s="742">
        <f>Calculs!B1940</f>
        <v>0</v>
      </c>
      <c r="C1868" s="742">
        <f>Calculs!BY1940</f>
        <v>0</v>
      </c>
      <c r="D1868" s="742">
        <f>Calculs!BZ1940</f>
        <v>0</v>
      </c>
      <c r="E1868" s="742">
        <f>Calculs!CA1940</f>
        <v>0</v>
      </c>
      <c r="F1868" s="742">
        <f>Calculs!CB1940</f>
        <v>0</v>
      </c>
      <c r="G1868" s="742">
        <f>Calculs!CC1940</f>
        <v>0</v>
      </c>
      <c r="H1868" s="742"/>
      <c r="I1868" s="742">
        <f>Calculs!CE1940</f>
        <v>0</v>
      </c>
      <c r="J1868" s="742">
        <f>Calculs!CF1940</f>
        <v>0</v>
      </c>
      <c r="K1868" s="742"/>
      <c r="L1868" s="742">
        <f>Calculs!CH1940</f>
        <v>0</v>
      </c>
    </row>
    <row r="1869" spans="2:12">
      <c r="B1869" s="742">
        <f>Calculs!B1941</f>
        <v>0</v>
      </c>
      <c r="C1869" s="742">
        <f>Calculs!BY1941</f>
        <v>0</v>
      </c>
      <c r="D1869" s="742">
        <f>Calculs!BZ1941</f>
        <v>0</v>
      </c>
      <c r="E1869" s="742">
        <f>Calculs!CA1941</f>
        <v>0</v>
      </c>
      <c r="F1869" s="742">
        <f>Calculs!CB1941</f>
        <v>0</v>
      </c>
      <c r="G1869" s="742">
        <f>Calculs!CC1941</f>
        <v>0</v>
      </c>
      <c r="H1869" s="742"/>
      <c r="I1869" s="742">
        <f>Calculs!CE1941</f>
        <v>0</v>
      </c>
      <c r="J1869" s="742">
        <f>Calculs!CF1941</f>
        <v>0</v>
      </c>
      <c r="K1869" s="742"/>
      <c r="L1869" s="742">
        <f>Calculs!CH1941</f>
        <v>0</v>
      </c>
    </row>
    <row r="1870" spans="2:12">
      <c r="B1870" s="742">
        <f>Calculs!B1942</f>
        <v>0</v>
      </c>
      <c r="C1870" s="742">
        <f>Calculs!BY1942</f>
        <v>0</v>
      </c>
      <c r="D1870" s="742">
        <f>Calculs!BZ1942</f>
        <v>0</v>
      </c>
      <c r="E1870" s="742">
        <f>Calculs!CA1942</f>
        <v>0</v>
      </c>
      <c r="F1870" s="742">
        <f>Calculs!CB1942</f>
        <v>0</v>
      </c>
      <c r="G1870" s="742">
        <f>Calculs!CC1942</f>
        <v>0</v>
      </c>
      <c r="H1870" s="742"/>
      <c r="I1870" s="742">
        <f>Calculs!CE1942</f>
        <v>0</v>
      </c>
      <c r="J1870" s="742">
        <f>Calculs!CF1942</f>
        <v>0</v>
      </c>
      <c r="K1870" s="742"/>
      <c r="L1870" s="742">
        <f>Calculs!CH1942</f>
        <v>0</v>
      </c>
    </row>
    <row r="1871" spans="2:12">
      <c r="B1871" s="742">
        <f>Calculs!B1943</f>
        <v>0</v>
      </c>
      <c r="C1871" s="742">
        <f>Calculs!BY1943</f>
        <v>0</v>
      </c>
      <c r="D1871" s="742">
        <f>Calculs!BZ1943</f>
        <v>0</v>
      </c>
      <c r="E1871" s="742">
        <f>Calculs!CA1943</f>
        <v>0</v>
      </c>
      <c r="F1871" s="742">
        <f>Calculs!CB1943</f>
        <v>0</v>
      </c>
      <c r="G1871" s="742">
        <f>Calculs!CC1943</f>
        <v>0</v>
      </c>
      <c r="H1871" s="742"/>
      <c r="I1871" s="742">
        <f>Calculs!CE1943</f>
        <v>0</v>
      </c>
      <c r="J1871" s="742">
        <f>Calculs!CF1943</f>
        <v>0</v>
      </c>
      <c r="K1871" s="742"/>
      <c r="L1871" s="742">
        <f>Calculs!CH1943</f>
        <v>0</v>
      </c>
    </row>
    <row r="1872" spans="2:12">
      <c r="B1872" s="742">
        <f>Calculs!B1944</f>
        <v>0</v>
      </c>
      <c r="C1872" s="742">
        <f>Calculs!BY1944</f>
        <v>0</v>
      </c>
      <c r="D1872" s="742">
        <f>Calculs!BZ1944</f>
        <v>0</v>
      </c>
      <c r="E1872" s="742">
        <f>Calculs!CA1944</f>
        <v>0</v>
      </c>
      <c r="F1872" s="742">
        <f>Calculs!CB1944</f>
        <v>0</v>
      </c>
      <c r="G1872" s="742">
        <f>Calculs!CC1944</f>
        <v>0</v>
      </c>
      <c r="H1872" s="742"/>
      <c r="I1872" s="742">
        <f>Calculs!CE1944</f>
        <v>0</v>
      </c>
      <c r="J1872" s="742">
        <f>Calculs!CF1944</f>
        <v>0</v>
      </c>
      <c r="K1872" s="742"/>
      <c r="L1872" s="742">
        <f>Calculs!CH1944</f>
        <v>0</v>
      </c>
    </row>
    <row r="1873" spans="2:12">
      <c r="B1873" s="742">
        <f>Calculs!B1945</f>
        <v>0</v>
      </c>
      <c r="C1873" s="742">
        <f>Calculs!BY1945</f>
        <v>0</v>
      </c>
      <c r="D1873" s="742">
        <f>Calculs!BZ1945</f>
        <v>0</v>
      </c>
      <c r="E1873" s="742">
        <f>Calculs!CA1945</f>
        <v>0</v>
      </c>
      <c r="F1873" s="742">
        <f>Calculs!CB1945</f>
        <v>0</v>
      </c>
      <c r="G1873" s="742">
        <f>Calculs!CC1945</f>
        <v>0</v>
      </c>
      <c r="H1873" s="742"/>
      <c r="I1873" s="742">
        <f>Calculs!CE1945</f>
        <v>0</v>
      </c>
      <c r="J1873" s="742">
        <f>Calculs!CF1945</f>
        <v>0</v>
      </c>
      <c r="K1873" s="742"/>
      <c r="L1873" s="742">
        <f>Calculs!CH1945</f>
        <v>0</v>
      </c>
    </row>
    <row r="1874" spans="2:12">
      <c r="B1874" s="742">
        <f>Calculs!B1946</f>
        <v>0</v>
      </c>
      <c r="C1874" s="742">
        <f>Calculs!BY1946</f>
        <v>0</v>
      </c>
      <c r="D1874" s="742">
        <f>Calculs!BZ1946</f>
        <v>0</v>
      </c>
      <c r="E1874" s="742">
        <f>Calculs!CA1946</f>
        <v>0</v>
      </c>
      <c r="F1874" s="742">
        <f>Calculs!CB1946</f>
        <v>0</v>
      </c>
      <c r="G1874" s="742">
        <f>Calculs!CC1946</f>
        <v>0</v>
      </c>
      <c r="H1874" s="742"/>
      <c r="I1874" s="742">
        <f>Calculs!CE1946</f>
        <v>0</v>
      </c>
      <c r="J1874" s="742">
        <f>Calculs!CF1946</f>
        <v>0</v>
      </c>
      <c r="K1874" s="742"/>
      <c r="L1874" s="742">
        <f>Calculs!CH1946</f>
        <v>0</v>
      </c>
    </row>
    <row r="1875" spans="2:12">
      <c r="B1875" s="742">
        <f>Calculs!B1947</f>
        <v>0</v>
      </c>
      <c r="C1875" s="742">
        <f>Calculs!BY1947</f>
        <v>0</v>
      </c>
      <c r="D1875" s="742">
        <f>Calculs!BZ1947</f>
        <v>0</v>
      </c>
      <c r="E1875" s="742">
        <f>Calculs!CA1947</f>
        <v>0</v>
      </c>
      <c r="F1875" s="742">
        <f>Calculs!CB1947</f>
        <v>0</v>
      </c>
      <c r="G1875" s="742">
        <f>Calculs!CC1947</f>
        <v>0</v>
      </c>
      <c r="H1875" s="742"/>
      <c r="I1875" s="742">
        <f>Calculs!CE1947</f>
        <v>0</v>
      </c>
      <c r="J1875" s="742">
        <f>Calculs!CF1947</f>
        <v>0</v>
      </c>
      <c r="K1875" s="742"/>
      <c r="L1875" s="742">
        <f>Calculs!CH1947</f>
        <v>0</v>
      </c>
    </row>
    <row r="1876" spans="2:12">
      <c r="B1876" s="742">
        <f>Calculs!B1948</f>
        <v>0</v>
      </c>
      <c r="C1876" s="742">
        <f>Calculs!BY1948</f>
        <v>0</v>
      </c>
      <c r="D1876" s="742">
        <f>Calculs!BZ1948</f>
        <v>0</v>
      </c>
      <c r="E1876" s="742">
        <f>Calculs!CA1948</f>
        <v>0</v>
      </c>
      <c r="F1876" s="742">
        <f>Calculs!CB1948</f>
        <v>0</v>
      </c>
      <c r="G1876" s="742">
        <f>Calculs!CC1948</f>
        <v>0</v>
      </c>
      <c r="H1876" s="742"/>
      <c r="I1876" s="742">
        <f>Calculs!CE1948</f>
        <v>0</v>
      </c>
      <c r="J1876" s="742">
        <f>Calculs!CF1948</f>
        <v>0</v>
      </c>
      <c r="K1876" s="742"/>
      <c r="L1876" s="742">
        <f>Calculs!CH1948</f>
        <v>0</v>
      </c>
    </row>
    <row r="1877" spans="2:12">
      <c r="B1877" s="742">
        <f>Calculs!B1949</f>
        <v>0</v>
      </c>
      <c r="C1877" s="742">
        <f>Calculs!BY1949</f>
        <v>0</v>
      </c>
      <c r="D1877" s="742">
        <f>Calculs!BZ1949</f>
        <v>0</v>
      </c>
      <c r="E1877" s="742">
        <f>Calculs!CA1949</f>
        <v>0</v>
      </c>
      <c r="F1877" s="742">
        <f>Calculs!CB1949</f>
        <v>0</v>
      </c>
      <c r="G1877" s="742">
        <f>Calculs!CC1949</f>
        <v>0</v>
      </c>
      <c r="H1877" s="742"/>
      <c r="I1877" s="742">
        <f>Calculs!CE1949</f>
        <v>0</v>
      </c>
      <c r="J1877" s="742">
        <f>Calculs!CF1949</f>
        <v>0</v>
      </c>
      <c r="K1877" s="742"/>
      <c r="L1877" s="742">
        <f>Calculs!CH1949</f>
        <v>0</v>
      </c>
    </row>
    <row r="1878" spans="2:12">
      <c r="B1878" s="742">
        <f>Calculs!B1950</f>
        <v>0</v>
      </c>
      <c r="C1878" s="742">
        <f>Calculs!BY1950</f>
        <v>0</v>
      </c>
      <c r="D1878" s="742">
        <f>Calculs!BZ1950</f>
        <v>0</v>
      </c>
      <c r="E1878" s="742">
        <f>Calculs!CA1950</f>
        <v>0</v>
      </c>
      <c r="F1878" s="742">
        <f>Calculs!CB1950</f>
        <v>0</v>
      </c>
      <c r="G1878" s="742">
        <f>Calculs!CC1950</f>
        <v>0</v>
      </c>
      <c r="H1878" s="742"/>
      <c r="I1878" s="742">
        <f>Calculs!CE1950</f>
        <v>0</v>
      </c>
      <c r="J1878" s="742">
        <f>Calculs!CF1950</f>
        <v>0</v>
      </c>
      <c r="K1878" s="742"/>
      <c r="L1878" s="742">
        <f>Calculs!CH1950</f>
        <v>0</v>
      </c>
    </row>
    <row r="1879" spans="2:12">
      <c r="B1879" s="742">
        <f>Calculs!B1951</f>
        <v>0</v>
      </c>
      <c r="C1879" s="742">
        <f>Calculs!BY1951</f>
        <v>0</v>
      </c>
      <c r="D1879" s="742">
        <f>Calculs!BZ1951</f>
        <v>0</v>
      </c>
      <c r="E1879" s="742">
        <f>Calculs!CA1951</f>
        <v>0</v>
      </c>
      <c r="F1879" s="742">
        <f>Calculs!CB1951</f>
        <v>0</v>
      </c>
      <c r="G1879" s="742">
        <f>Calculs!CC1951</f>
        <v>0</v>
      </c>
      <c r="H1879" s="742"/>
      <c r="I1879" s="742">
        <f>Calculs!CE1951</f>
        <v>0</v>
      </c>
      <c r="J1879" s="742">
        <f>Calculs!CF1951</f>
        <v>0</v>
      </c>
      <c r="K1879" s="742"/>
      <c r="L1879" s="742">
        <f>Calculs!CH1951</f>
        <v>0</v>
      </c>
    </row>
    <row r="1880" spans="2:12">
      <c r="B1880" s="742">
        <f>Calculs!B1952</f>
        <v>0</v>
      </c>
      <c r="C1880" s="742">
        <f>Calculs!BY1952</f>
        <v>0</v>
      </c>
      <c r="D1880" s="742">
        <f>Calculs!BZ1952</f>
        <v>0</v>
      </c>
      <c r="E1880" s="742">
        <f>Calculs!CA1952</f>
        <v>0</v>
      </c>
      <c r="F1880" s="742">
        <f>Calculs!CB1952</f>
        <v>0</v>
      </c>
      <c r="G1880" s="742">
        <f>Calculs!CC1952</f>
        <v>0</v>
      </c>
      <c r="H1880" s="742"/>
      <c r="I1880" s="742">
        <f>Calculs!CE1952</f>
        <v>0</v>
      </c>
      <c r="J1880" s="742">
        <f>Calculs!CF1952</f>
        <v>0</v>
      </c>
      <c r="K1880" s="742"/>
      <c r="L1880" s="742">
        <f>Calculs!CH1952</f>
        <v>0</v>
      </c>
    </row>
    <row r="1881" spans="2:12">
      <c r="B1881" s="742">
        <f>Calculs!B1953</f>
        <v>0</v>
      </c>
      <c r="C1881" s="742">
        <f>Calculs!BY1953</f>
        <v>0</v>
      </c>
      <c r="D1881" s="742">
        <f>Calculs!BZ1953</f>
        <v>0</v>
      </c>
      <c r="E1881" s="742">
        <f>Calculs!CA1953</f>
        <v>0</v>
      </c>
      <c r="F1881" s="742">
        <f>Calculs!CB1953</f>
        <v>0</v>
      </c>
      <c r="G1881" s="742">
        <f>Calculs!CC1953</f>
        <v>0</v>
      </c>
      <c r="H1881" s="742"/>
      <c r="I1881" s="742">
        <f>Calculs!CE1953</f>
        <v>0</v>
      </c>
      <c r="J1881" s="742">
        <f>Calculs!CF1953</f>
        <v>0</v>
      </c>
      <c r="K1881" s="742"/>
      <c r="L1881" s="742">
        <f>Calculs!CH1953</f>
        <v>0</v>
      </c>
    </row>
    <row r="1882" spans="2:12">
      <c r="B1882" s="742">
        <f>Calculs!B1954</f>
        <v>0</v>
      </c>
      <c r="C1882" s="742">
        <f>Calculs!BY1954</f>
        <v>0</v>
      </c>
      <c r="D1882" s="742">
        <f>Calculs!BZ1954</f>
        <v>0</v>
      </c>
      <c r="E1882" s="742">
        <f>Calculs!CA1954</f>
        <v>0</v>
      </c>
      <c r="F1882" s="742">
        <f>Calculs!CB1954</f>
        <v>0</v>
      </c>
      <c r="G1882" s="742">
        <f>Calculs!CC1954</f>
        <v>0</v>
      </c>
      <c r="H1882" s="742"/>
      <c r="I1882" s="742">
        <f>Calculs!CE1954</f>
        <v>0</v>
      </c>
      <c r="J1882" s="742">
        <f>Calculs!CF1954</f>
        <v>0</v>
      </c>
      <c r="K1882" s="742"/>
      <c r="L1882" s="742">
        <f>Calculs!CH1954</f>
        <v>0</v>
      </c>
    </row>
    <row r="1883" spans="2:12">
      <c r="B1883" s="742">
        <f>Calculs!B1955</f>
        <v>0</v>
      </c>
      <c r="C1883" s="742">
        <f>Calculs!BY1955</f>
        <v>0</v>
      </c>
      <c r="D1883" s="742">
        <f>Calculs!BZ1955</f>
        <v>0</v>
      </c>
      <c r="E1883" s="742">
        <f>Calculs!CA1955</f>
        <v>0</v>
      </c>
      <c r="F1883" s="742">
        <f>Calculs!CB1955</f>
        <v>0</v>
      </c>
      <c r="G1883" s="742">
        <f>Calculs!CC1955</f>
        <v>0</v>
      </c>
      <c r="H1883" s="742"/>
      <c r="I1883" s="742">
        <f>Calculs!CE1955</f>
        <v>0</v>
      </c>
      <c r="J1883" s="742">
        <f>Calculs!CF1955</f>
        <v>0</v>
      </c>
      <c r="K1883" s="742"/>
      <c r="L1883" s="742">
        <f>Calculs!CH1955</f>
        <v>0</v>
      </c>
    </row>
    <row r="1884" spans="2:12">
      <c r="B1884" s="742">
        <f>Calculs!B1956</f>
        <v>0</v>
      </c>
      <c r="C1884" s="742">
        <f>Calculs!BY1956</f>
        <v>0</v>
      </c>
      <c r="D1884" s="742">
        <f>Calculs!BZ1956</f>
        <v>0</v>
      </c>
      <c r="E1884" s="742">
        <f>Calculs!CA1956</f>
        <v>0</v>
      </c>
      <c r="F1884" s="742">
        <f>Calculs!CB1956</f>
        <v>0</v>
      </c>
      <c r="G1884" s="742">
        <f>Calculs!CC1956</f>
        <v>0</v>
      </c>
      <c r="H1884" s="742"/>
      <c r="I1884" s="742">
        <f>Calculs!CE1956</f>
        <v>0</v>
      </c>
      <c r="J1884" s="742">
        <f>Calculs!CF1956</f>
        <v>0</v>
      </c>
      <c r="K1884" s="742"/>
      <c r="L1884" s="742">
        <f>Calculs!CH1956</f>
        <v>0</v>
      </c>
    </row>
    <row r="1885" spans="2:12">
      <c r="B1885" s="742">
        <f>Calculs!B1957</f>
        <v>0</v>
      </c>
      <c r="C1885" s="742">
        <f>Calculs!BY1957</f>
        <v>0</v>
      </c>
      <c r="D1885" s="742">
        <f>Calculs!BZ1957</f>
        <v>0</v>
      </c>
      <c r="E1885" s="742">
        <f>Calculs!CA1957</f>
        <v>0</v>
      </c>
      <c r="F1885" s="742">
        <f>Calculs!CB1957</f>
        <v>0</v>
      </c>
      <c r="G1885" s="742">
        <f>Calculs!CC1957</f>
        <v>0</v>
      </c>
      <c r="H1885" s="742"/>
      <c r="I1885" s="742">
        <f>Calculs!CE1957</f>
        <v>0</v>
      </c>
      <c r="J1885" s="742">
        <f>Calculs!CF1957</f>
        <v>0</v>
      </c>
      <c r="K1885" s="742"/>
      <c r="L1885" s="742">
        <f>Calculs!CH1957</f>
        <v>0</v>
      </c>
    </row>
    <row r="1886" spans="2:12">
      <c r="B1886" s="742">
        <f>Calculs!B1958</f>
        <v>0</v>
      </c>
      <c r="C1886" s="742">
        <f>Calculs!BY1958</f>
        <v>0</v>
      </c>
      <c r="D1886" s="742">
        <f>Calculs!BZ1958</f>
        <v>0</v>
      </c>
      <c r="E1886" s="742">
        <f>Calculs!CA1958</f>
        <v>0</v>
      </c>
      <c r="F1886" s="742">
        <f>Calculs!CB1958</f>
        <v>0</v>
      </c>
      <c r="G1886" s="742">
        <f>Calculs!CC1958</f>
        <v>0</v>
      </c>
      <c r="H1886" s="742"/>
      <c r="I1886" s="742">
        <f>Calculs!CE1958</f>
        <v>0</v>
      </c>
      <c r="J1886" s="742">
        <f>Calculs!CF1958</f>
        <v>0</v>
      </c>
      <c r="K1886" s="742"/>
      <c r="L1886" s="742">
        <f>Calculs!CH1958</f>
        <v>0</v>
      </c>
    </row>
    <row r="1887" spans="2:12">
      <c r="B1887" s="742">
        <f>Calculs!B1959</f>
        <v>0</v>
      </c>
      <c r="C1887" s="742">
        <f>Calculs!BY1959</f>
        <v>0</v>
      </c>
      <c r="D1887" s="742">
        <f>Calculs!BZ1959</f>
        <v>0</v>
      </c>
      <c r="E1887" s="742">
        <f>Calculs!CA1959</f>
        <v>0</v>
      </c>
      <c r="F1887" s="742">
        <f>Calculs!CB1959</f>
        <v>0</v>
      </c>
      <c r="G1887" s="742">
        <f>Calculs!CC1959</f>
        <v>0</v>
      </c>
      <c r="H1887" s="742"/>
      <c r="I1887" s="742">
        <f>Calculs!CE1959</f>
        <v>0</v>
      </c>
      <c r="J1887" s="742">
        <f>Calculs!CF1959</f>
        <v>0</v>
      </c>
      <c r="K1887" s="742"/>
      <c r="L1887" s="742">
        <f>Calculs!CH1959</f>
        <v>0</v>
      </c>
    </row>
    <row r="1888" spans="2:12">
      <c r="B1888" s="742">
        <f>Calculs!B1960</f>
        <v>0</v>
      </c>
      <c r="C1888" s="742">
        <f>Calculs!BY1960</f>
        <v>0</v>
      </c>
      <c r="D1888" s="742">
        <f>Calculs!BZ1960</f>
        <v>0</v>
      </c>
      <c r="E1888" s="742">
        <f>Calculs!CA1960</f>
        <v>0</v>
      </c>
      <c r="F1888" s="742">
        <f>Calculs!CB1960</f>
        <v>0</v>
      </c>
      <c r="G1888" s="742">
        <f>Calculs!CC1960</f>
        <v>0</v>
      </c>
      <c r="H1888" s="742"/>
      <c r="I1888" s="742">
        <f>Calculs!CE1960</f>
        <v>0</v>
      </c>
      <c r="J1888" s="742">
        <f>Calculs!CF1960</f>
        <v>0</v>
      </c>
      <c r="K1888" s="742"/>
      <c r="L1888" s="742">
        <f>Calculs!CH1960</f>
        <v>0</v>
      </c>
    </row>
    <row r="1889" spans="2:12">
      <c r="B1889" s="742">
        <f>Calculs!B1961</f>
        <v>0</v>
      </c>
      <c r="C1889" s="742">
        <f>Calculs!BY1961</f>
        <v>0</v>
      </c>
      <c r="D1889" s="742">
        <f>Calculs!BZ1961</f>
        <v>0</v>
      </c>
      <c r="E1889" s="742">
        <f>Calculs!CA1961</f>
        <v>0</v>
      </c>
      <c r="F1889" s="742">
        <f>Calculs!CB1961</f>
        <v>0</v>
      </c>
      <c r="G1889" s="742">
        <f>Calculs!CC1961</f>
        <v>0</v>
      </c>
      <c r="H1889" s="742"/>
      <c r="I1889" s="742">
        <f>Calculs!CE1961</f>
        <v>0</v>
      </c>
      <c r="J1889" s="742">
        <f>Calculs!CF1961</f>
        <v>0</v>
      </c>
      <c r="K1889" s="742"/>
      <c r="L1889" s="742">
        <f>Calculs!CH1961</f>
        <v>0</v>
      </c>
    </row>
    <row r="1890" spans="2:12">
      <c r="B1890" s="742">
        <f>Calculs!B1962</f>
        <v>0</v>
      </c>
      <c r="C1890" s="742">
        <f>Calculs!BY1962</f>
        <v>0</v>
      </c>
      <c r="D1890" s="742">
        <f>Calculs!BZ1962</f>
        <v>0</v>
      </c>
      <c r="E1890" s="742">
        <f>Calculs!CA1962</f>
        <v>0</v>
      </c>
      <c r="F1890" s="742">
        <f>Calculs!CB1962</f>
        <v>0</v>
      </c>
      <c r="G1890" s="742">
        <f>Calculs!CC1962</f>
        <v>0</v>
      </c>
      <c r="H1890" s="742"/>
      <c r="I1890" s="742">
        <f>Calculs!CE1962</f>
        <v>0</v>
      </c>
      <c r="J1890" s="742">
        <f>Calculs!CF1962</f>
        <v>0</v>
      </c>
      <c r="K1890" s="742"/>
      <c r="L1890" s="742">
        <f>Calculs!CH1962</f>
        <v>0</v>
      </c>
    </row>
    <row r="1891" spans="2:12">
      <c r="B1891" s="742">
        <f>Calculs!B1963</f>
        <v>0</v>
      </c>
      <c r="C1891" s="742">
        <f>Calculs!BY1963</f>
        <v>0</v>
      </c>
      <c r="D1891" s="742">
        <f>Calculs!BZ1963</f>
        <v>0</v>
      </c>
      <c r="E1891" s="742">
        <f>Calculs!CA1963</f>
        <v>0</v>
      </c>
      <c r="F1891" s="742">
        <f>Calculs!CB1963</f>
        <v>0</v>
      </c>
      <c r="G1891" s="742">
        <f>Calculs!CC1963</f>
        <v>0</v>
      </c>
      <c r="H1891" s="742"/>
      <c r="I1891" s="742">
        <f>Calculs!CE1963</f>
        <v>0</v>
      </c>
      <c r="J1891" s="742">
        <f>Calculs!CF1963</f>
        <v>0</v>
      </c>
      <c r="K1891" s="742"/>
      <c r="L1891" s="742">
        <f>Calculs!CH1963</f>
        <v>0</v>
      </c>
    </row>
    <row r="1892" spans="2:12">
      <c r="B1892" s="742">
        <f>Calculs!B1964</f>
        <v>0</v>
      </c>
      <c r="C1892" s="742">
        <f>Calculs!BY1964</f>
        <v>0</v>
      </c>
      <c r="D1892" s="742">
        <f>Calculs!BZ1964</f>
        <v>0</v>
      </c>
      <c r="E1892" s="742">
        <f>Calculs!CA1964</f>
        <v>0</v>
      </c>
      <c r="F1892" s="742">
        <f>Calculs!CB1964</f>
        <v>0</v>
      </c>
      <c r="G1892" s="742">
        <f>Calculs!CC1964</f>
        <v>0</v>
      </c>
      <c r="H1892" s="742"/>
      <c r="I1892" s="742">
        <f>Calculs!CE1964</f>
        <v>0</v>
      </c>
      <c r="J1892" s="742">
        <f>Calculs!CF1964</f>
        <v>0</v>
      </c>
      <c r="K1892" s="742"/>
      <c r="L1892" s="742">
        <f>Calculs!CH1964</f>
        <v>0</v>
      </c>
    </row>
    <row r="1893" spans="2:12">
      <c r="B1893" s="742">
        <f>Calculs!B1965</f>
        <v>0</v>
      </c>
      <c r="C1893" s="742">
        <f>Calculs!BY1965</f>
        <v>0</v>
      </c>
      <c r="D1893" s="742">
        <f>Calculs!BZ1965</f>
        <v>0</v>
      </c>
      <c r="E1893" s="742">
        <f>Calculs!CA1965</f>
        <v>0</v>
      </c>
      <c r="F1893" s="742">
        <f>Calculs!CB1965</f>
        <v>0</v>
      </c>
      <c r="G1893" s="742">
        <f>Calculs!CC1965</f>
        <v>0</v>
      </c>
      <c r="H1893" s="742"/>
      <c r="I1893" s="742">
        <f>Calculs!CE1965</f>
        <v>0</v>
      </c>
      <c r="J1893" s="742">
        <f>Calculs!CF1965</f>
        <v>0</v>
      </c>
      <c r="K1893" s="742"/>
      <c r="L1893" s="742">
        <f>Calculs!CH1965</f>
        <v>0</v>
      </c>
    </row>
    <row r="1894" spans="2:12">
      <c r="B1894" s="742">
        <f>Calculs!B1966</f>
        <v>0</v>
      </c>
      <c r="C1894" s="742">
        <f>Calculs!BY1966</f>
        <v>0</v>
      </c>
      <c r="D1894" s="742">
        <f>Calculs!BZ1966</f>
        <v>0</v>
      </c>
      <c r="E1894" s="742">
        <f>Calculs!CA1966</f>
        <v>0</v>
      </c>
      <c r="F1894" s="742">
        <f>Calculs!CB1966</f>
        <v>0</v>
      </c>
      <c r="G1894" s="742">
        <f>Calculs!CC1966</f>
        <v>0</v>
      </c>
      <c r="H1894" s="742"/>
      <c r="I1894" s="742">
        <f>Calculs!CE1966</f>
        <v>0</v>
      </c>
      <c r="J1894" s="742">
        <f>Calculs!CF1966</f>
        <v>0</v>
      </c>
      <c r="K1894" s="742"/>
      <c r="L1894" s="742">
        <f>Calculs!CH1966</f>
        <v>0</v>
      </c>
    </row>
    <row r="1895" spans="2:12">
      <c r="B1895" s="742">
        <f>Calculs!B1967</f>
        <v>0</v>
      </c>
      <c r="C1895" s="742">
        <f>Calculs!BY1967</f>
        <v>0</v>
      </c>
      <c r="D1895" s="742">
        <f>Calculs!BZ1967</f>
        <v>0</v>
      </c>
      <c r="E1895" s="742">
        <f>Calculs!CA1967</f>
        <v>0</v>
      </c>
      <c r="F1895" s="742">
        <f>Calculs!CB1967</f>
        <v>0</v>
      </c>
      <c r="G1895" s="742">
        <f>Calculs!CC1967</f>
        <v>0</v>
      </c>
      <c r="H1895" s="742"/>
      <c r="I1895" s="742">
        <f>Calculs!CE1967</f>
        <v>0</v>
      </c>
      <c r="J1895" s="742">
        <f>Calculs!CF1967</f>
        <v>0</v>
      </c>
      <c r="K1895" s="742"/>
      <c r="L1895" s="742">
        <f>Calculs!CH1967</f>
        <v>0</v>
      </c>
    </row>
    <row r="1896" spans="2:12">
      <c r="B1896" s="742">
        <f>Calculs!B1968</f>
        <v>0</v>
      </c>
      <c r="C1896" s="742">
        <f>Calculs!BY1968</f>
        <v>0</v>
      </c>
      <c r="D1896" s="742">
        <f>Calculs!BZ1968</f>
        <v>0</v>
      </c>
      <c r="E1896" s="742">
        <f>Calculs!CA1968</f>
        <v>0</v>
      </c>
      <c r="F1896" s="742">
        <f>Calculs!CB1968</f>
        <v>0</v>
      </c>
      <c r="G1896" s="742">
        <f>Calculs!CC1968</f>
        <v>0</v>
      </c>
      <c r="H1896" s="742"/>
      <c r="I1896" s="742">
        <f>Calculs!CE1968</f>
        <v>0</v>
      </c>
      <c r="J1896" s="742">
        <f>Calculs!CF1968</f>
        <v>0</v>
      </c>
      <c r="K1896" s="742"/>
      <c r="L1896" s="742">
        <f>Calculs!CH1968</f>
        <v>0</v>
      </c>
    </row>
    <row r="1897" spans="2:12">
      <c r="B1897" s="742">
        <f>Calculs!B1969</f>
        <v>0</v>
      </c>
      <c r="C1897" s="742">
        <f>Calculs!BY1969</f>
        <v>0</v>
      </c>
      <c r="D1897" s="742">
        <f>Calculs!BZ1969</f>
        <v>0</v>
      </c>
      <c r="E1897" s="742">
        <f>Calculs!CA1969</f>
        <v>0</v>
      </c>
      <c r="F1897" s="742">
        <f>Calculs!CB1969</f>
        <v>0</v>
      </c>
      <c r="G1897" s="742">
        <f>Calculs!CC1969</f>
        <v>0</v>
      </c>
      <c r="H1897" s="742"/>
      <c r="I1897" s="742">
        <f>Calculs!CE1969</f>
        <v>0</v>
      </c>
      <c r="J1897" s="742">
        <f>Calculs!CF1969</f>
        <v>0</v>
      </c>
      <c r="K1897" s="742"/>
      <c r="L1897" s="742">
        <f>Calculs!CH1969</f>
        <v>0</v>
      </c>
    </row>
    <row r="1898" spans="2:12">
      <c r="B1898" s="742">
        <f>Calculs!B1970</f>
        <v>0</v>
      </c>
      <c r="C1898" s="742">
        <f>Calculs!BY1970</f>
        <v>0</v>
      </c>
      <c r="D1898" s="742">
        <f>Calculs!BZ1970</f>
        <v>0</v>
      </c>
      <c r="E1898" s="742">
        <f>Calculs!CA1970</f>
        <v>0</v>
      </c>
      <c r="F1898" s="742">
        <f>Calculs!CB1970</f>
        <v>0</v>
      </c>
      <c r="G1898" s="742">
        <f>Calculs!CC1970</f>
        <v>0</v>
      </c>
      <c r="H1898" s="742"/>
      <c r="I1898" s="742">
        <f>Calculs!CE1970</f>
        <v>0</v>
      </c>
      <c r="J1898" s="742">
        <f>Calculs!CF1970</f>
        <v>0</v>
      </c>
      <c r="K1898" s="742"/>
      <c r="L1898" s="742">
        <f>Calculs!CH1970</f>
        <v>0</v>
      </c>
    </row>
    <row r="1899" spans="2:12">
      <c r="B1899" s="742">
        <f>Calculs!B1971</f>
        <v>0</v>
      </c>
      <c r="C1899" s="742">
        <f>Calculs!BY1971</f>
        <v>0</v>
      </c>
      <c r="D1899" s="742">
        <f>Calculs!BZ1971</f>
        <v>0</v>
      </c>
      <c r="E1899" s="742">
        <f>Calculs!CA1971</f>
        <v>0</v>
      </c>
      <c r="F1899" s="742">
        <f>Calculs!CB1971</f>
        <v>0</v>
      </c>
      <c r="G1899" s="742">
        <f>Calculs!CC1971</f>
        <v>0</v>
      </c>
      <c r="H1899" s="742"/>
      <c r="I1899" s="742">
        <f>Calculs!CE1971</f>
        <v>0</v>
      </c>
      <c r="J1899" s="742">
        <f>Calculs!CF1971</f>
        <v>0</v>
      </c>
      <c r="K1899" s="742"/>
      <c r="L1899" s="742">
        <f>Calculs!CH1971</f>
        <v>0</v>
      </c>
    </row>
    <row r="1900" spans="2:12">
      <c r="B1900" s="742">
        <f>Calculs!B1972</f>
        <v>0</v>
      </c>
      <c r="C1900" s="742">
        <f>Calculs!BY1972</f>
        <v>0</v>
      </c>
      <c r="D1900" s="742">
        <f>Calculs!BZ1972</f>
        <v>0</v>
      </c>
      <c r="E1900" s="742">
        <f>Calculs!CA1972</f>
        <v>0</v>
      </c>
      <c r="F1900" s="742">
        <f>Calculs!CB1972</f>
        <v>0</v>
      </c>
      <c r="G1900" s="742">
        <f>Calculs!CC1972</f>
        <v>0</v>
      </c>
      <c r="H1900" s="742"/>
      <c r="I1900" s="742">
        <f>Calculs!CE1972</f>
        <v>0</v>
      </c>
      <c r="J1900" s="742">
        <f>Calculs!CF1972</f>
        <v>0</v>
      </c>
      <c r="K1900" s="742"/>
      <c r="L1900" s="742">
        <f>Calculs!CH1972</f>
        <v>0</v>
      </c>
    </row>
    <row r="1901" spans="2:12">
      <c r="B1901" s="742">
        <f>Calculs!B1973</f>
        <v>0</v>
      </c>
      <c r="C1901" s="742">
        <f>Calculs!BY1973</f>
        <v>0</v>
      </c>
      <c r="D1901" s="742">
        <f>Calculs!BZ1973</f>
        <v>0</v>
      </c>
      <c r="E1901" s="742">
        <f>Calculs!CA1973</f>
        <v>0</v>
      </c>
      <c r="F1901" s="742">
        <f>Calculs!CB1973</f>
        <v>0</v>
      </c>
      <c r="G1901" s="742">
        <f>Calculs!CC1973</f>
        <v>0</v>
      </c>
      <c r="H1901" s="742"/>
      <c r="I1901" s="742">
        <f>Calculs!CE1973</f>
        <v>0</v>
      </c>
      <c r="J1901" s="742">
        <f>Calculs!CF1973</f>
        <v>0</v>
      </c>
      <c r="K1901" s="742"/>
      <c r="L1901" s="742">
        <f>Calculs!CH1973</f>
        <v>0</v>
      </c>
    </row>
    <row r="1902" spans="2:12">
      <c r="B1902" s="742">
        <f>Calculs!B1974</f>
        <v>0</v>
      </c>
      <c r="C1902" s="742">
        <f>Calculs!BY1974</f>
        <v>0</v>
      </c>
      <c r="D1902" s="742">
        <f>Calculs!BZ1974</f>
        <v>0</v>
      </c>
      <c r="E1902" s="742">
        <f>Calculs!CA1974</f>
        <v>0</v>
      </c>
      <c r="F1902" s="742">
        <f>Calculs!CB1974</f>
        <v>0</v>
      </c>
      <c r="G1902" s="742">
        <f>Calculs!CC1974</f>
        <v>0</v>
      </c>
      <c r="H1902" s="742"/>
      <c r="I1902" s="742">
        <f>Calculs!CE1974</f>
        <v>0</v>
      </c>
      <c r="J1902" s="742">
        <f>Calculs!CF1974</f>
        <v>0</v>
      </c>
      <c r="K1902" s="742"/>
      <c r="L1902" s="742">
        <f>Calculs!CH1974</f>
        <v>0</v>
      </c>
    </row>
    <row r="1903" spans="2:12">
      <c r="B1903" s="742">
        <f>Calculs!B1975</f>
        <v>0</v>
      </c>
      <c r="C1903" s="742">
        <f>Calculs!BY1975</f>
        <v>0</v>
      </c>
      <c r="D1903" s="742">
        <f>Calculs!BZ1975</f>
        <v>0</v>
      </c>
      <c r="E1903" s="742">
        <f>Calculs!CA1975</f>
        <v>0</v>
      </c>
      <c r="F1903" s="742">
        <f>Calculs!CB1975</f>
        <v>0</v>
      </c>
      <c r="G1903" s="742">
        <f>Calculs!CC1975</f>
        <v>0</v>
      </c>
      <c r="H1903" s="742"/>
      <c r="I1903" s="742">
        <f>Calculs!CE1975</f>
        <v>0</v>
      </c>
      <c r="J1903" s="742">
        <f>Calculs!CF1975</f>
        <v>0</v>
      </c>
      <c r="K1903" s="742"/>
      <c r="L1903" s="742">
        <f>Calculs!CH1975</f>
        <v>0</v>
      </c>
    </row>
    <row r="1904" spans="2:12">
      <c r="B1904" s="742">
        <f>Calculs!B1976</f>
        <v>0</v>
      </c>
      <c r="C1904" s="742">
        <f>Calculs!BY1976</f>
        <v>0</v>
      </c>
      <c r="D1904" s="742">
        <f>Calculs!BZ1976</f>
        <v>0</v>
      </c>
      <c r="E1904" s="742">
        <f>Calculs!CA1976</f>
        <v>0</v>
      </c>
      <c r="F1904" s="742">
        <f>Calculs!CB1976</f>
        <v>0</v>
      </c>
      <c r="G1904" s="742">
        <f>Calculs!CC1976</f>
        <v>0</v>
      </c>
      <c r="H1904" s="742"/>
      <c r="I1904" s="742">
        <f>Calculs!CE1976</f>
        <v>0</v>
      </c>
      <c r="J1904" s="742">
        <f>Calculs!CF1976</f>
        <v>0</v>
      </c>
      <c r="K1904" s="742"/>
      <c r="L1904" s="742">
        <f>Calculs!CH1976</f>
        <v>0</v>
      </c>
    </row>
    <row r="1905" spans="2:12">
      <c r="B1905" s="742">
        <f>Calculs!B1977</f>
        <v>0</v>
      </c>
      <c r="C1905" s="742">
        <f>Calculs!BY1977</f>
        <v>0</v>
      </c>
      <c r="D1905" s="742">
        <f>Calculs!BZ1977</f>
        <v>0</v>
      </c>
      <c r="E1905" s="742">
        <f>Calculs!CA1977</f>
        <v>0</v>
      </c>
      <c r="F1905" s="742">
        <f>Calculs!CB1977</f>
        <v>0</v>
      </c>
      <c r="G1905" s="742">
        <f>Calculs!CC1977</f>
        <v>0</v>
      </c>
      <c r="H1905" s="742"/>
      <c r="I1905" s="742">
        <f>Calculs!CE1977</f>
        <v>0</v>
      </c>
      <c r="J1905" s="742">
        <f>Calculs!CF1977</f>
        <v>0</v>
      </c>
      <c r="K1905" s="742"/>
      <c r="L1905" s="742">
        <f>Calculs!CH1977</f>
        <v>0</v>
      </c>
    </row>
    <row r="1906" spans="2:12">
      <c r="B1906" s="742">
        <f>Calculs!B1978</f>
        <v>0</v>
      </c>
      <c r="C1906" s="742">
        <f>Calculs!BY1978</f>
        <v>0</v>
      </c>
      <c r="D1906" s="742">
        <f>Calculs!BZ1978</f>
        <v>0</v>
      </c>
      <c r="E1906" s="742">
        <f>Calculs!CA1978</f>
        <v>0</v>
      </c>
      <c r="F1906" s="742">
        <f>Calculs!CB1978</f>
        <v>0</v>
      </c>
      <c r="G1906" s="742">
        <f>Calculs!CC1978</f>
        <v>0</v>
      </c>
      <c r="H1906" s="742"/>
      <c r="I1906" s="742">
        <f>Calculs!CE1978</f>
        <v>0</v>
      </c>
      <c r="J1906" s="742">
        <f>Calculs!CF1978</f>
        <v>0</v>
      </c>
      <c r="K1906" s="742"/>
      <c r="L1906" s="742">
        <f>Calculs!CH1978</f>
        <v>0</v>
      </c>
    </row>
    <row r="1907" spans="2:12">
      <c r="B1907" s="742">
        <f>Calculs!B1979</f>
        <v>0</v>
      </c>
      <c r="C1907" s="742">
        <f>Calculs!BY1979</f>
        <v>0</v>
      </c>
      <c r="D1907" s="742">
        <f>Calculs!BZ1979</f>
        <v>0</v>
      </c>
      <c r="E1907" s="742">
        <f>Calculs!CA1979</f>
        <v>0</v>
      </c>
      <c r="F1907" s="742">
        <f>Calculs!CB1979</f>
        <v>0</v>
      </c>
      <c r="G1907" s="742">
        <f>Calculs!CC1979</f>
        <v>0</v>
      </c>
      <c r="H1907" s="742"/>
      <c r="I1907" s="742">
        <f>Calculs!CE1979</f>
        <v>0</v>
      </c>
      <c r="J1907" s="742">
        <f>Calculs!CF1979</f>
        <v>0</v>
      </c>
      <c r="K1907" s="742"/>
      <c r="L1907" s="742">
        <f>Calculs!CH1979</f>
        <v>0</v>
      </c>
    </row>
    <row r="1908" spans="2:12">
      <c r="B1908" s="742">
        <f>Calculs!B1980</f>
        <v>0</v>
      </c>
      <c r="C1908" s="742">
        <f>Calculs!BY1980</f>
        <v>0</v>
      </c>
      <c r="D1908" s="742">
        <f>Calculs!BZ1980</f>
        <v>0</v>
      </c>
      <c r="E1908" s="742">
        <f>Calculs!CA1980</f>
        <v>0</v>
      </c>
      <c r="F1908" s="742">
        <f>Calculs!CB1980</f>
        <v>0</v>
      </c>
      <c r="G1908" s="742">
        <f>Calculs!CC1980</f>
        <v>0</v>
      </c>
      <c r="H1908" s="742"/>
      <c r="I1908" s="742">
        <f>Calculs!CE1980</f>
        <v>0</v>
      </c>
      <c r="J1908" s="742">
        <f>Calculs!CF1980</f>
        <v>0</v>
      </c>
      <c r="K1908" s="742"/>
      <c r="L1908" s="742">
        <f>Calculs!CH1980</f>
        <v>0</v>
      </c>
    </row>
    <row r="1909" spans="2:12">
      <c r="B1909" s="742">
        <f>Calculs!B1981</f>
        <v>0</v>
      </c>
      <c r="C1909" s="742">
        <f>Calculs!BY1981</f>
        <v>0</v>
      </c>
      <c r="D1909" s="742">
        <f>Calculs!BZ1981</f>
        <v>0</v>
      </c>
      <c r="E1909" s="742">
        <f>Calculs!CA1981</f>
        <v>0</v>
      </c>
      <c r="F1909" s="742">
        <f>Calculs!CB1981</f>
        <v>0</v>
      </c>
      <c r="G1909" s="742">
        <f>Calculs!CC1981</f>
        <v>0</v>
      </c>
      <c r="H1909" s="742"/>
      <c r="I1909" s="742">
        <f>Calculs!CE1981</f>
        <v>0</v>
      </c>
      <c r="J1909" s="742">
        <f>Calculs!CF1981</f>
        <v>0</v>
      </c>
      <c r="K1909" s="742"/>
      <c r="L1909" s="742">
        <f>Calculs!CH1981</f>
        <v>0</v>
      </c>
    </row>
    <row r="1910" spans="2:12">
      <c r="B1910" s="742">
        <f>Calculs!B1982</f>
        <v>0</v>
      </c>
      <c r="C1910" s="742">
        <f>Calculs!BY1982</f>
        <v>0</v>
      </c>
      <c r="D1910" s="742">
        <f>Calculs!BZ1982</f>
        <v>0</v>
      </c>
      <c r="E1910" s="742">
        <f>Calculs!CA1982</f>
        <v>0</v>
      </c>
      <c r="F1910" s="742">
        <f>Calculs!CB1982</f>
        <v>0</v>
      </c>
      <c r="G1910" s="742">
        <f>Calculs!CC1982</f>
        <v>0</v>
      </c>
      <c r="H1910" s="742"/>
      <c r="I1910" s="742">
        <f>Calculs!CE1982</f>
        <v>0</v>
      </c>
      <c r="J1910" s="742">
        <f>Calculs!CF1982</f>
        <v>0</v>
      </c>
      <c r="K1910" s="742"/>
      <c r="L1910" s="742">
        <f>Calculs!CH1982</f>
        <v>0</v>
      </c>
    </row>
    <row r="1911" spans="2:12">
      <c r="B1911" s="742">
        <f>Calculs!B1983</f>
        <v>0</v>
      </c>
      <c r="C1911" s="742">
        <f>Calculs!BY1983</f>
        <v>0</v>
      </c>
      <c r="D1911" s="742">
        <f>Calculs!BZ1983</f>
        <v>0</v>
      </c>
      <c r="E1911" s="742">
        <f>Calculs!CA1983</f>
        <v>0</v>
      </c>
      <c r="F1911" s="742">
        <f>Calculs!CB1983</f>
        <v>0</v>
      </c>
      <c r="G1911" s="742">
        <f>Calculs!CC1983</f>
        <v>0</v>
      </c>
      <c r="H1911" s="742"/>
      <c r="I1911" s="742">
        <f>Calculs!CE1983</f>
        <v>0</v>
      </c>
      <c r="J1911" s="742">
        <f>Calculs!CF1983</f>
        <v>0</v>
      </c>
      <c r="K1911" s="742"/>
      <c r="L1911" s="742">
        <f>Calculs!CH1983</f>
        <v>0</v>
      </c>
    </row>
    <row r="1912" spans="2:12">
      <c r="B1912" s="742">
        <f>Calculs!B1984</f>
        <v>0</v>
      </c>
      <c r="C1912" s="742">
        <f>Calculs!BY1984</f>
        <v>0</v>
      </c>
      <c r="D1912" s="742">
        <f>Calculs!BZ1984</f>
        <v>0</v>
      </c>
      <c r="E1912" s="742">
        <f>Calculs!CA1984</f>
        <v>0</v>
      </c>
      <c r="F1912" s="742">
        <f>Calculs!CB1984</f>
        <v>0</v>
      </c>
      <c r="G1912" s="742">
        <f>Calculs!CC1984</f>
        <v>0</v>
      </c>
      <c r="H1912" s="742"/>
      <c r="I1912" s="742">
        <f>Calculs!CE1984</f>
        <v>0</v>
      </c>
      <c r="J1912" s="742">
        <f>Calculs!CF1984</f>
        <v>0</v>
      </c>
      <c r="K1912" s="742"/>
      <c r="L1912" s="742">
        <f>Calculs!CH1984</f>
        <v>0</v>
      </c>
    </row>
    <row r="1913" spans="2:12">
      <c r="B1913" s="742">
        <f>Calculs!B1985</f>
        <v>0</v>
      </c>
      <c r="C1913" s="742">
        <f>Calculs!BY1985</f>
        <v>0</v>
      </c>
      <c r="D1913" s="742">
        <f>Calculs!BZ1985</f>
        <v>0</v>
      </c>
      <c r="E1913" s="742">
        <f>Calculs!CA1985</f>
        <v>0</v>
      </c>
      <c r="F1913" s="742">
        <f>Calculs!CB1985</f>
        <v>0</v>
      </c>
      <c r="G1913" s="742">
        <f>Calculs!CC1985</f>
        <v>0</v>
      </c>
      <c r="H1913" s="742"/>
      <c r="I1913" s="742">
        <f>Calculs!CE1985</f>
        <v>0</v>
      </c>
      <c r="J1913" s="742">
        <f>Calculs!CF1985</f>
        <v>0</v>
      </c>
      <c r="K1913" s="742"/>
      <c r="L1913" s="742">
        <f>Calculs!CH1985</f>
        <v>0</v>
      </c>
    </row>
    <row r="1914" spans="2:12">
      <c r="B1914" s="742">
        <f>Calculs!B1986</f>
        <v>0</v>
      </c>
      <c r="C1914" s="742">
        <f>Calculs!BY1986</f>
        <v>0</v>
      </c>
      <c r="D1914" s="742">
        <f>Calculs!BZ1986</f>
        <v>0</v>
      </c>
      <c r="E1914" s="742">
        <f>Calculs!CA1986</f>
        <v>0</v>
      </c>
      <c r="F1914" s="742">
        <f>Calculs!CB1986</f>
        <v>0</v>
      </c>
      <c r="G1914" s="742">
        <f>Calculs!CC1986</f>
        <v>0</v>
      </c>
      <c r="H1914" s="742"/>
      <c r="I1914" s="742">
        <f>Calculs!CE1986</f>
        <v>0</v>
      </c>
      <c r="J1914" s="742">
        <f>Calculs!CF1986</f>
        <v>0</v>
      </c>
      <c r="K1914" s="742"/>
      <c r="L1914" s="742">
        <f>Calculs!CH1986</f>
        <v>0</v>
      </c>
    </row>
    <row r="1915" spans="2:12">
      <c r="B1915" s="742">
        <f>Calculs!B1987</f>
        <v>0</v>
      </c>
      <c r="C1915" s="742">
        <f>Calculs!BY1987</f>
        <v>0</v>
      </c>
      <c r="D1915" s="742">
        <f>Calculs!BZ1987</f>
        <v>0</v>
      </c>
      <c r="E1915" s="742">
        <f>Calculs!CA1987</f>
        <v>0</v>
      </c>
      <c r="F1915" s="742">
        <f>Calculs!CB1987</f>
        <v>0</v>
      </c>
      <c r="G1915" s="742">
        <f>Calculs!CC1987</f>
        <v>0</v>
      </c>
      <c r="H1915" s="742"/>
      <c r="I1915" s="742">
        <f>Calculs!CE1987</f>
        <v>0</v>
      </c>
      <c r="J1915" s="742">
        <f>Calculs!CF1987</f>
        <v>0</v>
      </c>
      <c r="K1915" s="742"/>
      <c r="L1915" s="742">
        <f>Calculs!CH1987</f>
        <v>0</v>
      </c>
    </row>
    <row r="1916" spans="2:12">
      <c r="B1916" s="742">
        <f>Calculs!B1988</f>
        <v>0</v>
      </c>
      <c r="C1916" s="742">
        <f>Calculs!BY1988</f>
        <v>0</v>
      </c>
      <c r="D1916" s="742">
        <f>Calculs!BZ1988</f>
        <v>0</v>
      </c>
      <c r="E1916" s="742">
        <f>Calculs!CA1988</f>
        <v>0</v>
      </c>
      <c r="F1916" s="742">
        <f>Calculs!CB1988</f>
        <v>0</v>
      </c>
      <c r="G1916" s="742">
        <f>Calculs!CC1988</f>
        <v>0</v>
      </c>
      <c r="H1916" s="742"/>
      <c r="I1916" s="742">
        <f>Calculs!CE1988</f>
        <v>0</v>
      </c>
      <c r="J1916" s="742">
        <f>Calculs!CF1988</f>
        <v>0</v>
      </c>
      <c r="K1916" s="742"/>
      <c r="L1916" s="742">
        <f>Calculs!CH1988</f>
        <v>0</v>
      </c>
    </row>
    <row r="1917" spans="2:12">
      <c r="B1917" s="742">
        <f>Calculs!B1989</f>
        <v>0</v>
      </c>
      <c r="C1917" s="742">
        <f>Calculs!BY1989</f>
        <v>0</v>
      </c>
      <c r="D1917" s="742">
        <f>Calculs!BZ1989</f>
        <v>0</v>
      </c>
      <c r="E1917" s="742">
        <f>Calculs!CA1989</f>
        <v>0</v>
      </c>
      <c r="F1917" s="742">
        <f>Calculs!CB1989</f>
        <v>0</v>
      </c>
      <c r="G1917" s="742">
        <f>Calculs!CC1989</f>
        <v>0</v>
      </c>
      <c r="H1917" s="742"/>
      <c r="I1917" s="742">
        <f>Calculs!CE1989</f>
        <v>0</v>
      </c>
      <c r="J1917" s="742">
        <f>Calculs!CF1989</f>
        <v>0</v>
      </c>
      <c r="K1917" s="742"/>
      <c r="L1917" s="742">
        <f>Calculs!CH1989</f>
        <v>0</v>
      </c>
    </row>
    <row r="1918" spans="2:12">
      <c r="B1918" s="742">
        <f>Calculs!B1990</f>
        <v>0</v>
      </c>
      <c r="C1918" s="742">
        <f>Calculs!BY1990</f>
        <v>0</v>
      </c>
      <c r="D1918" s="742">
        <f>Calculs!BZ1990</f>
        <v>0</v>
      </c>
      <c r="E1918" s="742">
        <f>Calculs!CA1990</f>
        <v>0</v>
      </c>
      <c r="F1918" s="742">
        <f>Calculs!CB1990</f>
        <v>0</v>
      </c>
      <c r="G1918" s="742">
        <f>Calculs!CC1990</f>
        <v>0</v>
      </c>
      <c r="H1918" s="742"/>
      <c r="I1918" s="742">
        <f>Calculs!CE1990</f>
        <v>0</v>
      </c>
      <c r="J1918" s="742">
        <f>Calculs!CF1990</f>
        <v>0</v>
      </c>
      <c r="K1918" s="742"/>
      <c r="L1918" s="742">
        <f>Calculs!CH1990</f>
        <v>0</v>
      </c>
    </row>
    <row r="1919" spans="2:12">
      <c r="B1919" s="742">
        <f>Calculs!B1991</f>
        <v>0</v>
      </c>
      <c r="C1919" s="742">
        <f>Calculs!BY1991</f>
        <v>0</v>
      </c>
      <c r="D1919" s="742">
        <f>Calculs!BZ1991</f>
        <v>0</v>
      </c>
      <c r="E1919" s="742">
        <f>Calculs!CA1991</f>
        <v>0</v>
      </c>
      <c r="F1919" s="742">
        <f>Calculs!CB1991</f>
        <v>0</v>
      </c>
      <c r="G1919" s="742">
        <f>Calculs!CC1991</f>
        <v>0</v>
      </c>
      <c r="H1919" s="742"/>
      <c r="I1919" s="742">
        <f>Calculs!CE1991</f>
        <v>0</v>
      </c>
      <c r="J1919" s="742">
        <f>Calculs!CF1991</f>
        <v>0</v>
      </c>
      <c r="K1919" s="742"/>
      <c r="L1919" s="742">
        <f>Calculs!CH1991</f>
        <v>0</v>
      </c>
    </row>
    <row r="1920" spans="2:12">
      <c r="B1920" s="742">
        <f>Calculs!B1992</f>
        <v>0</v>
      </c>
      <c r="C1920" s="742">
        <f>Calculs!BY1992</f>
        <v>0</v>
      </c>
      <c r="D1920" s="742">
        <f>Calculs!BZ1992</f>
        <v>0</v>
      </c>
      <c r="E1920" s="742">
        <f>Calculs!CA1992</f>
        <v>0</v>
      </c>
      <c r="F1920" s="742">
        <f>Calculs!CB1992</f>
        <v>0</v>
      </c>
      <c r="G1920" s="742">
        <f>Calculs!CC1992</f>
        <v>0</v>
      </c>
      <c r="H1920" s="742"/>
      <c r="I1920" s="742">
        <f>Calculs!CE1992</f>
        <v>0</v>
      </c>
      <c r="J1920" s="742">
        <f>Calculs!CF1992</f>
        <v>0</v>
      </c>
      <c r="K1920" s="742"/>
      <c r="L1920" s="742">
        <f>Calculs!CH1992</f>
        <v>0</v>
      </c>
    </row>
    <row r="1921" spans="2:12">
      <c r="B1921" s="742">
        <f>Calculs!B1993</f>
        <v>0</v>
      </c>
      <c r="C1921" s="742">
        <f>Calculs!BY1993</f>
        <v>0</v>
      </c>
      <c r="D1921" s="742">
        <f>Calculs!BZ1993</f>
        <v>0</v>
      </c>
      <c r="E1921" s="742">
        <f>Calculs!CA1993</f>
        <v>0</v>
      </c>
      <c r="F1921" s="742">
        <f>Calculs!CB1993</f>
        <v>0</v>
      </c>
      <c r="G1921" s="742">
        <f>Calculs!CC1993</f>
        <v>0</v>
      </c>
      <c r="H1921" s="742"/>
      <c r="I1921" s="742">
        <f>Calculs!CE1993</f>
        <v>0</v>
      </c>
      <c r="J1921" s="742">
        <f>Calculs!CF1993</f>
        <v>0</v>
      </c>
      <c r="K1921" s="742"/>
      <c r="L1921" s="742">
        <f>Calculs!CH1993</f>
        <v>0</v>
      </c>
    </row>
    <row r="1922" spans="2:12">
      <c r="B1922" s="742">
        <f>Calculs!B1994</f>
        <v>0</v>
      </c>
      <c r="C1922" s="742">
        <f>Calculs!BY1994</f>
        <v>0</v>
      </c>
      <c r="D1922" s="742">
        <f>Calculs!BZ1994</f>
        <v>0</v>
      </c>
      <c r="E1922" s="742">
        <f>Calculs!CA1994</f>
        <v>0</v>
      </c>
      <c r="F1922" s="742">
        <f>Calculs!CB1994</f>
        <v>0</v>
      </c>
      <c r="G1922" s="742">
        <f>Calculs!CC1994</f>
        <v>0</v>
      </c>
      <c r="H1922" s="742"/>
      <c r="I1922" s="742">
        <f>Calculs!CE1994</f>
        <v>0</v>
      </c>
      <c r="J1922" s="742">
        <f>Calculs!CF1994</f>
        <v>0</v>
      </c>
      <c r="K1922" s="742"/>
      <c r="L1922" s="742">
        <f>Calculs!CH1994</f>
        <v>0</v>
      </c>
    </row>
    <row r="1923" spans="2:12">
      <c r="B1923" s="742">
        <f>Calculs!B1995</f>
        <v>0</v>
      </c>
      <c r="C1923" s="742">
        <f>Calculs!BY1995</f>
        <v>0</v>
      </c>
      <c r="D1923" s="742">
        <f>Calculs!BZ1995</f>
        <v>0</v>
      </c>
      <c r="E1923" s="742">
        <f>Calculs!CA1995</f>
        <v>0</v>
      </c>
      <c r="F1923" s="742">
        <f>Calculs!CB1995</f>
        <v>0</v>
      </c>
      <c r="G1923" s="742">
        <f>Calculs!CC1995</f>
        <v>0</v>
      </c>
      <c r="H1923" s="742"/>
      <c r="I1923" s="742">
        <f>Calculs!CE1995</f>
        <v>0</v>
      </c>
      <c r="J1923" s="742">
        <f>Calculs!CF1995</f>
        <v>0</v>
      </c>
      <c r="K1923" s="742"/>
      <c r="L1923" s="742">
        <f>Calculs!CH1995</f>
        <v>0</v>
      </c>
    </row>
    <row r="1924" spans="2:12">
      <c r="B1924" s="742">
        <f>Calculs!B1996</f>
        <v>0</v>
      </c>
      <c r="C1924" s="742">
        <f>Calculs!BY1996</f>
        <v>0</v>
      </c>
      <c r="D1924" s="742">
        <f>Calculs!BZ1996</f>
        <v>0</v>
      </c>
      <c r="E1924" s="742">
        <f>Calculs!CA1996</f>
        <v>0</v>
      </c>
      <c r="F1924" s="742">
        <f>Calculs!CB1996</f>
        <v>0</v>
      </c>
      <c r="G1924" s="742">
        <f>Calculs!CC1996</f>
        <v>0</v>
      </c>
      <c r="H1924" s="742"/>
      <c r="I1924" s="742">
        <f>Calculs!CE1996</f>
        <v>0</v>
      </c>
      <c r="J1924" s="742">
        <f>Calculs!CF1996</f>
        <v>0</v>
      </c>
      <c r="K1924" s="742"/>
      <c r="L1924" s="742">
        <f>Calculs!CH1996</f>
        <v>0</v>
      </c>
    </row>
    <row r="1925" spans="2:12">
      <c r="B1925" s="742">
        <f>Calculs!B1997</f>
        <v>0</v>
      </c>
      <c r="C1925" s="742">
        <f>Calculs!BY1997</f>
        <v>0</v>
      </c>
      <c r="D1925" s="742">
        <f>Calculs!BZ1997</f>
        <v>0</v>
      </c>
      <c r="E1925" s="742">
        <f>Calculs!CA1997</f>
        <v>0</v>
      </c>
      <c r="F1925" s="742">
        <f>Calculs!CB1997</f>
        <v>0</v>
      </c>
      <c r="G1925" s="742">
        <f>Calculs!CC1997</f>
        <v>0</v>
      </c>
      <c r="H1925" s="742"/>
      <c r="I1925" s="742">
        <f>Calculs!CE1997</f>
        <v>0</v>
      </c>
      <c r="J1925" s="742">
        <f>Calculs!CF1997</f>
        <v>0</v>
      </c>
      <c r="K1925" s="742"/>
      <c r="L1925" s="742">
        <f>Calculs!CH1997</f>
        <v>0</v>
      </c>
    </row>
    <row r="1926" spans="2:12">
      <c r="B1926" s="742">
        <f>Calculs!B1998</f>
        <v>0</v>
      </c>
      <c r="C1926" s="742">
        <f>Calculs!BY1998</f>
        <v>0</v>
      </c>
      <c r="D1926" s="742">
        <f>Calculs!BZ1998</f>
        <v>0</v>
      </c>
      <c r="E1926" s="742">
        <f>Calculs!CA1998</f>
        <v>0</v>
      </c>
      <c r="F1926" s="742">
        <f>Calculs!CB1998</f>
        <v>0</v>
      </c>
      <c r="G1926" s="742">
        <f>Calculs!CC1998</f>
        <v>0</v>
      </c>
      <c r="H1926" s="742"/>
      <c r="I1926" s="742">
        <f>Calculs!CE1998</f>
        <v>0</v>
      </c>
      <c r="J1926" s="742">
        <f>Calculs!CF1998</f>
        <v>0</v>
      </c>
      <c r="K1926" s="742"/>
      <c r="L1926" s="742">
        <f>Calculs!CH1998</f>
        <v>0</v>
      </c>
    </row>
    <row r="1927" spans="2:12">
      <c r="B1927" s="742">
        <f>Calculs!B1999</f>
        <v>0</v>
      </c>
      <c r="C1927" s="742">
        <f>Calculs!BY1999</f>
        <v>0</v>
      </c>
      <c r="D1927" s="742">
        <f>Calculs!BZ1999</f>
        <v>0</v>
      </c>
      <c r="E1927" s="742">
        <f>Calculs!CA1999</f>
        <v>0</v>
      </c>
      <c r="F1927" s="742">
        <f>Calculs!CB1999</f>
        <v>0</v>
      </c>
      <c r="G1927" s="742">
        <f>Calculs!CC1999</f>
        <v>0</v>
      </c>
      <c r="H1927" s="742"/>
      <c r="I1927" s="742">
        <f>Calculs!CE1999</f>
        <v>0</v>
      </c>
      <c r="J1927" s="742">
        <f>Calculs!CF1999</f>
        <v>0</v>
      </c>
      <c r="K1927" s="742"/>
      <c r="L1927" s="742">
        <f>Calculs!CH1999</f>
        <v>0</v>
      </c>
    </row>
    <row r="1928" spans="2:12">
      <c r="B1928" s="742">
        <f>Calculs!B2000</f>
        <v>0</v>
      </c>
      <c r="C1928" s="742">
        <f>Calculs!BY2000</f>
        <v>0</v>
      </c>
      <c r="D1928" s="742">
        <f>Calculs!BZ2000</f>
        <v>0</v>
      </c>
      <c r="E1928" s="742">
        <f>Calculs!CA2000</f>
        <v>0</v>
      </c>
      <c r="F1928" s="742">
        <f>Calculs!CB2000</f>
        <v>0</v>
      </c>
      <c r="G1928" s="742">
        <f>Calculs!CC2000</f>
        <v>0</v>
      </c>
      <c r="H1928" s="742"/>
      <c r="I1928" s="742">
        <f>Calculs!CE2000</f>
        <v>0</v>
      </c>
      <c r="J1928" s="742">
        <f>Calculs!CF2000</f>
        <v>0</v>
      </c>
      <c r="K1928" s="742"/>
      <c r="L1928" s="742">
        <f>Calculs!CH2000</f>
        <v>0</v>
      </c>
    </row>
    <row r="1929" spans="2:12">
      <c r="B1929" s="742">
        <f>Calculs!B2001</f>
        <v>0</v>
      </c>
      <c r="C1929" s="742">
        <f>Calculs!BY2001</f>
        <v>0</v>
      </c>
      <c r="D1929" s="742">
        <f>Calculs!BZ2001</f>
        <v>0</v>
      </c>
      <c r="E1929" s="742">
        <f>Calculs!CA2001</f>
        <v>0</v>
      </c>
      <c r="F1929" s="742">
        <f>Calculs!CB2001</f>
        <v>0</v>
      </c>
      <c r="G1929" s="742">
        <f>Calculs!CC2001</f>
        <v>0</v>
      </c>
      <c r="H1929" s="742"/>
      <c r="I1929" s="742">
        <f>Calculs!CE2001</f>
        <v>0</v>
      </c>
      <c r="J1929" s="742">
        <f>Calculs!CF2001</f>
        <v>0</v>
      </c>
      <c r="K1929" s="742"/>
      <c r="L1929" s="742">
        <f>Calculs!CH2001</f>
        <v>0</v>
      </c>
    </row>
    <row r="1930" spans="2:12">
      <c r="B1930" s="742">
        <f>Calculs!B2002</f>
        <v>0</v>
      </c>
      <c r="C1930" s="742">
        <f>Calculs!BY2002</f>
        <v>0</v>
      </c>
      <c r="D1930" s="742">
        <f>Calculs!BZ2002</f>
        <v>0</v>
      </c>
      <c r="E1930" s="742">
        <f>Calculs!CA2002</f>
        <v>0</v>
      </c>
      <c r="F1930" s="742">
        <f>Calculs!CB2002</f>
        <v>0</v>
      </c>
      <c r="G1930" s="742">
        <f>Calculs!CC2002</f>
        <v>0</v>
      </c>
      <c r="H1930" s="742"/>
      <c r="I1930" s="742">
        <f>Calculs!CE2002</f>
        <v>0</v>
      </c>
      <c r="J1930" s="742">
        <f>Calculs!CF2002</f>
        <v>0</v>
      </c>
      <c r="K1930" s="742"/>
      <c r="L1930" s="742">
        <f>Calculs!CH2002</f>
        <v>0</v>
      </c>
    </row>
    <row r="1931" spans="2:12">
      <c r="B1931" s="742">
        <f>Calculs!B2003</f>
        <v>0</v>
      </c>
      <c r="C1931" s="742">
        <f>Calculs!BY2003</f>
        <v>0</v>
      </c>
      <c r="D1931" s="742">
        <f>Calculs!BZ2003</f>
        <v>0</v>
      </c>
      <c r="E1931" s="742">
        <f>Calculs!CA2003</f>
        <v>0</v>
      </c>
      <c r="F1931" s="742">
        <f>Calculs!CB2003</f>
        <v>0</v>
      </c>
      <c r="G1931" s="742">
        <f>Calculs!CC2003</f>
        <v>0</v>
      </c>
      <c r="H1931" s="742"/>
      <c r="I1931" s="742">
        <f>Calculs!CE2003</f>
        <v>0</v>
      </c>
      <c r="J1931" s="742">
        <f>Calculs!CF2003</f>
        <v>0</v>
      </c>
      <c r="K1931" s="742"/>
      <c r="L1931" s="742">
        <f>Calculs!CH2003</f>
        <v>0</v>
      </c>
    </row>
    <row r="1932" spans="2:12">
      <c r="B1932" s="742">
        <f>Calculs!B2004</f>
        <v>0</v>
      </c>
      <c r="C1932" s="742">
        <f>Calculs!BY2004</f>
        <v>0</v>
      </c>
      <c r="D1932" s="742">
        <f>Calculs!BZ2004</f>
        <v>0</v>
      </c>
      <c r="E1932" s="742">
        <f>Calculs!CA2004</f>
        <v>0</v>
      </c>
      <c r="F1932" s="742">
        <f>Calculs!CB2004</f>
        <v>0</v>
      </c>
      <c r="G1932" s="742">
        <f>Calculs!CC2004</f>
        <v>0</v>
      </c>
      <c r="H1932" s="742"/>
      <c r="I1932" s="742">
        <f>Calculs!CE2004</f>
        <v>0</v>
      </c>
      <c r="J1932" s="742">
        <f>Calculs!CF2004</f>
        <v>0</v>
      </c>
      <c r="K1932" s="742"/>
      <c r="L1932" s="742">
        <f>Calculs!CH2004</f>
        <v>0</v>
      </c>
    </row>
    <row r="1933" spans="2:12">
      <c r="B1933" s="742">
        <f>Calculs!B2005</f>
        <v>0</v>
      </c>
      <c r="C1933" s="742">
        <f>Calculs!BY2005</f>
        <v>0</v>
      </c>
      <c r="D1933" s="742">
        <f>Calculs!BZ2005</f>
        <v>0</v>
      </c>
      <c r="E1933" s="742">
        <f>Calculs!CA2005</f>
        <v>0</v>
      </c>
      <c r="F1933" s="742">
        <f>Calculs!CB2005</f>
        <v>0</v>
      </c>
      <c r="G1933" s="742">
        <f>Calculs!CC2005</f>
        <v>0</v>
      </c>
      <c r="H1933" s="742"/>
      <c r="I1933" s="742">
        <f>Calculs!CE2005</f>
        <v>0</v>
      </c>
      <c r="J1933" s="742">
        <f>Calculs!CF2005</f>
        <v>0</v>
      </c>
      <c r="K1933" s="742"/>
      <c r="L1933" s="742">
        <f>Calculs!CH2005</f>
        <v>0</v>
      </c>
    </row>
    <row r="1934" spans="2:12">
      <c r="B1934" s="742">
        <f>Calculs!B2006</f>
        <v>0</v>
      </c>
      <c r="C1934" s="742">
        <f>Calculs!BY2006</f>
        <v>0</v>
      </c>
      <c r="D1934" s="742">
        <f>Calculs!BZ2006</f>
        <v>0</v>
      </c>
      <c r="E1934" s="742">
        <f>Calculs!CA2006</f>
        <v>0</v>
      </c>
      <c r="F1934" s="742">
        <f>Calculs!CB2006</f>
        <v>0</v>
      </c>
      <c r="G1934" s="742">
        <f>Calculs!CC2006</f>
        <v>0</v>
      </c>
      <c r="H1934" s="742"/>
      <c r="I1934" s="742">
        <f>Calculs!CE2006</f>
        <v>0</v>
      </c>
      <c r="J1934" s="742">
        <f>Calculs!CF2006</f>
        <v>0</v>
      </c>
      <c r="K1934" s="742"/>
      <c r="L1934" s="742">
        <f>Calculs!CH2006</f>
        <v>0</v>
      </c>
    </row>
    <row r="1935" spans="2:12">
      <c r="B1935" s="742">
        <f>Calculs!B2007</f>
        <v>0</v>
      </c>
      <c r="C1935" s="742">
        <f>Calculs!BY2007</f>
        <v>0</v>
      </c>
      <c r="D1935" s="742">
        <f>Calculs!BZ2007</f>
        <v>0</v>
      </c>
      <c r="E1935" s="742">
        <f>Calculs!CA2007</f>
        <v>0</v>
      </c>
      <c r="F1935" s="742">
        <f>Calculs!CB2007</f>
        <v>0</v>
      </c>
      <c r="G1935" s="742">
        <f>Calculs!CC2007</f>
        <v>0</v>
      </c>
      <c r="H1935" s="742"/>
      <c r="I1935" s="742">
        <f>Calculs!CE2007</f>
        <v>0</v>
      </c>
      <c r="J1935" s="742">
        <f>Calculs!CF2007</f>
        <v>0</v>
      </c>
      <c r="K1935" s="742"/>
      <c r="L1935" s="742">
        <f>Calculs!CH2007</f>
        <v>0</v>
      </c>
    </row>
    <row r="1936" spans="2:12">
      <c r="B1936" s="742">
        <f>Calculs!B2008</f>
        <v>0</v>
      </c>
      <c r="C1936" s="742">
        <f>Calculs!BY2008</f>
        <v>0</v>
      </c>
      <c r="D1936" s="742">
        <f>Calculs!BZ2008</f>
        <v>0</v>
      </c>
      <c r="E1936" s="742">
        <f>Calculs!CA2008</f>
        <v>0</v>
      </c>
      <c r="F1936" s="742">
        <f>Calculs!CB2008</f>
        <v>0</v>
      </c>
      <c r="G1936" s="742">
        <f>Calculs!CC2008</f>
        <v>0</v>
      </c>
      <c r="H1936" s="742"/>
      <c r="I1936" s="742">
        <f>Calculs!CE2008</f>
        <v>0</v>
      </c>
      <c r="J1936" s="742">
        <f>Calculs!CF2008</f>
        <v>0</v>
      </c>
      <c r="K1936" s="742"/>
      <c r="L1936" s="742">
        <f>Calculs!CH2008</f>
        <v>0</v>
      </c>
    </row>
    <row r="1937" spans="2:12">
      <c r="B1937" s="742">
        <f>Calculs!B2009</f>
        <v>0</v>
      </c>
      <c r="C1937" s="742">
        <f>Calculs!BY2009</f>
        <v>0</v>
      </c>
      <c r="D1937" s="742">
        <f>Calculs!BZ2009</f>
        <v>0</v>
      </c>
      <c r="E1937" s="742">
        <f>Calculs!CA2009</f>
        <v>0</v>
      </c>
      <c r="F1937" s="742">
        <f>Calculs!CB2009</f>
        <v>0</v>
      </c>
      <c r="G1937" s="742">
        <f>Calculs!CC2009</f>
        <v>0</v>
      </c>
      <c r="H1937" s="742"/>
      <c r="I1937" s="742">
        <f>Calculs!CE2009</f>
        <v>0</v>
      </c>
      <c r="J1937" s="742">
        <f>Calculs!CF2009</f>
        <v>0</v>
      </c>
      <c r="K1937" s="742"/>
      <c r="L1937" s="742">
        <f>Calculs!CH2009</f>
        <v>0</v>
      </c>
    </row>
    <row r="1938" spans="2:12">
      <c r="B1938" s="742">
        <f>Calculs!B2010</f>
        <v>0</v>
      </c>
      <c r="C1938" s="742">
        <f>Calculs!BY2010</f>
        <v>0</v>
      </c>
      <c r="D1938" s="742">
        <f>Calculs!BZ2010</f>
        <v>0</v>
      </c>
      <c r="E1938" s="742">
        <f>Calculs!CA2010</f>
        <v>0</v>
      </c>
      <c r="F1938" s="742">
        <f>Calculs!CB2010</f>
        <v>0</v>
      </c>
      <c r="G1938" s="742">
        <f>Calculs!CC2010</f>
        <v>0</v>
      </c>
      <c r="H1938" s="742"/>
      <c r="I1938" s="742">
        <f>Calculs!CE2010</f>
        <v>0</v>
      </c>
      <c r="J1938" s="742">
        <f>Calculs!CF2010</f>
        <v>0</v>
      </c>
      <c r="K1938" s="742"/>
      <c r="L1938" s="742">
        <f>Calculs!CH2010</f>
        <v>0</v>
      </c>
    </row>
    <row r="1939" spans="2:12">
      <c r="B1939" s="742">
        <f>Calculs!B2011</f>
        <v>0</v>
      </c>
      <c r="C1939" s="742">
        <f>Calculs!BY2011</f>
        <v>0</v>
      </c>
      <c r="D1939" s="742">
        <f>Calculs!BZ2011</f>
        <v>0</v>
      </c>
      <c r="E1939" s="742">
        <f>Calculs!CA2011</f>
        <v>0</v>
      </c>
      <c r="F1939" s="742">
        <f>Calculs!CB2011</f>
        <v>0</v>
      </c>
      <c r="G1939" s="742">
        <f>Calculs!CC2011</f>
        <v>0</v>
      </c>
      <c r="H1939" s="742"/>
      <c r="I1939" s="742">
        <f>Calculs!CE2011</f>
        <v>0</v>
      </c>
      <c r="J1939" s="742">
        <f>Calculs!CF2011</f>
        <v>0</v>
      </c>
      <c r="K1939" s="742"/>
      <c r="L1939" s="742">
        <f>Calculs!CH2011</f>
        <v>0</v>
      </c>
    </row>
    <row r="1940" spans="2:12">
      <c r="B1940" s="742">
        <f>Calculs!B2012</f>
        <v>0</v>
      </c>
      <c r="C1940" s="742">
        <f>Calculs!BY2012</f>
        <v>0</v>
      </c>
      <c r="D1940" s="742">
        <f>Calculs!BZ2012</f>
        <v>0</v>
      </c>
      <c r="E1940" s="742">
        <f>Calculs!CA2012</f>
        <v>0</v>
      </c>
      <c r="F1940" s="742">
        <f>Calculs!CB2012</f>
        <v>0</v>
      </c>
      <c r="G1940" s="742">
        <f>Calculs!CC2012</f>
        <v>0</v>
      </c>
      <c r="H1940" s="742"/>
      <c r="I1940" s="742">
        <f>Calculs!CE2012</f>
        <v>0</v>
      </c>
      <c r="J1940" s="742">
        <f>Calculs!CF2012</f>
        <v>0</v>
      </c>
      <c r="K1940" s="742"/>
      <c r="L1940" s="742">
        <f>Calculs!CH2012</f>
        <v>0</v>
      </c>
    </row>
    <row r="1941" spans="2:12">
      <c r="B1941" s="742">
        <f>Calculs!B2013</f>
        <v>0</v>
      </c>
      <c r="C1941" s="742">
        <f>Calculs!BY2013</f>
        <v>0</v>
      </c>
      <c r="D1941" s="742">
        <f>Calculs!BZ2013</f>
        <v>0</v>
      </c>
      <c r="E1941" s="742">
        <f>Calculs!CA2013</f>
        <v>0</v>
      </c>
      <c r="F1941" s="742">
        <f>Calculs!CB2013</f>
        <v>0</v>
      </c>
      <c r="G1941" s="742">
        <f>Calculs!CC2013</f>
        <v>0</v>
      </c>
      <c r="H1941" s="742"/>
      <c r="I1941" s="742">
        <f>Calculs!CE2013</f>
        <v>0</v>
      </c>
      <c r="J1941" s="742">
        <f>Calculs!CF2013</f>
        <v>0</v>
      </c>
      <c r="K1941" s="742"/>
      <c r="L1941" s="742">
        <f>Calculs!CH2013</f>
        <v>0</v>
      </c>
    </row>
    <row r="1942" spans="2:12">
      <c r="B1942" s="742">
        <f>Calculs!B2014</f>
        <v>0</v>
      </c>
      <c r="C1942" s="742">
        <f>Calculs!BY2014</f>
        <v>0</v>
      </c>
      <c r="D1942" s="742">
        <f>Calculs!BZ2014</f>
        <v>0</v>
      </c>
      <c r="E1942" s="742">
        <f>Calculs!CA2014</f>
        <v>0</v>
      </c>
      <c r="F1942" s="742">
        <f>Calculs!CB2014</f>
        <v>0</v>
      </c>
      <c r="G1942" s="742">
        <f>Calculs!CC2014</f>
        <v>0</v>
      </c>
      <c r="H1942" s="742"/>
      <c r="I1942" s="742">
        <f>Calculs!CE2014</f>
        <v>0</v>
      </c>
      <c r="J1942" s="742">
        <f>Calculs!CF2014</f>
        <v>0</v>
      </c>
      <c r="K1942" s="742"/>
      <c r="L1942" s="742">
        <f>Calculs!CH2014</f>
        <v>0</v>
      </c>
    </row>
    <row r="1943" spans="2:12">
      <c r="B1943" s="742">
        <f>Calculs!B2015</f>
        <v>0</v>
      </c>
      <c r="C1943" s="742">
        <f>Calculs!BY2015</f>
        <v>0</v>
      </c>
      <c r="D1943" s="742">
        <f>Calculs!BZ2015</f>
        <v>0</v>
      </c>
      <c r="E1943" s="742">
        <f>Calculs!CA2015</f>
        <v>0</v>
      </c>
      <c r="F1943" s="742">
        <f>Calculs!CB2015</f>
        <v>0</v>
      </c>
      <c r="G1943" s="742">
        <f>Calculs!CC2015</f>
        <v>0</v>
      </c>
      <c r="H1943" s="742"/>
      <c r="I1943" s="742">
        <f>Calculs!CE2015</f>
        <v>0</v>
      </c>
      <c r="J1943" s="742">
        <f>Calculs!CF2015</f>
        <v>0</v>
      </c>
      <c r="K1943" s="742"/>
      <c r="L1943" s="742">
        <f>Calculs!CH2015</f>
        <v>0</v>
      </c>
    </row>
    <row r="1944" spans="2:12">
      <c r="B1944" s="742">
        <f>Calculs!B2016</f>
        <v>0</v>
      </c>
      <c r="C1944" s="742">
        <f>Calculs!BY2016</f>
        <v>0</v>
      </c>
      <c r="D1944" s="742">
        <f>Calculs!BZ2016</f>
        <v>0</v>
      </c>
      <c r="E1944" s="742">
        <f>Calculs!CA2016</f>
        <v>0</v>
      </c>
      <c r="F1944" s="742">
        <f>Calculs!CB2016</f>
        <v>0</v>
      </c>
      <c r="G1944" s="742">
        <f>Calculs!CC2016</f>
        <v>0</v>
      </c>
      <c r="H1944" s="742"/>
      <c r="I1944" s="742">
        <f>Calculs!CE2016</f>
        <v>0</v>
      </c>
      <c r="J1944" s="742">
        <f>Calculs!CF2016</f>
        <v>0</v>
      </c>
      <c r="K1944" s="742"/>
      <c r="L1944" s="742">
        <f>Calculs!CH2016</f>
        <v>0</v>
      </c>
    </row>
    <row r="1945" spans="2:12">
      <c r="B1945" s="742">
        <f>Calculs!B2017</f>
        <v>0</v>
      </c>
      <c r="C1945" s="742">
        <f>Calculs!BY2017</f>
        <v>0</v>
      </c>
      <c r="D1945" s="742">
        <f>Calculs!BZ2017</f>
        <v>0</v>
      </c>
      <c r="E1945" s="742">
        <f>Calculs!CA2017</f>
        <v>0</v>
      </c>
      <c r="F1945" s="742">
        <f>Calculs!CB2017</f>
        <v>0</v>
      </c>
      <c r="G1945" s="742">
        <f>Calculs!CC2017</f>
        <v>0</v>
      </c>
      <c r="H1945" s="742"/>
      <c r="I1945" s="742">
        <f>Calculs!CE2017</f>
        <v>0</v>
      </c>
      <c r="J1945" s="742">
        <f>Calculs!CF2017</f>
        <v>0</v>
      </c>
      <c r="K1945" s="742"/>
      <c r="L1945" s="742">
        <f>Calculs!CH2017</f>
        <v>0</v>
      </c>
    </row>
    <row r="1946" spans="2:12">
      <c r="B1946" s="742">
        <f>Calculs!B2018</f>
        <v>0</v>
      </c>
      <c r="C1946" s="742">
        <f>Calculs!BY2018</f>
        <v>0</v>
      </c>
      <c r="D1946" s="742">
        <f>Calculs!BZ2018</f>
        <v>0</v>
      </c>
      <c r="E1946" s="742">
        <f>Calculs!CA2018</f>
        <v>0</v>
      </c>
      <c r="F1946" s="742">
        <f>Calculs!CB2018</f>
        <v>0</v>
      </c>
      <c r="G1946" s="742">
        <f>Calculs!CC2018</f>
        <v>0</v>
      </c>
      <c r="H1946" s="742"/>
      <c r="I1946" s="742">
        <f>Calculs!CE2018</f>
        <v>0</v>
      </c>
      <c r="J1946" s="742">
        <f>Calculs!CF2018</f>
        <v>0</v>
      </c>
      <c r="K1946" s="742"/>
      <c r="L1946" s="742">
        <f>Calculs!CH2018</f>
        <v>0</v>
      </c>
    </row>
    <row r="1947" spans="2:12">
      <c r="B1947" s="742">
        <f>Calculs!B2019</f>
        <v>0</v>
      </c>
      <c r="C1947" s="742">
        <f>Calculs!BY2019</f>
        <v>0</v>
      </c>
      <c r="D1947" s="742">
        <f>Calculs!BZ2019</f>
        <v>0</v>
      </c>
      <c r="E1947" s="742">
        <f>Calculs!CA2019</f>
        <v>0</v>
      </c>
      <c r="F1947" s="742">
        <f>Calculs!CB2019</f>
        <v>0</v>
      </c>
      <c r="G1947" s="742">
        <f>Calculs!CC2019</f>
        <v>0</v>
      </c>
      <c r="H1947" s="742"/>
      <c r="I1947" s="742">
        <f>Calculs!CE2019</f>
        <v>0</v>
      </c>
      <c r="J1947" s="742">
        <f>Calculs!CF2019</f>
        <v>0</v>
      </c>
      <c r="K1947" s="742"/>
      <c r="L1947" s="742">
        <f>Calculs!CH2019</f>
        <v>0</v>
      </c>
    </row>
    <row r="1948" spans="2:12">
      <c r="B1948" s="742">
        <f>Calculs!B2020</f>
        <v>0</v>
      </c>
      <c r="C1948" s="742">
        <f>Calculs!BY2020</f>
        <v>0</v>
      </c>
      <c r="D1948" s="742">
        <f>Calculs!BZ2020</f>
        <v>0</v>
      </c>
      <c r="E1948" s="742">
        <f>Calculs!CA2020</f>
        <v>0</v>
      </c>
      <c r="F1948" s="742">
        <f>Calculs!CB2020</f>
        <v>0</v>
      </c>
      <c r="G1948" s="742">
        <f>Calculs!CC2020</f>
        <v>0</v>
      </c>
      <c r="H1948" s="742"/>
      <c r="I1948" s="742">
        <f>Calculs!CE2020</f>
        <v>0</v>
      </c>
      <c r="J1948" s="742">
        <f>Calculs!CF2020</f>
        <v>0</v>
      </c>
      <c r="K1948" s="742"/>
      <c r="L1948" s="742">
        <f>Calculs!CH2020</f>
        <v>0</v>
      </c>
    </row>
    <row r="1949" spans="2:12">
      <c r="B1949" s="742">
        <f>Calculs!B2021</f>
        <v>0</v>
      </c>
      <c r="C1949" s="742">
        <f>Calculs!BY2021</f>
        <v>0</v>
      </c>
      <c r="D1949" s="742">
        <f>Calculs!BZ2021</f>
        <v>0</v>
      </c>
      <c r="E1949" s="742">
        <f>Calculs!CA2021</f>
        <v>0</v>
      </c>
      <c r="F1949" s="742">
        <f>Calculs!CB2021</f>
        <v>0</v>
      </c>
      <c r="G1949" s="742">
        <f>Calculs!CC2021</f>
        <v>0</v>
      </c>
      <c r="H1949" s="742"/>
      <c r="I1949" s="742">
        <f>Calculs!CE2021</f>
        <v>0</v>
      </c>
      <c r="J1949" s="742">
        <f>Calculs!CF2021</f>
        <v>0</v>
      </c>
      <c r="K1949" s="742"/>
      <c r="L1949" s="742">
        <f>Calculs!CH2021</f>
        <v>0</v>
      </c>
    </row>
    <row r="1950" spans="2:12">
      <c r="B1950" s="742">
        <f>Calculs!B2022</f>
        <v>0</v>
      </c>
      <c r="C1950" s="742">
        <f>Calculs!BY2022</f>
        <v>0</v>
      </c>
      <c r="D1950" s="742">
        <f>Calculs!BZ2022</f>
        <v>0</v>
      </c>
      <c r="E1950" s="742">
        <f>Calculs!CA2022</f>
        <v>0</v>
      </c>
      <c r="F1950" s="742">
        <f>Calculs!CB2022</f>
        <v>0</v>
      </c>
      <c r="G1950" s="742">
        <f>Calculs!CC2022</f>
        <v>0</v>
      </c>
      <c r="H1950" s="742"/>
      <c r="I1950" s="742">
        <f>Calculs!CE2022</f>
        <v>0</v>
      </c>
      <c r="J1950" s="742">
        <f>Calculs!CF2022</f>
        <v>0</v>
      </c>
      <c r="K1950" s="742"/>
      <c r="L1950" s="742">
        <f>Calculs!CH2022</f>
        <v>0</v>
      </c>
    </row>
    <row r="1951" spans="2:12">
      <c r="B1951" s="742">
        <f>Calculs!B2023</f>
        <v>0</v>
      </c>
      <c r="C1951" s="742">
        <f>Calculs!BY2023</f>
        <v>0</v>
      </c>
      <c r="D1951" s="742">
        <f>Calculs!BZ2023</f>
        <v>0</v>
      </c>
      <c r="E1951" s="742">
        <f>Calculs!CA2023</f>
        <v>0</v>
      </c>
      <c r="F1951" s="742">
        <f>Calculs!CB2023</f>
        <v>0</v>
      </c>
      <c r="G1951" s="742">
        <f>Calculs!CC2023</f>
        <v>0</v>
      </c>
      <c r="H1951" s="742"/>
      <c r="I1951" s="742">
        <f>Calculs!CE2023</f>
        <v>0</v>
      </c>
      <c r="J1951" s="742">
        <f>Calculs!CF2023</f>
        <v>0</v>
      </c>
      <c r="K1951" s="742"/>
      <c r="L1951" s="742">
        <f>Calculs!CH2023</f>
        <v>0</v>
      </c>
    </row>
    <row r="1952" spans="2:12">
      <c r="B1952" s="742">
        <f>Calculs!B2024</f>
        <v>0</v>
      </c>
      <c r="C1952" s="742">
        <f>Calculs!BY2024</f>
        <v>0</v>
      </c>
      <c r="D1952" s="742">
        <f>Calculs!BZ2024</f>
        <v>0</v>
      </c>
      <c r="E1952" s="742">
        <f>Calculs!CA2024</f>
        <v>0</v>
      </c>
      <c r="F1952" s="742">
        <f>Calculs!CB2024</f>
        <v>0</v>
      </c>
      <c r="G1952" s="742">
        <f>Calculs!CC2024</f>
        <v>0</v>
      </c>
      <c r="H1952" s="742"/>
      <c r="I1952" s="742">
        <f>Calculs!CE2024</f>
        <v>0</v>
      </c>
      <c r="J1952" s="742">
        <f>Calculs!CF2024</f>
        <v>0</v>
      </c>
      <c r="K1952" s="742"/>
      <c r="L1952" s="742">
        <f>Calculs!CH2024</f>
        <v>0</v>
      </c>
    </row>
    <row r="1953" spans="2:12">
      <c r="B1953" s="742">
        <f>Calculs!B2025</f>
        <v>0</v>
      </c>
      <c r="C1953" s="742">
        <f>Calculs!BY2025</f>
        <v>0</v>
      </c>
      <c r="D1953" s="742">
        <f>Calculs!BZ2025</f>
        <v>0</v>
      </c>
      <c r="E1953" s="742">
        <f>Calculs!CA2025</f>
        <v>0</v>
      </c>
      <c r="F1953" s="742">
        <f>Calculs!CB2025</f>
        <v>0</v>
      </c>
      <c r="G1953" s="742">
        <f>Calculs!CC2025</f>
        <v>0</v>
      </c>
      <c r="H1953" s="742"/>
      <c r="I1953" s="742">
        <f>Calculs!CE2025</f>
        <v>0</v>
      </c>
      <c r="J1953" s="742">
        <f>Calculs!CF2025</f>
        <v>0</v>
      </c>
      <c r="K1953" s="742"/>
      <c r="L1953" s="742">
        <f>Calculs!CH2025</f>
        <v>0</v>
      </c>
    </row>
    <row r="1954" spans="2:12">
      <c r="B1954" s="742">
        <f>Calculs!B2026</f>
        <v>0</v>
      </c>
      <c r="C1954" s="742">
        <f>Calculs!BY2026</f>
        <v>0</v>
      </c>
      <c r="D1954" s="742">
        <f>Calculs!BZ2026</f>
        <v>0</v>
      </c>
      <c r="E1954" s="742">
        <f>Calculs!CA2026</f>
        <v>0</v>
      </c>
      <c r="F1954" s="742">
        <f>Calculs!CB2026</f>
        <v>0</v>
      </c>
      <c r="G1954" s="742">
        <f>Calculs!CC2026</f>
        <v>0</v>
      </c>
      <c r="H1954" s="742"/>
      <c r="I1954" s="742">
        <f>Calculs!CE2026</f>
        <v>0</v>
      </c>
      <c r="J1954" s="742">
        <f>Calculs!CF2026</f>
        <v>0</v>
      </c>
      <c r="K1954" s="742"/>
      <c r="L1954" s="742">
        <f>Calculs!CH2026</f>
        <v>0</v>
      </c>
    </row>
    <row r="1955" spans="2:12">
      <c r="B1955" s="742">
        <f>Calculs!B2027</f>
        <v>0</v>
      </c>
      <c r="C1955" s="742">
        <f>Calculs!BY2027</f>
        <v>0</v>
      </c>
      <c r="D1955" s="742">
        <f>Calculs!BZ2027</f>
        <v>0</v>
      </c>
      <c r="E1955" s="742">
        <f>Calculs!CA2027</f>
        <v>0</v>
      </c>
      <c r="F1955" s="742">
        <f>Calculs!CB2027</f>
        <v>0</v>
      </c>
      <c r="G1955" s="742">
        <f>Calculs!CC2027</f>
        <v>0</v>
      </c>
      <c r="H1955" s="742"/>
      <c r="I1955" s="742">
        <f>Calculs!CE2027</f>
        <v>0</v>
      </c>
      <c r="J1955" s="742">
        <f>Calculs!CF2027</f>
        <v>0</v>
      </c>
      <c r="K1955" s="742"/>
      <c r="L1955" s="742">
        <f>Calculs!CH2027</f>
        <v>0</v>
      </c>
    </row>
    <row r="1956" spans="2:12">
      <c r="B1956" s="742">
        <f>Calculs!B2028</f>
        <v>0</v>
      </c>
      <c r="C1956" s="742">
        <f>Calculs!BY2028</f>
        <v>0</v>
      </c>
      <c r="D1956" s="742">
        <f>Calculs!BZ2028</f>
        <v>0</v>
      </c>
      <c r="E1956" s="742">
        <f>Calculs!CA2028</f>
        <v>0</v>
      </c>
      <c r="F1956" s="742">
        <f>Calculs!CB2028</f>
        <v>0</v>
      </c>
      <c r="G1956" s="742">
        <f>Calculs!CC2028</f>
        <v>0</v>
      </c>
      <c r="H1956" s="742"/>
      <c r="I1956" s="742">
        <f>Calculs!CE2028</f>
        <v>0</v>
      </c>
      <c r="J1956" s="742">
        <f>Calculs!CF2028</f>
        <v>0</v>
      </c>
      <c r="K1956" s="742"/>
      <c r="L1956" s="742">
        <f>Calculs!CH2028</f>
        <v>0</v>
      </c>
    </row>
    <row r="1957" spans="2:12">
      <c r="B1957" s="742">
        <f>Calculs!B2029</f>
        <v>0</v>
      </c>
      <c r="C1957" s="742">
        <f>Calculs!BY2029</f>
        <v>0</v>
      </c>
      <c r="D1957" s="742">
        <f>Calculs!BZ2029</f>
        <v>0</v>
      </c>
      <c r="E1957" s="742">
        <f>Calculs!CA2029</f>
        <v>0</v>
      </c>
      <c r="F1957" s="742">
        <f>Calculs!CB2029</f>
        <v>0</v>
      </c>
      <c r="G1957" s="742">
        <f>Calculs!CC2029</f>
        <v>0</v>
      </c>
      <c r="H1957" s="742"/>
      <c r="I1957" s="742">
        <f>Calculs!CE2029</f>
        <v>0</v>
      </c>
      <c r="J1957" s="742">
        <f>Calculs!CF2029</f>
        <v>0</v>
      </c>
      <c r="K1957" s="742"/>
      <c r="L1957" s="742">
        <f>Calculs!CH2029</f>
        <v>0</v>
      </c>
    </row>
    <row r="1958" spans="2:12">
      <c r="B1958" s="742">
        <f>Calculs!B2030</f>
        <v>0</v>
      </c>
      <c r="C1958" s="742">
        <f>Calculs!BY2030</f>
        <v>0</v>
      </c>
      <c r="D1958" s="742">
        <f>Calculs!BZ2030</f>
        <v>0</v>
      </c>
      <c r="E1958" s="742">
        <f>Calculs!CA2030</f>
        <v>0</v>
      </c>
      <c r="F1958" s="742">
        <f>Calculs!CB2030</f>
        <v>0</v>
      </c>
      <c r="G1958" s="742">
        <f>Calculs!CC2030</f>
        <v>0</v>
      </c>
      <c r="H1958" s="742"/>
      <c r="I1958" s="742">
        <f>Calculs!CE2030</f>
        <v>0</v>
      </c>
      <c r="J1958" s="742">
        <f>Calculs!CF2030</f>
        <v>0</v>
      </c>
      <c r="K1958" s="742"/>
      <c r="L1958" s="742">
        <f>Calculs!CH2030</f>
        <v>0</v>
      </c>
    </row>
    <row r="1959" spans="2:12">
      <c r="B1959" s="742">
        <f>Calculs!B2031</f>
        <v>0</v>
      </c>
      <c r="C1959" s="742">
        <f>Calculs!BY2031</f>
        <v>0</v>
      </c>
      <c r="D1959" s="742">
        <f>Calculs!BZ2031</f>
        <v>0</v>
      </c>
      <c r="E1959" s="742">
        <f>Calculs!CA2031</f>
        <v>0</v>
      </c>
      <c r="F1959" s="742">
        <f>Calculs!CB2031</f>
        <v>0</v>
      </c>
      <c r="G1959" s="742">
        <f>Calculs!CC2031</f>
        <v>0</v>
      </c>
      <c r="H1959" s="742"/>
      <c r="I1959" s="742">
        <f>Calculs!CE2031</f>
        <v>0</v>
      </c>
      <c r="J1959" s="742">
        <f>Calculs!CF2031</f>
        <v>0</v>
      </c>
      <c r="K1959" s="742"/>
      <c r="L1959" s="742">
        <f>Calculs!CH2031</f>
        <v>0</v>
      </c>
    </row>
    <row r="1960" spans="2:12">
      <c r="B1960" s="742">
        <f>Calculs!B2032</f>
        <v>0</v>
      </c>
      <c r="C1960" s="742">
        <f>Calculs!BY2032</f>
        <v>0</v>
      </c>
      <c r="D1960" s="742">
        <f>Calculs!BZ2032</f>
        <v>0</v>
      </c>
      <c r="E1960" s="742">
        <f>Calculs!CA2032</f>
        <v>0</v>
      </c>
      <c r="F1960" s="742">
        <f>Calculs!CB2032</f>
        <v>0</v>
      </c>
      <c r="G1960" s="742">
        <f>Calculs!CC2032</f>
        <v>0</v>
      </c>
      <c r="H1960" s="742"/>
      <c r="I1960" s="742">
        <f>Calculs!CE2032</f>
        <v>0</v>
      </c>
      <c r="J1960" s="742">
        <f>Calculs!CF2032</f>
        <v>0</v>
      </c>
      <c r="K1960" s="742"/>
      <c r="L1960" s="742">
        <f>Calculs!CH2032</f>
        <v>0</v>
      </c>
    </row>
    <row r="1961" spans="2:12">
      <c r="B1961" s="742">
        <f>Calculs!B2033</f>
        <v>0</v>
      </c>
      <c r="C1961" s="742">
        <f>Calculs!BY2033</f>
        <v>0</v>
      </c>
      <c r="D1961" s="742">
        <f>Calculs!BZ2033</f>
        <v>0</v>
      </c>
      <c r="E1961" s="742">
        <f>Calculs!CA2033</f>
        <v>0</v>
      </c>
      <c r="F1961" s="742">
        <f>Calculs!CB2033</f>
        <v>0</v>
      </c>
      <c r="G1961" s="742">
        <f>Calculs!CC2033</f>
        <v>0</v>
      </c>
      <c r="H1961" s="742"/>
      <c r="I1961" s="742">
        <f>Calculs!CE2033</f>
        <v>0</v>
      </c>
      <c r="J1961" s="742">
        <f>Calculs!CF2033</f>
        <v>0</v>
      </c>
      <c r="K1961" s="742"/>
      <c r="L1961" s="742">
        <f>Calculs!CH2033</f>
        <v>0</v>
      </c>
    </row>
    <row r="1962" spans="2:12">
      <c r="B1962" s="742">
        <f>Calculs!B2034</f>
        <v>0</v>
      </c>
      <c r="C1962" s="742">
        <f>Calculs!BY2034</f>
        <v>0</v>
      </c>
      <c r="D1962" s="742">
        <f>Calculs!BZ2034</f>
        <v>0</v>
      </c>
      <c r="E1962" s="742">
        <f>Calculs!CA2034</f>
        <v>0</v>
      </c>
      <c r="F1962" s="742">
        <f>Calculs!CB2034</f>
        <v>0</v>
      </c>
      <c r="G1962" s="742">
        <f>Calculs!CC2034</f>
        <v>0</v>
      </c>
      <c r="H1962" s="742"/>
      <c r="I1962" s="742">
        <f>Calculs!CE2034</f>
        <v>0</v>
      </c>
      <c r="J1962" s="742">
        <f>Calculs!CF2034</f>
        <v>0</v>
      </c>
      <c r="K1962" s="742"/>
      <c r="L1962" s="742">
        <f>Calculs!CH2034</f>
        <v>0</v>
      </c>
    </row>
    <row r="1963" spans="2:12">
      <c r="B1963" s="742">
        <f>Calculs!B2035</f>
        <v>0</v>
      </c>
      <c r="C1963" s="742">
        <f>Calculs!BY2035</f>
        <v>0</v>
      </c>
      <c r="D1963" s="742">
        <f>Calculs!BZ2035</f>
        <v>0</v>
      </c>
      <c r="E1963" s="742">
        <f>Calculs!CA2035</f>
        <v>0</v>
      </c>
      <c r="F1963" s="742">
        <f>Calculs!CB2035</f>
        <v>0</v>
      </c>
      <c r="G1963" s="742">
        <f>Calculs!CC2035</f>
        <v>0</v>
      </c>
      <c r="H1963" s="742"/>
      <c r="I1963" s="742">
        <f>Calculs!CE2035</f>
        <v>0</v>
      </c>
      <c r="J1963" s="742">
        <f>Calculs!CF2035</f>
        <v>0</v>
      </c>
      <c r="K1963" s="742"/>
      <c r="L1963" s="742">
        <f>Calculs!CH2035</f>
        <v>0</v>
      </c>
    </row>
    <row r="1964" spans="2:12">
      <c r="B1964" s="742">
        <f>Calculs!B2036</f>
        <v>0</v>
      </c>
      <c r="C1964" s="742">
        <f>Calculs!BY2036</f>
        <v>0</v>
      </c>
      <c r="D1964" s="742">
        <f>Calculs!BZ2036</f>
        <v>0</v>
      </c>
      <c r="E1964" s="742">
        <f>Calculs!CA2036</f>
        <v>0</v>
      </c>
      <c r="F1964" s="742">
        <f>Calculs!CB2036</f>
        <v>0</v>
      </c>
      <c r="G1964" s="742">
        <f>Calculs!CC2036</f>
        <v>0</v>
      </c>
      <c r="H1964" s="742"/>
      <c r="I1964" s="742">
        <f>Calculs!CE2036</f>
        <v>0</v>
      </c>
      <c r="J1964" s="742">
        <f>Calculs!CF2036</f>
        <v>0</v>
      </c>
      <c r="K1964" s="742"/>
      <c r="L1964" s="742">
        <f>Calculs!CH2036</f>
        <v>0</v>
      </c>
    </row>
    <row r="1965" spans="2:12">
      <c r="B1965" s="742">
        <f>Calculs!B2037</f>
        <v>0</v>
      </c>
      <c r="C1965" s="742">
        <f>Calculs!BY2037</f>
        <v>0</v>
      </c>
      <c r="D1965" s="742">
        <f>Calculs!BZ2037</f>
        <v>0</v>
      </c>
      <c r="E1965" s="742">
        <f>Calculs!CA2037</f>
        <v>0</v>
      </c>
      <c r="F1965" s="742">
        <f>Calculs!CB2037</f>
        <v>0</v>
      </c>
      <c r="G1965" s="742">
        <f>Calculs!CC2037</f>
        <v>0</v>
      </c>
      <c r="H1965" s="742"/>
      <c r="I1965" s="742">
        <f>Calculs!CE2037</f>
        <v>0</v>
      </c>
      <c r="J1965" s="742">
        <f>Calculs!CF2037</f>
        <v>0</v>
      </c>
      <c r="K1965" s="742"/>
      <c r="L1965" s="742">
        <f>Calculs!CH2037</f>
        <v>0</v>
      </c>
    </row>
    <row r="1966" spans="2:12">
      <c r="B1966" s="742">
        <f>Calculs!B2038</f>
        <v>0</v>
      </c>
      <c r="C1966" s="742">
        <f>Calculs!BY2038</f>
        <v>0</v>
      </c>
      <c r="D1966" s="742">
        <f>Calculs!BZ2038</f>
        <v>0</v>
      </c>
      <c r="E1966" s="742">
        <f>Calculs!CA2038</f>
        <v>0</v>
      </c>
      <c r="F1966" s="742">
        <f>Calculs!CB2038</f>
        <v>0</v>
      </c>
      <c r="G1966" s="742">
        <f>Calculs!CC2038</f>
        <v>0</v>
      </c>
      <c r="H1966" s="742"/>
      <c r="I1966" s="742">
        <f>Calculs!CE2038</f>
        <v>0</v>
      </c>
      <c r="J1966" s="742">
        <f>Calculs!CF2038</f>
        <v>0</v>
      </c>
      <c r="K1966" s="742"/>
      <c r="L1966" s="742">
        <f>Calculs!CH2038</f>
        <v>0</v>
      </c>
    </row>
    <row r="1967" spans="2:12">
      <c r="B1967" s="742">
        <f>Calculs!B2039</f>
        <v>0</v>
      </c>
      <c r="C1967" s="742">
        <f>Calculs!BY2039</f>
        <v>0</v>
      </c>
      <c r="D1967" s="742">
        <f>Calculs!BZ2039</f>
        <v>0</v>
      </c>
      <c r="E1967" s="742">
        <f>Calculs!CA2039</f>
        <v>0</v>
      </c>
      <c r="F1967" s="742">
        <f>Calculs!CB2039</f>
        <v>0</v>
      </c>
      <c r="G1967" s="742">
        <f>Calculs!CC2039</f>
        <v>0</v>
      </c>
      <c r="H1967" s="742"/>
      <c r="I1967" s="742">
        <f>Calculs!CE2039</f>
        <v>0</v>
      </c>
      <c r="J1967" s="742">
        <f>Calculs!CF2039</f>
        <v>0</v>
      </c>
      <c r="K1967" s="742"/>
      <c r="L1967" s="742">
        <f>Calculs!CH2039</f>
        <v>0</v>
      </c>
    </row>
    <row r="1968" spans="2:12">
      <c r="B1968" s="742">
        <f>Calculs!B2040</f>
        <v>0</v>
      </c>
      <c r="C1968" s="742">
        <f>Calculs!BY2040</f>
        <v>0</v>
      </c>
      <c r="D1968" s="742">
        <f>Calculs!BZ2040</f>
        <v>0</v>
      </c>
      <c r="E1968" s="742">
        <f>Calculs!CA2040</f>
        <v>0</v>
      </c>
      <c r="F1968" s="742">
        <f>Calculs!CB2040</f>
        <v>0</v>
      </c>
      <c r="G1968" s="742">
        <f>Calculs!CC2040</f>
        <v>0</v>
      </c>
      <c r="H1968" s="742"/>
      <c r="I1968" s="742">
        <f>Calculs!CE2040</f>
        <v>0</v>
      </c>
      <c r="J1968" s="742">
        <f>Calculs!CF2040</f>
        <v>0</v>
      </c>
      <c r="K1968" s="742"/>
      <c r="L1968" s="742">
        <f>Calculs!CH2040</f>
        <v>0</v>
      </c>
    </row>
    <row r="1969" spans="2:12">
      <c r="B1969" s="742">
        <f>Calculs!B2041</f>
        <v>0</v>
      </c>
      <c r="C1969" s="742">
        <f>Calculs!BY2041</f>
        <v>0</v>
      </c>
      <c r="D1969" s="742">
        <f>Calculs!BZ2041</f>
        <v>0</v>
      </c>
      <c r="E1969" s="742">
        <f>Calculs!CA2041</f>
        <v>0</v>
      </c>
      <c r="F1969" s="742">
        <f>Calculs!CB2041</f>
        <v>0</v>
      </c>
      <c r="G1969" s="742">
        <f>Calculs!CC2041</f>
        <v>0</v>
      </c>
      <c r="H1969" s="742"/>
      <c r="I1969" s="742">
        <f>Calculs!CE2041</f>
        <v>0</v>
      </c>
      <c r="J1969" s="742">
        <f>Calculs!CF2041</f>
        <v>0</v>
      </c>
      <c r="K1969" s="742"/>
      <c r="L1969" s="742">
        <f>Calculs!CH2041</f>
        <v>0</v>
      </c>
    </row>
    <row r="1970" spans="2:12">
      <c r="B1970" s="742">
        <f>Calculs!B2042</f>
        <v>0</v>
      </c>
      <c r="C1970" s="742">
        <f>Calculs!BY2042</f>
        <v>0</v>
      </c>
      <c r="D1970" s="742">
        <f>Calculs!BZ2042</f>
        <v>0</v>
      </c>
      <c r="E1970" s="742">
        <f>Calculs!CA2042</f>
        <v>0</v>
      </c>
      <c r="F1970" s="742">
        <f>Calculs!CB2042</f>
        <v>0</v>
      </c>
      <c r="G1970" s="742">
        <f>Calculs!CC2042</f>
        <v>0</v>
      </c>
      <c r="H1970" s="742"/>
      <c r="I1970" s="742">
        <f>Calculs!CE2042</f>
        <v>0</v>
      </c>
      <c r="J1970" s="742">
        <f>Calculs!CF2042</f>
        <v>0</v>
      </c>
      <c r="K1970" s="742"/>
      <c r="L1970" s="742">
        <f>Calculs!CH2042</f>
        <v>0</v>
      </c>
    </row>
    <row r="1971" spans="2:12">
      <c r="B1971" s="742">
        <f>Calculs!B2043</f>
        <v>0</v>
      </c>
      <c r="C1971" s="742">
        <f>Calculs!BY2043</f>
        <v>0</v>
      </c>
      <c r="D1971" s="742">
        <f>Calculs!BZ2043</f>
        <v>0</v>
      </c>
      <c r="E1971" s="742">
        <f>Calculs!CA2043</f>
        <v>0</v>
      </c>
      <c r="F1971" s="742">
        <f>Calculs!CB2043</f>
        <v>0</v>
      </c>
      <c r="G1971" s="742">
        <f>Calculs!CC2043</f>
        <v>0</v>
      </c>
      <c r="H1971" s="742"/>
      <c r="I1971" s="742">
        <f>Calculs!CE2043</f>
        <v>0</v>
      </c>
      <c r="J1971" s="742">
        <f>Calculs!CF2043</f>
        <v>0</v>
      </c>
      <c r="K1971" s="742"/>
      <c r="L1971" s="742">
        <f>Calculs!CH2043</f>
        <v>0</v>
      </c>
    </row>
    <row r="1972" spans="2:12">
      <c r="B1972" s="742">
        <f>Calculs!B2044</f>
        <v>0</v>
      </c>
      <c r="C1972" s="742">
        <f>Calculs!BY2044</f>
        <v>0</v>
      </c>
      <c r="D1972" s="742">
        <f>Calculs!BZ2044</f>
        <v>0</v>
      </c>
      <c r="E1972" s="742">
        <f>Calculs!CA2044</f>
        <v>0</v>
      </c>
      <c r="F1972" s="742">
        <f>Calculs!CB2044</f>
        <v>0</v>
      </c>
      <c r="G1972" s="742">
        <f>Calculs!CC2044</f>
        <v>0</v>
      </c>
      <c r="H1972" s="742"/>
      <c r="I1972" s="742">
        <f>Calculs!CE2044</f>
        <v>0</v>
      </c>
      <c r="J1972" s="742">
        <f>Calculs!CF2044</f>
        <v>0</v>
      </c>
      <c r="K1972" s="742"/>
      <c r="L1972" s="742">
        <f>Calculs!CH2044</f>
        <v>0</v>
      </c>
    </row>
    <row r="1973" spans="2:12">
      <c r="B1973" s="742">
        <f>Calculs!B2045</f>
        <v>0</v>
      </c>
      <c r="C1973" s="742">
        <f>Calculs!BY2045</f>
        <v>0</v>
      </c>
      <c r="D1973" s="742">
        <f>Calculs!BZ2045</f>
        <v>0</v>
      </c>
      <c r="E1973" s="742">
        <f>Calculs!CA2045</f>
        <v>0</v>
      </c>
      <c r="F1973" s="742">
        <f>Calculs!CB2045</f>
        <v>0</v>
      </c>
      <c r="G1973" s="742">
        <f>Calculs!CC2045</f>
        <v>0</v>
      </c>
      <c r="H1973" s="742"/>
      <c r="I1973" s="742">
        <f>Calculs!CE2045</f>
        <v>0</v>
      </c>
      <c r="J1973" s="742">
        <f>Calculs!CF2045</f>
        <v>0</v>
      </c>
      <c r="K1973" s="742"/>
      <c r="L1973" s="742">
        <f>Calculs!CH2045</f>
        <v>0</v>
      </c>
    </row>
    <row r="1974" spans="2:12">
      <c r="B1974" s="742">
        <f>Calculs!B2046</f>
        <v>0</v>
      </c>
      <c r="C1974" s="742">
        <f>Calculs!BY2046</f>
        <v>0</v>
      </c>
      <c r="D1974" s="742">
        <f>Calculs!BZ2046</f>
        <v>0</v>
      </c>
      <c r="E1974" s="742">
        <f>Calculs!CA2046</f>
        <v>0</v>
      </c>
      <c r="F1974" s="742">
        <f>Calculs!CB2046</f>
        <v>0</v>
      </c>
      <c r="G1974" s="742">
        <f>Calculs!CC2046</f>
        <v>0</v>
      </c>
      <c r="H1974" s="742"/>
      <c r="I1974" s="742">
        <f>Calculs!CE2046</f>
        <v>0</v>
      </c>
      <c r="J1974" s="742">
        <f>Calculs!CF2046</f>
        <v>0</v>
      </c>
      <c r="K1974" s="742"/>
      <c r="L1974" s="742">
        <f>Calculs!CH2046</f>
        <v>0</v>
      </c>
    </row>
    <row r="1975" spans="2:12">
      <c r="B1975" s="742">
        <f>Calculs!B2047</f>
        <v>0</v>
      </c>
      <c r="C1975" s="742">
        <f>Calculs!BY2047</f>
        <v>0</v>
      </c>
      <c r="D1975" s="742">
        <f>Calculs!BZ2047</f>
        <v>0</v>
      </c>
      <c r="E1975" s="742">
        <f>Calculs!CA2047</f>
        <v>0</v>
      </c>
      <c r="F1975" s="742">
        <f>Calculs!CB2047</f>
        <v>0</v>
      </c>
      <c r="G1975" s="742">
        <f>Calculs!CC2047</f>
        <v>0</v>
      </c>
      <c r="H1975" s="742"/>
      <c r="I1975" s="742">
        <f>Calculs!CE2047</f>
        <v>0</v>
      </c>
      <c r="J1975" s="742">
        <f>Calculs!CF2047</f>
        <v>0</v>
      </c>
      <c r="K1975" s="742"/>
      <c r="L1975" s="742">
        <f>Calculs!CH2047</f>
        <v>0</v>
      </c>
    </row>
    <row r="1976" spans="2:12">
      <c r="B1976" s="742">
        <f>Calculs!B2048</f>
        <v>0</v>
      </c>
      <c r="C1976" s="742">
        <f>Calculs!BY2048</f>
        <v>0</v>
      </c>
      <c r="D1976" s="742">
        <f>Calculs!BZ2048</f>
        <v>0</v>
      </c>
      <c r="E1976" s="742">
        <f>Calculs!CA2048</f>
        <v>0</v>
      </c>
      <c r="F1976" s="742">
        <f>Calculs!CB2048</f>
        <v>0</v>
      </c>
      <c r="G1976" s="742">
        <f>Calculs!CC2048</f>
        <v>0</v>
      </c>
      <c r="H1976" s="742"/>
      <c r="I1976" s="742">
        <f>Calculs!CE2048</f>
        <v>0</v>
      </c>
      <c r="J1976" s="742">
        <f>Calculs!CF2048</f>
        <v>0</v>
      </c>
      <c r="K1976" s="742"/>
      <c r="L1976" s="742">
        <f>Calculs!CH2048</f>
        <v>0</v>
      </c>
    </row>
    <row r="1977" spans="2:12">
      <c r="B1977" s="742">
        <f>Calculs!B2049</f>
        <v>0</v>
      </c>
      <c r="C1977" s="742">
        <f>Calculs!BY2049</f>
        <v>0</v>
      </c>
      <c r="D1977" s="742">
        <f>Calculs!BZ2049</f>
        <v>0</v>
      </c>
      <c r="E1977" s="742">
        <f>Calculs!CA2049</f>
        <v>0</v>
      </c>
      <c r="F1977" s="742">
        <f>Calculs!CB2049</f>
        <v>0</v>
      </c>
      <c r="G1977" s="742">
        <f>Calculs!CC2049</f>
        <v>0</v>
      </c>
      <c r="H1977" s="742"/>
      <c r="I1977" s="742">
        <f>Calculs!CE2049</f>
        <v>0</v>
      </c>
      <c r="J1977" s="742">
        <f>Calculs!CF2049</f>
        <v>0</v>
      </c>
      <c r="K1977" s="742"/>
      <c r="L1977" s="742">
        <f>Calculs!CH2049</f>
        <v>0</v>
      </c>
    </row>
    <row r="1978" spans="2:12">
      <c r="B1978" s="742">
        <f>Calculs!B2050</f>
        <v>0</v>
      </c>
      <c r="C1978" s="742">
        <f>Calculs!BY2050</f>
        <v>0</v>
      </c>
      <c r="D1978" s="742">
        <f>Calculs!BZ2050</f>
        <v>0</v>
      </c>
      <c r="E1978" s="742">
        <f>Calculs!CA2050</f>
        <v>0</v>
      </c>
      <c r="F1978" s="742">
        <f>Calculs!CB2050</f>
        <v>0</v>
      </c>
      <c r="G1978" s="742">
        <f>Calculs!CC2050</f>
        <v>0</v>
      </c>
      <c r="H1978" s="742"/>
      <c r="I1978" s="742">
        <f>Calculs!CE2050</f>
        <v>0</v>
      </c>
      <c r="J1978" s="742">
        <f>Calculs!CF2050</f>
        <v>0</v>
      </c>
      <c r="K1978" s="742"/>
      <c r="L1978" s="742">
        <f>Calculs!CH2050</f>
        <v>0</v>
      </c>
    </row>
    <row r="1979" spans="2:12">
      <c r="B1979" s="742">
        <f>Calculs!B2051</f>
        <v>0</v>
      </c>
      <c r="C1979" s="742">
        <f>Calculs!BY2051</f>
        <v>0</v>
      </c>
      <c r="D1979" s="742">
        <f>Calculs!BZ2051</f>
        <v>0</v>
      </c>
      <c r="E1979" s="742">
        <f>Calculs!CA2051</f>
        <v>0</v>
      </c>
      <c r="F1979" s="742">
        <f>Calculs!CB2051</f>
        <v>0</v>
      </c>
      <c r="G1979" s="742">
        <f>Calculs!CC2051</f>
        <v>0</v>
      </c>
      <c r="H1979" s="742"/>
      <c r="I1979" s="742">
        <f>Calculs!CE2051</f>
        <v>0</v>
      </c>
      <c r="J1979" s="742">
        <f>Calculs!CF2051</f>
        <v>0</v>
      </c>
      <c r="K1979" s="742"/>
      <c r="L1979" s="742">
        <f>Calculs!CH2051</f>
        <v>0</v>
      </c>
    </row>
    <row r="1980" spans="2:12">
      <c r="B1980" s="742">
        <f>Calculs!B2052</f>
        <v>0</v>
      </c>
      <c r="C1980" s="742">
        <f>Calculs!BY2052</f>
        <v>0</v>
      </c>
      <c r="D1980" s="742">
        <f>Calculs!BZ2052</f>
        <v>0</v>
      </c>
      <c r="E1980" s="742">
        <f>Calculs!CA2052</f>
        <v>0</v>
      </c>
      <c r="F1980" s="742">
        <f>Calculs!CB2052</f>
        <v>0</v>
      </c>
      <c r="G1980" s="742">
        <f>Calculs!CC2052</f>
        <v>0</v>
      </c>
      <c r="H1980" s="742"/>
      <c r="I1980" s="742">
        <f>Calculs!CE2052</f>
        <v>0</v>
      </c>
      <c r="J1980" s="742">
        <f>Calculs!CF2052</f>
        <v>0</v>
      </c>
      <c r="K1980" s="742"/>
      <c r="L1980" s="742">
        <f>Calculs!CH2052</f>
        <v>0</v>
      </c>
    </row>
    <row r="1981" spans="2:12">
      <c r="B1981" s="742">
        <f>Calculs!B2053</f>
        <v>0</v>
      </c>
      <c r="C1981" s="742">
        <f>Calculs!BY2053</f>
        <v>0</v>
      </c>
      <c r="D1981" s="742">
        <f>Calculs!BZ2053</f>
        <v>0</v>
      </c>
      <c r="E1981" s="742">
        <f>Calculs!CA2053</f>
        <v>0</v>
      </c>
      <c r="F1981" s="742">
        <f>Calculs!CB2053</f>
        <v>0</v>
      </c>
      <c r="G1981" s="742">
        <f>Calculs!CC2053</f>
        <v>0</v>
      </c>
      <c r="H1981" s="742"/>
      <c r="I1981" s="742">
        <f>Calculs!CE2053</f>
        <v>0</v>
      </c>
      <c r="J1981" s="742">
        <f>Calculs!CF2053</f>
        <v>0</v>
      </c>
      <c r="K1981" s="742"/>
      <c r="L1981" s="742">
        <f>Calculs!CH2053</f>
        <v>0</v>
      </c>
    </row>
    <row r="1982" spans="2:12">
      <c r="B1982" s="742">
        <f>Calculs!B2054</f>
        <v>0</v>
      </c>
      <c r="C1982" s="742">
        <f>Calculs!BY2054</f>
        <v>0</v>
      </c>
      <c r="D1982" s="742">
        <f>Calculs!BZ2054</f>
        <v>0</v>
      </c>
      <c r="E1982" s="742">
        <f>Calculs!CA2054</f>
        <v>0</v>
      </c>
      <c r="F1982" s="742">
        <f>Calculs!CB2054</f>
        <v>0</v>
      </c>
      <c r="G1982" s="742">
        <f>Calculs!CC2054</f>
        <v>0</v>
      </c>
      <c r="H1982" s="742"/>
      <c r="I1982" s="742">
        <f>Calculs!CE2054</f>
        <v>0</v>
      </c>
      <c r="J1982" s="742">
        <f>Calculs!CF2054</f>
        <v>0</v>
      </c>
      <c r="K1982" s="742"/>
      <c r="L1982" s="742">
        <f>Calculs!CH2054</f>
        <v>0</v>
      </c>
    </row>
    <row r="1983" spans="2:12">
      <c r="B1983" s="742">
        <f>Calculs!B2055</f>
        <v>0</v>
      </c>
      <c r="C1983" s="742">
        <f>Calculs!BY2055</f>
        <v>0</v>
      </c>
      <c r="D1983" s="742">
        <f>Calculs!BZ2055</f>
        <v>0</v>
      </c>
      <c r="E1983" s="742">
        <f>Calculs!CA2055</f>
        <v>0</v>
      </c>
      <c r="F1983" s="742">
        <f>Calculs!CB2055</f>
        <v>0</v>
      </c>
      <c r="G1983" s="742">
        <f>Calculs!CC2055</f>
        <v>0</v>
      </c>
      <c r="H1983" s="742"/>
      <c r="I1983" s="742">
        <f>Calculs!CE2055</f>
        <v>0</v>
      </c>
      <c r="J1983" s="742">
        <f>Calculs!CF2055</f>
        <v>0</v>
      </c>
      <c r="K1983" s="742"/>
      <c r="L1983" s="742">
        <f>Calculs!CH2055</f>
        <v>0</v>
      </c>
    </row>
    <row r="1984" spans="2:12">
      <c r="B1984" s="742">
        <f>Calculs!B2056</f>
        <v>0</v>
      </c>
      <c r="C1984" s="742">
        <f>Calculs!BY2056</f>
        <v>0</v>
      </c>
      <c r="D1984" s="742">
        <f>Calculs!BZ2056</f>
        <v>0</v>
      </c>
      <c r="E1984" s="742">
        <f>Calculs!CA2056</f>
        <v>0</v>
      </c>
      <c r="F1984" s="742">
        <f>Calculs!CB2056</f>
        <v>0</v>
      </c>
      <c r="G1984" s="742">
        <f>Calculs!CC2056</f>
        <v>0</v>
      </c>
      <c r="H1984" s="742"/>
      <c r="I1984" s="742">
        <f>Calculs!CE2056</f>
        <v>0</v>
      </c>
      <c r="J1984" s="742">
        <f>Calculs!CF2056</f>
        <v>0</v>
      </c>
      <c r="K1984" s="742"/>
      <c r="L1984" s="742">
        <f>Calculs!CH2056</f>
        <v>0</v>
      </c>
    </row>
    <row r="1985" spans="2:12">
      <c r="B1985" s="742">
        <f>Calculs!B2057</f>
        <v>0</v>
      </c>
      <c r="C1985" s="742">
        <f>Calculs!BY2057</f>
        <v>0</v>
      </c>
      <c r="D1985" s="742">
        <f>Calculs!BZ2057</f>
        <v>0</v>
      </c>
      <c r="E1985" s="742">
        <f>Calculs!CA2057</f>
        <v>0</v>
      </c>
      <c r="F1985" s="742">
        <f>Calculs!CB2057</f>
        <v>0</v>
      </c>
      <c r="G1985" s="742">
        <f>Calculs!CC2057</f>
        <v>0</v>
      </c>
      <c r="H1985" s="742"/>
      <c r="I1985" s="742">
        <f>Calculs!CE2057</f>
        <v>0</v>
      </c>
      <c r="J1985" s="742">
        <f>Calculs!CF2057</f>
        <v>0</v>
      </c>
      <c r="K1985" s="742"/>
      <c r="L1985" s="742">
        <f>Calculs!CH2057</f>
        <v>0</v>
      </c>
    </row>
    <row r="1986" spans="2:12">
      <c r="B1986" s="742">
        <f>Calculs!B2058</f>
        <v>0</v>
      </c>
      <c r="C1986" s="742">
        <f>Calculs!BY2058</f>
        <v>0</v>
      </c>
      <c r="D1986" s="742">
        <f>Calculs!BZ2058</f>
        <v>0</v>
      </c>
      <c r="E1986" s="742">
        <f>Calculs!CA2058</f>
        <v>0</v>
      </c>
      <c r="F1986" s="742">
        <f>Calculs!CB2058</f>
        <v>0</v>
      </c>
      <c r="G1986" s="742">
        <f>Calculs!CC2058</f>
        <v>0</v>
      </c>
      <c r="H1986" s="742"/>
      <c r="I1986" s="742">
        <f>Calculs!CE2058</f>
        <v>0</v>
      </c>
      <c r="J1986" s="742">
        <f>Calculs!CF2058</f>
        <v>0</v>
      </c>
      <c r="K1986" s="742"/>
      <c r="L1986" s="742">
        <f>Calculs!CH2058</f>
        <v>0</v>
      </c>
    </row>
    <row r="1987" spans="2:12">
      <c r="B1987" s="742">
        <f>Calculs!B2059</f>
        <v>0</v>
      </c>
      <c r="C1987" s="742">
        <f>Calculs!BY2059</f>
        <v>0</v>
      </c>
      <c r="D1987" s="742">
        <f>Calculs!BZ2059</f>
        <v>0</v>
      </c>
      <c r="E1987" s="742">
        <f>Calculs!CA2059</f>
        <v>0</v>
      </c>
      <c r="F1987" s="742">
        <f>Calculs!CB2059</f>
        <v>0</v>
      </c>
      <c r="G1987" s="742">
        <f>Calculs!CC2059</f>
        <v>0</v>
      </c>
      <c r="H1987" s="742"/>
      <c r="I1987" s="742">
        <f>Calculs!CE2059</f>
        <v>0</v>
      </c>
      <c r="J1987" s="742">
        <f>Calculs!CF2059</f>
        <v>0</v>
      </c>
      <c r="K1987" s="742"/>
      <c r="L1987" s="742">
        <f>Calculs!CH2059</f>
        <v>0</v>
      </c>
    </row>
    <row r="1988" spans="2:12">
      <c r="B1988" s="742">
        <f>Calculs!B2060</f>
        <v>0</v>
      </c>
      <c r="C1988" s="742">
        <f>Calculs!BY2060</f>
        <v>0</v>
      </c>
      <c r="D1988" s="742">
        <f>Calculs!BZ2060</f>
        <v>0</v>
      </c>
      <c r="E1988" s="742">
        <f>Calculs!CA2060</f>
        <v>0</v>
      </c>
      <c r="F1988" s="742">
        <f>Calculs!CB2060</f>
        <v>0</v>
      </c>
      <c r="G1988" s="742">
        <f>Calculs!CC2060</f>
        <v>0</v>
      </c>
      <c r="H1988" s="742"/>
      <c r="I1988" s="742">
        <f>Calculs!CE2060</f>
        <v>0</v>
      </c>
      <c r="J1988" s="742">
        <f>Calculs!CF2060</f>
        <v>0</v>
      </c>
      <c r="K1988" s="742"/>
      <c r="L1988" s="742">
        <f>Calculs!CH2060</f>
        <v>0</v>
      </c>
    </row>
    <row r="1989" spans="2:12">
      <c r="B1989" s="742">
        <f>Calculs!B2061</f>
        <v>0</v>
      </c>
      <c r="C1989" s="742">
        <f>Calculs!BY2061</f>
        <v>0</v>
      </c>
      <c r="D1989" s="742">
        <f>Calculs!BZ2061</f>
        <v>0</v>
      </c>
      <c r="E1989" s="742">
        <f>Calculs!CA2061</f>
        <v>0</v>
      </c>
      <c r="F1989" s="742">
        <f>Calculs!CB2061</f>
        <v>0</v>
      </c>
      <c r="G1989" s="742">
        <f>Calculs!CC2061</f>
        <v>0</v>
      </c>
      <c r="H1989" s="742"/>
      <c r="I1989" s="742">
        <f>Calculs!CE2061</f>
        <v>0</v>
      </c>
      <c r="J1989" s="742">
        <f>Calculs!CF2061</f>
        <v>0</v>
      </c>
      <c r="K1989" s="742"/>
      <c r="L1989" s="742">
        <f>Calculs!CH2061</f>
        <v>0</v>
      </c>
    </row>
    <row r="1990" spans="2:12">
      <c r="B1990" s="742">
        <f>Calculs!B2062</f>
        <v>0</v>
      </c>
      <c r="C1990" s="742">
        <f>Calculs!BY2062</f>
        <v>0</v>
      </c>
      <c r="D1990" s="742">
        <f>Calculs!BZ2062</f>
        <v>0</v>
      </c>
      <c r="E1990" s="742">
        <f>Calculs!CA2062</f>
        <v>0</v>
      </c>
      <c r="F1990" s="742">
        <f>Calculs!CB2062</f>
        <v>0</v>
      </c>
      <c r="G1990" s="742">
        <f>Calculs!CC2062</f>
        <v>0</v>
      </c>
      <c r="H1990" s="742"/>
      <c r="I1990" s="742">
        <f>Calculs!CE2062</f>
        <v>0</v>
      </c>
      <c r="J1990" s="742">
        <f>Calculs!CF2062</f>
        <v>0</v>
      </c>
      <c r="K1990" s="742"/>
      <c r="L1990" s="742">
        <f>Calculs!CH2062</f>
        <v>0</v>
      </c>
    </row>
    <row r="1991" spans="2:12">
      <c r="B1991" s="742">
        <f>Calculs!B2063</f>
        <v>0</v>
      </c>
      <c r="C1991" s="742">
        <f>Calculs!BY2063</f>
        <v>0</v>
      </c>
      <c r="D1991" s="742">
        <f>Calculs!BZ2063</f>
        <v>0</v>
      </c>
      <c r="E1991" s="742">
        <f>Calculs!CA2063</f>
        <v>0</v>
      </c>
      <c r="F1991" s="742">
        <f>Calculs!CB2063</f>
        <v>0</v>
      </c>
      <c r="G1991" s="742">
        <f>Calculs!CC2063</f>
        <v>0</v>
      </c>
      <c r="H1991" s="742"/>
      <c r="I1991" s="742">
        <f>Calculs!CE2063</f>
        <v>0</v>
      </c>
      <c r="J1991" s="742">
        <f>Calculs!CF2063</f>
        <v>0</v>
      </c>
      <c r="K1991" s="742"/>
      <c r="L1991" s="742">
        <f>Calculs!CH2063</f>
        <v>0</v>
      </c>
    </row>
    <row r="1992" spans="2:12">
      <c r="B1992" s="742">
        <f>Calculs!B2064</f>
        <v>0</v>
      </c>
      <c r="C1992" s="742">
        <f>Calculs!BY2064</f>
        <v>0</v>
      </c>
      <c r="D1992" s="742">
        <f>Calculs!BZ2064</f>
        <v>0</v>
      </c>
      <c r="E1992" s="742">
        <f>Calculs!CA2064</f>
        <v>0</v>
      </c>
      <c r="F1992" s="742">
        <f>Calculs!CB2064</f>
        <v>0</v>
      </c>
      <c r="G1992" s="742">
        <f>Calculs!CC2064</f>
        <v>0</v>
      </c>
      <c r="H1992" s="742"/>
      <c r="I1992" s="742">
        <f>Calculs!CE2064</f>
        <v>0</v>
      </c>
      <c r="J1992" s="742">
        <f>Calculs!CF2064</f>
        <v>0</v>
      </c>
      <c r="K1992" s="742"/>
      <c r="L1992" s="742">
        <f>Calculs!CH2064</f>
        <v>0</v>
      </c>
    </row>
    <row r="1993" spans="2:12">
      <c r="B1993" s="742">
        <f>Calculs!B2065</f>
        <v>0</v>
      </c>
      <c r="C1993" s="742">
        <f>Calculs!BY2065</f>
        <v>0</v>
      </c>
      <c r="D1993" s="742">
        <f>Calculs!BZ2065</f>
        <v>0</v>
      </c>
      <c r="E1993" s="742">
        <f>Calculs!CA2065</f>
        <v>0</v>
      </c>
      <c r="F1993" s="742">
        <f>Calculs!CB2065</f>
        <v>0</v>
      </c>
      <c r="G1993" s="742">
        <f>Calculs!CC2065</f>
        <v>0</v>
      </c>
      <c r="H1993" s="742"/>
      <c r="I1993" s="742">
        <f>Calculs!CE2065</f>
        <v>0</v>
      </c>
      <c r="J1993" s="742">
        <f>Calculs!CF2065</f>
        <v>0</v>
      </c>
      <c r="K1993" s="742"/>
      <c r="L1993" s="742">
        <f>Calculs!CH2065</f>
        <v>0</v>
      </c>
    </row>
    <row r="1994" spans="2:12">
      <c r="B1994" s="742">
        <f>Calculs!B2066</f>
        <v>0</v>
      </c>
      <c r="C1994" s="742">
        <f>Calculs!BY2066</f>
        <v>0</v>
      </c>
      <c r="D1994" s="742">
        <f>Calculs!BZ2066</f>
        <v>0</v>
      </c>
      <c r="E1994" s="742">
        <f>Calculs!CA2066</f>
        <v>0</v>
      </c>
      <c r="F1994" s="742">
        <f>Calculs!CB2066</f>
        <v>0</v>
      </c>
      <c r="G1994" s="742">
        <f>Calculs!CC2066</f>
        <v>0</v>
      </c>
      <c r="H1994" s="742"/>
      <c r="I1994" s="742">
        <f>Calculs!CE2066</f>
        <v>0</v>
      </c>
      <c r="J1994" s="742">
        <f>Calculs!CF2066</f>
        <v>0</v>
      </c>
      <c r="K1994" s="742"/>
      <c r="L1994" s="742">
        <f>Calculs!CH2066</f>
        <v>0</v>
      </c>
    </row>
    <row r="1995" spans="2:12">
      <c r="B1995" s="742">
        <f>Calculs!B2067</f>
        <v>0</v>
      </c>
      <c r="C1995" s="742">
        <f>Calculs!BY2067</f>
        <v>0</v>
      </c>
      <c r="D1995" s="742">
        <f>Calculs!BZ2067</f>
        <v>0</v>
      </c>
      <c r="E1995" s="742">
        <f>Calculs!CA2067</f>
        <v>0</v>
      </c>
      <c r="F1995" s="742">
        <f>Calculs!CB2067</f>
        <v>0</v>
      </c>
      <c r="G1995" s="742">
        <f>Calculs!CC2067</f>
        <v>0</v>
      </c>
      <c r="H1995" s="742"/>
      <c r="I1995" s="742">
        <f>Calculs!CE2067</f>
        <v>0</v>
      </c>
      <c r="J1995" s="742">
        <f>Calculs!CF2067</f>
        <v>0</v>
      </c>
      <c r="K1995" s="742"/>
      <c r="L1995" s="742">
        <f>Calculs!CH2067</f>
        <v>0</v>
      </c>
    </row>
    <row r="1996" spans="2:12">
      <c r="B1996" s="742">
        <f>Calculs!B2068</f>
        <v>0</v>
      </c>
      <c r="C1996" s="742">
        <f>Calculs!BY2068</f>
        <v>0</v>
      </c>
      <c r="D1996" s="742">
        <f>Calculs!BZ2068</f>
        <v>0</v>
      </c>
      <c r="E1996" s="742">
        <f>Calculs!CA2068</f>
        <v>0</v>
      </c>
      <c r="F1996" s="742">
        <f>Calculs!CB2068</f>
        <v>0</v>
      </c>
      <c r="G1996" s="742">
        <f>Calculs!CC2068</f>
        <v>0</v>
      </c>
      <c r="H1996" s="742"/>
      <c r="I1996" s="742">
        <f>Calculs!CE2068</f>
        <v>0</v>
      </c>
      <c r="J1996" s="742">
        <f>Calculs!CF2068</f>
        <v>0</v>
      </c>
      <c r="K1996" s="742"/>
      <c r="L1996" s="742">
        <f>Calculs!CH2068</f>
        <v>0</v>
      </c>
    </row>
    <row r="1997" spans="2:12">
      <c r="B1997" s="742">
        <f>Calculs!B2069</f>
        <v>0</v>
      </c>
      <c r="C1997" s="742">
        <f>Calculs!BY2069</f>
        <v>0</v>
      </c>
      <c r="D1997" s="742">
        <f>Calculs!BZ2069</f>
        <v>0</v>
      </c>
      <c r="E1997" s="742">
        <f>Calculs!CA2069</f>
        <v>0</v>
      </c>
      <c r="F1997" s="742">
        <f>Calculs!CB2069</f>
        <v>0</v>
      </c>
      <c r="G1997" s="742">
        <f>Calculs!CC2069</f>
        <v>0</v>
      </c>
      <c r="H1997" s="742"/>
      <c r="I1997" s="742">
        <f>Calculs!CE2069</f>
        <v>0</v>
      </c>
      <c r="J1997" s="742">
        <f>Calculs!CF2069</f>
        <v>0</v>
      </c>
      <c r="K1997" s="742"/>
      <c r="L1997" s="742">
        <f>Calculs!CH2069</f>
        <v>0</v>
      </c>
    </row>
    <row r="1998" spans="2:12">
      <c r="B1998" s="742">
        <f>Calculs!B2070</f>
        <v>0</v>
      </c>
      <c r="C1998" s="742">
        <f>Calculs!BY2070</f>
        <v>0</v>
      </c>
      <c r="D1998" s="742">
        <f>Calculs!BZ2070</f>
        <v>0</v>
      </c>
      <c r="E1998" s="742">
        <f>Calculs!CA2070</f>
        <v>0</v>
      </c>
      <c r="F1998" s="742">
        <f>Calculs!CB2070</f>
        <v>0</v>
      </c>
      <c r="G1998" s="742">
        <f>Calculs!CC2070</f>
        <v>0</v>
      </c>
      <c r="H1998" s="742"/>
      <c r="I1998" s="742">
        <f>Calculs!CE2070</f>
        <v>0</v>
      </c>
      <c r="J1998" s="742">
        <f>Calculs!CF2070</f>
        <v>0</v>
      </c>
      <c r="K1998" s="742"/>
      <c r="L1998" s="742">
        <f>Calculs!CH2070</f>
        <v>0</v>
      </c>
    </row>
    <row r="1999" spans="2:12">
      <c r="B1999" s="742">
        <f>Calculs!B2071</f>
        <v>0</v>
      </c>
      <c r="C1999" s="742">
        <f>Calculs!BY2071</f>
        <v>0</v>
      </c>
      <c r="D1999" s="742">
        <f>Calculs!BZ2071</f>
        <v>0</v>
      </c>
      <c r="E1999" s="742">
        <f>Calculs!CA2071</f>
        <v>0</v>
      </c>
      <c r="F1999" s="742">
        <f>Calculs!CB2071</f>
        <v>0</v>
      </c>
      <c r="G1999" s="742">
        <f>Calculs!CC2071</f>
        <v>0</v>
      </c>
      <c r="H1999" s="742"/>
      <c r="I1999" s="742">
        <f>Calculs!CE2071</f>
        <v>0</v>
      </c>
      <c r="J1999" s="742">
        <f>Calculs!CF2071</f>
        <v>0</v>
      </c>
      <c r="K1999" s="742"/>
      <c r="L1999" s="742">
        <f>Calculs!CH2071</f>
        <v>0</v>
      </c>
    </row>
    <row r="2000" spans="2:12">
      <c r="B2000" s="742">
        <f>Calculs!B2072</f>
        <v>0</v>
      </c>
      <c r="C2000" s="742">
        <f>Calculs!BY2072</f>
        <v>0</v>
      </c>
      <c r="D2000" s="742">
        <f>Calculs!BZ2072</f>
        <v>0</v>
      </c>
      <c r="E2000" s="742">
        <f>Calculs!CA2072</f>
        <v>0</v>
      </c>
      <c r="F2000" s="742">
        <f>Calculs!CB2072</f>
        <v>0</v>
      </c>
      <c r="G2000" s="742">
        <f>Calculs!CC2072</f>
        <v>0</v>
      </c>
      <c r="H2000" s="742"/>
      <c r="I2000" s="742">
        <f>Calculs!CE2072</f>
        <v>0</v>
      </c>
      <c r="J2000" s="742">
        <f>Calculs!CF2072</f>
        <v>0</v>
      </c>
      <c r="K2000" s="742"/>
      <c r="L2000" s="742">
        <f>Calculs!CH2072</f>
        <v>0</v>
      </c>
    </row>
    <row r="2001" spans="2:12">
      <c r="B2001" s="742">
        <f>Calculs!B2073</f>
        <v>0</v>
      </c>
      <c r="C2001" s="742">
        <f>Calculs!BY2073</f>
        <v>0</v>
      </c>
      <c r="D2001" s="742">
        <f>Calculs!BZ2073</f>
        <v>0</v>
      </c>
      <c r="E2001" s="742">
        <f>Calculs!CA2073</f>
        <v>0</v>
      </c>
      <c r="F2001" s="742">
        <f>Calculs!CB2073</f>
        <v>0</v>
      </c>
      <c r="G2001" s="742">
        <f>Calculs!CC2073</f>
        <v>0</v>
      </c>
      <c r="H2001" s="742"/>
      <c r="I2001" s="742">
        <f>Calculs!CE2073</f>
        <v>0</v>
      </c>
      <c r="J2001" s="742">
        <f>Calculs!CF2073</f>
        <v>0</v>
      </c>
      <c r="K2001" s="742"/>
      <c r="L2001" s="742">
        <f>Calculs!CH2073</f>
        <v>0</v>
      </c>
    </row>
    <row r="2002" spans="2:12">
      <c r="B2002" s="742">
        <f>Calculs!B2074</f>
        <v>0</v>
      </c>
      <c r="C2002" s="742">
        <f>Calculs!BY2074</f>
        <v>0</v>
      </c>
      <c r="D2002" s="742">
        <f>Calculs!BZ2074</f>
        <v>0</v>
      </c>
      <c r="E2002" s="742">
        <f>Calculs!CA2074</f>
        <v>0</v>
      </c>
      <c r="F2002" s="742">
        <f>Calculs!CB2074</f>
        <v>0</v>
      </c>
      <c r="G2002" s="742">
        <f>Calculs!CC2074</f>
        <v>0</v>
      </c>
      <c r="H2002" s="742"/>
      <c r="I2002" s="742">
        <f>Calculs!CE2074</f>
        <v>0</v>
      </c>
      <c r="J2002" s="742">
        <f>Calculs!CF2074</f>
        <v>0</v>
      </c>
      <c r="K2002" s="742"/>
      <c r="L2002" s="742">
        <f>Calculs!CH2074</f>
        <v>0</v>
      </c>
    </row>
    <row r="2003" spans="2:12">
      <c r="B2003" s="742">
        <f>Calculs!B2075</f>
        <v>0</v>
      </c>
      <c r="C2003" s="742">
        <f>Calculs!BY2075</f>
        <v>0</v>
      </c>
      <c r="D2003" s="742">
        <f>Calculs!BZ2075</f>
        <v>0</v>
      </c>
      <c r="E2003" s="742">
        <f>Calculs!CA2075</f>
        <v>0</v>
      </c>
      <c r="F2003" s="742">
        <f>Calculs!CB2075</f>
        <v>0</v>
      </c>
      <c r="G2003" s="742">
        <f>Calculs!CC2075</f>
        <v>0</v>
      </c>
      <c r="H2003" s="742"/>
      <c r="I2003" s="742">
        <f>Calculs!CE2075</f>
        <v>0</v>
      </c>
      <c r="J2003" s="742">
        <f>Calculs!CF2075</f>
        <v>0</v>
      </c>
      <c r="K2003" s="742"/>
      <c r="L2003" s="742">
        <f>Calculs!CH2075</f>
        <v>0</v>
      </c>
    </row>
    <row r="2004" spans="2:12">
      <c r="B2004" s="742">
        <f>Calculs!B2076</f>
        <v>0</v>
      </c>
      <c r="C2004" s="742">
        <f>Calculs!BY2076</f>
        <v>0</v>
      </c>
      <c r="D2004" s="742">
        <f>Calculs!BZ2076</f>
        <v>0</v>
      </c>
      <c r="E2004" s="742">
        <f>Calculs!CA2076</f>
        <v>0</v>
      </c>
      <c r="F2004" s="742">
        <f>Calculs!CB2076</f>
        <v>0</v>
      </c>
      <c r="G2004" s="742">
        <f>Calculs!CC2076</f>
        <v>0</v>
      </c>
      <c r="H2004" s="742"/>
      <c r="I2004" s="742">
        <f>Calculs!CE2076</f>
        <v>0</v>
      </c>
      <c r="J2004" s="742">
        <f>Calculs!CF2076</f>
        <v>0</v>
      </c>
      <c r="K2004" s="742"/>
      <c r="L2004" s="742">
        <f>Calculs!CH2076</f>
        <v>0</v>
      </c>
    </row>
    <row r="2005" spans="2:12">
      <c r="B2005" s="742">
        <f>Calculs!B2077</f>
        <v>0</v>
      </c>
      <c r="C2005" s="742">
        <f>Calculs!BY2077</f>
        <v>0</v>
      </c>
      <c r="D2005" s="742">
        <f>Calculs!BZ2077</f>
        <v>0</v>
      </c>
      <c r="E2005" s="742">
        <f>Calculs!CA2077</f>
        <v>0</v>
      </c>
      <c r="F2005" s="742">
        <f>Calculs!CB2077</f>
        <v>0</v>
      </c>
      <c r="G2005" s="742">
        <f>Calculs!CC2077</f>
        <v>0</v>
      </c>
      <c r="H2005" s="742"/>
      <c r="I2005" s="742">
        <f>Calculs!CE2077</f>
        <v>0</v>
      </c>
      <c r="J2005" s="742">
        <f>Calculs!CF2077</f>
        <v>0</v>
      </c>
      <c r="K2005" s="742"/>
      <c r="L2005" s="742">
        <f>Calculs!CH2077</f>
        <v>0</v>
      </c>
    </row>
    <row r="2006" spans="2:12">
      <c r="B2006" s="742">
        <f>Calculs!B2078</f>
        <v>0</v>
      </c>
      <c r="C2006" s="742">
        <f>Calculs!BY2078</f>
        <v>0</v>
      </c>
      <c r="D2006" s="742">
        <f>Calculs!BZ2078</f>
        <v>0</v>
      </c>
      <c r="E2006" s="742">
        <f>Calculs!CA2078</f>
        <v>0</v>
      </c>
      <c r="F2006" s="742">
        <f>Calculs!CB2078</f>
        <v>0</v>
      </c>
      <c r="G2006" s="742">
        <f>Calculs!CC2078</f>
        <v>0</v>
      </c>
      <c r="H2006" s="742"/>
      <c r="I2006" s="742">
        <f>Calculs!CE2078</f>
        <v>0</v>
      </c>
      <c r="J2006" s="742">
        <f>Calculs!CF2078</f>
        <v>0</v>
      </c>
      <c r="K2006" s="742"/>
      <c r="L2006" s="742">
        <f>Calculs!CH2078</f>
        <v>0</v>
      </c>
    </row>
    <row r="2007" spans="2:12">
      <c r="B2007" s="742">
        <f>Calculs!B2079</f>
        <v>0</v>
      </c>
      <c r="C2007" s="742">
        <f>Calculs!BY2079</f>
        <v>0</v>
      </c>
      <c r="D2007" s="742">
        <f>Calculs!BZ2079</f>
        <v>0</v>
      </c>
      <c r="E2007" s="742">
        <f>Calculs!CA2079</f>
        <v>0</v>
      </c>
      <c r="F2007" s="742">
        <f>Calculs!CB2079</f>
        <v>0</v>
      </c>
      <c r="G2007" s="742">
        <f>Calculs!CC2079</f>
        <v>0</v>
      </c>
      <c r="H2007" s="742"/>
      <c r="I2007" s="742">
        <f>Calculs!CE2079</f>
        <v>0</v>
      </c>
      <c r="J2007" s="742">
        <f>Calculs!CF2079</f>
        <v>0</v>
      </c>
      <c r="K2007" s="742"/>
      <c r="L2007" s="742">
        <f>Calculs!CH2079</f>
        <v>0</v>
      </c>
    </row>
    <row r="2008" spans="2:12">
      <c r="B2008" s="742">
        <f>Calculs!B2080</f>
        <v>0</v>
      </c>
      <c r="C2008" s="742">
        <f>Calculs!BY2080</f>
        <v>0</v>
      </c>
      <c r="D2008" s="742">
        <f>Calculs!BZ2080</f>
        <v>0</v>
      </c>
      <c r="E2008" s="742">
        <f>Calculs!CA2080</f>
        <v>0</v>
      </c>
      <c r="F2008" s="742">
        <f>Calculs!CB2080</f>
        <v>0</v>
      </c>
      <c r="G2008" s="742">
        <f>Calculs!CC2080</f>
        <v>0</v>
      </c>
      <c r="H2008" s="742"/>
      <c r="I2008" s="742">
        <f>Calculs!CE2080</f>
        <v>0</v>
      </c>
      <c r="J2008" s="742">
        <f>Calculs!CF2080</f>
        <v>0</v>
      </c>
      <c r="K2008" s="742"/>
      <c r="L2008" s="742">
        <f>Calculs!CH2080</f>
        <v>0</v>
      </c>
    </row>
    <row r="2009" spans="2:12">
      <c r="B2009" s="742">
        <f>Calculs!B2081</f>
        <v>0</v>
      </c>
      <c r="C2009" s="742">
        <f>Calculs!BY2081</f>
        <v>0</v>
      </c>
      <c r="D2009" s="742">
        <f>Calculs!BZ2081</f>
        <v>0</v>
      </c>
      <c r="E2009" s="742">
        <f>Calculs!CA2081</f>
        <v>0</v>
      </c>
      <c r="F2009" s="742">
        <f>Calculs!CB2081</f>
        <v>0</v>
      </c>
      <c r="G2009" s="742">
        <f>Calculs!CC2081</f>
        <v>0</v>
      </c>
      <c r="H2009" s="742"/>
      <c r="I2009" s="742">
        <f>Calculs!CE2081</f>
        <v>0</v>
      </c>
      <c r="J2009" s="742">
        <f>Calculs!CF2081</f>
        <v>0</v>
      </c>
      <c r="K2009" s="742"/>
      <c r="L2009" s="742">
        <f>Calculs!CH2081</f>
        <v>0</v>
      </c>
    </row>
    <row r="2010" spans="2:12">
      <c r="B2010" s="742">
        <f>Calculs!B2082</f>
        <v>0</v>
      </c>
      <c r="C2010" s="742">
        <f>Calculs!BY2082</f>
        <v>0</v>
      </c>
      <c r="D2010" s="742">
        <f>Calculs!BZ2082</f>
        <v>0</v>
      </c>
      <c r="E2010" s="742">
        <f>Calculs!CA2082</f>
        <v>0</v>
      </c>
      <c r="F2010" s="742">
        <f>Calculs!CB2082</f>
        <v>0</v>
      </c>
      <c r="G2010" s="742">
        <f>Calculs!CC2082</f>
        <v>0</v>
      </c>
      <c r="H2010" s="742"/>
      <c r="I2010" s="742">
        <f>Calculs!CE2082</f>
        <v>0</v>
      </c>
      <c r="J2010" s="742">
        <f>Calculs!CF2082</f>
        <v>0</v>
      </c>
      <c r="K2010" s="742"/>
      <c r="L2010" s="742">
        <f>Calculs!CH2082</f>
        <v>0</v>
      </c>
    </row>
    <row r="2011" spans="2:12">
      <c r="B2011" s="742">
        <f>Calculs!B2083</f>
        <v>0</v>
      </c>
      <c r="C2011" s="742">
        <f>Calculs!BY2083</f>
        <v>0</v>
      </c>
      <c r="D2011" s="742">
        <f>Calculs!BZ2083</f>
        <v>0</v>
      </c>
      <c r="E2011" s="742">
        <f>Calculs!CA2083</f>
        <v>0</v>
      </c>
      <c r="F2011" s="742">
        <f>Calculs!CB2083</f>
        <v>0</v>
      </c>
      <c r="G2011" s="742">
        <f>Calculs!CC2083</f>
        <v>0</v>
      </c>
      <c r="H2011" s="742"/>
      <c r="I2011" s="742">
        <f>Calculs!CE2083</f>
        <v>0</v>
      </c>
      <c r="J2011" s="742">
        <f>Calculs!CF2083</f>
        <v>0</v>
      </c>
      <c r="K2011" s="742"/>
      <c r="L2011" s="742">
        <f>Calculs!CH2083</f>
        <v>0</v>
      </c>
    </row>
    <row r="2012" spans="2:12">
      <c r="B2012" s="742">
        <f>Calculs!B2084</f>
        <v>0</v>
      </c>
      <c r="C2012" s="742">
        <f>Calculs!BY2084</f>
        <v>0</v>
      </c>
      <c r="D2012" s="742">
        <f>Calculs!BZ2084</f>
        <v>0</v>
      </c>
      <c r="E2012" s="742">
        <f>Calculs!CA2084</f>
        <v>0</v>
      </c>
      <c r="F2012" s="742">
        <f>Calculs!CB2084</f>
        <v>0</v>
      </c>
      <c r="G2012" s="742">
        <f>Calculs!CC2084</f>
        <v>0</v>
      </c>
      <c r="H2012" s="742"/>
      <c r="I2012" s="742">
        <f>Calculs!CE2084</f>
        <v>0</v>
      </c>
      <c r="J2012" s="742">
        <f>Calculs!CF2084</f>
        <v>0</v>
      </c>
      <c r="K2012" s="742"/>
      <c r="L2012" s="742">
        <f>Calculs!CH2084</f>
        <v>0</v>
      </c>
    </row>
    <row r="2013" spans="2:12">
      <c r="B2013" s="742">
        <f>Calculs!B2085</f>
        <v>0</v>
      </c>
      <c r="C2013" s="742">
        <f>Calculs!BY2085</f>
        <v>0</v>
      </c>
      <c r="D2013" s="742">
        <f>Calculs!BZ2085</f>
        <v>0</v>
      </c>
      <c r="E2013" s="742">
        <f>Calculs!CA2085</f>
        <v>0</v>
      </c>
      <c r="F2013" s="742">
        <f>Calculs!CB2085</f>
        <v>0</v>
      </c>
      <c r="G2013" s="742">
        <f>Calculs!CC2085</f>
        <v>0</v>
      </c>
      <c r="H2013" s="742"/>
      <c r="I2013" s="742">
        <f>Calculs!CE2085</f>
        <v>0</v>
      </c>
      <c r="J2013" s="742">
        <f>Calculs!CF2085</f>
        <v>0</v>
      </c>
      <c r="K2013" s="742"/>
      <c r="L2013" s="742">
        <f>Calculs!CH2085</f>
        <v>0</v>
      </c>
    </row>
    <row r="2014" spans="2:12">
      <c r="B2014" s="742">
        <f>Calculs!B2086</f>
        <v>0</v>
      </c>
      <c r="C2014" s="742">
        <f>Calculs!BY2086</f>
        <v>0</v>
      </c>
      <c r="D2014" s="742">
        <f>Calculs!BZ2086</f>
        <v>0</v>
      </c>
      <c r="E2014" s="742">
        <f>Calculs!CA2086</f>
        <v>0</v>
      </c>
      <c r="F2014" s="742">
        <f>Calculs!CB2086</f>
        <v>0</v>
      </c>
      <c r="G2014" s="742">
        <f>Calculs!CC2086</f>
        <v>0</v>
      </c>
      <c r="H2014" s="742"/>
      <c r="I2014" s="742">
        <f>Calculs!CE2086</f>
        <v>0</v>
      </c>
      <c r="J2014" s="742">
        <f>Calculs!CF2086</f>
        <v>0</v>
      </c>
      <c r="K2014" s="742"/>
      <c r="L2014" s="742">
        <f>Calculs!CH2086</f>
        <v>0</v>
      </c>
    </row>
    <row r="2015" spans="2:12">
      <c r="B2015" s="742">
        <f>Calculs!B2087</f>
        <v>0</v>
      </c>
      <c r="C2015" s="742">
        <f>Calculs!BY2087</f>
        <v>0</v>
      </c>
      <c r="D2015" s="742">
        <f>Calculs!BZ2087</f>
        <v>0</v>
      </c>
      <c r="E2015" s="742">
        <f>Calculs!CA2087</f>
        <v>0</v>
      </c>
      <c r="F2015" s="742">
        <f>Calculs!CB2087</f>
        <v>0</v>
      </c>
      <c r="G2015" s="742">
        <f>Calculs!CC2087</f>
        <v>0</v>
      </c>
      <c r="H2015" s="742"/>
      <c r="I2015" s="742">
        <f>Calculs!CE2087</f>
        <v>0</v>
      </c>
      <c r="J2015" s="742">
        <f>Calculs!CF2087</f>
        <v>0</v>
      </c>
      <c r="K2015" s="742"/>
      <c r="L2015" s="742">
        <f>Calculs!CH2087</f>
        <v>0</v>
      </c>
    </row>
    <row r="2016" spans="2:12">
      <c r="B2016" s="742">
        <f>Calculs!B2088</f>
        <v>0</v>
      </c>
      <c r="C2016" s="742">
        <f>Calculs!BY2088</f>
        <v>0</v>
      </c>
      <c r="D2016" s="742">
        <f>Calculs!BZ2088</f>
        <v>0</v>
      </c>
      <c r="E2016" s="742">
        <f>Calculs!CA2088</f>
        <v>0</v>
      </c>
      <c r="F2016" s="742">
        <f>Calculs!CB2088</f>
        <v>0</v>
      </c>
      <c r="G2016" s="742">
        <f>Calculs!CC2088</f>
        <v>0</v>
      </c>
      <c r="H2016" s="742"/>
      <c r="I2016" s="742">
        <f>Calculs!CE2088</f>
        <v>0</v>
      </c>
      <c r="J2016" s="742">
        <f>Calculs!CF2088</f>
        <v>0</v>
      </c>
      <c r="K2016" s="742"/>
      <c r="L2016" s="742">
        <f>Calculs!CH2088</f>
        <v>0</v>
      </c>
    </row>
    <row r="2017" spans="2:12">
      <c r="B2017" s="742">
        <f>Calculs!B2089</f>
        <v>0</v>
      </c>
      <c r="C2017" s="742">
        <f>Calculs!BY2089</f>
        <v>0</v>
      </c>
      <c r="D2017" s="742">
        <f>Calculs!BZ2089</f>
        <v>0</v>
      </c>
      <c r="E2017" s="742">
        <f>Calculs!CA2089</f>
        <v>0</v>
      </c>
      <c r="F2017" s="742">
        <f>Calculs!CB2089</f>
        <v>0</v>
      </c>
      <c r="G2017" s="742">
        <f>Calculs!CC2089</f>
        <v>0</v>
      </c>
      <c r="H2017" s="742"/>
      <c r="I2017" s="742">
        <f>Calculs!CE2089</f>
        <v>0</v>
      </c>
      <c r="J2017" s="742">
        <f>Calculs!CF2089</f>
        <v>0</v>
      </c>
      <c r="K2017" s="742"/>
      <c r="L2017" s="742">
        <f>Calculs!CH2089</f>
        <v>0</v>
      </c>
    </row>
    <row r="2018" spans="2:12">
      <c r="B2018" s="742">
        <f>Calculs!B2090</f>
        <v>0</v>
      </c>
      <c r="C2018" s="742">
        <f>Calculs!BY2090</f>
        <v>0</v>
      </c>
      <c r="D2018" s="742">
        <f>Calculs!BZ2090</f>
        <v>0</v>
      </c>
      <c r="E2018" s="742">
        <f>Calculs!CA2090</f>
        <v>0</v>
      </c>
      <c r="F2018" s="742">
        <f>Calculs!CB2090</f>
        <v>0</v>
      </c>
      <c r="G2018" s="742">
        <f>Calculs!CC2090</f>
        <v>0</v>
      </c>
      <c r="H2018" s="742"/>
      <c r="I2018" s="742">
        <f>Calculs!CE2090</f>
        <v>0</v>
      </c>
      <c r="J2018" s="742">
        <f>Calculs!CF2090</f>
        <v>0</v>
      </c>
      <c r="K2018" s="742"/>
      <c r="L2018" s="742">
        <f>Calculs!CH2090</f>
        <v>0</v>
      </c>
    </row>
    <row r="2019" spans="2:12">
      <c r="B2019" s="742">
        <f>Calculs!B2091</f>
        <v>0</v>
      </c>
      <c r="C2019" s="742">
        <f>Calculs!BY2091</f>
        <v>0</v>
      </c>
      <c r="D2019" s="742">
        <f>Calculs!BZ2091</f>
        <v>0</v>
      </c>
      <c r="E2019" s="742">
        <f>Calculs!CA2091</f>
        <v>0</v>
      </c>
      <c r="F2019" s="742">
        <f>Calculs!CB2091</f>
        <v>0</v>
      </c>
      <c r="G2019" s="742">
        <f>Calculs!CC2091</f>
        <v>0</v>
      </c>
      <c r="H2019" s="742"/>
      <c r="I2019" s="742">
        <f>Calculs!CE2091</f>
        <v>0</v>
      </c>
      <c r="J2019" s="742">
        <f>Calculs!CF2091</f>
        <v>0</v>
      </c>
      <c r="K2019" s="742"/>
      <c r="L2019" s="742">
        <f>Calculs!CH2091</f>
        <v>0</v>
      </c>
    </row>
    <row r="2020" spans="2:12">
      <c r="B2020" s="742">
        <f>Calculs!B2092</f>
        <v>0</v>
      </c>
      <c r="C2020" s="742">
        <f>Calculs!BY2092</f>
        <v>0</v>
      </c>
      <c r="D2020" s="742">
        <f>Calculs!BZ2092</f>
        <v>0</v>
      </c>
      <c r="E2020" s="742">
        <f>Calculs!CA2092</f>
        <v>0</v>
      </c>
      <c r="F2020" s="742">
        <f>Calculs!CB2092</f>
        <v>0</v>
      </c>
      <c r="G2020" s="742">
        <f>Calculs!CC2092</f>
        <v>0</v>
      </c>
      <c r="H2020" s="742"/>
      <c r="I2020" s="742">
        <f>Calculs!CE2092</f>
        <v>0</v>
      </c>
      <c r="J2020" s="742">
        <f>Calculs!CF2092</f>
        <v>0</v>
      </c>
      <c r="K2020" s="742"/>
      <c r="L2020" s="742">
        <f>Calculs!CH2092</f>
        <v>0</v>
      </c>
    </row>
    <row r="2021" spans="2:12">
      <c r="B2021" s="742">
        <f>Calculs!B2093</f>
        <v>0</v>
      </c>
      <c r="C2021" s="742">
        <f>Calculs!BY2093</f>
        <v>0</v>
      </c>
      <c r="D2021" s="742">
        <f>Calculs!BZ2093</f>
        <v>0</v>
      </c>
      <c r="E2021" s="742">
        <f>Calculs!CA2093</f>
        <v>0</v>
      </c>
      <c r="F2021" s="742">
        <f>Calculs!CB2093</f>
        <v>0</v>
      </c>
      <c r="G2021" s="742">
        <f>Calculs!CC2093</f>
        <v>0</v>
      </c>
      <c r="H2021" s="742"/>
      <c r="I2021" s="742">
        <f>Calculs!CE2093</f>
        <v>0</v>
      </c>
      <c r="J2021" s="742">
        <f>Calculs!CF2093</f>
        <v>0</v>
      </c>
      <c r="K2021" s="742"/>
      <c r="L2021" s="742">
        <f>Calculs!CH2093</f>
        <v>0</v>
      </c>
    </row>
    <row r="2022" spans="2:12">
      <c r="B2022" s="742">
        <f>Calculs!B2094</f>
        <v>0</v>
      </c>
      <c r="C2022" s="742">
        <f>Calculs!BY2094</f>
        <v>0</v>
      </c>
      <c r="D2022" s="742">
        <f>Calculs!BZ2094</f>
        <v>0</v>
      </c>
      <c r="E2022" s="742">
        <f>Calculs!CA2094</f>
        <v>0</v>
      </c>
      <c r="F2022" s="742">
        <f>Calculs!CB2094</f>
        <v>0</v>
      </c>
      <c r="G2022" s="742">
        <f>Calculs!CC2094</f>
        <v>0</v>
      </c>
      <c r="H2022" s="742"/>
      <c r="I2022" s="742">
        <f>Calculs!CE2094</f>
        <v>0</v>
      </c>
      <c r="J2022" s="742">
        <f>Calculs!CF2094</f>
        <v>0</v>
      </c>
      <c r="K2022" s="742"/>
      <c r="L2022" s="742">
        <f>Calculs!CH2094</f>
        <v>0</v>
      </c>
    </row>
    <row r="2023" spans="2:12">
      <c r="B2023" s="742">
        <f>Calculs!B2095</f>
        <v>0</v>
      </c>
      <c r="C2023" s="742">
        <f>Calculs!BY2095</f>
        <v>0</v>
      </c>
      <c r="D2023" s="742">
        <f>Calculs!BZ2095</f>
        <v>0</v>
      </c>
      <c r="E2023" s="742">
        <f>Calculs!CA2095</f>
        <v>0</v>
      </c>
      <c r="F2023" s="742">
        <f>Calculs!CB2095</f>
        <v>0</v>
      </c>
      <c r="G2023" s="742">
        <f>Calculs!CC2095</f>
        <v>0</v>
      </c>
      <c r="H2023" s="742"/>
      <c r="I2023" s="742">
        <f>Calculs!CE2095</f>
        <v>0</v>
      </c>
      <c r="J2023" s="742">
        <f>Calculs!CF2095</f>
        <v>0</v>
      </c>
      <c r="K2023" s="742"/>
      <c r="L2023" s="742">
        <f>Calculs!CH2095</f>
        <v>0</v>
      </c>
    </row>
    <row r="2024" spans="2:12">
      <c r="B2024" s="742">
        <f>Calculs!B2096</f>
        <v>0</v>
      </c>
      <c r="C2024" s="742">
        <f>Calculs!BY2096</f>
        <v>0</v>
      </c>
      <c r="D2024" s="742">
        <f>Calculs!BZ2096</f>
        <v>0</v>
      </c>
      <c r="E2024" s="742">
        <f>Calculs!CA2096</f>
        <v>0</v>
      </c>
      <c r="F2024" s="742">
        <f>Calculs!CB2096</f>
        <v>0</v>
      </c>
      <c r="G2024" s="742">
        <f>Calculs!CC2096</f>
        <v>0</v>
      </c>
      <c r="H2024" s="742"/>
      <c r="I2024" s="742">
        <f>Calculs!CE2096</f>
        <v>0</v>
      </c>
      <c r="J2024" s="742">
        <f>Calculs!CF2096</f>
        <v>0</v>
      </c>
      <c r="K2024" s="742"/>
      <c r="L2024" s="742">
        <f>Calculs!CH2096</f>
        <v>0</v>
      </c>
    </row>
    <row r="2025" spans="2:12">
      <c r="B2025" s="742">
        <f>Calculs!B2097</f>
        <v>0</v>
      </c>
      <c r="C2025" s="742">
        <f>Calculs!BY2097</f>
        <v>0</v>
      </c>
      <c r="D2025" s="742">
        <f>Calculs!BZ2097</f>
        <v>0</v>
      </c>
      <c r="E2025" s="742">
        <f>Calculs!CA2097</f>
        <v>0</v>
      </c>
      <c r="F2025" s="742">
        <f>Calculs!CB2097</f>
        <v>0</v>
      </c>
      <c r="G2025" s="742">
        <f>Calculs!CC2097</f>
        <v>0</v>
      </c>
      <c r="H2025" s="742"/>
      <c r="I2025" s="742">
        <f>Calculs!CE2097</f>
        <v>0</v>
      </c>
      <c r="J2025" s="742">
        <f>Calculs!CF2097</f>
        <v>0</v>
      </c>
      <c r="K2025" s="742"/>
      <c r="L2025" s="742">
        <f>Calculs!CH2097</f>
        <v>0</v>
      </c>
    </row>
    <row r="2026" spans="2:12">
      <c r="B2026" s="742">
        <f>Calculs!B2098</f>
        <v>0</v>
      </c>
      <c r="C2026" s="742">
        <f>Calculs!BY2098</f>
        <v>0</v>
      </c>
      <c r="D2026" s="742">
        <f>Calculs!BZ2098</f>
        <v>0</v>
      </c>
      <c r="E2026" s="742">
        <f>Calculs!CA2098</f>
        <v>0</v>
      </c>
      <c r="F2026" s="742">
        <f>Calculs!CB2098</f>
        <v>0</v>
      </c>
      <c r="G2026" s="742">
        <f>Calculs!CC2098</f>
        <v>0</v>
      </c>
      <c r="H2026" s="742"/>
      <c r="I2026" s="742">
        <f>Calculs!CE2098</f>
        <v>0</v>
      </c>
      <c r="J2026" s="742">
        <f>Calculs!CF2098</f>
        <v>0</v>
      </c>
      <c r="K2026" s="742"/>
      <c r="L2026" s="742">
        <f>Calculs!CH2098</f>
        <v>0</v>
      </c>
    </row>
    <row r="2027" spans="2:12">
      <c r="B2027" s="742">
        <f>Calculs!B2099</f>
        <v>0</v>
      </c>
      <c r="C2027" s="742">
        <f>Calculs!BY2099</f>
        <v>0</v>
      </c>
      <c r="D2027" s="742">
        <f>Calculs!BZ2099</f>
        <v>0</v>
      </c>
      <c r="E2027" s="742">
        <f>Calculs!CA2099</f>
        <v>0</v>
      </c>
      <c r="F2027" s="742">
        <f>Calculs!CB2099</f>
        <v>0</v>
      </c>
      <c r="G2027" s="742">
        <f>Calculs!CC2099</f>
        <v>0</v>
      </c>
      <c r="H2027" s="742"/>
      <c r="I2027" s="742">
        <f>Calculs!CE2099</f>
        <v>0</v>
      </c>
      <c r="J2027" s="742">
        <f>Calculs!CF2099</f>
        <v>0</v>
      </c>
      <c r="K2027" s="742"/>
      <c r="L2027" s="742">
        <f>Calculs!CH2099</f>
        <v>0</v>
      </c>
    </row>
    <row r="2028" spans="2:12">
      <c r="B2028" s="742">
        <f>Calculs!B2100</f>
        <v>0</v>
      </c>
      <c r="C2028" s="742">
        <f>Calculs!BY2100</f>
        <v>0</v>
      </c>
      <c r="D2028" s="742">
        <f>Calculs!BZ2100</f>
        <v>0</v>
      </c>
      <c r="E2028" s="742">
        <f>Calculs!CA2100</f>
        <v>0</v>
      </c>
      <c r="F2028" s="742">
        <f>Calculs!CB2100</f>
        <v>0</v>
      </c>
      <c r="G2028" s="742">
        <f>Calculs!CC2100</f>
        <v>0</v>
      </c>
      <c r="H2028" s="742"/>
      <c r="I2028" s="742">
        <f>Calculs!CE2100</f>
        <v>0</v>
      </c>
      <c r="J2028" s="742">
        <f>Calculs!CF2100</f>
        <v>0</v>
      </c>
      <c r="K2028" s="742"/>
      <c r="L2028" s="742">
        <f>Calculs!CH2100</f>
        <v>0</v>
      </c>
    </row>
    <row r="2029" spans="2:12">
      <c r="B2029" s="742">
        <f>Calculs!B2101</f>
        <v>0</v>
      </c>
      <c r="C2029" s="742">
        <f>Calculs!BY2101</f>
        <v>0</v>
      </c>
      <c r="D2029" s="742">
        <f>Calculs!BZ2101</f>
        <v>0</v>
      </c>
      <c r="E2029" s="742">
        <f>Calculs!CA2101</f>
        <v>0</v>
      </c>
      <c r="F2029" s="742">
        <f>Calculs!CB2101</f>
        <v>0</v>
      </c>
      <c r="G2029" s="742">
        <f>Calculs!CC2101</f>
        <v>0</v>
      </c>
      <c r="H2029" s="742"/>
      <c r="I2029" s="742">
        <f>Calculs!CE2101</f>
        <v>0</v>
      </c>
      <c r="J2029" s="742">
        <f>Calculs!CF2101</f>
        <v>0</v>
      </c>
      <c r="K2029" s="742"/>
      <c r="L2029" s="742">
        <f>Calculs!CH2101</f>
        <v>0</v>
      </c>
    </row>
    <row r="2030" spans="2:12">
      <c r="B2030" s="742">
        <f>Calculs!B2102</f>
        <v>0</v>
      </c>
      <c r="C2030" s="742">
        <f>Calculs!BY2102</f>
        <v>0</v>
      </c>
      <c r="D2030" s="742">
        <f>Calculs!BZ2102</f>
        <v>0</v>
      </c>
      <c r="E2030" s="742">
        <f>Calculs!CA2102</f>
        <v>0</v>
      </c>
      <c r="F2030" s="742">
        <f>Calculs!CB2102</f>
        <v>0</v>
      </c>
      <c r="G2030" s="742">
        <f>Calculs!CC2102</f>
        <v>0</v>
      </c>
      <c r="H2030" s="742"/>
      <c r="I2030" s="742">
        <f>Calculs!CE2102</f>
        <v>0</v>
      </c>
      <c r="J2030" s="742">
        <f>Calculs!CF2102</f>
        <v>0</v>
      </c>
      <c r="K2030" s="742"/>
      <c r="L2030" s="742">
        <f>Calculs!CH2102</f>
        <v>0</v>
      </c>
    </row>
    <row r="2031" spans="2:12">
      <c r="B2031" s="742">
        <f>Calculs!B2103</f>
        <v>0</v>
      </c>
      <c r="C2031" s="742">
        <f>Calculs!BY2103</f>
        <v>0</v>
      </c>
      <c r="D2031" s="742">
        <f>Calculs!BZ2103</f>
        <v>0</v>
      </c>
      <c r="E2031" s="742">
        <f>Calculs!CA2103</f>
        <v>0</v>
      </c>
      <c r="F2031" s="742">
        <f>Calculs!CB2103</f>
        <v>0</v>
      </c>
      <c r="G2031" s="742">
        <f>Calculs!CC2103</f>
        <v>0</v>
      </c>
      <c r="H2031" s="742"/>
      <c r="I2031" s="742">
        <f>Calculs!CE2103</f>
        <v>0</v>
      </c>
      <c r="J2031" s="742">
        <f>Calculs!CF2103</f>
        <v>0</v>
      </c>
      <c r="K2031" s="742"/>
      <c r="L2031" s="742">
        <f>Calculs!CH2103</f>
        <v>0</v>
      </c>
    </row>
    <row r="2032" spans="2:12">
      <c r="B2032" s="742">
        <f>Calculs!B2104</f>
        <v>0</v>
      </c>
      <c r="C2032" s="742">
        <f>Calculs!BY2104</f>
        <v>0</v>
      </c>
      <c r="D2032" s="742">
        <f>Calculs!BZ2104</f>
        <v>0</v>
      </c>
      <c r="E2032" s="742">
        <f>Calculs!CA2104</f>
        <v>0</v>
      </c>
      <c r="F2032" s="742">
        <f>Calculs!CB2104</f>
        <v>0</v>
      </c>
      <c r="G2032" s="742">
        <f>Calculs!CC2104</f>
        <v>0</v>
      </c>
      <c r="H2032" s="742"/>
      <c r="I2032" s="742">
        <f>Calculs!CE2104</f>
        <v>0</v>
      </c>
      <c r="J2032" s="742">
        <f>Calculs!CF2104</f>
        <v>0</v>
      </c>
      <c r="K2032" s="742"/>
      <c r="L2032" s="742">
        <f>Calculs!CH2104</f>
        <v>0</v>
      </c>
    </row>
    <row r="2033" spans="2:12">
      <c r="B2033" s="742">
        <f>Calculs!B2105</f>
        <v>0</v>
      </c>
      <c r="C2033" s="742">
        <f>Calculs!BY2105</f>
        <v>0</v>
      </c>
      <c r="D2033" s="742">
        <f>Calculs!BZ2105</f>
        <v>0</v>
      </c>
      <c r="E2033" s="742">
        <f>Calculs!CA2105</f>
        <v>0</v>
      </c>
      <c r="F2033" s="742">
        <f>Calculs!CB2105</f>
        <v>0</v>
      </c>
      <c r="G2033" s="742">
        <f>Calculs!CC2105</f>
        <v>0</v>
      </c>
      <c r="H2033" s="742"/>
      <c r="I2033" s="742">
        <f>Calculs!CE2105</f>
        <v>0</v>
      </c>
      <c r="J2033" s="742">
        <f>Calculs!CF2105</f>
        <v>0</v>
      </c>
      <c r="K2033" s="742"/>
      <c r="L2033" s="742">
        <f>Calculs!CH2105</f>
        <v>0</v>
      </c>
    </row>
    <row r="2034" spans="2:12">
      <c r="B2034" s="742">
        <f>Calculs!B2106</f>
        <v>0</v>
      </c>
      <c r="C2034" s="742">
        <f>Calculs!BY2106</f>
        <v>0</v>
      </c>
      <c r="D2034" s="742">
        <f>Calculs!BZ2106</f>
        <v>0</v>
      </c>
      <c r="E2034" s="742">
        <f>Calculs!CA2106</f>
        <v>0</v>
      </c>
      <c r="F2034" s="742">
        <f>Calculs!CB2106</f>
        <v>0</v>
      </c>
      <c r="G2034" s="742">
        <f>Calculs!CC2106</f>
        <v>0</v>
      </c>
      <c r="H2034" s="742"/>
      <c r="I2034" s="742">
        <f>Calculs!CE2106</f>
        <v>0</v>
      </c>
      <c r="J2034" s="742">
        <f>Calculs!CF2106</f>
        <v>0</v>
      </c>
      <c r="K2034" s="742"/>
      <c r="L2034" s="742">
        <f>Calculs!CH2106</f>
        <v>0</v>
      </c>
    </row>
    <row r="2035" spans="2:12">
      <c r="B2035" s="742">
        <f>Calculs!B2107</f>
        <v>0</v>
      </c>
      <c r="C2035" s="742">
        <f>Calculs!BY2107</f>
        <v>0</v>
      </c>
      <c r="D2035" s="742">
        <f>Calculs!BZ2107</f>
        <v>0</v>
      </c>
      <c r="E2035" s="742">
        <f>Calculs!CA2107</f>
        <v>0</v>
      </c>
      <c r="F2035" s="742">
        <f>Calculs!CB2107</f>
        <v>0</v>
      </c>
      <c r="G2035" s="742">
        <f>Calculs!CC2107</f>
        <v>0</v>
      </c>
      <c r="H2035" s="742"/>
      <c r="I2035" s="742">
        <f>Calculs!CE2107</f>
        <v>0</v>
      </c>
      <c r="J2035" s="742">
        <f>Calculs!CF2107</f>
        <v>0</v>
      </c>
      <c r="K2035" s="742"/>
      <c r="L2035" s="742">
        <f>Calculs!CH2107</f>
        <v>0</v>
      </c>
    </row>
    <row r="2036" spans="2:12">
      <c r="B2036" s="742">
        <f>Calculs!B2108</f>
        <v>0</v>
      </c>
      <c r="C2036" s="742">
        <f>Calculs!BY2108</f>
        <v>0</v>
      </c>
      <c r="D2036" s="742">
        <f>Calculs!BZ2108</f>
        <v>0</v>
      </c>
      <c r="E2036" s="742">
        <f>Calculs!CA2108</f>
        <v>0</v>
      </c>
      <c r="F2036" s="742">
        <f>Calculs!CB2108</f>
        <v>0</v>
      </c>
      <c r="G2036" s="742">
        <f>Calculs!CC2108</f>
        <v>0</v>
      </c>
      <c r="H2036" s="742"/>
      <c r="I2036" s="742">
        <f>Calculs!CE2108</f>
        <v>0</v>
      </c>
      <c r="J2036" s="742">
        <f>Calculs!CF2108</f>
        <v>0</v>
      </c>
      <c r="K2036" s="742"/>
      <c r="L2036" s="742">
        <f>Calculs!CH2108</f>
        <v>0</v>
      </c>
    </row>
    <row r="2037" spans="2:12">
      <c r="B2037" s="742">
        <f>Calculs!B2109</f>
        <v>0</v>
      </c>
      <c r="C2037" s="742">
        <f>Calculs!BY2109</f>
        <v>0</v>
      </c>
      <c r="D2037" s="742">
        <f>Calculs!BZ2109</f>
        <v>0</v>
      </c>
      <c r="E2037" s="742">
        <f>Calculs!CA2109</f>
        <v>0</v>
      </c>
      <c r="F2037" s="742">
        <f>Calculs!CB2109</f>
        <v>0</v>
      </c>
      <c r="G2037" s="742">
        <f>Calculs!CC2109</f>
        <v>0</v>
      </c>
      <c r="H2037" s="742"/>
      <c r="I2037" s="742">
        <f>Calculs!CE2109</f>
        <v>0</v>
      </c>
      <c r="J2037" s="742">
        <f>Calculs!CF2109</f>
        <v>0</v>
      </c>
      <c r="K2037" s="742"/>
      <c r="L2037" s="742">
        <f>Calculs!CH2109</f>
        <v>0</v>
      </c>
    </row>
    <row r="2038" spans="2:12">
      <c r="B2038" s="742">
        <f>Calculs!B2110</f>
        <v>0</v>
      </c>
      <c r="C2038" s="742">
        <f>Calculs!BY2110</f>
        <v>0</v>
      </c>
      <c r="D2038" s="742">
        <f>Calculs!BZ2110</f>
        <v>0</v>
      </c>
      <c r="E2038" s="742">
        <f>Calculs!CA2110</f>
        <v>0</v>
      </c>
      <c r="F2038" s="742">
        <f>Calculs!CB2110</f>
        <v>0</v>
      </c>
      <c r="G2038" s="742">
        <f>Calculs!CC2110</f>
        <v>0</v>
      </c>
      <c r="H2038" s="742"/>
      <c r="I2038" s="742">
        <f>Calculs!CE2110</f>
        <v>0</v>
      </c>
      <c r="J2038" s="742">
        <f>Calculs!CF2110</f>
        <v>0</v>
      </c>
      <c r="K2038" s="742"/>
      <c r="L2038" s="742">
        <f>Calculs!CH2110</f>
        <v>0</v>
      </c>
    </row>
    <row r="2039" spans="2:12">
      <c r="B2039" s="742">
        <f>Calculs!B2111</f>
        <v>0</v>
      </c>
      <c r="C2039" s="742">
        <f>Calculs!BY2111</f>
        <v>0</v>
      </c>
      <c r="D2039" s="742">
        <f>Calculs!BZ2111</f>
        <v>0</v>
      </c>
      <c r="E2039" s="742">
        <f>Calculs!CA2111</f>
        <v>0</v>
      </c>
      <c r="F2039" s="742">
        <f>Calculs!CB2111</f>
        <v>0</v>
      </c>
      <c r="G2039" s="742">
        <f>Calculs!CC2111</f>
        <v>0</v>
      </c>
      <c r="H2039" s="742"/>
      <c r="I2039" s="742">
        <f>Calculs!CE2111</f>
        <v>0</v>
      </c>
      <c r="J2039" s="742">
        <f>Calculs!CF2111</f>
        <v>0</v>
      </c>
      <c r="K2039" s="742"/>
      <c r="L2039" s="742">
        <f>Calculs!CH2111</f>
        <v>0</v>
      </c>
    </row>
    <row r="2040" spans="2:12">
      <c r="B2040" s="742">
        <f>Calculs!B2112</f>
        <v>0</v>
      </c>
      <c r="C2040" s="742">
        <f>Calculs!BY2112</f>
        <v>0</v>
      </c>
      <c r="D2040" s="742">
        <f>Calculs!BZ2112</f>
        <v>0</v>
      </c>
      <c r="E2040" s="742">
        <f>Calculs!CA2112</f>
        <v>0</v>
      </c>
      <c r="F2040" s="742">
        <f>Calculs!CB2112</f>
        <v>0</v>
      </c>
      <c r="G2040" s="742">
        <f>Calculs!CC2112</f>
        <v>0</v>
      </c>
      <c r="H2040" s="742"/>
      <c r="I2040" s="742">
        <f>Calculs!CE2112</f>
        <v>0</v>
      </c>
      <c r="J2040" s="742">
        <f>Calculs!CF2112</f>
        <v>0</v>
      </c>
      <c r="K2040" s="742"/>
      <c r="L2040" s="742">
        <f>Calculs!CH2112</f>
        <v>0</v>
      </c>
    </row>
    <row r="2041" spans="2:12">
      <c r="B2041" s="742">
        <f>Calculs!B2113</f>
        <v>0</v>
      </c>
      <c r="C2041" s="742">
        <f>Calculs!BY2113</f>
        <v>0</v>
      </c>
      <c r="D2041" s="742">
        <f>Calculs!BZ2113</f>
        <v>0</v>
      </c>
      <c r="E2041" s="742">
        <f>Calculs!CA2113</f>
        <v>0</v>
      </c>
      <c r="F2041" s="742">
        <f>Calculs!CB2113</f>
        <v>0</v>
      </c>
      <c r="G2041" s="742">
        <f>Calculs!CC2113</f>
        <v>0</v>
      </c>
      <c r="H2041" s="742"/>
      <c r="I2041" s="742">
        <f>Calculs!CE2113</f>
        <v>0</v>
      </c>
      <c r="J2041" s="742">
        <f>Calculs!CF2113</f>
        <v>0</v>
      </c>
      <c r="K2041" s="742"/>
      <c r="L2041" s="742">
        <f>Calculs!CH2113</f>
        <v>0</v>
      </c>
    </row>
    <row r="2042" spans="2:12">
      <c r="B2042" s="742">
        <f>Calculs!B2114</f>
        <v>0</v>
      </c>
      <c r="C2042" s="742">
        <f>Calculs!BY2114</f>
        <v>0</v>
      </c>
      <c r="D2042" s="742">
        <f>Calculs!BZ2114</f>
        <v>0</v>
      </c>
      <c r="E2042" s="742">
        <f>Calculs!CA2114</f>
        <v>0</v>
      </c>
      <c r="F2042" s="742">
        <f>Calculs!CB2114</f>
        <v>0</v>
      </c>
      <c r="G2042" s="742">
        <f>Calculs!CC2114</f>
        <v>0</v>
      </c>
      <c r="H2042" s="742"/>
      <c r="I2042" s="742">
        <f>Calculs!CE2114</f>
        <v>0</v>
      </c>
      <c r="J2042" s="742">
        <f>Calculs!CF2114</f>
        <v>0</v>
      </c>
      <c r="K2042" s="742"/>
      <c r="L2042" s="742">
        <f>Calculs!CH2114</f>
        <v>0</v>
      </c>
    </row>
    <row r="2043" spans="2:12">
      <c r="B2043" s="742">
        <f>Calculs!B2115</f>
        <v>0</v>
      </c>
      <c r="C2043" s="742">
        <f>Calculs!BY2115</f>
        <v>0</v>
      </c>
      <c r="D2043" s="742">
        <f>Calculs!BZ2115</f>
        <v>0</v>
      </c>
      <c r="E2043" s="742">
        <f>Calculs!CA2115</f>
        <v>0</v>
      </c>
      <c r="F2043" s="742">
        <f>Calculs!CB2115</f>
        <v>0</v>
      </c>
      <c r="G2043" s="742">
        <f>Calculs!CC2115</f>
        <v>0</v>
      </c>
      <c r="H2043" s="742"/>
      <c r="I2043" s="742">
        <f>Calculs!CE2115</f>
        <v>0</v>
      </c>
      <c r="J2043" s="742">
        <f>Calculs!CF2115</f>
        <v>0</v>
      </c>
      <c r="K2043" s="742"/>
      <c r="L2043" s="742">
        <f>Calculs!CH2115</f>
        <v>0</v>
      </c>
    </row>
    <row r="2044" spans="2:12">
      <c r="B2044" s="742">
        <f>Calculs!B2116</f>
        <v>0</v>
      </c>
      <c r="C2044" s="742">
        <f>Calculs!BY2116</f>
        <v>0</v>
      </c>
      <c r="D2044" s="742">
        <f>Calculs!BZ2116</f>
        <v>0</v>
      </c>
      <c r="E2044" s="742">
        <f>Calculs!CA2116</f>
        <v>0</v>
      </c>
      <c r="F2044" s="742">
        <f>Calculs!CB2116</f>
        <v>0</v>
      </c>
      <c r="G2044" s="742">
        <f>Calculs!CC2116</f>
        <v>0</v>
      </c>
      <c r="H2044" s="742"/>
      <c r="I2044" s="742">
        <f>Calculs!CE2116</f>
        <v>0</v>
      </c>
      <c r="J2044" s="742">
        <f>Calculs!CF2116</f>
        <v>0</v>
      </c>
      <c r="K2044" s="742"/>
      <c r="L2044" s="742">
        <f>Calculs!CH2116</f>
        <v>0</v>
      </c>
    </row>
    <row r="2045" spans="2:12">
      <c r="B2045" s="742">
        <f>Calculs!B2117</f>
        <v>0</v>
      </c>
      <c r="C2045" s="742">
        <f>Calculs!BY2117</f>
        <v>0</v>
      </c>
      <c r="D2045" s="742">
        <f>Calculs!BZ2117</f>
        <v>0</v>
      </c>
      <c r="E2045" s="742">
        <f>Calculs!CA2117</f>
        <v>0</v>
      </c>
      <c r="F2045" s="742">
        <f>Calculs!CB2117</f>
        <v>0</v>
      </c>
      <c r="G2045" s="742">
        <f>Calculs!CC2117</f>
        <v>0</v>
      </c>
      <c r="H2045" s="742"/>
      <c r="I2045" s="742">
        <f>Calculs!CE2117</f>
        <v>0</v>
      </c>
      <c r="J2045" s="742">
        <f>Calculs!CF2117</f>
        <v>0</v>
      </c>
      <c r="K2045" s="742"/>
      <c r="L2045" s="742">
        <f>Calculs!CH2117</f>
        <v>0</v>
      </c>
    </row>
    <row r="2046" spans="2:12">
      <c r="B2046" s="742">
        <f>Calculs!B2118</f>
        <v>0</v>
      </c>
      <c r="C2046" s="742">
        <f>Calculs!BY2118</f>
        <v>0</v>
      </c>
      <c r="D2046" s="742">
        <f>Calculs!BZ2118</f>
        <v>0</v>
      </c>
      <c r="E2046" s="742">
        <f>Calculs!CA2118</f>
        <v>0</v>
      </c>
      <c r="F2046" s="742">
        <f>Calculs!CB2118</f>
        <v>0</v>
      </c>
      <c r="G2046" s="742">
        <f>Calculs!CC2118</f>
        <v>0</v>
      </c>
      <c r="H2046" s="742"/>
      <c r="I2046" s="742">
        <f>Calculs!CE2118</f>
        <v>0</v>
      </c>
      <c r="J2046" s="742">
        <f>Calculs!CF2118</f>
        <v>0</v>
      </c>
      <c r="K2046" s="742"/>
      <c r="L2046" s="742">
        <f>Calculs!CH2118</f>
        <v>0</v>
      </c>
    </row>
    <row r="2047" spans="2:12">
      <c r="B2047" s="742">
        <f>Calculs!B2119</f>
        <v>0</v>
      </c>
      <c r="C2047" s="742">
        <f>Calculs!BY2119</f>
        <v>0</v>
      </c>
      <c r="D2047" s="742">
        <f>Calculs!BZ2119</f>
        <v>0</v>
      </c>
      <c r="E2047" s="742">
        <f>Calculs!CA2119</f>
        <v>0</v>
      </c>
      <c r="F2047" s="742">
        <f>Calculs!CB2119</f>
        <v>0</v>
      </c>
      <c r="G2047" s="742">
        <f>Calculs!CC2119</f>
        <v>0</v>
      </c>
      <c r="H2047" s="742"/>
      <c r="I2047" s="742">
        <f>Calculs!CE2119</f>
        <v>0</v>
      </c>
      <c r="J2047" s="742">
        <f>Calculs!CF2119</f>
        <v>0</v>
      </c>
      <c r="K2047" s="742"/>
      <c r="L2047" s="742">
        <f>Calculs!CH2119</f>
        <v>0</v>
      </c>
    </row>
    <row r="2048" spans="2:12">
      <c r="B2048" s="742">
        <f>Calculs!B2120</f>
        <v>0</v>
      </c>
      <c r="C2048" s="742">
        <f>Calculs!BY2120</f>
        <v>0</v>
      </c>
      <c r="D2048" s="742">
        <f>Calculs!BZ2120</f>
        <v>0</v>
      </c>
      <c r="E2048" s="742">
        <f>Calculs!CA2120</f>
        <v>0</v>
      </c>
      <c r="F2048" s="742">
        <f>Calculs!CB2120</f>
        <v>0</v>
      </c>
      <c r="G2048" s="742">
        <f>Calculs!CC2120</f>
        <v>0</v>
      </c>
      <c r="H2048" s="742"/>
      <c r="I2048" s="742">
        <f>Calculs!CE2120</f>
        <v>0</v>
      </c>
      <c r="J2048" s="742">
        <f>Calculs!CF2120</f>
        <v>0</v>
      </c>
      <c r="K2048" s="742"/>
      <c r="L2048" s="742">
        <f>Calculs!CH2120</f>
        <v>0</v>
      </c>
    </row>
    <row r="2049" spans="2:12">
      <c r="B2049" s="742">
        <f>Calculs!B2121</f>
        <v>0</v>
      </c>
      <c r="C2049" s="742">
        <f>Calculs!BY2121</f>
        <v>0</v>
      </c>
      <c r="D2049" s="742">
        <f>Calculs!BZ2121</f>
        <v>0</v>
      </c>
      <c r="E2049" s="742">
        <f>Calculs!CA2121</f>
        <v>0</v>
      </c>
      <c r="F2049" s="742">
        <f>Calculs!CB2121</f>
        <v>0</v>
      </c>
      <c r="G2049" s="742">
        <f>Calculs!CC2121</f>
        <v>0</v>
      </c>
      <c r="H2049" s="742"/>
      <c r="I2049" s="742">
        <f>Calculs!CE2121</f>
        <v>0</v>
      </c>
      <c r="J2049" s="742">
        <f>Calculs!CF2121</f>
        <v>0</v>
      </c>
      <c r="K2049" s="742"/>
      <c r="L2049" s="742">
        <f>Calculs!CH2121</f>
        <v>0</v>
      </c>
    </row>
    <row r="2050" spans="2:12">
      <c r="B2050" s="742">
        <f>Calculs!B2122</f>
        <v>0</v>
      </c>
      <c r="C2050" s="742">
        <f>Calculs!BY2122</f>
        <v>0</v>
      </c>
      <c r="D2050" s="742">
        <f>Calculs!BZ2122</f>
        <v>0</v>
      </c>
      <c r="E2050" s="742">
        <f>Calculs!CA2122</f>
        <v>0</v>
      </c>
      <c r="F2050" s="742">
        <f>Calculs!CB2122</f>
        <v>0</v>
      </c>
      <c r="G2050" s="742">
        <f>Calculs!CC2122</f>
        <v>0</v>
      </c>
      <c r="H2050" s="742"/>
      <c r="I2050" s="742">
        <f>Calculs!CE2122</f>
        <v>0</v>
      </c>
      <c r="J2050" s="742">
        <f>Calculs!CF2122</f>
        <v>0</v>
      </c>
      <c r="K2050" s="742"/>
      <c r="L2050" s="742">
        <f>Calculs!CH2122</f>
        <v>0</v>
      </c>
    </row>
    <row r="2051" spans="2:12">
      <c r="B2051" s="742">
        <f>Calculs!B2123</f>
        <v>0</v>
      </c>
      <c r="C2051" s="742">
        <f>Calculs!BY2123</f>
        <v>0</v>
      </c>
      <c r="D2051" s="742">
        <f>Calculs!BZ2123</f>
        <v>0</v>
      </c>
      <c r="E2051" s="742">
        <f>Calculs!CA2123</f>
        <v>0</v>
      </c>
      <c r="F2051" s="742">
        <f>Calculs!CB2123</f>
        <v>0</v>
      </c>
      <c r="G2051" s="742">
        <f>Calculs!CC2123</f>
        <v>0</v>
      </c>
      <c r="H2051" s="742"/>
      <c r="I2051" s="742">
        <f>Calculs!CE2123</f>
        <v>0</v>
      </c>
      <c r="J2051" s="742">
        <f>Calculs!CF2123</f>
        <v>0</v>
      </c>
      <c r="K2051" s="742"/>
      <c r="L2051" s="742">
        <f>Calculs!CH2123</f>
        <v>0</v>
      </c>
    </row>
    <row r="2052" spans="2:12">
      <c r="B2052" s="742">
        <f>Calculs!B2124</f>
        <v>0</v>
      </c>
      <c r="C2052" s="742">
        <f>Calculs!BY2124</f>
        <v>0</v>
      </c>
      <c r="D2052" s="742">
        <f>Calculs!BZ2124</f>
        <v>0</v>
      </c>
      <c r="E2052" s="742">
        <f>Calculs!CA2124</f>
        <v>0</v>
      </c>
      <c r="F2052" s="742">
        <f>Calculs!CB2124</f>
        <v>0</v>
      </c>
      <c r="G2052" s="742">
        <f>Calculs!CC2124</f>
        <v>0</v>
      </c>
      <c r="H2052" s="742"/>
      <c r="I2052" s="742">
        <f>Calculs!CE2124</f>
        <v>0</v>
      </c>
      <c r="J2052" s="742">
        <f>Calculs!CF2124</f>
        <v>0</v>
      </c>
      <c r="K2052" s="742"/>
      <c r="L2052" s="742">
        <f>Calculs!CH2124</f>
        <v>0</v>
      </c>
    </row>
    <row r="2053" spans="2:12">
      <c r="B2053" s="742">
        <f>Calculs!B2125</f>
        <v>0</v>
      </c>
      <c r="C2053" s="742">
        <f>Calculs!BY2125</f>
        <v>0</v>
      </c>
      <c r="D2053" s="742">
        <f>Calculs!BZ2125</f>
        <v>0</v>
      </c>
      <c r="E2053" s="742">
        <f>Calculs!CA2125</f>
        <v>0</v>
      </c>
      <c r="F2053" s="742">
        <f>Calculs!CB2125</f>
        <v>0</v>
      </c>
      <c r="G2053" s="742">
        <f>Calculs!CC2125</f>
        <v>0</v>
      </c>
      <c r="H2053" s="742"/>
      <c r="I2053" s="742">
        <f>Calculs!CE2125</f>
        <v>0</v>
      </c>
      <c r="J2053" s="742">
        <f>Calculs!CF2125</f>
        <v>0</v>
      </c>
      <c r="K2053" s="742"/>
      <c r="L2053" s="742">
        <f>Calculs!CH2125</f>
        <v>0</v>
      </c>
    </row>
    <row r="2054" spans="2:12">
      <c r="B2054" s="742">
        <f>Calculs!B2126</f>
        <v>0</v>
      </c>
      <c r="C2054" s="742">
        <f>Calculs!BY2126</f>
        <v>0</v>
      </c>
      <c r="D2054" s="742">
        <f>Calculs!BZ2126</f>
        <v>0</v>
      </c>
      <c r="E2054" s="742">
        <f>Calculs!CA2126</f>
        <v>0</v>
      </c>
      <c r="F2054" s="742">
        <f>Calculs!CB2126</f>
        <v>0</v>
      </c>
      <c r="G2054" s="742">
        <f>Calculs!CC2126</f>
        <v>0</v>
      </c>
      <c r="H2054" s="742"/>
      <c r="I2054" s="742">
        <f>Calculs!CE2126</f>
        <v>0</v>
      </c>
      <c r="J2054" s="742">
        <f>Calculs!CF2126</f>
        <v>0</v>
      </c>
      <c r="K2054" s="742"/>
      <c r="L2054" s="742">
        <f>Calculs!CH2126</f>
        <v>0</v>
      </c>
    </row>
    <row r="2055" spans="2:12">
      <c r="B2055" s="742">
        <f>Calculs!B2127</f>
        <v>0</v>
      </c>
      <c r="C2055" s="742">
        <f>Calculs!BY2127</f>
        <v>0</v>
      </c>
      <c r="D2055" s="742">
        <f>Calculs!BZ2127</f>
        <v>0</v>
      </c>
      <c r="E2055" s="742">
        <f>Calculs!CA2127</f>
        <v>0</v>
      </c>
      <c r="F2055" s="742">
        <f>Calculs!CB2127</f>
        <v>0</v>
      </c>
      <c r="G2055" s="742">
        <f>Calculs!CC2127</f>
        <v>0</v>
      </c>
      <c r="H2055" s="742"/>
      <c r="I2055" s="742">
        <f>Calculs!CE2127</f>
        <v>0</v>
      </c>
      <c r="J2055" s="742">
        <f>Calculs!CF2127</f>
        <v>0</v>
      </c>
      <c r="K2055" s="742"/>
      <c r="L2055" s="742">
        <f>Calculs!CH2127</f>
        <v>0</v>
      </c>
    </row>
    <row r="2056" spans="2:12">
      <c r="B2056" s="742">
        <f>Calculs!B2128</f>
        <v>0</v>
      </c>
      <c r="C2056" s="742">
        <f>Calculs!BY2128</f>
        <v>0</v>
      </c>
      <c r="D2056" s="742">
        <f>Calculs!BZ2128</f>
        <v>0</v>
      </c>
      <c r="E2056" s="742">
        <f>Calculs!CA2128</f>
        <v>0</v>
      </c>
      <c r="F2056" s="742">
        <f>Calculs!CB2128</f>
        <v>0</v>
      </c>
      <c r="G2056" s="742">
        <f>Calculs!CC2128</f>
        <v>0</v>
      </c>
      <c r="H2056" s="742"/>
      <c r="I2056" s="742">
        <f>Calculs!CE2128</f>
        <v>0</v>
      </c>
      <c r="J2056" s="742">
        <f>Calculs!CF2128</f>
        <v>0</v>
      </c>
      <c r="K2056" s="742"/>
      <c r="L2056" s="742">
        <f>Calculs!CH2128</f>
        <v>0</v>
      </c>
    </row>
    <row r="2057" spans="2:12">
      <c r="B2057" s="742">
        <f>Calculs!B2129</f>
        <v>0</v>
      </c>
      <c r="C2057" s="742">
        <f>Calculs!BY2129</f>
        <v>0</v>
      </c>
      <c r="D2057" s="742">
        <f>Calculs!BZ2129</f>
        <v>0</v>
      </c>
      <c r="E2057" s="742">
        <f>Calculs!CA2129</f>
        <v>0</v>
      </c>
      <c r="F2057" s="742">
        <f>Calculs!CB2129</f>
        <v>0</v>
      </c>
      <c r="G2057" s="742">
        <f>Calculs!CC2129</f>
        <v>0</v>
      </c>
      <c r="H2057" s="742"/>
      <c r="I2057" s="742">
        <f>Calculs!CE2129</f>
        <v>0</v>
      </c>
      <c r="J2057" s="742">
        <f>Calculs!CF2129</f>
        <v>0</v>
      </c>
      <c r="K2057" s="742"/>
      <c r="L2057" s="742">
        <f>Calculs!CH2129</f>
        <v>0</v>
      </c>
    </row>
    <row r="2058" spans="2:12">
      <c r="B2058" s="742">
        <f>Calculs!B2130</f>
        <v>0</v>
      </c>
      <c r="C2058" s="742">
        <f>Calculs!BY2130</f>
        <v>0</v>
      </c>
      <c r="D2058" s="742">
        <f>Calculs!BZ2130</f>
        <v>0</v>
      </c>
      <c r="E2058" s="742">
        <f>Calculs!CA2130</f>
        <v>0</v>
      </c>
      <c r="F2058" s="742">
        <f>Calculs!CB2130</f>
        <v>0</v>
      </c>
      <c r="G2058" s="742">
        <f>Calculs!CC2130</f>
        <v>0</v>
      </c>
      <c r="H2058" s="742"/>
      <c r="I2058" s="742">
        <f>Calculs!CE2130</f>
        <v>0</v>
      </c>
      <c r="J2058" s="742">
        <f>Calculs!CF2130</f>
        <v>0</v>
      </c>
      <c r="K2058" s="742"/>
      <c r="L2058" s="742">
        <f>Calculs!CH2130</f>
        <v>0</v>
      </c>
    </row>
    <row r="2059" spans="2:12">
      <c r="B2059" s="742">
        <f>Calculs!B2131</f>
        <v>0</v>
      </c>
      <c r="C2059" s="742">
        <f>Calculs!BY2131</f>
        <v>0</v>
      </c>
      <c r="D2059" s="742">
        <f>Calculs!BZ2131</f>
        <v>0</v>
      </c>
      <c r="E2059" s="742">
        <f>Calculs!CA2131</f>
        <v>0</v>
      </c>
      <c r="F2059" s="742">
        <f>Calculs!CB2131</f>
        <v>0</v>
      </c>
      <c r="G2059" s="742">
        <f>Calculs!CC2131</f>
        <v>0</v>
      </c>
      <c r="H2059" s="742"/>
      <c r="I2059" s="742">
        <f>Calculs!CE2131</f>
        <v>0</v>
      </c>
      <c r="J2059" s="742">
        <f>Calculs!CF2131</f>
        <v>0</v>
      </c>
      <c r="K2059" s="742"/>
      <c r="L2059" s="742">
        <f>Calculs!CH2131</f>
        <v>0</v>
      </c>
    </row>
    <row r="2060" spans="2:12">
      <c r="B2060" s="742">
        <f>Calculs!B2132</f>
        <v>0</v>
      </c>
      <c r="C2060" s="742">
        <f>Calculs!BY2132</f>
        <v>0</v>
      </c>
      <c r="D2060" s="742">
        <f>Calculs!BZ2132</f>
        <v>0</v>
      </c>
      <c r="E2060" s="742">
        <f>Calculs!CA2132</f>
        <v>0</v>
      </c>
      <c r="F2060" s="742">
        <f>Calculs!CB2132</f>
        <v>0</v>
      </c>
      <c r="G2060" s="742">
        <f>Calculs!CC2132</f>
        <v>0</v>
      </c>
      <c r="H2060" s="742"/>
      <c r="I2060" s="742">
        <f>Calculs!CE2132</f>
        <v>0</v>
      </c>
      <c r="J2060" s="742">
        <f>Calculs!CF2132</f>
        <v>0</v>
      </c>
      <c r="K2060" s="742"/>
      <c r="L2060" s="742">
        <f>Calculs!CH2132</f>
        <v>0</v>
      </c>
    </row>
    <row r="2061" spans="2:12">
      <c r="B2061" s="742">
        <f>Calculs!B2133</f>
        <v>0</v>
      </c>
      <c r="C2061" s="742">
        <f>Calculs!BY2133</f>
        <v>0</v>
      </c>
      <c r="D2061" s="742">
        <f>Calculs!BZ2133</f>
        <v>0</v>
      </c>
      <c r="E2061" s="742">
        <f>Calculs!CA2133</f>
        <v>0</v>
      </c>
      <c r="F2061" s="742">
        <f>Calculs!CB2133</f>
        <v>0</v>
      </c>
      <c r="G2061" s="742">
        <f>Calculs!CC2133</f>
        <v>0</v>
      </c>
      <c r="H2061" s="742"/>
      <c r="I2061" s="742">
        <f>Calculs!CE2133</f>
        <v>0</v>
      </c>
      <c r="J2061" s="742">
        <f>Calculs!CF2133</f>
        <v>0</v>
      </c>
      <c r="K2061" s="742"/>
      <c r="L2061" s="742">
        <f>Calculs!CH2133</f>
        <v>0</v>
      </c>
    </row>
    <row r="2062" spans="2:12">
      <c r="B2062" s="742">
        <f>Calculs!B2134</f>
        <v>0</v>
      </c>
      <c r="C2062" s="742">
        <f>Calculs!BY2134</f>
        <v>0</v>
      </c>
      <c r="D2062" s="742">
        <f>Calculs!BZ2134</f>
        <v>0</v>
      </c>
      <c r="E2062" s="742">
        <f>Calculs!CA2134</f>
        <v>0</v>
      </c>
      <c r="F2062" s="742">
        <f>Calculs!CB2134</f>
        <v>0</v>
      </c>
      <c r="G2062" s="742">
        <f>Calculs!CC2134</f>
        <v>0</v>
      </c>
      <c r="H2062" s="742"/>
      <c r="I2062" s="742">
        <f>Calculs!CE2134</f>
        <v>0</v>
      </c>
      <c r="J2062" s="742">
        <f>Calculs!CF2134</f>
        <v>0</v>
      </c>
      <c r="K2062" s="742"/>
      <c r="L2062" s="742">
        <f>Calculs!CH2134</f>
        <v>0</v>
      </c>
    </row>
    <row r="2063" spans="2:12">
      <c r="B2063" s="742">
        <f>Calculs!B2135</f>
        <v>0</v>
      </c>
      <c r="C2063" s="742">
        <f>Calculs!BY2135</f>
        <v>0</v>
      </c>
      <c r="D2063" s="742">
        <f>Calculs!BZ2135</f>
        <v>0</v>
      </c>
      <c r="E2063" s="742">
        <f>Calculs!CA2135</f>
        <v>0</v>
      </c>
      <c r="F2063" s="742">
        <f>Calculs!CB2135</f>
        <v>0</v>
      </c>
      <c r="G2063" s="742">
        <f>Calculs!CC2135</f>
        <v>0</v>
      </c>
      <c r="H2063" s="742"/>
      <c r="I2063" s="742">
        <f>Calculs!CE2135</f>
        <v>0</v>
      </c>
      <c r="J2063" s="742">
        <f>Calculs!CF2135</f>
        <v>0</v>
      </c>
      <c r="K2063" s="742"/>
      <c r="L2063" s="742">
        <f>Calculs!CH2135</f>
        <v>0</v>
      </c>
    </row>
    <row r="2064" spans="2:12">
      <c r="B2064" s="742">
        <f>Calculs!B2136</f>
        <v>0</v>
      </c>
      <c r="C2064" s="742">
        <f>Calculs!BY2136</f>
        <v>0</v>
      </c>
      <c r="D2064" s="742">
        <f>Calculs!BZ2136</f>
        <v>0</v>
      </c>
      <c r="E2064" s="742">
        <f>Calculs!CA2136</f>
        <v>0</v>
      </c>
      <c r="F2064" s="742">
        <f>Calculs!CB2136</f>
        <v>0</v>
      </c>
      <c r="G2064" s="742">
        <f>Calculs!CC2136</f>
        <v>0</v>
      </c>
      <c r="H2064" s="742"/>
      <c r="I2064" s="742">
        <f>Calculs!CE2136</f>
        <v>0</v>
      </c>
      <c r="J2064" s="742">
        <f>Calculs!CF2136</f>
        <v>0</v>
      </c>
      <c r="K2064" s="742"/>
      <c r="L2064" s="742">
        <f>Calculs!CH2136</f>
        <v>0</v>
      </c>
    </row>
    <row r="2065" spans="2:12">
      <c r="B2065" s="742">
        <f>Calculs!B2137</f>
        <v>0</v>
      </c>
      <c r="C2065" s="742">
        <f>Calculs!BY2137</f>
        <v>0</v>
      </c>
      <c r="D2065" s="742">
        <f>Calculs!BZ2137</f>
        <v>0</v>
      </c>
      <c r="E2065" s="742">
        <f>Calculs!CA2137</f>
        <v>0</v>
      </c>
      <c r="F2065" s="742">
        <f>Calculs!CB2137</f>
        <v>0</v>
      </c>
      <c r="G2065" s="742">
        <f>Calculs!CC2137</f>
        <v>0</v>
      </c>
      <c r="H2065" s="742"/>
      <c r="I2065" s="742">
        <f>Calculs!CE2137</f>
        <v>0</v>
      </c>
      <c r="J2065" s="742">
        <f>Calculs!CF2137</f>
        <v>0</v>
      </c>
      <c r="K2065" s="742"/>
      <c r="L2065" s="742">
        <f>Calculs!CH2137</f>
        <v>0</v>
      </c>
    </row>
    <row r="2066" spans="2:12">
      <c r="B2066" s="742">
        <f>Calculs!B2138</f>
        <v>0</v>
      </c>
      <c r="C2066" s="742">
        <f>Calculs!BY2138</f>
        <v>0</v>
      </c>
      <c r="D2066" s="742">
        <f>Calculs!BZ2138</f>
        <v>0</v>
      </c>
      <c r="E2066" s="742">
        <f>Calculs!CA2138</f>
        <v>0</v>
      </c>
      <c r="F2066" s="742">
        <f>Calculs!CB2138</f>
        <v>0</v>
      </c>
      <c r="G2066" s="742">
        <f>Calculs!CC2138</f>
        <v>0</v>
      </c>
      <c r="H2066" s="742"/>
      <c r="I2066" s="742">
        <f>Calculs!CE2138</f>
        <v>0</v>
      </c>
      <c r="J2066" s="742">
        <f>Calculs!CF2138</f>
        <v>0</v>
      </c>
      <c r="K2066" s="742"/>
      <c r="L2066" s="742">
        <f>Calculs!CH2138</f>
        <v>0</v>
      </c>
    </row>
    <row r="2067" spans="2:12">
      <c r="B2067" s="742">
        <f>Calculs!B2139</f>
        <v>0</v>
      </c>
      <c r="C2067" s="742">
        <f>Calculs!BY2139</f>
        <v>0</v>
      </c>
      <c r="D2067" s="742">
        <f>Calculs!BZ2139</f>
        <v>0</v>
      </c>
      <c r="E2067" s="742">
        <f>Calculs!CA2139</f>
        <v>0</v>
      </c>
      <c r="F2067" s="742">
        <f>Calculs!CB2139</f>
        <v>0</v>
      </c>
      <c r="G2067" s="742">
        <f>Calculs!CC2139</f>
        <v>0</v>
      </c>
      <c r="H2067" s="742"/>
      <c r="I2067" s="742">
        <f>Calculs!CE2139</f>
        <v>0</v>
      </c>
      <c r="J2067" s="742">
        <f>Calculs!CF2139</f>
        <v>0</v>
      </c>
      <c r="K2067" s="742"/>
      <c r="L2067" s="742">
        <f>Calculs!CH2139</f>
        <v>0</v>
      </c>
    </row>
    <row r="2068" spans="2:12">
      <c r="B2068" s="742">
        <f>Calculs!B2140</f>
        <v>0</v>
      </c>
      <c r="C2068" s="742">
        <f>Calculs!BY2140</f>
        <v>0</v>
      </c>
      <c r="D2068" s="742">
        <f>Calculs!BZ2140</f>
        <v>0</v>
      </c>
      <c r="E2068" s="742">
        <f>Calculs!CA2140</f>
        <v>0</v>
      </c>
      <c r="F2068" s="742">
        <f>Calculs!CB2140</f>
        <v>0</v>
      </c>
      <c r="G2068" s="742">
        <f>Calculs!CC2140</f>
        <v>0</v>
      </c>
      <c r="H2068" s="742"/>
      <c r="I2068" s="742">
        <f>Calculs!CE2140</f>
        <v>0</v>
      </c>
      <c r="J2068" s="742">
        <f>Calculs!CF2140</f>
        <v>0</v>
      </c>
      <c r="K2068" s="742"/>
      <c r="L2068" s="742">
        <f>Calculs!CH2140</f>
        <v>0</v>
      </c>
    </row>
    <row r="2069" spans="2:12">
      <c r="B2069" s="742">
        <f>Calculs!B2141</f>
        <v>0</v>
      </c>
      <c r="C2069" s="742">
        <f>Calculs!BY2141</f>
        <v>0</v>
      </c>
      <c r="D2069" s="742">
        <f>Calculs!BZ2141</f>
        <v>0</v>
      </c>
      <c r="E2069" s="742">
        <f>Calculs!CA2141</f>
        <v>0</v>
      </c>
      <c r="F2069" s="742">
        <f>Calculs!CB2141</f>
        <v>0</v>
      </c>
      <c r="G2069" s="742">
        <f>Calculs!CC2141</f>
        <v>0</v>
      </c>
      <c r="H2069" s="742"/>
      <c r="I2069" s="742">
        <f>Calculs!CE2141</f>
        <v>0</v>
      </c>
      <c r="J2069" s="742">
        <f>Calculs!CF2141</f>
        <v>0</v>
      </c>
      <c r="K2069" s="742"/>
      <c r="L2069" s="742">
        <f>Calculs!CH2141</f>
        <v>0</v>
      </c>
    </row>
    <row r="2070" spans="2:12">
      <c r="B2070" s="742">
        <f>Calculs!B2142</f>
        <v>0</v>
      </c>
      <c r="C2070" s="742">
        <f>Calculs!BY2142</f>
        <v>0</v>
      </c>
      <c r="D2070" s="742">
        <f>Calculs!BZ2142</f>
        <v>0</v>
      </c>
      <c r="E2070" s="742">
        <f>Calculs!CA2142</f>
        <v>0</v>
      </c>
      <c r="F2070" s="742">
        <f>Calculs!CB2142</f>
        <v>0</v>
      </c>
      <c r="G2070" s="742">
        <f>Calculs!CC2142</f>
        <v>0</v>
      </c>
      <c r="H2070" s="742"/>
      <c r="I2070" s="742">
        <f>Calculs!CE2142</f>
        <v>0</v>
      </c>
      <c r="J2070" s="742">
        <f>Calculs!CF2142</f>
        <v>0</v>
      </c>
      <c r="K2070" s="742"/>
      <c r="L2070" s="742">
        <f>Calculs!CH2142</f>
        <v>0</v>
      </c>
    </row>
    <row r="2071" spans="2:12">
      <c r="B2071" s="742">
        <f>Calculs!B2143</f>
        <v>0</v>
      </c>
      <c r="C2071" s="742">
        <f>Calculs!BY2143</f>
        <v>0</v>
      </c>
      <c r="D2071" s="742">
        <f>Calculs!BZ2143</f>
        <v>0</v>
      </c>
      <c r="E2071" s="742">
        <f>Calculs!CA2143</f>
        <v>0</v>
      </c>
      <c r="F2071" s="742">
        <f>Calculs!CB2143</f>
        <v>0</v>
      </c>
      <c r="G2071" s="742">
        <f>Calculs!CC2143</f>
        <v>0</v>
      </c>
      <c r="H2071" s="742"/>
      <c r="I2071" s="742">
        <f>Calculs!CE2143</f>
        <v>0</v>
      </c>
      <c r="J2071" s="742">
        <f>Calculs!CF2143</f>
        <v>0</v>
      </c>
      <c r="K2071" s="742"/>
      <c r="L2071" s="742">
        <f>Calculs!CH2143</f>
        <v>0</v>
      </c>
    </row>
    <row r="2072" spans="2:12">
      <c r="B2072" s="742">
        <f>Calculs!B2144</f>
        <v>0</v>
      </c>
      <c r="C2072" s="742">
        <f>Calculs!BY2144</f>
        <v>0</v>
      </c>
      <c r="D2072" s="742">
        <f>Calculs!BZ2144</f>
        <v>0</v>
      </c>
      <c r="E2072" s="742">
        <f>Calculs!CA2144</f>
        <v>0</v>
      </c>
      <c r="F2072" s="742">
        <f>Calculs!CB2144</f>
        <v>0</v>
      </c>
      <c r="G2072" s="742">
        <f>Calculs!CC2144</f>
        <v>0</v>
      </c>
      <c r="H2072" s="742"/>
      <c r="I2072" s="742">
        <f>Calculs!CE2144</f>
        <v>0</v>
      </c>
      <c r="J2072" s="742">
        <f>Calculs!CF2144</f>
        <v>0</v>
      </c>
      <c r="K2072" s="742"/>
      <c r="L2072" s="742">
        <f>Calculs!CH2144</f>
        <v>0</v>
      </c>
    </row>
    <row r="2073" spans="2:12">
      <c r="B2073" s="742">
        <f>Calculs!B2145</f>
        <v>0</v>
      </c>
      <c r="C2073" s="742">
        <f>Calculs!BY2145</f>
        <v>0</v>
      </c>
      <c r="D2073" s="742">
        <f>Calculs!BZ2145</f>
        <v>0</v>
      </c>
      <c r="E2073" s="742">
        <f>Calculs!CA2145</f>
        <v>0</v>
      </c>
      <c r="F2073" s="742">
        <f>Calculs!CB2145</f>
        <v>0</v>
      </c>
      <c r="G2073" s="742">
        <f>Calculs!CC2145</f>
        <v>0</v>
      </c>
      <c r="H2073" s="742"/>
      <c r="I2073" s="742">
        <f>Calculs!CE2145</f>
        <v>0</v>
      </c>
      <c r="J2073" s="742">
        <f>Calculs!CF2145</f>
        <v>0</v>
      </c>
      <c r="K2073" s="742"/>
      <c r="L2073" s="742">
        <f>Calculs!CH2145</f>
        <v>0</v>
      </c>
    </row>
    <row r="2074" spans="2:12">
      <c r="B2074" s="742">
        <f>Calculs!B2146</f>
        <v>0</v>
      </c>
      <c r="C2074" s="742">
        <f>Calculs!BY2146</f>
        <v>0</v>
      </c>
      <c r="D2074" s="742">
        <f>Calculs!BZ2146</f>
        <v>0</v>
      </c>
      <c r="E2074" s="742">
        <f>Calculs!CA2146</f>
        <v>0</v>
      </c>
      <c r="F2074" s="742">
        <f>Calculs!CB2146</f>
        <v>0</v>
      </c>
      <c r="G2074" s="742">
        <f>Calculs!CC2146</f>
        <v>0</v>
      </c>
      <c r="H2074" s="742"/>
      <c r="I2074" s="742">
        <f>Calculs!CE2146</f>
        <v>0</v>
      </c>
      <c r="J2074" s="742">
        <f>Calculs!CF2146</f>
        <v>0</v>
      </c>
      <c r="K2074" s="742"/>
      <c r="L2074" s="742">
        <f>Calculs!CH2146</f>
        <v>0</v>
      </c>
    </row>
    <row r="2075" spans="2:12">
      <c r="B2075" s="742">
        <f>Calculs!B2147</f>
        <v>0</v>
      </c>
      <c r="C2075" s="742">
        <f>Calculs!BY2147</f>
        <v>0</v>
      </c>
      <c r="D2075" s="742">
        <f>Calculs!BZ2147</f>
        <v>0</v>
      </c>
      <c r="E2075" s="742">
        <f>Calculs!CA2147</f>
        <v>0</v>
      </c>
      <c r="F2075" s="742">
        <f>Calculs!CB2147</f>
        <v>0</v>
      </c>
      <c r="G2075" s="742">
        <f>Calculs!CC2147</f>
        <v>0</v>
      </c>
      <c r="H2075" s="742"/>
      <c r="I2075" s="742">
        <f>Calculs!CE2147</f>
        <v>0</v>
      </c>
      <c r="J2075" s="742">
        <f>Calculs!CF2147</f>
        <v>0</v>
      </c>
      <c r="K2075" s="742"/>
      <c r="L2075" s="742">
        <f>Calculs!CH2147</f>
        <v>0</v>
      </c>
    </row>
    <row r="2076" spans="2:12">
      <c r="B2076" s="742">
        <f>Calculs!B2148</f>
        <v>0</v>
      </c>
      <c r="C2076" s="742">
        <f>Calculs!BY2148</f>
        <v>0</v>
      </c>
      <c r="D2076" s="742">
        <f>Calculs!BZ2148</f>
        <v>0</v>
      </c>
      <c r="E2076" s="742">
        <f>Calculs!CA2148</f>
        <v>0</v>
      </c>
      <c r="F2076" s="742">
        <f>Calculs!CB2148</f>
        <v>0</v>
      </c>
      <c r="G2076" s="742">
        <f>Calculs!CC2148</f>
        <v>0</v>
      </c>
      <c r="H2076" s="742"/>
      <c r="I2076" s="742">
        <f>Calculs!CE2148</f>
        <v>0</v>
      </c>
      <c r="J2076" s="742">
        <f>Calculs!CF2148</f>
        <v>0</v>
      </c>
      <c r="K2076" s="742"/>
      <c r="L2076" s="742">
        <f>Calculs!CH2148</f>
        <v>0</v>
      </c>
    </row>
    <row r="2077" spans="2:12">
      <c r="B2077" s="742">
        <f>Calculs!B2149</f>
        <v>0</v>
      </c>
      <c r="C2077" s="742">
        <f>Calculs!BY2149</f>
        <v>0</v>
      </c>
      <c r="D2077" s="742">
        <f>Calculs!BZ2149</f>
        <v>0</v>
      </c>
      <c r="E2077" s="742">
        <f>Calculs!CA2149</f>
        <v>0</v>
      </c>
      <c r="F2077" s="742">
        <f>Calculs!CB2149</f>
        <v>0</v>
      </c>
      <c r="G2077" s="742">
        <f>Calculs!CC2149</f>
        <v>0</v>
      </c>
      <c r="H2077" s="742"/>
      <c r="I2077" s="742">
        <f>Calculs!CE2149</f>
        <v>0</v>
      </c>
      <c r="J2077" s="742">
        <f>Calculs!CF2149</f>
        <v>0</v>
      </c>
      <c r="K2077" s="742"/>
      <c r="L2077" s="742">
        <f>Calculs!CH2149</f>
        <v>0</v>
      </c>
    </row>
    <row r="2078" spans="2:12">
      <c r="B2078" s="742">
        <f>Calculs!B2150</f>
        <v>0</v>
      </c>
      <c r="C2078" s="742">
        <f>Calculs!BY2150</f>
        <v>0</v>
      </c>
      <c r="D2078" s="742">
        <f>Calculs!BZ2150</f>
        <v>0</v>
      </c>
      <c r="E2078" s="742">
        <f>Calculs!CA2150</f>
        <v>0</v>
      </c>
      <c r="F2078" s="742">
        <f>Calculs!CB2150</f>
        <v>0</v>
      </c>
      <c r="G2078" s="742">
        <f>Calculs!CC2150</f>
        <v>0</v>
      </c>
      <c r="H2078" s="742"/>
      <c r="I2078" s="742">
        <f>Calculs!CE2150</f>
        <v>0</v>
      </c>
      <c r="J2078" s="742">
        <f>Calculs!CF2150</f>
        <v>0</v>
      </c>
      <c r="K2078" s="742"/>
      <c r="L2078" s="742">
        <f>Calculs!CH2150</f>
        <v>0</v>
      </c>
    </row>
    <row r="2079" spans="2:12">
      <c r="B2079" s="742">
        <f>Calculs!B2151</f>
        <v>0</v>
      </c>
      <c r="C2079" s="742">
        <f>Calculs!BY2151</f>
        <v>0</v>
      </c>
      <c r="D2079" s="742">
        <f>Calculs!BZ2151</f>
        <v>0</v>
      </c>
      <c r="E2079" s="742">
        <f>Calculs!CA2151</f>
        <v>0</v>
      </c>
      <c r="F2079" s="742">
        <f>Calculs!CB2151</f>
        <v>0</v>
      </c>
      <c r="G2079" s="742">
        <f>Calculs!CC2151</f>
        <v>0</v>
      </c>
      <c r="H2079" s="742"/>
      <c r="I2079" s="742">
        <f>Calculs!CE2151</f>
        <v>0</v>
      </c>
      <c r="J2079" s="742">
        <f>Calculs!CF2151</f>
        <v>0</v>
      </c>
      <c r="K2079" s="742"/>
      <c r="L2079" s="742">
        <f>Calculs!CH2151</f>
        <v>0</v>
      </c>
    </row>
    <row r="2080" spans="2:12">
      <c r="B2080" s="742">
        <f>Calculs!B2152</f>
        <v>0</v>
      </c>
      <c r="C2080" s="742">
        <f>Calculs!BY2152</f>
        <v>0</v>
      </c>
      <c r="D2080" s="742">
        <f>Calculs!BZ2152</f>
        <v>0</v>
      </c>
      <c r="E2080" s="742">
        <f>Calculs!CA2152</f>
        <v>0</v>
      </c>
      <c r="F2080" s="742">
        <f>Calculs!CB2152</f>
        <v>0</v>
      </c>
      <c r="G2080" s="742">
        <f>Calculs!CC2152</f>
        <v>0</v>
      </c>
      <c r="H2080" s="742"/>
      <c r="I2080" s="742">
        <f>Calculs!CE2152</f>
        <v>0</v>
      </c>
      <c r="J2080" s="742">
        <f>Calculs!CF2152</f>
        <v>0</v>
      </c>
      <c r="K2080" s="742"/>
      <c r="L2080" s="742">
        <f>Calculs!CH2152</f>
        <v>0</v>
      </c>
    </row>
    <row r="2081" spans="2:12">
      <c r="B2081" s="742">
        <f>Calculs!B2153</f>
        <v>0</v>
      </c>
      <c r="C2081" s="742">
        <f>Calculs!BY2153</f>
        <v>0</v>
      </c>
      <c r="D2081" s="742">
        <f>Calculs!BZ2153</f>
        <v>0</v>
      </c>
      <c r="E2081" s="742">
        <f>Calculs!CA2153</f>
        <v>0</v>
      </c>
      <c r="F2081" s="742">
        <f>Calculs!CB2153</f>
        <v>0</v>
      </c>
      <c r="G2081" s="742">
        <f>Calculs!CC2153</f>
        <v>0</v>
      </c>
      <c r="H2081" s="742"/>
      <c r="I2081" s="742">
        <f>Calculs!CE2153</f>
        <v>0</v>
      </c>
      <c r="J2081" s="742">
        <f>Calculs!CF2153</f>
        <v>0</v>
      </c>
      <c r="K2081" s="742"/>
      <c r="L2081" s="742">
        <f>Calculs!CH2153</f>
        <v>0</v>
      </c>
    </row>
    <row r="2082" spans="2:12">
      <c r="B2082" s="742">
        <f>Calculs!B2154</f>
        <v>0</v>
      </c>
      <c r="C2082" s="742">
        <f>Calculs!BY2154</f>
        <v>0</v>
      </c>
      <c r="D2082" s="742">
        <f>Calculs!BZ2154</f>
        <v>0</v>
      </c>
      <c r="E2082" s="742">
        <f>Calculs!CA2154</f>
        <v>0</v>
      </c>
      <c r="F2082" s="742">
        <f>Calculs!CB2154</f>
        <v>0</v>
      </c>
      <c r="G2082" s="742">
        <f>Calculs!CC2154</f>
        <v>0</v>
      </c>
      <c r="H2082" s="742"/>
      <c r="I2082" s="742">
        <f>Calculs!CE2154</f>
        <v>0</v>
      </c>
      <c r="J2082" s="742">
        <f>Calculs!CF2154</f>
        <v>0</v>
      </c>
      <c r="K2082" s="742"/>
      <c r="L2082" s="742">
        <f>Calculs!CH2154</f>
        <v>0</v>
      </c>
    </row>
    <row r="2083" spans="2:12">
      <c r="B2083" s="742">
        <f>Calculs!B2155</f>
        <v>0</v>
      </c>
      <c r="C2083" s="742">
        <f>Calculs!BY2155</f>
        <v>0</v>
      </c>
      <c r="D2083" s="742">
        <f>Calculs!BZ2155</f>
        <v>0</v>
      </c>
      <c r="E2083" s="742">
        <f>Calculs!CA2155</f>
        <v>0</v>
      </c>
      <c r="F2083" s="742">
        <f>Calculs!CB2155</f>
        <v>0</v>
      </c>
      <c r="G2083" s="742">
        <f>Calculs!CC2155</f>
        <v>0</v>
      </c>
      <c r="H2083" s="742"/>
      <c r="I2083" s="742">
        <f>Calculs!CE2155</f>
        <v>0</v>
      </c>
      <c r="J2083" s="742">
        <f>Calculs!CF2155</f>
        <v>0</v>
      </c>
      <c r="K2083" s="742"/>
      <c r="L2083" s="742">
        <f>Calculs!CH2155</f>
        <v>0</v>
      </c>
    </row>
    <row r="2084" spans="2:12">
      <c r="B2084" s="742">
        <f>Calculs!B2156</f>
        <v>0</v>
      </c>
      <c r="C2084" s="742">
        <f>Calculs!BY2156</f>
        <v>0</v>
      </c>
      <c r="D2084" s="742">
        <f>Calculs!BZ2156</f>
        <v>0</v>
      </c>
      <c r="E2084" s="742">
        <f>Calculs!CA2156</f>
        <v>0</v>
      </c>
      <c r="F2084" s="742">
        <f>Calculs!CB2156</f>
        <v>0</v>
      </c>
      <c r="G2084" s="742">
        <f>Calculs!CC2156</f>
        <v>0</v>
      </c>
      <c r="H2084" s="742"/>
      <c r="I2084" s="742">
        <f>Calculs!CE2156</f>
        <v>0</v>
      </c>
      <c r="J2084" s="742">
        <f>Calculs!CF2156</f>
        <v>0</v>
      </c>
      <c r="K2084" s="742"/>
      <c r="L2084" s="742">
        <f>Calculs!CH2156</f>
        <v>0</v>
      </c>
    </row>
    <row r="2085" spans="2:12">
      <c r="B2085" s="742">
        <f>Calculs!B2157</f>
        <v>0</v>
      </c>
      <c r="C2085" s="742">
        <f>Calculs!BY2157</f>
        <v>0</v>
      </c>
      <c r="D2085" s="742">
        <f>Calculs!BZ2157</f>
        <v>0</v>
      </c>
      <c r="E2085" s="742">
        <f>Calculs!CA2157</f>
        <v>0</v>
      </c>
      <c r="F2085" s="742">
        <f>Calculs!CB2157</f>
        <v>0</v>
      </c>
      <c r="G2085" s="742">
        <f>Calculs!CC2157</f>
        <v>0</v>
      </c>
      <c r="H2085" s="742"/>
      <c r="I2085" s="742">
        <f>Calculs!CE2157</f>
        <v>0</v>
      </c>
      <c r="J2085" s="742">
        <f>Calculs!CF2157</f>
        <v>0</v>
      </c>
      <c r="K2085" s="742"/>
      <c r="L2085" s="742">
        <f>Calculs!CH2157</f>
        <v>0</v>
      </c>
    </row>
    <row r="2086" spans="2:12">
      <c r="B2086" s="742">
        <f>Calculs!B2158</f>
        <v>0</v>
      </c>
      <c r="C2086" s="742">
        <f>Calculs!BY2158</f>
        <v>0</v>
      </c>
      <c r="D2086" s="742">
        <f>Calculs!BZ2158</f>
        <v>0</v>
      </c>
      <c r="E2086" s="742">
        <f>Calculs!CA2158</f>
        <v>0</v>
      </c>
      <c r="F2086" s="742">
        <f>Calculs!CB2158</f>
        <v>0</v>
      </c>
      <c r="G2086" s="742">
        <f>Calculs!CC2158</f>
        <v>0</v>
      </c>
      <c r="H2086" s="742"/>
      <c r="I2086" s="742">
        <f>Calculs!CE2158</f>
        <v>0</v>
      </c>
      <c r="J2086" s="742">
        <f>Calculs!CF2158</f>
        <v>0</v>
      </c>
      <c r="K2086" s="742"/>
      <c r="L2086" s="742">
        <f>Calculs!CH2158</f>
        <v>0</v>
      </c>
    </row>
    <row r="2087" spans="2:12">
      <c r="B2087" s="742">
        <f>Calculs!B2159</f>
        <v>0</v>
      </c>
      <c r="C2087" s="742">
        <f>Calculs!BY2159</f>
        <v>0</v>
      </c>
      <c r="D2087" s="742">
        <f>Calculs!BZ2159</f>
        <v>0</v>
      </c>
      <c r="E2087" s="742">
        <f>Calculs!CA2159</f>
        <v>0</v>
      </c>
      <c r="F2087" s="742">
        <f>Calculs!CB2159</f>
        <v>0</v>
      </c>
      <c r="G2087" s="742">
        <f>Calculs!CC2159</f>
        <v>0</v>
      </c>
      <c r="H2087" s="742"/>
      <c r="I2087" s="742">
        <f>Calculs!CE2159</f>
        <v>0</v>
      </c>
      <c r="J2087" s="742">
        <f>Calculs!CF2159</f>
        <v>0</v>
      </c>
      <c r="K2087" s="742"/>
      <c r="L2087" s="742">
        <f>Calculs!CH2159</f>
        <v>0</v>
      </c>
    </row>
    <row r="2088" spans="2:12">
      <c r="B2088" s="742">
        <f>Calculs!B2160</f>
        <v>0</v>
      </c>
      <c r="C2088" s="742">
        <f>Calculs!BY2160</f>
        <v>0</v>
      </c>
      <c r="D2088" s="742">
        <f>Calculs!BZ2160</f>
        <v>0</v>
      </c>
      <c r="E2088" s="742">
        <f>Calculs!CA2160</f>
        <v>0</v>
      </c>
      <c r="F2088" s="742">
        <f>Calculs!CB2160</f>
        <v>0</v>
      </c>
      <c r="G2088" s="742">
        <f>Calculs!CC2160</f>
        <v>0</v>
      </c>
      <c r="H2088" s="742"/>
      <c r="I2088" s="742">
        <f>Calculs!CE2160</f>
        <v>0</v>
      </c>
      <c r="J2088" s="742">
        <f>Calculs!CF2160</f>
        <v>0</v>
      </c>
      <c r="K2088" s="742"/>
      <c r="L2088" s="742">
        <f>Calculs!CH2160</f>
        <v>0</v>
      </c>
    </row>
    <row r="2089" spans="2:12">
      <c r="B2089" s="742">
        <f>Calculs!B2161</f>
        <v>0</v>
      </c>
      <c r="C2089" s="742">
        <f>Calculs!BY2161</f>
        <v>0</v>
      </c>
      <c r="D2089" s="742">
        <f>Calculs!BZ2161</f>
        <v>0</v>
      </c>
      <c r="E2089" s="742">
        <f>Calculs!CA2161</f>
        <v>0</v>
      </c>
      <c r="F2089" s="742">
        <f>Calculs!CB2161</f>
        <v>0</v>
      </c>
      <c r="G2089" s="742">
        <f>Calculs!CC2161</f>
        <v>0</v>
      </c>
      <c r="H2089" s="742"/>
      <c r="I2089" s="742">
        <f>Calculs!CE2161</f>
        <v>0</v>
      </c>
      <c r="J2089" s="742">
        <f>Calculs!CF2161</f>
        <v>0</v>
      </c>
      <c r="K2089" s="742"/>
      <c r="L2089" s="742">
        <f>Calculs!CH2161</f>
        <v>0</v>
      </c>
    </row>
    <row r="2090" spans="2:12">
      <c r="B2090" s="742">
        <f>Calculs!B2162</f>
        <v>0</v>
      </c>
      <c r="C2090" s="742">
        <f>Calculs!BY2162</f>
        <v>0</v>
      </c>
      <c r="D2090" s="742">
        <f>Calculs!BZ2162</f>
        <v>0</v>
      </c>
      <c r="E2090" s="742">
        <f>Calculs!CA2162</f>
        <v>0</v>
      </c>
      <c r="F2090" s="742">
        <f>Calculs!CB2162</f>
        <v>0</v>
      </c>
      <c r="G2090" s="742">
        <f>Calculs!CC2162</f>
        <v>0</v>
      </c>
      <c r="H2090" s="742"/>
      <c r="I2090" s="742">
        <f>Calculs!CE2162</f>
        <v>0</v>
      </c>
      <c r="J2090" s="742">
        <f>Calculs!CF2162</f>
        <v>0</v>
      </c>
      <c r="K2090" s="742"/>
      <c r="L2090" s="742">
        <f>Calculs!CH2162</f>
        <v>0</v>
      </c>
    </row>
    <row r="2091" spans="2:12">
      <c r="B2091" s="742">
        <f>Calculs!B2163</f>
        <v>0</v>
      </c>
      <c r="C2091" s="742">
        <f>Calculs!BY2163</f>
        <v>0</v>
      </c>
      <c r="D2091" s="742">
        <f>Calculs!BZ2163</f>
        <v>0</v>
      </c>
      <c r="E2091" s="742">
        <f>Calculs!CA2163</f>
        <v>0</v>
      </c>
      <c r="F2091" s="742">
        <f>Calculs!CB2163</f>
        <v>0</v>
      </c>
      <c r="G2091" s="742">
        <f>Calculs!CC2163</f>
        <v>0</v>
      </c>
      <c r="H2091" s="742"/>
      <c r="I2091" s="742">
        <f>Calculs!CE2163</f>
        <v>0</v>
      </c>
      <c r="J2091" s="742">
        <f>Calculs!CF2163</f>
        <v>0</v>
      </c>
      <c r="K2091" s="742"/>
      <c r="L2091" s="742">
        <f>Calculs!CH2163</f>
        <v>0</v>
      </c>
    </row>
    <row r="2092" spans="2:12">
      <c r="B2092" s="742">
        <f>Calculs!B2164</f>
        <v>0</v>
      </c>
      <c r="C2092" s="742">
        <f>Calculs!BY2164</f>
        <v>0</v>
      </c>
      <c r="D2092" s="742">
        <f>Calculs!BZ2164</f>
        <v>0</v>
      </c>
      <c r="E2092" s="742">
        <f>Calculs!CA2164</f>
        <v>0</v>
      </c>
      <c r="F2092" s="742">
        <f>Calculs!CB2164</f>
        <v>0</v>
      </c>
      <c r="G2092" s="742">
        <f>Calculs!CC2164</f>
        <v>0</v>
      </c>
      <c r="H2092" s="742"/>
      <c r="I2092" s="742">
        <f>Calculs!CE2164</f>
        <v>0</v>
      </c>
      <c r="J2092" s="742">
        <f>Calculs!CF2164</f>
        <v>0</v>
      </c>
      <c r="K2092" s="742"/>
      <c r="L2092" s="742">
        <f>Calculs!CH2164</f>
        <v>0</v>
      </c>
    </row>
    <row r="2093" spans="2:12">
      <c r="B2093" s="742">
        <f>Calculs!B2165</f>
        <v>0</v>
      </c>
      <c r="C2093" s="742">
        <f>Calculs!BY2165</f>
        <v>0</v>
      </c>
      <c r="D2093" s="742">
        <f>Calculs!BZ2165</f>
        <v>0</v>
      </c>
      <c r="E2093" s="742">
        <f>Calculs!CA2165</f>
        <v>0</v>
      </c>
      <c r="F2093" s="742">
        <f>Calculs!CB2165</f>
        <v>0</v>
      </c>
      <c r="G2093" s="742">
        <f>Calculs!CC2165</f>
        <v>0</v>
      </c>
      <c r="H2093" s="742"/>
      <c r="I2093" s="742">
        <f>Calculs!CE2165</f>
        <v>0</v>
      </c>
      <c r="J2093" s="742">
        <f>Calculs!CF2165</f>
        <v>0</v>
      </c>
      <c r="K2093" s="742"/>
      <c r="L2093" s="742">
        <f>Calculs!CH2165</f>
        <v>0</v>
      </c>
    </row>
    <row r="2094" spans="2:12">
      <c r="B2094" s="742">
        <f>Calculs!B2166</f>
        <v>0</v>
      </c>
      <c r="C2094" s="742">
        <f>Calculs!BY2166</f>
        <v>0</v>
      </c>
      <c r="D2094" s="742">
        <f>Calculs!BZ2166</f>
        <v>0</v>
      </c>
      <c r="E2094" s="742">
        <f>Calculs!CA2166</f>
        <v>0</v>
      </c>
      <c r="F2094" s="742">
        <f>Calculs!CB2166</f>
        <v>0</v>
      </c>
      <c r="G2094" s="742">
        <f>Calculs!CC2166</f>
        <v>0</v>
      </c>
      <c r="H2094" s="742"/>
      <c r="I2094" s="742">
        <f>Calculs!CE2166</f>
        <v>0</v>
      </c>
      <c r="J2094" s="742">
        <f>Calculs!CF2166</f>
        <v>0</v>
      </c>
      <c r="K2094" s="742"/>
      <c r="L2094" s="742">
        <f>Calculs!CH2166</f>
        <v>0</v>
      </c>
    </row>
    <row r="2095" spans="2:12">
      <c r="B2095" s="742">
        <f>Calculs!B2167</f>
        <v>0</v>
      </c>
      <c r="C2095" s="742">
        <f>Calculs!BY2167</f>
        <v>0</v>
      </c>
      <c r="D2095" s="742">
        <f>Calculs!BZ2167</f>
        <v>0</v>
      </c>
      <c r="E2095" s="742">
        <f>Calculs!CA2167</f>
        <v>0</v>
      </c>
      <c r="F2095" s="742">
        <f>Calculs!CB2167</f>
        <v>0</v>
      </c>
      <c r="G2095" s="742">
        <f>Calculs!CC2167</f>
        <v>0</v>
      </c>
      <c r="H2095" s="742"/>
      <c r="I2095" s="742">
        <f>Calculs!CE2167</f>
        <v>0</v>
      </c>
      <c r="J2095" s="742">
        <f>Calculs!CF2167</f>
        <v>0</v>
      </c>
      <c r="K2095" s="742"/>
      <c r="L2095" s="742">
        <f>Calculs!CH2167</f>
        <v>0</v>
      </c>
    </row>
    <row r="2096" spans="2:12">
      <c r="B2096" s="742">
        <f>Calculs!B2168</f>
        <v>0</v>
      </c>
      <c r="C2096" s="742">
        <f>Calculs!BY2168</f>
        <v>0</v>
      </c>
      <c r="D2096" s="742">
        <f>Calculs!BZ2168</f>
        <v>0</v>
      </c>
      <c r="E2096" s="742">
        <f>Calculs!CA2168</f>
        <v>0</v>
      </c>
      <c r="F2096" s="742">
        <f>Calculs!CB2168</f>
        <v>0</v>
      </c>
      <c r="G2096" s="742">
        <f>Calculs!CC2168</f>
        <v>0</v>
      </c>
      <c r="H2096" s="742"/>
      <c r="I2096" s="742">
        <f>Calculs!CE2168</f>
        <v>0</v>
      </c>
      <c r="J2096" s="742">
        <f>Calculs!CF2168</f>
        <v>0</v>
      </c>
      <c r="K2096" s="742"/>
      <c r="L2096" s="742">
        <f>Calculs!CH2168</f>
        <v>0</v>
      </c>
    </row>
    <row r="2097" spans="2:12">
      <c r="B2097" s="742">
        <f>Calculs!B2169</f>
        <v>0</v>
      </c>
      <c r="C2097" s="742">
        <f>Calculs!BY2169</f>
        <v>0</v>
      </c>
      <c r="D2097" s="742">
        <f>Calculs!BZ2169</f>
        <v>0</v>
      </c>
      <c r="E2097" s="742">
        <f>Calculs!CA2169</f>
        <v>0</v>
      </c>
      <c r="F2097" s="742">
        <f>Calculs!CB2169</f>
        <v>0</v>
      </c>
      <c r="G2097" s="742">
        <f>Calculs!CC2169</f>
        <v>0</v>
      </c>
      <c r="H2097" s="742"/>
      <c r="I2097" s="742">
        <f>Calculs!CE2169</f>
        <v>0</v>
      </c>
      <c r="J2097" s="742">
        <f>Calculs!CF2169</f>
        <v>0</v>
      </c>
      <c r="K2097" s="742"/>
      <c r="L2097" s="742">
        <f>Calculs!CH2169</f>
        <v>0</v>
      </c>
    </row>
    <row r="2098" spans="2:12">
      <c r="B2098" s="742">
        <f>Calculs!B2170</f>
        <v>0</v>
      </c>
      <c r="C2098" s="742">
        <f>Calculs!BY2170</f>
        <v>0</v>
      </c>
      <c r="D2098" s="742">
        <f>Calculs!BZ2170</f>
        <v>0</v>
      </c>
      <c r="E2098" s="742">
        <f>Calculs!CA2170</f>
        <v>0</v>
      </c>
      <c r="F2098" s="742">
        <f>Calculs!CB2170</f>
        <v>0</v>
      </c>
      <c r="G2098" s="742">
        <f>Calculs!CC2170</f>
        <v>0</v>
      </c>
      <c r="H2098" s="742"/>
      <c r="I2098" s="742">
        <f>Calculs!CE2170</f>
        <v>0</v>
      </c>
      <c r="J2098" s="742">
        <f>Calculs!CF2170</f>
        <v>0</v>
      </c>
      <c r="K2098" s="742"/>
      <c r="L2098" s="742">
        <f>Calculs!CH2170</f>
        <v>0</v>
      </c>
    </row>
    <row r="2099" spans="2:12">
      <c r="B2099" s="742">
        <f>Calculs!B2171</f>
        <v>0</v>
      </c>
      <c r="C2099" s="742">
        <f>Calculs!BY2171</f>
        <v>0</v>
      </c>
      <c r="D2099" s="742">
        <f>Calculs!BZ2171</f>
        <v>0</v>
      </c>
      <c r="E2099" s="742">
        <f>Calculs!CA2171</f>
        <v>0</v>
      </c>
      <c r="F2099" s="742">
        <f>Calculs!CB2171</f>
        <v>0</v>
      </c>
      <c r="G2099" s="742">
        <f>Calculs!CC2171</f>
        <v>0</v>
      </c>
      <c r="H2099" s="742"/>
      <c r="I2099" s="742">
        <f>Calculs!CE2171</f>
        <v>0</v>
      </c>
      <c r="J2099" s="742">
        <f>Calculs!CF2171</f>
        <v>0</v>
      </c>
      <c r="K2099" s="742"/>
      <c r="L2099" s="742">
        <f>Calculs!CH2171</f>
        <v>0</v>
      </c>
    </row>
    <row r="2100" spans="2:12">
      <c r="B2100" s="742">
        <f>Calculs!B2172</f>
        <v>0</v>
      </c>
      <c r="C2100" s="742">
        <f>Calculs!BY2172</f>
        <v>0</v>
      </c>
      <c r="D2100" s="742">
        <f>Calculs!BZ2172</f>
        <v>0</v>
      </c>
      <c r="E2100" s="742">
        <f>Calculs!CA2172</f>
        <v>0</v>
      </c>
      <c r="F2100" s="742">
        <f>Calculs!CB2172</f>
        <v>0</v>
      </c>
      <c r="G2100" s="742">
        <f>Calculs!CC2172</f>
        <v>0</v>
      </c>
      <c r="H2100" s="742"/>
      <c r="I2100" s="742">
        <f>Calculs!CE2172</f>
        <v>0</v>
      </c>
      <c r="J2100" s="742">
        <f>Calculs!CF2172</f>
        <v>0</v>
      </c>
      <c r="K2100" s="742"/>
      <c r="L2100" s="742">
        <f>Calculs!CH2172</f>
        <v>0</v>
      </c>
    </row>
    <row r="2101" spans="2:12">
      <c r="B2101" s="742">
        <f>Calculs!B2173</f>
        <v>0</v>
      </c>
      <c r="C2101" s="742">
        <f>Calculs!BY2173</f>
        <v>0</v>
      </c>
      <c r="D2101" s="742">
        <f>Calculs!BZ2173</f>
        <v>0</v>
      </c>
      <c r="E2101" s="742">
        <f>Calculs!CA2173</f>
        <v>0</v>
      </c>
      <c r="F2101" s="742">
        <f>Calculs!CB2173</f>
        <v>0</v>
      </c>
      <c r="G2101" s="742">
        <f>Calculs!CC2173</f>
        <v>0</v>
      </c>
      <c r="H2101" s="742"/>
      <c r="I2101" s="742">
        <f>Calculs!CE2173</f>
        <v>0</v>
      </c>
      <c r="J2101" s="742">
        <f>Calculs!CF2173</f>
        <v>0</v>
      </c>
      <c r="K2101" s="742"/>
      <c r="L2101" s="742">
        <f>Calculs!CH2173</f>
        <v>0</v>
      </c>
    </row>
    <row r="2102" spans="2:12">
      <c r="B2102" s="742">
        <f>Calculs!B2174</f>
        <v>0</v>
      </c>
      <c r="C2102" s="742">
        <f>Calculs!BY2174</f>
        <v>0</v>
      </c>
      <c r="D2102" s="742">
        <f>Calculs!BZ2174</f>
        <v>0</v>
      </c>
      <c r="E2102" s="742">
        <f>Calculs!CA2174</f>
        <v>0</v>
      </c>
      <c r="F2102" s="742">
        <f>Calculs!CB2174</f>
        <v>0</v>
      </c>
      <c r="G2102" s="742">
        <f>Calculs!CC2174</f>
        <v>0</v>
      </c>
      <c r="H2102" s="742"/>
      <c r="I2102" s="742">
        <f>Calculs!CE2174</f>
        <v>0</v>
      </c>
      <c r="J2102" s="742">
        <f>Calculs!CF2174</f>
        <v>0</v>
      </c>
      <c r="K2102" s="742"/>
      <c r="L2102" s="742">
        <f>Calculs!CH2174</f>
        <v>0</v>
      </c>
    </row>
    <row r="2103" spans="2:12">
      <c r="B2103" s="742">
        <f>Calculs!B2175</f>
        <v>0</v>
      </c>
      <c r="C2103" s="742">
        <f>Calculs!BY2175</f>
        <v>0</v>
      </c>
      <c r="D2103" s="742">
        <f>Calculs!BZ2175</f>
        <v>0</v>
      </c>
      <c r="E2103" s="742">
        <f>Calculs!CA2175</f>
        <v>0</v>
      </c>
      <c r="F2103" s="742">
        <f>Calculs!CB2175</f>
        <v>0</v>
      </c>
      <c r="G2103" s="742">
        <f>Calculs!CC2175</f>
        <v>0</v>
      </c>
      <c r="H2103" s="742"/>
      <c r="I2103" s="742">
        <f>Calculs!CE2175</f>
        <v>0</v>
      </c>
      <c r="J2103" s="742">
        <f>Calculs!CF2175</f>
        <v>0</v>
      </c>
      <c r="K2103" s="742"/>
      <c r="L2103" s="742">
        <f>Calculs!CH2175</f>
        <v>0</v>
      </c>
    </row>
    <row r="2104" spans="2:12">
      <c r="B2104" s="742">
        <f>Calculs!B2176</f>
        <v>0</v>
      </c>
      <c r="C2104" s="742">
        <f>Calculs!BY2176</f>
        <v>0</v>
      </c>
      <c r="D2104" s="742">
        <f>Calculs!BZ2176</f>
        <v>0</v>
      </c>
      <c r="E2104" s="742">
        <f>Calculs!CA2176</f>
        <v>0</v>
      </c>
      <c r="F2104" s="742">
        <f>Calculs!CB2176</f>
        <v>0</v>
      </c>
      <c r="G2104" s="742">
        <f>Calculs!CC2176</f>
        <v>0</v>
      </c>
      <c r="H2104" s="742"/>
      <c r="I2104" s="742">
        <f>Calculs!CE2176</f>
        <v>0</v>
      </c>
      <c r="J2104" s="742">
        <f>Calculs!CF2176</f>
        <v>0</v>
      </c>
      <c r="K2104" s="742"/>
      <c r="L2104" s="742">
        <f>Calculs!CH2176</f>
        <v>0</v>
      </c>
    </row>
    <row r="2105" spans="2:12">
      <c r="B2105" s="742">
        <f>Calculs!B2177</f>
        <v>0</v>
      </c>
      <c r="C2105" s="742">
        <f>Calculs!BY2177</f>
        <v>0</v>
      </c>
      <c r="D2105" s="742">
        <f>Calculs!BZ2177</f>
        <v>0</v>
      </c>
      <c r="E2105" s="742">
        <f>Calculs!CA2177</f>
        <v>0</v>
      </c>
      <c r="F2105" s="742">
        <f>Calculs!CB2177</f>
        <v>0</v>
      </c>
      <c r="G2105" s="742">
        <f>Calculs!CC2177</f>
        <v>0</v>
      </c>
      <c r="H2105" s="742"/>
      <c r="I2105" s="742">
        <f>Calculs!CE2177</f>
        <v>0</v>
      </c>
      <c r="J2105" s="742">
        <f>Calculs!CF2177</f>
        <v>0</v>
      </c>
      <c r="K2105" s="742"/>
      <c r="L2105" s="742">
        <f>Calculs!CH2177</f>
        <v>0</v>
      </c>
    </row>
    <row r="2106" spans="2:12">
      <c r="B2106" s="742">
        <f>Calculs!B2178</f>
        <v>0</v>
      </c>
      <c r="C2106" s="742">
        <f>Calculs!BY2178</f>
        <v>0</v>
      </c>
      <c r="D2106" s="742">
        <f>Calculs!BZ2178</f>
        <v>0</v>
      </c>
      <c r="E2106" s="742">
        <f>Calculs!CA2178</f>
        <v>0</v>
      </c>
      <c r="F2106" s="742">
        <f>Calculs!CB2178</f>
        <v>0</v>
      </c>
      <c r="G2106" s="742">
        <f>Calculs!CC2178</f>
        <v>0</v>
      </c>
      <c r="H2106" s="742"/>
      <c r="I2106" s="742">
        <f>Calculs!CE2178</f>
        <v>0</v>
      </c>
      <c r="J2106" s="742">
        <f>Calculs!CF2178</f>
        <v>0</v>
      </c>
      <c r="K2106" s="742"/>
      <c r="L2106" s="742">
        <f>Calculs!CH2178</f>
        <v>0</v>
      </c>
    </row>
    <row r="2107" spans="2:12">
      <c r="B2107" s="742">
        <f>Calculs!B2179</f>
        <v>0</v>
      </c>
      <c r="C2107" s="742">
        <f>Calculs!BY2179</f>
        <v>0</v>
      </c>
      <c r="D2107" s="742">
        <f>Calculs!BZ2179</f>
        <v>0</v>
      </c>
      <c r="E2107" s="742">
        <f>Calculs!CA2179</f>
        <v>0</v>
      </c>
      <c r="F2107" s="742">
        <f>Calculs!CB2179</f>
        <v>0</v>
      </c>
      <c r="G2107" s="742">
        <f>Calculs!CC2179</f>
        <v>0</v>
      </c>
      <c r="H2107" s="742"/>
      <c r="I2107" s="742">
        <f>Calculs!CE2179</f>
        <v>0</v>
      </c>
      <c r="J2107" s="742">
        <f>Calculs!CF2179</f>
        <v>0</v>
      </c>
      <c r="K2107" s="742"/>
      <c r="L2107" s="742">
        <f>Calculs!CH2179</f>
        <v>0</v>
      </c>
    </row>
    <row r="2108" spans="2:12">
      <c r="B2108" s="742">
        <f>Calculs!B2180</f>
        <v>0</v>
      </c>
      <c r="C2108" s="742">
        <f>Calculs!BY2180</f>
        <v>0</v>
      </c>
      <c r="D2108" s="742">
        <f>Calculs!BZ2180</f>
        <v>0</v>
      </c>
      <c r="E2108" s="742">
        <f>Calculs!CA2180</f>
        <v>0</v>
      </c>
      <c r="F2108" s="742">
        <f>Calculs!CB2180</f>
        <v>0</v>
      </c>
      <c r="G2108" s="742">
        <f>Calculs!CC2180</f>
        <v>0</v>
      </c>
      <c r="H2108" s="742"/>
      <c r="I2108" s="742">
        <f>Calculs!CE2180</f>
        <v>0</v>
      </c>
      <c r="J2108" s="742">
        <f>Calculs!CF2180</f>
        <v>0</v>
      </c>
      <c r="K2108" s="742"/>
      <c r="L2108" s="742">
        <f>Calculs!CH2180</f>
        <v>0</v>
      </c>
    </row>
    <row r="2109" spans="2:12">
      <c r="B2109" s="742">
        <f>Calculs!B2181</f>
        <v>0</v>
      </c>
      <c r="C2109" s="742">
        <f>Calculs!BY2181</f>
        <v>0</v>
      </c>
      <c r="D2109" s="742">
        <f>Calculs!BZ2181</f>
        <v>0</v>
      </c>
      <c r="E2109" s="742">
        <f>Calculs!CA2181</f>
        <v>0</v>
      </c>
      <c r="F2109" s="742">
        <f>Calculs!CB2181</f>
        <v>0</v>
      </c>
      <c r="G2109" s="742">
        <f>Calculs!CC2181</f>
        <v>0</v>
      </c>
      <c r="H2109" s="742"/>
      <c r="I2109" s="742">
        <f>Calculs!CE2181</f>
        <v>0</v>
      </c>
      <c r="J2109" s="742">
        <f>Calculs!CF2181</f>
        <v>0</v>
      </c>
      <c r="K2109" s="742"/>
      <c r="L2109" s="742">
        <f>Calculs!CH2181</f>
        <v>0</v>
      </c>
    </row>
    <row r="2110" spans="2:12">
      <c r="B2110" s="742">
        <f>Calculs!B2182</f>
        <v>0</v>
      </c>
      <c r="C2110" s="742">
        <f>Calculs!BY2182</f>
        <v>0</v>
      </c>
      <c r="D2110" s="742">
        <f>Calculs!BZ2182</f>
        <v>0</v>
      </c>
      <c r="E2110" s="742">
        <f>Calculs!CA2182</f>
        <v>0</v>
      </c>
      <c r="F2110" s="742">
        <f>Calculs!CB2182</f>
        <v>0</v>
      </c>
      <c r="G2110" s="742">
        <f>Calculs!CC2182</f>
        <v>0</v>
      </c>
      <c r="H2110" s="742"/>
      <c r="I2110" s="742">
        <f>Calculs!CE2182</f>
        <v>0</v>
      </c>
      <c r="J2110" s="742">
        <f>Calculs!CF2182</f>
        <v>0</v>
      </c>
      <c r="K2110" s="742"/>
      <c r="L2110" s="742">
        <f>Calculs!CH2182</f>
        <v>0</v>
      </c>
    </row>
    <row r="2111" spans="2:12">
      <c r="B2111" s="742">
        <f>Calculs!B2183</f>
        <v>0</v>
      </c>
      <c r="C2111" s="742">
        <f>Calculs!BY2183</f>
        <v>0</v>
      </c>
      <c r="D2111" s="742">
        <f>Calculs!BZ2183</f>
        <v>0</v>
      </c>
      <c r="E2111" s="742">
        <f>Calculs!CA2183</f>
        <v>0</v>
      </c>
      <c r="F2111" s="742">
        <f>Calculs!CB2183</f>
        <v>0</v>
      </c>
      <c r="G2111" s="742">
        <f>Calculs!CC2183</f>
        <v>0</v>
      </c>
      <c r="H2111" s="742"/>
      <c r="I2111" s="742">
        <f>Calculs!CE2183</f>
        <v>0</v>
      </c>
      <c r="J2111" s="742">
        <f>Calculs!CF2183</f>
        <v>0</v>
      </c>
      <c r="K2111" s="742"/>
      <c r="L2111" s="742">
        <f>Calculs!CH2183</f>
        <v>0</v>
      </c>
    </row>
    <row r="2112" spans="2:12">
      <c r="B2112" s="742">
        <f>Calculs!B2184</f>
        <v>0</v>
      </c>
      <c r="C2112" s="742">
        <f>Calculs!BY2184</f>
        <v>0</v>
      </c>
      <c r="D2112" s="742">
        <f>Calculs!BZ2184</f>
        <v>0</v>
      </c>
      <c r="E2112" s="742">
        <f>Calculs!CA2184</f>
        <v>0</v>
      </c>
      <c r="F2112" s="742">
        <f>Calculs!CB2184</f>
        <v>0</v>
      </c>
      <c r="G2112" s="742">
        <f>Calculs!CC2184</f>
        <v>0</v>
      </c>
      <c r="H2112" s="742"/>
      <c r="I2112" s="742">
        <f>Calculs!CE2184</f>
        <v>0</v>
      </c>
      <c r="J2112" s="742">
        <f>Calculs!CF2184</f>
        <v>0</v>
      </c>
      <c r="K2112" s="742"/>
      <c r="L2112" s="742">
        <f>Calculs!CH2184</f>
        <v>0</v>
      </c>
    </row>
    <row r="2113" spans="2:12">
      <c r="B2113" s="742">
        <f>Calculs!B2185</f>
        <v>0</v>
      </c>
      <c r="C2113" s="742">
        <f>Calculs!BY2185</f>
        <v>0</v>
      </c>
      <c r="D2113" s="742">
        <f>Calculs!BZ2185</f>
        <v>0</v>
      </c>
      <c r="E2113" s="742">
        <f>Calculs!CA2185</f>
        <v>0</v>
      </c>
      <c r="F2113" s="742">
        <f>Calculs!CB2185</f>
        <v>0</v>
      </c>
      <c r="G2113" s="742">
        <f>Calculs!CC2185</f>
        <v>0</v>
      </c>
      <c r="H2113" s="742"/>
      <c r="I2113" s="742">
        <f>Calculs!CE2185</f>
        <v>0</v>
      </c>
      <c r="J2113" s="742">
        <f>Calculs!CF2185</f>
        <v>0</v>
      </c>
      <c r="K2113" s="742"/>
      <c r="L2113" s="742">
        <f>Calculs!CH2185</f>
        <v>0</v>
      </c>
    </row>
    <row r="2114" spans="2:12">
      <c r="B2114" s="742">
        <f>Calculs!B2186</f>
        <v>0</v>
      </c>
      <c r="C2114" s="742">
        <f>Calculs!BY2186</f>
        <v>0</v>
      </c>
      <c r="D2114" s="742">
        <f>Calculs!BZ2186</f>
        <v>0</v>
      </c>
      <c r="E2114" s="742">
        <f>Calculs!CA2186</f>
        <v>0</v>
      </c>
      <c r="F2114" s="742">
        <f>Calculs!CB2186</f>
        <v>0</v>
      </c>
      <c r="G2114" s="742">
        <f>Calculs!CC2186</f>
        <v>0</v>
      </c>
      <c r="H2114" s="742"/>
      <c r="I2114" s="742">
        <f>Calculs!CE2186</f>
        <v>0</v>
      </c>
      <c r="J2114" s="742">
        <f>Calculs!CF2186</f>
        <v>0</v>
      </c>
      <c r="K2114" s="742"/>
      <c r="L2114" s="742">
        <f>Calculs!CH2186</f>
        <v>0</v>
      </c>
    </row>
    <row r="2115" spans="2:12">
      <c r="B2115" s="742">
        <f>Calculs!B2187</f>
        <v>0</v>
      </c>
      <c r="C2115" s="742">
        <f>Calculs!BY2187</f>
        <v>0</v>
      </c>
      <c r="D2115" s="742">
        <f>Calculs!BZ2187</f>
        <v>0</v>
      </c>
      <c r="E2115" s="742">
        <f>Calculs!CA2187</f>
        <v>0</v>
      </c>
      <c r="F2115" s="742">
        <f>Calculs!CB2187</f>
        <v>0</v>
      </c>
      <c r="G2115" s="742">
        <f>Calculs!CC2187</f>
        <v>0</v>
      </c>
      <c r="H2115" s="742"/>
      <c r="I2115" s="742">
        <f>Calculs!CE2187</f>
        <v>0</v>
      </c>
      <c r="J2115" s="742">
        <f>Calculs!CF2187</f>
        <v>0</v>
      </c>
      <c r="K2115" s="742"/>
      <c r="L2115" s="742">
        <f>Calculs!CH2187</f>
        <v>0</v>
      </c>
    </row>
    <row r="2116" spans="2:12">
      <c r="B2116" s="742">
        <f>Calculs!B2188</f>
        <v>0</v>
      </c>
      <c r="C2116" s="742">
        <f>Calculs!BY2188</f>
        <v>0</v>
      </c>
      <c r="D2116" s="742">
        <f>Calculs!BZ2188</f>
        <v>0</v>
      </c>
      <c r="E2116" s="742">
        <f>Calculs!CA2188</f>
        <v>0</v>
      </c>
      <c r="F2116" s="742">
        <f>Calculs!CB2188</f>
        <v>0</v>
      </c>
      <c r="G2116" s="742">
        <f>Calculs!CC2188</f>
        <v>0</v>
      </c>
      <c r="H2116" s="742"/>
      <c r="I2116" s="742">
        <f>Calculs!CE2188</f>
        <v>0</v>
      </c>
      <c r="J2116" s="742">
        <f>Calculs!CF2188</f>
        <v>0</v>
      </c>
      <c r="K2116" s="742"/>
      <c r="L2116" s="742">
        <f>Calculs!CH2188</f>
        <v>0</v>
      </c>
    </row>
    <row r="2117" spans="2:12">
      <c r="B2117" s="742">
        <f>Calculs!B2189</f>
        <v>0</v>
      </c>
      <c r="C2117" s="742">
        <f>Calculs!BY2189</f>
        <v>0</v>
      </c>
      <c r="D2117" s="742">
        <f>Calculs!BZ2189</f>
        <v>0</v>
      </c>
      <c r="E2117" s="742">
        <f>Calculs!CA2189</f>
        <v>0</v>
      </c>
      <c r="F2117" s="742">
        <f>Calculs!CB2189</f>
        <v>0</v>
      </c>
      <c r="G2117" s="742">
        <f>Calculs!CC2189</f>
        <v>0</v>
      </c>
      <c r="H2117" s="742"/>
      <c r="I2117" s="742">
        <f>Calculs!CE2189</f>
        <v>0</v>
      </c>
      <c r="J2117" s="742">
        <f>Calculs!CF2189</f>
        <v>0</v>
      </c>
      <c r="K2117" s="742"/>
      <c r="L2117" s="742">
        <f>Calculs!CH2189</f>
        <v>0</v>
      </c>
    </row>
    <row r="2118" spans="2:12">
      <c r="B2118" s="742">
        <f>Calculs!B2190</f>
        <v>0</v>
      </c>
      <c r="C2118" s="742">
        <f>Calculs!BY2190</f>
        <v>0</v>
      </c>
      <c r="D2118" s="742">
        <f>Calculs!BZ2190</f>
        <v>0</v>
      </c>
      <c r="E2118" s="742">
        <f>Calculs!CA2190</f>
        <v>0</v>
      </c>
      <c r="F2118" s="742">
        <f>Calculs!CB2190</f>
        <v>0</v>
      </c>
      <c r="G2118" s="742">
        <f>Calculs!CC2190</f>
        <v>0</v>
      </c>
      <c r="H2118" s="742"/>
      <c r="I2118" s="742">
        <f>Calculs!CE2190</f>
        <v>0</v>
      </c>
      <c r="J2118" s="742">
        <f>Calculs!CF2190</f>
        <v>0</v>
      </c>
      <c r="K2118" s="742"/>
      <c r="L2118" s="742">
        <f>Calculs!CH2190</f>
        <v>0</v>
      </c>
    </row>
    <row r="2119" spans="2:12">
      <c r="B2119" s="742">
        <f>Calculs!B2191</f>
        <v>0</v>
      </c>
      <c r="C2119" s="742">
        <f>Calculs!BY2191</f>
        <v>0</v>
      </c>
      <c r="D2119" s="742">
        <f>Calculs!BZ2191</f>
        <v>0</v>
      </c>
      <c r="E2119" s="742">
        <f>Calculs!CA2191</f>
        <v>0</v>
      </c>
      <c r="F2119" s="742">
        <f>Calculs!CB2191</f>
        <v>0</v>
      </c>
      <c r="G2119" s="742">
        <f>Calculs!CC2191</f>
        <v>0</v>
      </c>
      <c r="H2119" s="742"/>
      <c r="I2119" s="742">
        <f>Calculs!CE2191</f>
        <v>0</v>
      </c>
      <c r="J2119" s="742">
        <f>Calculs!CF2191</f>
        <v>0</v>
      </c>
      <c r="K2119" s="742"/>
      <c r="L2119" s="742">
        <f>Calculs!CH2191</f>
        <v>0</v>
      </c>
    </row>
    <row r="2120" spans="2:12">
      <c r="B2120" s="742">
        <f>Calculs!B2192</f>
        <v>0</v>
      </c>
      <c r="C2120" s="742">
        <f>Calculs!BY2192</f>
        <v>0</v>
      </c>
      <c r="D2120" s="742">
        <f>Calculs!BZ2192</f>
        <v>0</v>
      </c>
      <c r="E2120" s="742">
        <f>Calculs!CA2192</f>
        <v>0</v>
      </c>
      <c r="F2120" s="742">
        <f>Calculs!CB2192</f>
        <v>0</v>
      </c>
      <c r="G2120" s="742">
        <f>Calculs!CC2192</f>
        <v>0</v>
      </c>
      <c r="H2120" s="742"/>
      <c r="I2120" s="742">
        <f>Calculs!CE2192</f>
        <v>0</v>
      </c>
      <c r="J2120" s="742">
        <f>Calculs!CF2192</f>
        <v>0</v>
      </c>
      <c r="K2120" s="742"/>
      <c r="L2120" s="742">
        <f>Calculs!CH2192</f>
        <v>0</v>
      </c>
    </row>
    <row r="2121" spans="2:12">
      <c r="B2121" s="742">
        <f>Calculs!B2193</f>
        <v>0</v>
      </c>
      <c r="C2121" s="742">
        <f>Calculs!BY2193</f>
        <v>0</v>
      </c>
      <c r="D2121" s="742">
        <f>Calculs!BZ2193</f>
        <v>0</v>
      </c>
      <c r="E2121" s="742">
        <f>Calculs!CA2193</f>
        <v>0</v>
      </c>
      <c r="F2121" s="742">
        <f>Calculs!CB2193</f>
        <v>0</v>
      </c>
      <c r="G2121" s="742">
        <f>Calculs!CC2193</f>
        <v>0</v>
      </c>
      <c r="H2121" s="742"/>
      <c r="I2121" s="742">
        <f>Calculs!CE2193</f>
        <v>0</v>
      </c>
      <c r="J2121" s="742">
        <f>Calculs!CF2193</f>
        <v>0</v>
      </c>
      <c r="K2121" s="742"/>
      <c r="L2121" s="742">
        <f>Calculs!CH2193</f>
        <v>0</v>
      </c>
    </row>
    <row r="2122" spans="2:12">
      <c r="B2122" s="742">
        <f>Calculs!B2194</f>
        <v>0</v>
      </c>
      <c r="C2122" s="742">
        <f>Calculs!BY2194</f>
        <v>0</v>
      </c>
      <c r="D2122" s="742">
        <f>Calculs!BZ2194</f>
        <v>0</v>
      </c>
      <c r="E2122" s="742">
        <f>Calculs!CA2194</f>
        <v>0</v>
      </c>
      <c r="F2122" s="742">
        <f>Calculs!CB2194</f>
        <v>0</v>
      </c>
      <c r="G2122" s="742">
        <f>Calculs!CC2194</f>
        <v>0</v>
      </c>
      <c r="H2122" s="742"/>
      <c r="I2122" s="742">
        <f>Calculs!CE2194</f>
        <v>0</v>
      </c>
      <c r="J2122" s="742">
        <f>Calculs!CF2194</f>
        <v>0</v>
      </c>
      <c r="K2122" s="742"/>
      <c r="L2122" s="742">
        <f>Calculs!CH2194</f>
        <v>0</v>
      </c>
    </row>
    <row r="2123" spans="2:12">
      <c r="B2123" s="742">
        <f>Calculs!B2195</f>
        <v>0</v>
      </c>
      <c r="C2123" s="742">
        <f>Calculs!BY2195</f>
        <v>0</v>
      </c>
      <c r="D2123" s="742">
        <f>Calculs!BZ2195</f>
        <v>0</v>
      </c>
      <c r="E2123" s="742">
        <f>Calculs!CA2195</f>
        <v>0</v>
      </c>
      <c r="F2123" s="742">
        <f>Calculs!CB2195</f>
        <v>0</v>
      </c>
      <c r="G2123" s="742">
        <f>Calculs!CC2195</f>
        <v>0</v>
      </c>
      <c r="H2123" s="742"/>
      <c r="I2123" s="742">
        <f>Calculs!CE2195</f>
        <v>0</v>
      </c>
      <c r="J2123" s="742">
        <f>Calculs!CF2195</f>
        <v>0</v>
      </c>
      <c r="K2123" s="742"/>
      <c r="L2123" s="742">
        <f>Calculs!CH2195</f>
        <v>0</v>
      </c>
    </row>
    <row r="2124" spans="2:12">
      <c r="B2124" s="742">
        <f>Calculs!B2196</f>
        <v>0</v>
      </c>
      <c r="C2124" s="742">
        <f>Calculs!BY2196</f>
        <v>0</v>
      </c>
      <c r="D2124" s="742">
        <f>Calculs!BZ2196</f>
        <v>0</v>
      </c>
      <c r="E2124" s="742">
        <f>Calculs!CA2196</f>
        <v>0</v>
      </c>
      <c r="F2124" s="742">
        <f>Calculs!CB2196</f>
        <v>0</v>
      </c>
      <c r="G2124" s="742">
        <f>Calculs!CC2196</f>
        <v>0</v>
      </c>
      <c r="H2124" s="742"/>
      <c r="I2124" s="742">
        <f>Calculs!CE2196</f>
        <v>0</v>
      </c>
      <c r="J2124" s="742">
        <f>Calculs!CF2196</f>
        <v>0</v>
      </c>
      <c r="K2124" s="742"/>
      <c r="L2124" s="742">
        <f>Calculs!CH2196</f>
        <v>0</v>
      </c>
    </row>
    <row r="2125" spans="2:12">
      <c r="B2125" s="742">
        <f>Calculs!B2197</f>
        <v>0</v>
      </c>
      <c r="C2125" s="742">
        <f>Calculs!BY2197</f>
        <v>0</v>
      </c>
      <c r="D2125" s="742">
        <f>Calculs!BZ2197</f>
        <v>0</v>
      </c>
      <c r="E2125" s="742">
        <f>Calculs!CA2197</f>
        <v>0</v>
      </c>
      <c r="F2125" s="742">
        <f>Calculs!CB2197</f>
        <v>0</v>
      </c>
      <c r="G2125" s="742">
        <f>Calculs!CC2197</f>
        <v>0</v>
      </c>
      <c r="H2125" s="742"/>
      <c r="I2125" s="742">
        <f>Calculs!CE2197</f>
        <v>0</v>
      </c>
      <c r="J2125" s="742">
        <f>Calculs!CF2197</f>
        <v>0</v>
      </c>
      <c r="K2125" s="742"/>
      <c r="L2125" s="742">
        <f>Calculs!CH2197</f>
        <v>0</v>
      </c>
    </row>
    <row r="2126" spans="2:12">
      <c r="B2126" s="742">
        <f>Calculs!B2198</f>
        <v>0</v>
      </c>
      <c r="C2126" s="742">
        <f>Calculs!BY2198</f>
        <v>0</v>
      </c>
      <c r="D2126" s="742">
        <f>Calculs!BZ2198</f>
        <v>0</v>
      </c>
      <c r="E2126" s="742">
        <f>Calculs!CA2198</f>
        <v>0</v>
      </c>
      <c r="F2126" s="742">
        <f>Calculs!CB2198</f>
        <v>0</v>
      </c>
      <c r="G2126" s="742">
        <f>Calculs!CC2198</f>
        <v>0</v>
      </c>
      <c r="H2126" s="742"/>
      <c r="I2126" s="742">
        <f>Calculs!CE2198</f>
        <v>0</v>
      </c>
      <c r="J2126" s="742">
        <f>Calculs!CF2198</f>
        <v>0</v>
      </c>
      <c r="K2126" s="742"/>
      <c r="L2126" s="742">
        <f>Calculs!CH2198</f>
        <v>0</v>
      </c>
    </row>
    <row r="2127" spans="2:12">
      <c r="B2127" s="742">
        <f>Calculs!B2199</f>
        <v>0</v>
      </c>
      <c r="C2127" s="742">
        <f>Calculs!BY2199</f>
        <v>0</v>
      </c>
      <c r="D2127" s="742">
        <f>Calculs!BZ2199</f>
        <v>0</v>
      </c>
      <c r="E2127" s="742">
        <f>Calculs!CA2199</f>
        <v>0</v>
      </c>
      <c r="F2127" s="742">
        <f>Calculs!CB2199</f>
        <v>0</v>
      </c>
      <c r="G2127" s="742">
        <f>Calculs!CC2199</f>
        <v>0</v>
      </c>
      <c r="H2127" s="742"/>
      <c r="I2127" s="742">
        <f>Calculs!CE2199</f>
        <v>0</v>
      </c>
      <c r="J2127" s="742">
        <f>Calculs!CF2199</f>
        <v>0</v>
      </c>
      <c r="K2127" s="742"/>
      <c r="L2127" s="742">
        <f>Calculs!CH2199</f>
        <v>0</v>
      </c>
    </row>
    <row r="2128" spans="2:12">
      <c r="B2128" s="742">
        <f>Calculs!B2200</f>
        <v>0</v>
      </c>
      <c r="C2128" s="742">
        <f>Calculs!BY2200</f>
        <v>0</v>
      </c>
      <c r="D2128" s="742">
        <f>Calculs!BZ2200</f>
        <v>0</v>
      </c>
      <c r="E2128" s="742">
        <f>Calculs!CA2200</f>
        <v>0</v>
      </c>
      <c r="F2128" s="742">
        <f>Calculs!CB2200</f>
        <v>0</v>
      </c>
      <c r="G2128" s="742">
        <f>Calculs!CC2200</f>
        <v>0</v>
      </c>
      <c r="H2128" s="742"/>
      <c r="I2128" s="742">
        <f>Calculs!CE2200</f>
        <v>0</v>
      </c>
      <c r="J2128" s="742">
        <f>Calculs!CF2200</f>
        <v>0</v>
      </c>
      <c r="K2128" s="742"/>
      <c r="L2128" s="742">
        <f>Calculs!CH2200</f>
        <v>0</v>
      </c>
    </row>
    <row r="2129" spans="2:12">
      <c r="B2129" s="742">
        <f>Calculs!B2201</f>
        <v>0</v>
      </c>
      <c r="C2129" s="742">
        <f>Calculs!BY2201</f>
        <v>0</v>
      </c>
      <c r="D2129" s="742">
        <f>Calculs!BZ2201</f>
        <v>0</v>
      </c>
      <c r="E2129" s="742">
        <f>Calculs!CA2201</f>
        <v>0</v>
      </c>
      <c r="F2129" s="742">
        <f>Calculs!CB2201</f>
        <v>0</v>
      </c>
      <c r="G2129" s="742">
        <f>Calculs!CC2201</f>
        <v>0</v>
      </c>
      <c r="H2129" s="742"/>
      <c r="I2129" s="742">
        <f>Calculs!CE2201</f>
        <v>0</v>
      </c>
      <c r="J2129" s="742">
        <f>Calculs!CF2201</f>
        <v>0</v>
      </c>
      <c r="K2129" s="742"/>
      <c r="L2129" s="742">
        <f>Calculs!CH2201</f>
        <v>0</v>
      </c>
    </row>
    <row r="2130" spans="2:12">
      <c r="B2130" s="742">
        <f>Calculs!B2202</f>
        <v>0</v>
      </c>
      <c r="C2130" s="742">
        <f>Calculs!BY2202</f>
        <v>0</v>
      </c>
      <c r="D2130" s="742">
        <f>Calculs!BZ2202</f>
        <v>0</v>
      </c>
      <c r="E2130" s="742">
        <f>Calculs!CA2202</f>
        <v>0</v>
      </c>
      <c r="F2130" s="742">
        <f>Calculs!CB2202</f>
        <v>0</v>
      </c>
      <c r="G2130" s="742">
        <f>Calculs!CC2202</f>
        <v>0</v>
      </c>
      <c r="H2130" s="742"/>
      <c r="I2130" s="742">
        <f>Calculs!CE2202</f>
        <v>0</v>
      </c>
      <c r="J2130" s="742">
        <f>Calculs!CF2202</f>
        <v>0</v>
      </c>
      <c r="K2130" s="742"/>
      <c r="L2130" s="742">
        <f>Calculs!CH2202</f>
        <v>0</v>
      </c>
    </row>
    <row r="2131" spans="2:12">
      <c r="B2131" s="742">
        <f>Calculs!B2203</f>
        <v>0</v>
      </c>
      <c r="C2131" s="742">
        <f>Calculs!BY2203</f>
        <v>0</v>
      </c>
      <c r="D2131" s="742">
        <f>Calculs!BZ2203</f>
        <v>0</v>
      </c>
      <c r="E2131" s="742">
        <f>Calculs!CA2203</f>
        <v>0</v>
      </c>
      <c r="F2131" s="742">
        <f>Calculs!CB2203</f>
        <v>0</v>
      </c>
      <c r="G2131" s="742">
        <f>Calculs!CC2203</f>
        <v>0</v>
      </c>
      <c r="H2131" s="742"/>
      <c r="I2131" s="742">
        <f>Calculs!CE2203</f>
        <v>0</v>
      </c>
      <c r="J2131" s="742">
        <f>Calculs!CF2203</f>
        <v>0</v>
      </c>
      <c r="K2131" s="742"/>
      <c r="L2131" s="742">
        <f>Calculs!CH2203</f>
        <v>0</v>
      </c>
    </row>
    <row r="2132" spans="2:12">
      <c r="B2132" s="742">
        <f>Calculs!B2204</f>
        <v>0</v>
      </c>
      <c r="C2132" s="742">
        <f>Calculs!BY2204</f>
        <v>0</v>
      </c>
      <c r="D2132" s="742">
        <f>Calculs!BZ2204</f>
        <v>0</v>
      </c>
      <c r="E2132" s="742">
        <f>Calculs!CA2204</f>
        <v>0</v>
      </c>
      <c r="F2132" s="742">
        <f>Calculs!CB2204</f>
        <v>0</v>
      </c>
      <c r="G2132" s="742">
        <f>Calculs!CC2204</f>
        <v>0</v>
      </c>
      <c r="H2132" s="742"/>
      <c r="I2132" s="742">
        <f>Calculs!CE2204</f>
        <v>0</v>
      </c>
      <c r="J2132" s="742">
        <f>Calculs!CF2204</f>
        <v>0</v>
      </c>
      <c r="K2132" s="742"/>
      <c r="L2132" s="742">
        <f>Calculs!CH2204</f>
        <v>0</v>
      </c>
    </row>
    <row r="2133" spans="2:12">
      <c r="B2133" s="742">
        <f>Calculs!B2205</f>
        <v>0</v>
      </c>
      <c r="C2133" s="742">
        <f>Calculs!BY2205</f>
        <v>0</v>
      </c>
      <c r="D2133" s="742">
        <f>Calculs!BZ2205</f>
        <v>0</v>
      </c>
      <c r="E2133" s="742">
        <f>Calculs!CA2205</f>
        <v>0</v>
      </c>
      <c r="F2133" s="742">
        <f>Calculs!CB2205</f>
        <v>0</v>
      </c>
      <c r="G2133" s="742">
        <f>Calculs!CC2205</f>
        <v>0</v>
      </c>
      <c r="H2133" s="742"/>
      <c r="I2133" s="742">
        <f>Calculs!CE2205</f>
        <v>0</v>
      </c>
      <c r="J2133" s="742">
        <f>Calculs!CF2205</f>
        <v>0</v>
      </c>
      <c r="K2133" s="742"/>
      <c r="L2133" s="742">
        <f>Calculs!CH2205</f>
        <v>0</v>
      </c>
    </row>
    <row r="2134" spans="2:12">
      <c r="B2134" s="742">
        <f>Calculs!B2206</f>
        <v>0</v>
      </c>
      <c r="C2134" s="742">
        <f>Calculs!BY2206</f>
        <v>0</v>
      </c>
      <c r="D2134" s="742">
        <f>Calculs!BZ2206</f>
        <v>0</v>
      </c>
      <c r="E2134" s="742">
        <f>Calculs!CA2206</f>
        <v>0</v>
      </c>
      <c r="F2134" s="742">
        <f>Calculs!CB2206</f>
        <v>0</v>
      </c>
      <c r="G2134" s="742">
        <f>Calculs!CC2206</f>
        <v>0</v>
      </c>
      <c r="H2134" s="742"/>
      <c r="I2134" s="742">
        <f>Calculs!CE2206</f>
        <v>0</v>
      </c>
      <c r="J2134" s="742">
        <f>Calculs!CF2206</f>
        <v>0</v>
      </c>
      <c r="K2134" s="742"/>
      <c r="L2134" s="742">
        <f>Calculs!CH2206</f>
        <v>0</v>
      </c>
    </row>
    <row r="2135" spans="2:12">
      <c r="B2135" s="742">
        <f>Calculs!B2207</f>
        <v>0</v>
      </c>
      <c r="C2135" s="742">
        <f>Calculs!BY2207</f>
        <v>0</v>
      </c>
      <c r="D2135" s="742">
        <f>Calculs!BZ2207</f>
        <v>0</v>
      </c>
      <c r="E2135" s="742">
        <f>Calculs!CA2207</f>
        <v>0</v>
      </c>
      <c r="F2135" s="742">
        <f>Calculs!CB2207</f>
        <v>0</v>
      </c>
      <c r="G2135" s="742">
        <f>Calculs!CC2207</f>
        <v>0</v>
      </c>
      <c r="H2135" s="742"/>
      <c r="I2135" s="742">
        <f>Calculs!CE2207</f>
        <v>0</v>
      </c>
      <c r="J2135" s="742">
        <f>Calculs!CF2207</f>
        <v>0</v>
      </c>
      <c r="K2135" s="742"/>
      <c r="L2135" s="742">
        <f>Calculs!CH2207</f>
        <v>0</v>
      </c>
    </row>
    <row r="2136" spans="2:12">
      <c r="B2136" s="742">
        <f>Calculs!B2208</f>
        <v>0</v>
      </c>
      <c r="C2136" s="742">
        <f>Calculs!BY2208</f>
        <v>0</v>
      </c>
      <c r="D2136" s="742">
        <f>Calculs!BZ2208</f>
        <v>0</v>
      </c>
      <c r="E2136" s="742">
        <f>Calculs!CA2208</f>
        <v>0</v>
      </c>
      <c r="F2136" s="742">
        <f>Calculs!CB2208</f>
        <v>0</v>
      </c>
      <c r="G2136" s="742">
        <f>Calculs!CC2208</f>
        <v>0</v>
      </c>
      <c r="H2136" s="742"/>
      <c r="I2136" s="742">
        <f>Calculs!CE2208</f>
        <v>0</v>
      </c>
      <c r="J2136" s="742">
        <f>Calculs!CF2208</f>
        <v>0</v>
      </c>
      <c r="K2136" s="742"/>
      <c r="L2136" s="742">
        <f>Calculs!CH2208</f>
        <v>0</v>
      </c>
    </row>
    <row r="2137" spans="2:12">
      <c r="B2137" s="742">
        <f>Calculs!B2209</f>
        <v>0</v>
      </c>
      <c r="C2137" s="742">
        <f>Calculs!BY2209</f>
        <v>0</v>
      </c>
      <c r="D2137" s="742">
        <f>Calculs!BZ2209</f>
        <v>0</v>
      </c>
      <c r="E2137" s="742">
        <f>Calculs!CA2209</f>
        <v>0</v>
      </c>
      <c r="F2137" s="742">
        <f>Calculs!CB2209</f>
        <v>0</v>
      </c>
      <c r="G2137" s="742">
        <f>Calculs!CC2209</f>
        <v>0</v>
      </c>
      <c r="H2137" s="742"/>
      <c r="I2137" s="742">
        <f>Calculs!CE2209</f>
        <v>0</v>
      </c>
      <c r="J2137" s="742">
        <f>Calculs!CF2209</f>
        <v>0</v>
      </c>
      <c r="K2137" s="742"/>
      <c r="L2137" s="742">
        <f>Calculs!CH2209</f>
        <v>0</v>
      </c>
    </row>
    <row r="2138" spans="2:12">
      <c r="B2138" s="742">
        <f>Calculs!B2210</f>
        <v>0</v>
      </c>
      <c r="C2138" s="742">
        <f>Calculs!BY2210</f>
        <v>0</v>
      </c>
      <c r="D2138" s="742">
        <f>Calculs!BZ2210</f>
        <v>0</v>
      </c>
      <c r="E2138" s="742">
        <f>Calculs!CA2210</f>
        <v>0</v>
      </c>
      <c r="F2138" s="742">
        <f>Calculs!CB2210</f>
        <v>0</v>
      </c>
      <c r="G2138" s="742">
        <f>Calculs!CC2210</f>
        <v>0</v>
      </c>
      <c r="H2138" s="742"/>
      <c r="I2138" s="742">
        <f>Calculs!CE2210</f>
        <v>0</v>
      </c>
      <c r="J2138" s="742">
        <f>Calculs!CF2210</f>
        <v>0</v>
      </c>
      <c r="K2138" s="742"/>
      <c r="L2138" s="742">
        <f>Calculs!CH2210</f>
        <v>0</v>
      </c>
    </row>
    <row r="2139" spans="2:12">
      <c r="B2139" s="742">
        <f>Calculs!B2211</f>
        <v>0</v>
      </c>
      <c r="C2139" s="742">
        <f>Calculs!BY2211</f>
        <v>0</v>
      </c>
      <c r="D2139" s="742">
        <f>Calculs!BZ2211</f>
        <v>0</v>
      </c>
      <c r="E2139" s="742">
        <f>Calculs!CA2211</f>
        <v>0</v>
      </c>
      <c r="F2139" s="742">
        <f>Calculs!CB2211</f>
        <v>0</v>
      </c>
      <c r="G2139" s="742">
        <f>Calculs!CC2211</f>
        <v>0</v>
      </c>
      <c r="H2139" s="742"/>
      <c r="I2139" s="742">
        <f>Calculs!CE2211</f>
        <v>0</v>
      </c>
      <c r="J2139" s="742">
        <f>Calculs!CF2211</f>
        <v>0</v>
      </c>
      <c r="K2139" s="742"/>
      <c r="L2139" s="742">
        <f>Calculs!CH2211</f>
        <v>0</v>
      </c>
    </row>
    <row r="2140" spans="2:12">
      <c r="B2140" s="742">
        <f>Calculs!B2212</f>
        <v>0</v>
      </c>
      <c r="C2140" s="742">
        <f>Calculs!BY2212</f>
        <v>0</v>
      </c>
      <c r="D2140" s="742">
        <f>Calculs!BZ2212</f>
        <v>0</v>
      </c>
      <c r="E2140" s="742">
        <f>Calculs!CA2212</f>
        <v>0</v>
      </c>
      <c r="F2140" s="742">
        <f>Calculs!CB2212</f>
        <v>0</v>
      </c>
      <c r="G2140" s="742">
        <f>Calculs!CC2212</f>
        <v>0</v>
      </c>
      <c r="H2140" s="742"/>
      <c r="I2140" s="742">
        <f>Calculs!CE2212</f>
        <v>0</v>
      </c>
      <c r="J2140" s="742">
        <f>Calculs!CF2212</f>
        <v>0</v>
      </c>
      <c r="K2140" s="742"/>
      <c r="L2140" s="742">
        <f>Calculs!CH2212</f>
        <v>0</v>
      </c>
    </row>
    <row r="2141" spans="2:12">
      <c r="B2141" s="742">
        <f>Calculs!B2213</f>
        <v>0</v>
      </c>
      <c r="C2141" s="742">
        <f>Calculs!BY2213</f>
        <v>0</v>
      </c>
      <c r="D2141" s="742">
        <f>Calculs!BZ2213</f>
        <v>0</v>
      </c>
      <c r="E2141" s="742">
        <f>Calculs!CA2213</f>
        <v>0</v>
      </c>
      <c r="F2141" s="742">
        <f>Calculs!CB2213</f>
        <v>0</v>
      </c>
      <c r="G2141" s="742">
        <f>Calculs!CC2213</f>
        <v>0</v>
      </c>
      <c r="H2141" s="742"/>
      <c r="I2141" s="742">
        <f>Calculs!CE2213</f>
        <v>0</v>
      </c>
      <c r="J2141" s="742">
        <f>Calculs!CF2213</f>
        <v>0</v>
      </c>
      <c r="K2141" s="742"/>
      <c r="L2141" s="742">
        <f>Calculs!CH2213</f>
        <v>0</v>
      </c>
    </row>
    <row r="2142" spans="2:12">
      <c r="B2142" s="742">
        <f>Calculs!B2214</f>
        <v>0</v>
      </c>
      <c r="C2142" s="742">
        <f>Calculs!BY2214</f>
        <v>0</v>
      </c>
      <c r="D2142" s="742">
        <f>Calculs!BZ2214</f>
        <v>0</v>
      </c>
      <c r="E2142" s="742">
        <f>Calculs!CA2214</f>
        <v>0</v>
      </c>
      <c r="F2142" s="742">
        <f>Calculs!CB2214</f>
        <v>0</v>
      </c>
      <c r="G2142" s="742">
        <f>Calculs!CC2214</f>
        <v>0</v>
      </c>
      <c r="H2142" s="742"/>
      <c r="I2142" s="742">
        <f>Calculs!CE2214</f>
        <v>0</v>
      </c>
      <c r="J2142" s="742">
        <f>Calculs!CF2214</f>
        <v>0</v>
      </c>
      <c r="K2142" s="742"/>
      <c r="L2142" s="742">
        <f>Calculs!CH2214</f>
        <v>0</v>
      </c>
    </row>
    <row r="2143" spans="2:12">
      <c r="B2143" s="742">
        <f>Calculs!B2215</f>
        <v>0</v>
      </c>
      <c r="C2143" s="742">
        <f>Calculs!BY2215</f>
        <v>0</v>
      </c>
      <c r="D2143" s="742">
        <f>Calculs!BZ2215</f>
        <v>0</v>
      </c>
      <c r="E2143" s="742">
        <f>Calculs!CA2215</f>
        <v>0</v>
      </c>
      <c r="F2143" s="742">
        <f>Calculs!CB2215</f>
        <v>0</v>
      </c>
      <c r="G2143" s="742">
        <f>Calculs!CC2215</f>
        <v>0</v>
      </c>
      <c r="H2143" s="742"/>
      <c r="I2143" s="742">
        <f>Calculs!CE2215</f>
        <v>0</v>
      </c>
      <c r="J2143" s="742">
        <f>Calculs!CF2215</f>
        <v>0</v>
      </c>
      <c r="K2143" s="742"/>
      <c r="L2143" s="742">
        <f>Calculs!CH2215</f>
        <v>0</v>
      </c>
    </row>
    <row r="2144" spans="2:12">
      <c r="B2144" s="742">
        <f>Calculs!B2216</f>
        <v>0</v>
      </c>
      <c r="C2144" s="742">
        <f>Calculs!BY2216</f>
        <v>0</v>
      </c>
      <c r="D2144" s="742">
        <f>Calculs!BZ2216</f>
        <v>0</v>
      </c>
      <c r="E2144" s="742">
        <f>Calculs!CA2216</f>
        <v>0</v>
      </c>
      <c r="F2144" s="742">
        <f>Calculs!CB2216</f>
        <v>0</v>
      </c>
      <c r="G2144" s="742">
        <f>Calculs!CC2216</f>
        <v>0</v>
      </c>
      <c r="H2144" s="742"/>
      <c r="I2144" s="742">
        <f>Calculs!CE2216</f>
        <v>0</v>
      </c>
      <c r="J2144" s="742">
        <f>Calculs!CF2216</f>
        <v>0</v>
      </c>
      <c r="K2144" s="742"/>
      <c r="L2144" s="742">
        <f>Calculs!CH2216</f>
        <v>0</v>
      </c>
    </row>
    <row r="2145" spans="2:12">
      <c r="B2145" s="742">
        <f>Calculs!B2217</f>
        <v>0</v>
      </c>
      <c r="C2145" s="742">
        <f>Calculs!BY2217</f>
        <v>0</v>
      </c>
      <c r="D2145" s="742">
        <f>Calculs!BZ2217</f>
        <v>0</v>
      </c>
      <c r="E2145" s="742">
        <f>Calculs!CA2217</f>
        <v>0</v>
      </c>
      <c r="F2145" s="742">
        <f>Calculs!CB2217</f>
        <v>0</v>
      </c>
      <c r="G2145" s="742">
        <f>Calculs!CC2217</f>
        <v>0</v>
      </c>
      <c r="H2145" s="742"/>
      <c r="I2145" s="742">
        <f>Calculs!CE2217</f>
        <v>0</v>
      </c>
      <c r="J2145" s="742">
        <f>Calculs!CF2217</f>
        <v>0</v>
      </c>
      <c r="K2145" s="742"/>
      <c r="L2145" s="742">
        <f>Calculs!CH2217</f>
        <v>0</v>
      </c>
    </row>
    <row r="2146" spans="2:12">
      <c r="B2146" s="742">
        <f>Calculs!B2218</f>
        <v>0</v>
      </c>
      <c r="C2146" s="742">
        <f>Calculs!BY2218</f>
        <v>0</v>
      </c>
      <c r="D2146" s="742">
        <f>Calculs!BZ2218</f>
        <v>0</v>
      </c>
      <c r="E2146" s="742">
        <f>Calculs!CA2218</f>
        <v>0</v>
      </c>
      <c r="F2146" s="742">
        <f>Calculs!CB2218</f>
        <v>0</v>
      </c>
      <c r="G2146" s="742">
        <f>Calculs!CC2218</f>
        <v>0</v>
      </c>
      <c r="H2146" s="742"/>
      <c r="I2146" s="742">
        <f>Calculs!CE2218</f>
        <v>0</v>
      </c>
      <c r="J2146" s="742">
        <f>Calculs!CF2218</f>
        <v>0</v>
      </c>
      <c r="K2146" s="742"/>
      <c r="L2146" s="742">
        <f>Calculs!CH2218</f>
        <v>0</v>
      </c>
    </row>
    <row r="2147" spans="2:12">
      <c r="B2147" s="742">
        <f>Calculs!B2219</f>
        <v>0</v>
      </c>
      <c r="C2147" s="742">
        <f>Calculs!BY2219</f>
        <v>0</v>
      </c>
      <c r="D2147" s="742">
        <f>Calculs!BZ2219</f>
        <v>0</v>
      </c>
      <c r="E2147" s="742">
        <f>Calculs!CA2219</f>
        <v>0</v>
      </c>
      <c r="F2147" s="742">
        <f>Calculs!CB2219</f>
        <v>0</v>
      </c>
      <c r="G2147" s="742">
        <f>Calculs!CC2219</f>
        <v>0</v>
      </c>
      <c r="H2147" s="742"/>
      <c r="I2147" s="742">
        <f>Calculs!CE2219</f>
        <v>0</v>
      </c>
      <c r="J2147" s="742">
        <f>Calculs!CF2219</f>
        <v>0</v>
      </c>
      <c r="K2147" s="742"/>
      <c r="L2147" s="742">
        <f>Calculs!CH2219</f>
        <v>0</v>
      </c>
    </row>
    <row r="2148" spans="2:12">
      <c r="B2148" s="742">
        <f>Calculs!B2220</f>
        <v>0</v>
      </c>
      <c r="C2148" s="742">
        <f>Calculs!BY2220</f>
        <v>0</v>
      </c>
      <c r="D2148" s="742">
        <f>Calculs!BZ2220</f>
        <v>0</v>
      </c>
      <c r="E2148" s="742">
        <f>Calculs!CA2220</f>
        <v>0</v>
      </c>
      <c r="F2148" s="742">
        <f>Calculs!CB2220</f>
        <v>0</v>
      </c>
      <c r="G2148" s="742">
        <f>Calculs!CC2220</f>
        <v>0</v>
      </c>
      <c r="H2148" s="742"/>
      <c r="I2148" s="742">
        <f>Calculs!CE2220</f>
        <v>0</v>
      </c>
      <c r="J2148" s="742">
        <f>Calculs!CF2220</f>
        <v>0</v>
      </c>
      <c r="K2148" s="742"/>
      <c r="L2148" s="742">
        <f>Calculs!CH2220</f>
        <v>0</v>
      </c>
    </row>
    <row r="2149" spans="2:12">
      <c r="B2149" s="742">
        <f>Calculs!B2221</f>
        <v>0</v>
      </c>
      <c r="C2149" s="742">
        <f>Calculs!BY2221</f>
        <v>0</v>
      </c>
      <c r="D2149" s="742">
        <f>Calculs!BZ2221</f>
        <v>0</v>
      </c>
      <c r="E2149" s="742">
        <f>Calculs!CA2221</f>
        <v>0</v>
      </c>
      <c r="F2149" s="742">
        <f>Calculs!CB2221</f>
        <v>0</v>
      </c>
      <c r="G2149" s="742">
        <f>Calculs!CC2221</f>
        <v>0</v>
      </c>
      <c r="H2149" s="742"/>
      <c r="I2149" s="742">
        <f>Calculs!CE2221</f>
        <v>0</v>
      </c>
      <c r="J2149" s="742">
        <f>Calculs!CF2221</f>
        <v>0</v>
      </c>
      <c r="K2149" s="742"/>
      <c r="L2149" s="742">
        <f>Calculs!CH2221</f>
        <v>0</v>
      </c>
    </row>
    <row r="2150" spans="2:12">
      <c r="B2150" s="742">
        <f>Calculs!B2222</f>
        <v>0</v>
      </c>
      <c r="C2150" s="742">
        <f>Calculs!BY2222</f>
        <v>0</v>
      </c>
      <c r="D2150" s="742">
        <f>Calculs!BZ2222</f>
        <v>0</v>
      </c>
      <c r="E2150" s="742">
        <f>Calculs!CA2222</f>
        <v>0</v>
      </c>
      <c r="F2150" s="742">
        <f>Calculs!CB2222</f>
        <v>0</v>
      </c>
      <c r="G2150" s="742">
        <f>Calculs!CC2222</f>
        <v>0</v>
      </c>
      <c r="H2150" s="742"/>
      <c r="I2150" s="742">
        <f>Calculs!CE2222</f>
        <v>0</v>
      </c>
      <c r="J2150" s="742">
        <f>Calculs!CF2222</f>
        <v>0</v>
      </c>
      <c r="K2150" s="742"/>
      <c r="L2150" s="742">
        <f>Calculs!CH2222</f>
        <v>0</v>
      </c>
    </row>
    <row r="2151" spans="2:12">
      <c r="B2151" s="742">
        <f>Calculs!B2223</f>
        <v>0</v>
      </c>
      <c r="C2151" s="742">
        <f>Calculs!BY2223</f>
        <v>0</v>
      </c>
      <c r="D2151" s="742">
        <f>Calculs!BZ2223</f>
        <v>0</v>
      </c>
      <c r="E2151" s="742">
        <f>Calculs!CA2223</f>
        <v>0</v>
      </c>
      <c r="F2151" s="742">
        <f>Calculs!CB2223</f>
        <v>0</v>
      </c>
      <c r="G2151" s="742">
        <f>Calculs!CC2223</f>
        <v>0</v>
      </c>
      <c r="H2151" s="742"/>
      <c r="I2151" s="742">
        <f>Calculs!CE2223</f>
        <v>0</v>
      </c>
      <c r="J2151" s="742">
        <f>Calculs!CF2223</f>
        <v>0</v>
      </c>
      <c r="K2151" s="742"/>
      <c r="L2151" s="742">
        <f>Calculs!CH2223</f>
        <v>0</v>
      </c>
    </row>
    <row r="2152" spans="2:12">
      <c r="B2152" s="742">
        <f>Calculs!B2224</f>
        <v>0</v>
      </c>
      <c r="C2152" s="742">
        <f>Calculs!BY2224</f>
        <v>0</v>
      </c>
      <c r="D2152" s="742">
        <f>Calculs!BZ2224</f>
        <v>0</v>
      </c>
      <c r="E2152" s="742">
        <f>Calculs!CA2224</f>
        <v>0</v>
      </c>
      <c r="F2152" s="742">
        <f>Calculs!CB2224</f>
        <v>0</v>
      </c>
      <c r="G2152" s="742">
        <f>Calculs!CC2224</f>
        <v>0</v>
      </c>
      <c r="H2152" s="742"/>
      <c r="I2152" s="742">
        <f>Calculs!CE2224</f>
        <v>0</v>
      </c>
      <c r="J2152" s="742">
        <f>Calculs!CF2224</f>
        <v>0</v>
      </c>
      <c r="K2152" s="742"/>
      <c r="L2152" s="742">
        <f>Calculs!CH2224</f>
        <v>0</v>
      </c>
    </row>
    <row r="2153" spans="2:12">
      <c r="B2153" s="742">
        <f>Calculs!B2225</f>
        <v>0</v>
      </c>
      <c r="C2153" s="742">
        <f>Calculs!BY2225</f>
        <v>0</v>
      </c>
      <c r="D2153" s="742">
        <f>Calculs!BZ2225</f>
        <v>0</v>
      </c>
      <c r="E2153" s="742">
        <f>Calculs!CA2225</f>
        <v>0</v>
      </c>
      <c r="F2153" s="742">
        <f>Calculs!CB2225</f>
        <v>0</v>
      </c>
      <c r="G2153" s="742">
        <f>Calculs!CC2225</f>
        <v>0</v>
      </c>
      <c r="H2153" s="742"/>
      <c r="I2153" s="742">
        <f>Calculs!CE2225</f>
        <v>0</v>
      </c>
      <c r="J2153" s="742">
        <f>Calculs!CF2225</f>
        <v>0</v>
      </c>
      <c r="K2153" s="742"/>
      <c r="L2153" s="742">
        <f>Calculs!CH2225</f>
        <v>0</v>
      </c>
    </row>
    <row r="2154" spans="2:12">
      <c r="B2154" s="742">
        <f>Calculs!B2226</f>
        <v>0</v>
      </c>
      <c r="C2154" s="742">
        <f>Calculs!BY2226</f>
        <v>0</v>
      </c>
      <c r="D2154" s="742">
        <f>Calculs!BZ2226</f>
        <v>0</v>
      </c>
      <c r="E2154" s="742">
        <f>Calculs!CA2226</f>
        <v>0</v>
      </c>
      <c r="F2154" s="742">
        <f>Calculs!CB2226</f>
        <v>0</v>
      </c>
      <c r="G2154" s="742">
        <f>Calculs!CC2226</f>
        <v>0</v>
      </c>
      <c r="H2154" s="742"/>
      <c r="I2154" s="742">
        <f>Calculs!CE2226</f>
        <v>0</v>
      </c>
      <c r="J2154" s="742">
        <f>Calculs!CF2226</f>
        <v>0</v>
      </c>
      <c r="K2154" s="742"/>
      <c r="L2154" s="742">
        <f>Calculs!CH2226</f>
        <v>0</v>
      </c>
    </row>
    <row r="2155" spans="2:12">
      <c r="B2155" s="742">
        <f>Calculs!B2227</f>
        <v>0</v>
      </c>
      <c r="C2155" s="742">
        <f>Calculs!BY2227</f>
        <v>0</v>
      </c>
      <c r="D2155" s="742">
        <f>Calculs!BZ2227</f>
        <v>0</v>
      </c>
      <c r="E2155" s="742">
        <f>Calculs!CA2227</f>
        <v>0</v>
      </c>
      <c r="F2155" s="742">
        <f>Calculs!CB2227</f>
        <v>0</v>
      </c>
      <c r="G2155" s="742">
        <f>Calculs!CC2227</f>
        <v>0</v>
      </c>
      <c r="H2155" s="742"/>
      <c r="I2155" s="742">
        <f>Calculs!CE2227</f>
        <v>0</v>
      </c>
      <c r="J2155" s="742">
        <f>Calculs!CF2227</f>
        <v>0</v>
      </c>
      <c r="K2155" s="742"/>
      <c r="L2155" s="742">
        <f>Calculs!CH2227</f>
        <v>0</v>
      </c>
    </row>
    <row r="2156" spans="2:12">
      <c r="B2156" s="742">
        <f>Calculs!B2228</f>
        <v>0</v>
      </c>
      <c r="C2156" s="742">
        <f>Calculs!BY2228</f>
        <v>0</v>
      </c>
      <c r="D2156" s="742">
        <f>Calculs!BZ2228</f>
        <v>0</v>
      </c>
      <c r="E2156" s="742">
        <f>Calculs!CA2228</f>
        <v>0</v>
      </c>
      <c r="F2156" s="742">
        <f>Calculs!CB2228</f>
        <v>0</v>
      </c>
      <c r="G2156" s="742">
        <f>Calculs!CC2228</f>
        <v>0</v>
      </c>
      <c r="H2156" s="742"/>
      <c r="I2156" s="742">
        <f>Calculs!CE2228</f>
        <v>0</v>
      </c>
      <c r="J2156" s="742">
        <f>Calculs!CF2228</f>
        <v>0</v>
      </c>
      <c r="K2156" s="742"/>
      <c r="L2156" s="742">
        <f>Calculs!CH2228</f>
        <v>0</v>
      </c>
    </row>
    <row r="2157" spans="2:12">
      <c r="B2157" s="742">
        <f>Calculs!B2229</f>
        <v>0</v>
      </c>
      <c r="C2157" s="742">
        <f>Calculs!BY2229</f>
        <v>0</v>
      </c>
      <c r="D2157" s="742">
        <f>Calculs!BZ2229</f>
        <v>0</v>
      </c>
      <c r="E2157" s="742">
        <f>Calculs!CA2229</f>
        <v>0</v>
      </c>
      <c r="F2157" s="742">
        <f>Calculs!CB2229</f>
        <v>0</v>
      </c>
      <c r="G2157" s="742">
        <f>Calculs!CC2229</f>
        <v>0</v>
      </c>
      <c r="H2157" s="742"/>
      <c r="I2157" s="742">
        <f>Calculs!CE2229</f>
        <v>0</v>
      </c>
      <c r="J2157" s="742">
        <f>Calculs!CF2229</f>
        <v>0</v>
      </c>
      <c r="K2157" s="742"/>
      <c r="L2157" s="742">
        <f>Calculs!CH2229</f>
        <v>0</v>
      </c>
    </row>
    <row r="2158" spans="2:12">
      <c r="B2158" s="742">
        <f>Calculs!B2230</f>
        <v>0</v>
      </c>
      <c r="C2158" s="742">
        <f>Calculs!BY2230</f>
        <v>0</v>
      </c>
      <c r="D2158" s="742">
        <f>Calculs!BZ2230</f>
        <v>0</v>
      </c>
      <c r="E2158" s="742">
        <f>Calculs!CA2230</f>
        <v>0</v>
      </c>
      <c r="F2158" s="742">
        <f>Calculs!CB2230</f>
        <v>0</v>
      </c>
      <c r="G2158" s="742">
        <f>Calculs!CC2230</f>
        <v>0</v>
      </c>
      <c r="H2158" s="742"/>
      <c r="I2158" s="742">
        <f>Calculs!CE2230</f>
        <v>0</v>
      </c>
      <c r="J2158" s="742">
        <f>Calculs!CF2230</f>
        <v>0</v>
      </c>
      <c r="K2158" s="742"/>
      <c r="L2158" s="742">
        <f>Calculs!CH2230</f>
        <v>0</v>
      </c>
    </row>
    <row r="2159" spans="2:12">
      <c r="B2159" s="742">
        <f>Calculs!B2231</f>
        <v>0</v>
      </c>
      <c r="C2159" s="742">
        <f>Calculs!BY2231</f>
        <v>0</v>
      </c>
      <c r="D2159" s="742">
        <f>Calculs!BZ2231</f>
        <v>0</v>
      </c>
      <c r="E2159" s="742">
        <f>Calculs!CA2231</f>
        <v>0</v>
      </c>
      <c r="F2159" s="742">
        <f>Calculs!CB2231</f>
        <v>0</v>
      </c>
      <c r="G2159" s="742">
        <f>Calculs!CC2231</f>
        <v>0</v>
      </c>
      <c r="H2159" s="742"/>
      <c r="I2159" s="742">
        <f>Calculs!CE2231</f>
        <v>0</v>
      </c>
      <c r="J2159" s="742">
        <f>Calculs!CF2231</f>
        <v>0</v>
      </c>
      <c r="K2159" s="742"/>
      <c r="L2159" s="742">
        <f>Calculs!CH2231</f>
        <v>0</v>
      </c>
    </row>
    <row r="2160" spans="2:12">
      <c r="B2160" s="742">
        <f>Calculs!B2232</f>
        <v>0</v>
      </c>
      <c r="C2160" s="742">
        <f>Calculs!BY2232</f>
        <v>0</v>
      </c>
      <c r="D2160" s="742">
        <f>Calculs!BZ2232</f>
        <v>0</v>
      </c>
      <c r="E2160" s="742">
        <f>Calculs!CA2232</f>
        <v>0</v>
      </c>
      <c r="F2160" s="742">
        <f>Calculs!CB2232</f>
        <v>0</v>
      </c>
      <c r="G2160" s="742">
        <f>Calculs!CC2232</f>
        <v>0</v>
      </c>
      <c r="H2160" s="742"/>
      <c r="I2160" s="742">
        <f>Calculs!CE2232</f>
        <v>0</v>
      </c>
      <c r="J2160" s="742">
        <f>Calculs!CF2232</f>
        <v>0</v>
      </c>
      <c r="K2160" s="742"/>
      <c r="L2160" s="742">
        <f>Calculs!CH2232</f>
        <v>0</v>
      </c>
    </row>
    <row r="2161" spans="2:12">
      <c r="B2161" s="742">
        <f>Calculs!B2233</f>
        <v>0</v>
      </c>
      <c r="C2161" s="742">
        <f>Calculs!BY2233</f>
        <v>0</v>
      </c>
      <c r="D2161" s="742">
        <f>Calculs!BZ2233</f>
        <v>0</v>
      </c>
      <c r="E2161" s="742">
        <f>Calculs!CA2233</f>
        <v>0</v>
      </c>
      <c r="F2161" s="742">
        <f>Calculs!CB2233</f>
        <v>0</v>
      </c>
      <c r="G2161" s="742">
        <f>Calculs!CC2233</f>
        <v>0</v>
      </c>
      <c r="H2161" s="742"/>
      <c r="I2161" s="742">
        <f>Calculs!CE2233</f>
        <v>0</v>
      </c>
      <c r="J2161" s="742">
        <f>Calculs!CF2233</f>
        <v>0</v>
      </c>
      <c r="K2161" s="742"/>
      <c r="L2161" s="742">
        <f>Calculs!CH2233</f>
        <v>0</v>
      </c>
    </row>
    <row r="2162" spans="2:12">
      <c r="B2162" s="742">
        <f>Calculs!B2234</f>
        <v>0</v>
      </c>
      <c r="C2162" s="742">
        <f>Calculs!BY2234</f>
        <v>0</v>
      </c>
      <c r="D2162" s="742">
        <f>Calculs!BZ2234</f>
        <v>0</v>
      </c>
      <c r="E2162" s="742">
        <f>Calculs!CA2234</f>
        <v>0</v>
      </c>
      <c r="F2162" s="742">
        <f>Calculs!CB2234</f>
        <v>0</v>
      </c>
      <c r="G2162" s="742">
        <f>Calculs!CC2234</f>
        <v>0</v>
      </c>
      <c r="H2162" s="742"/>
      <c r="I2162" s="742">
        <f>Calculs!CE2234</f>
        <v>0</v>
      </c>
      <c r="J2162" s="742">
        <f>Calculs!CF2234</f>
        <v>0</v>
      </c>
      <c r="K2162" s="742"/>
      <c r="L2162" s="742">
        <f>Calculs!CH2234</f>
        <v>0</v>
      </c>
    </row>
    <row r="2163" spans="2:12">
      <c r="B2163" s="742">
        <f>Calculs!B2235</f>
        <v>0</v>
      </c>
      <c r="C2163" s="742">
        <f>Calculs!BY2235</f>
        <v>0</v>
      </c>
      <c r="D2163" s="742">
        <f>Calculs!BZ2235</f>
        <v>0</v>
      </c>
      <c r="E2163" s="742">
        <f>Calculs!CA2235</f>
        <v>0</v>
      </c>
      <c r="F2163" s="742">
        <f>Calculs!CB2235</f>
        <v>0</v>
      </c>
      <c r="G2163" s="742">
        <f>Calculs!CC2235</f>
        <v>0</v>
      </c>
      <c r="H2163" s="742"/>
      <c r="I2163" s="742">
        <f>Calculs!CE2235</f>
        <v>0</v>
      </c>
      <c r="J2163" s="742">
        <f>Calculs!CF2235</f>
        <v>0</v>
      </c>
      <c r="K2163" s="742"/>
      <c r="L2163" s="742">
        <f>Calculs!CH2235</f>
        <v>0</v>
      </c>
    </row>
    <row r="2164" spans="2:12">
      <c r="B2164" s="742">
        <f>Calculs!B2236</f>
        <v>0</v>
      </c>
      <c r="C2164" s="742">
        <f>Calculs!BY2236</f>
        <v>0</v>
      </c>
      <c r="D2164" s="742">
        <f>Calculs!BZ2236</f>
        <v>0</v>
      </c>
      <c r="E2164" s="742">
        <f>Calculs!CA2236</f>
        <v>0</v>
      </c>
      <c r="F2164" s="742">
        <f>Calculs!CB2236</f>
        <v>0</v>
      </c>
      <c r="G2164" s="742">
        <f>Calculs!CC2236</f>
        <v>0</v>
      </c>
      <c r="H2164" s="742"/>
      <c r="I2164" s="742">
        <f>Calculs!CE2236</f>
        <v>0</v>
      </c>
      <c r="J2164" s="742">
        <f>Calculs!CF2236</f>
        <v>0</v>
      </c>
      <c r="K2164" s="742"/>
      <c r="L2164" s="742">
        <f>Calculs!CH2236</f>
        <v>0</v>
      </c>
    </row>
    <row r="2165" spans="2:12">
      <c r="B2165" s="742">
        <f>Calculs!B2237</f>
        <v>0</v>
      </c>
      <c r="C2165" s="742">
        <f>Calculs!BY2237</f>
        <v>0</v>
      </c>
      <c r="D2165" s="742">
        <f>Calculs!BZ2237</f>
        <v>0</v>
      </c>
      <c r="E2165" s="742">
        <f>Calculs!CA2237</f>
        <v>0</v>
      </c>
      <c r="F2165" s="742">
        <f>Calculs!CB2237</f>
        <v>0</v>
      </c>
      <c r="G2165" s="742">
        <f>Calculs!CC2237</f>
        <v>0</v>
      </c>
      <c r="H2165" s="742"/>
      <c r="I2165" s="742">
        <f>Calculs!CE2237</f>
        <v>0</v>
      </c>
      <c r="J2165" s="742">
        <f>Calculs!CF2237</f>
        <v>0</v>
      </c>
      <c r="K2165" s="742"/>
      <c r="L2165" s="742">
        <f>Calculs!CH2237</f>
        <v>0</v>
      </c>
    </row>
    <row r="2166" spans="2:12">
      <c r="B2166" s="742">
        <f>Calculs!B2238</f>
        <v>0</v>
      </c>
      <c r="C2166" s="742">
        <f>Calculs!BY2238</f>
        <v>0</v>
      </c>
      <c r="D2166" s="742">
        <f>Calculs!BZ2238</f>
        <v>0</v>
      </c>
      <c r="E2166" s="742">
        <f>Calculs!CA2238</f>
        <v>0</v>
      </c>
      <c r="F2166" s="742">
        <f>Calculs!CB2238</f>
        <v>0</v>
      </c>
      <c r="G2166" s="742">
        <f>Calculs!CC2238</f>
        <v>0</v>
      </c>
      <c r="H2166" s="742"/>
      <c r="I2166" s="742">
        <f>Calculs!CE2238</f>
        <v>0</v>
      </c>
      <c r="J2166" s="742">
        <f>Calculs!CF2238</f>
        <v>0</v>
      </c>
      <c r="K2166" s="742"/>
      <c r="L2166" s="742">
        <f>Calculs!CH2238</f>
        <v>0</v>
      </c>
    </row>
    <row r="2167" spans="2:12">
      <c r="B2167" s="742">
        <f>Calculs!B2239</f>
        <v>0</v>
      </c>
      <c r="C2167" s="742">
        <f>Calculs!BY2239</f>
        <v>0</v>
      </c>
      <c r="D2167" s="742">
        <f>Calculs!BZ2239</f>
        <v>0</v>
      </c>
      <c r="E2167" s="742">
        <f>Calculs!CA2239</f>
        <v>0</v>
      </c>
      <c r="F2167" s="742">
        <f>Calculs!CB2239</f>
        <v>0</v>
      </c>
      <c r="G2167" s="742">
        <f>Calculs!CC2239</f>
        <v>0</v>
      </c>
      <c r="H2167" s="742"/>
      <c r="I2167" s="742">
        <f>Calculs!CE2239</f>
        <v>0</v>
      </c>
      <c r="J2167" s="742">
        <f>Calculs!CF2239</f>
        <v>0</v>
      </c>
      <c r="K2167" s="742"/>
      <c r="L2167" s="742">
        <f>Calculs!CH2239</f>
        <v>0</v>
      </c>
    </row>
    <row r="2168" spans="2:12">
      <c r="B2168" s="742">
        <f>Calculs!B2240</f>
        <v>0</v>
      </c>
      <c r="C2168" s="742">
        <f>Calculs!BY2240</f>
        <v>0</v>
      </c>
      <c r="D2168" s="742">
        <f>Calculs!BZ2240</f>
        <v>0</v>
      </c>
      <c r="E2168" s="742">
        <f>Calculs!CA2240</f>
        <v>0</v>
      </c>
      <c r="F2168" s="742">
        <f>Calculs!CB2240</f>
        <v>0</v>
      </c>
      <c r="G2168" s="742">
        <f>Calculs!CC2240</f>
        <v>0</v>
      </c>
      <c r="H2168" s="742"/>
      <c r="I2168" s="742">
        <f>Calculs!CE2240</f>
        <v>0</v>
      </c>
      <c r="J2168" s="742">
        <f>Calculs!CF2240</f>
        <v>0</v>
      </c>
      <c r="K2168" s="742"/>
      <c r="L2168" s="742">
        <f>Calculs!CH2240</f>
        <v>0</v>
      </c>
    </row>
    <row r="2169" spans="2:12">
      <c r="B2169" s="742">
        <f>Calculs!B2241</f>
        <v>0</v>
      </c>
      <c r="C2169" s="742">
        <f>Calculs!BY2241</f>
        <v>0</v>
      </c>
      <c r="D2169" s="742">
        <f>Calculs!BZ2241</f>
        <v>0</v>
      </c>
      <c r="E2169" s="742">
        <f>Calculs!CA2241</f>
        <v>0</v>
      </c>
      <c r="F2169" s="742">
        <f>Calculs!CB2241</f>
        <v>0</v>
      </c>
      <c r="G2169" s="742">
        <f>Calculs!CC2241</f>
        <v>0</v>
      </c>
      <c r="H2169" s="742"/>
      <c r="I2169" s="742">
        <f>Calculs!CE2241</f>
        <v>0</v>
      </c>
      <c r="J2169" s="742">
        <f>Calculs!CF2241</f>
        <v>0</v>
      </c>
      <c r="K2169" s="742"/>
      <c r="L2169" s="742">
        <f>Calculs!CH2241</f>
        <v>0</v>
      </c>
    </row>
    <row r="2170" spans="2:12">
      <c r="B2170" s="742">
        <f>Calculs!B2242</f>
        <v>0</v>
      </c>
      <c r="C2170" s="742">
        <f>Calculs!BY2242</f>
        <v>0</v>
      </c>
      <c r="D2170" s="742">
        <f>Calculs!BZ2242</f>
        <v>0</v>
      </c>
      <c r="E2170" s="742">
        <f>Calculs!CA2242</f>
        <v>0</v>
      </c>
      <c r="F2170" s="742">
        <f>Calculs!CB2242</f>
        <v>0</v>
      </c>
      <c r="G2170" s="742">
        <f>Calculs!CC2242</f>
        <v>0</v>
      </c>
      <c r="H2170" s="742"/>
      <c r="I2170" s="742">
        <f>Calculs!CE2242</f>
        <v>0</v>
      </c>
      <c r="J2170" s="742">
        <f>Calculs!CF2242</f>
        <v>0</v>
      </c>
      <c r="K2170" s="742"/>
      <c r="L2170" s="742">
        <f>Calculs!CH2242</f>
        <v>0</v>
      </c>
    </row>
    <row r="2171" spans="2:12">
      <c r="B2171" s="742">
        <f>Calculs!B2243</f>
        <v>0</v>
      </c>
      <c r="C2171" s="742">
        <f>Calculs!BY2243</f>
        <v>0</v>
      </c>
      <c r="D2171" s="742">
        <f>Calculs!BZ2243</f>
        <v>0</v>
      </c>
      <c r="E2171" s="742">
        <f>Calculs!CA2243</f>
        <v>0</v>
      </c>
      <c r="F2171" s="742">
        <f>Calculs!CB2243</f>
        <v>0</v>
      </c>
      <c r="G2171" s="742">
        <f>Calculs!CC2243</f>
        <v>0</v>
      </c>
      <c r="H2171" s="742"/>
      <c r="I2171" s="742">
        <f>Calculs!CE2243</f>
        <v>0</v>
      </c>
      <c r="J2171" s="742">
        <f>Calculs!CF2243</f>
        <v>0</v>
      </c>
      <c r="K2171" s="742"/>
      <c r="L2171" s="742">
        <f>Calculs!CH2243</f>
        <v>0</v>
      </c>
    </row>
    <row r="2172" spans="2:12">
      <c r="B2172" s="742">
        <f>Calculs!B2244</f>
        <v>0</v>
      </c>
      <c r="C2172" s="742">
        <f>Calculs!BY2244</f>
        <v>0</v>
      </c>
      <c r="D2172" s="742">
        <f>Calculs!BZ2244</f>
        <v>0</v>
      </c>
      <c r="E2172" s="742">
        <f>Calculs!CA2244</f>
        <v>0</v>
      </c>
      <c r="F2172" s="742">
        <f>Calculs!CB2244</f>
        <v>0</v>
      </c>
      <c r="G2172" s="742">
        <f>Calculs!CC2244</f>
        <v>0</v>
      </c>
      <c r="H2172" s="742"/>
      <c r="I2172" s="742">
        <f>Calculs!CE2244</f>
        <v>0</v>
      </c>
      <c r="J2172" s="742">
        <f>Calculs!CF2244</f>
        <v>0</v>
      </c>
      <c r="K2172" s="742"/>
      <c r="L2172" s="742">
        <f>Calculs!CH2244</f>
        <v>0</v>
      </c>
    </row>
    <row r="2173" spans="2:12">
      <c r="B2173" s="742">
        <f>Calculs!B2245</f>
        <v>0</v>
      </c>
      <c r="C2173" s="742">
        <f>Calculs!BY2245</f>
        <v>0</v>
      </c>
      <c r="D2173" s="742">
        <f>Calculs!BZ2245</f>
        <v>0</v>
      </c>
      <c r="E2173" s="742">
        <f>Calculs!CA2245</f>
        <v>0</v>
      </c>
      <c r="F2173" s="742">
        <f>Calculs!CB2245</f>
        <v>0</v>
      </c>
      <c r="G2173" s="742">
        <f>Calculs!CC2245</f>
        <v>0</v>
      </c>
      <c r="H2173" s="742"/>
      <c r="I2173" s="742">
        <f>Calculs!CE2245</f>
        <v>0</v>
      </c>
      <c r="J2173" s="742">
        <f>Calculs!CF2245</f>
        <v>0</v>
      </c>
      <c r="K2173" s="742"/>
      <c r="L2173" s="742">
        <f>Calculs!CH2245</f>
        <v>0</v>
      </c>
    </row>
    <row r="2174" spans="2:12">
      <c r="B2174" s="742">
        <f>Calculs!B2246</f>
        <v>0</v>
      </c>
      <c r="C2174" s="742">
        <f>Calculs!BY2246</f>
        <v>0</v>
      </c>
      <c r="D2174" s="742">
        <f>Calculs!BZ2246</f>
        <v>0</v>
      </c>
      <c r="E2174" s="742">
        <f>Calculs!CA2246</f>
        <v>0</v>
      </c>
      <c r="F2174" s="742">
        <f>Calculs!CB2246</f>
        <v>0</v>
      </c>
      <c r="G2174" s="742">
        <f>Calculs!CC2246</f>
        <v>0</v>
      </c>
      <c r="H2174" s="742"/>
      <c r="I2174" s="742">
        <f>Calculs!CE2246</f>
        <v>0</v>
      </c>
      <c r="J2174" s="742">
        <f>Calculs!CF2246</f>
        <v>0</v>
      </c>
      <c r="K2174" s="742"/>
      <c r="L2174" s="742">
        <f>Calculs!CH2246</f>
        <v>0</v>
      </c>
    </row>
    <row r="2175" spans="2:12">
      <c r="B2175" s="742">
        <f>Calculs!B2247</f>
        <v>0</v>
      </c>
      <c r="C2175" s="742">
        <f>Calculs!BY2247</f>
        <v>0</v>
      </c>
      <c r="D2175" s="742">
        <f>Calculs!BZ2247</f>
        <v>0</v>
      </c>
      <c r="E2175" s="742">
        <f>Calculs!CA2247</f>
        <v>0</v>
      </c>
      <c r="F2175" s="742">
        <f>Calculs!CB2247</f>
        <v>0</v>
      </c>
      <c r="G2175" s="742">
        <f>Calculs!CC2247</f>
        <v>0</v>
      </c>
      <c r="H2175" s="742"/>
      <c r="I2175" s="742">
        <f>Calculs!CE2247</f>
        <v>0</v>
      </c>
      <c r="J2175" s="742">
        <f>Calculs!CF2247</f>
        <v>0</v>
      </c>
      <c r="K2175" s="742"/>
      <c r="L2175" s="742">
        <f>Calculs!CH2247</f>
        <v>0</v>
      </c>
    </row>
    <row r="2176" spans="2:12">
      <c r="B2176" s="742">
        <f>Calculs!B2248</f>
        <v>0</v>
      </c>
      <c r="C2176" s="742">
        <f>Calculs!BY2248</f>
        <v>0</v>
      </c>
      <c r="D2176" s="742">
        <f>Calculs!BZ2248</f>
        <v>0</v>
      </c>
      <c r="E2176" s="742">
        <f>Calculs!CA2248</f>
        <v>0</v>
      </c>
      <c r="F2176" s="742">
        <f>Calculs!CB2248</f>
        <v>0</v>
      </c>
      <c r="G2176" s="742">
        <f>Calculs!CC2248</f>
        <v>0</v>
      </c>
      <c r="H2176" s="742"/>
      <c r="I2176" s="742">
        <f>Calculs!CE2248</f>
        <v>0</v>
      </c>
      <c r="J2176" s="742">
        <f>Calculs!CF2248</f>
        <v>0</v>
      </c>
      <c r="K2176" s="742"/>
      <c r="L2176" s="742">
        <f>Calculs!CH2248</f>
        <v>0</v>
      </c>
    </row>
    <row r="2177" spans="2:12">
      <c r="B2177" s="742">
        <f>Calculs!B2249</f>
        <v>0</v>
      </c>
      <c r="C2177" s="742">
        <f>Calculs!BY2249</f>
        <v>0</v>
      </c>
      <c r="D2177" s="742">
        <f>Calculs!BZ2249</f>
        <v>0</v>
      </c>
      <c r="E2177" s="742">
        <f>Calculs!CA2249</f>
        <v>0</v>
      </c>
      <c r="F2177" s="742">
        <f>Calculs!CB2249</f>
        <v>0</v>
      </c>
      <c r="G2177" s="742">
        <f>Calculs!CC2249</f>
        <v>0</v>
      </c>
      <c r="H2177" s="742"/>
      <c r="I2177" s="742">
        <f>Calculs!CE2249</f>
        <v>0</v>
      </c>
      <c r="J2177" s="742">
        <f>Calculs!CF2249</f>
        <v>0</v>
      </c>
      <c r="K2177" s="742"/>
      <c r="L2177" s="742">
        <f>Calculs!CH2249</f>
        <v>0</v>
      </c>
    </row>
    <row r="2178" spans="2:12">
      <c r="B2178" s="742">
        <f>Calculs!B2250</f>
        <v>0</v>
      </c>
      <c r="C2178" s="742">
        <f>Calculs!BY2250</f>
        <v>0</v>
      </c>
      <c r="D2178" s="742">
        <f>Calculs!BZ2250</f>
        <v>0</v>
      </c>
      <c r="E2178" s="742">
        <f>Calculs!CA2250</f>
        <v>0</v>
      </c>
      <c r="F2178" s="742">
        <f>Calculs!CB2250</f>
        <v>0</v>
      </c>
      <c r="G2178" s="742">
        <f>Calculs!CC2250</f>
        <v>0</v>
      </c>
      <c r="H2178" s="742"/>
      <c r="I2178" s="742">
        <f>Calculs!CE2250</f>
        <v>0</v>
      </c>
      <c r="J2178" s="742">
        <f>Calculs!CF2250</f>
        <v>0</v>
      </c>
      <c r="K2178" s="742"/>
      <c r="L2178" s="742">
        <f>Calculs!CH2250</f>
        <v>0</v>
      </c>
    </row>
    <row r="2179" spans="2:12">
      <c r="B2179" s="742">
        <f>Calculs!B2251</f>
        <v>0</v>
      </c>
      <c r="C2179" s="742">
        <f>Calculs!BY2251</f>
        <v>0</v>
      </c>
      <c r="D2179" s="742">
        <f>Calculs!BZ2251</f>
        <v>0</v>
      </c>
      <c r="E2179" s="742">
        <f>Calculs!CA2251</f>
        <v>0</v>
      </c>
      <c r="F2179" s="742">
        <f>Calculs!CB2251</f>
        <v>0</v>
      </c>
      <c r="G2179" s="742">
        <f>Calculs!CC2251</f>
        <v>0</v>
      </c>
      <c r="H2179" s="742"/>
      <c r="I2179" s="742">
        <f>Calculs!CE2251</f>
        <v>0</v>
      </c>
      <c r="J2179" s="742">
        <f>Calculs!CF2251</f>
        <v>0</v>
      </c>
      <c r="K2179" s="742"/>
      <c r="L2179" s="742">
        <f>Calculs!CH2251</f>
        <v>0</v>
      </c>
    </row>
    <row r="2180" spans="2:12">
      <c r="B2180" s="742">
        <f>Calculs!B2252</f>
        <v>0</v>
      </c>
      <c r="C2180" s="742">
        <f>Calculs!BY2252</f>
        <v>0</v>
      </c>
      <c r="D2180" s="742">
        <f>Calculs!BZ2252</f>
        <v>0</v>
      </c>
      <c r="E2180" s="742">
        <f>Calculs!CA2252</f>
        <v>0</v>
      </c>
      <c r="F2180" s="742">
        <f>Calculs!CB2252</f>
        <v>0</v>
      </c>
      <c r="G2180" s="742">
        <f>Calculs!CC2252</f>
        <v>0</v>
      </c>
      <c r="H2180" s="742"/>
      <c r="I2180" s="742">
        <f>Calculs!CE2252</f>
        <v>0</v>
      </c>
      <c r="J2180" s="742">
        <f>Calculs!CF2252</f>
        <v>0</v>
      </c>
      <c r="K2180" s="742"/>
      <c r="L2180" s="742">
        <f>Calculs!CH2252</f>
        <v>0</v>
      </c>
    </row>
    <row r="2181" spans="2:12">
      <c r="B2181" s="742">
        <f>Calculs!B2253</f>
        <v>0</v>
      </c>
      <c r="C2181" s="742">
        <f>Calculs!BY2253</f>
        <v>0</v>
      </c>
      <c r="D2181" s="742">
        <f>Calculs!BZ2253</f>
        <v>0</v>
      </c>
      <c r="E2181" s="742">
        <f>Calculs!CA2253</f>
        <v>0</v>
      </c>
      <c r="F2181" s="742">
        <f>Calculs!CB2253</f>
        <v>0</v>
      </c>
      <c r="G2181" s="742">
        <f>Calculs!CC2253</f>
        <v>0</v>
      </c>
      <c r="H2181" s="742"/>
      <c r="I2181" s="742">
        <f>Calculs!CE2253</f>
        <v>0</v>
      </c>
      <c r="J2181" s="742">
        <f>Calculs!CF2253</f>
        <v>0</v>
      </c>
      <c r="K2181" s="742"/>
      <c r="L2181" s="742">
        <f>Calculs!CH2253</f>
        <v>0</v>
      </c>
    </row>
    <row r="2182" spans="2:12">
      <c r="B2182" s="742">
        <f>Calculs!B2254</f>
        <v>0</v>
      </c>
      <c r="C2182" s="742">
        <f>Calculs!BY2254</f>
        <v>0</v>
      </c>
      <c r="D2182" s="742">
        <f>Calculs!BZ2254</f>
        <v>0</v>
      </c>
      <c r="E2182" s="742">
        <f>Calculs!CA2254</f>
        <v>0</v>
      </c>
      <c r="F2182" s="742">
        <f>Calculs!CB2254</f>
        <v>0</v>
      </c>
      <c r="G2182" s="742">
        <f>Calculs!CC2254</f>
        <v>0</v>
      </c>
      <c r="H2182" s="742"/>
      <c r="I2182" s="742">
        <f>Calculs!CE2254</f>
        <v>0</v>
      </c>
      <c r="J2182" s="742">
        <f>Calculs!CF2254</f>
        <v>0</v>
      </c>
      <c r="K2182" s="742"/>
      <c r="L2182" s="742">
        <f>Calculs!CH2254</f>
        <v>0</v>
      </c>
    </row>
    <row r="2183" spans="2:12">
      <c r="B2183" s="742">
        <f>Calculs!B2255</f>
        <v>0</v>
      </c>
      <c r="C2183" s="742">
        <f>Calculs!BY2255</f>
        <v>0</v>
      </c>
      <c r="D2183" s="742">
        <f>Calculs!BZ2255</f>
        <v>0</v>
      </c>
      <c r="E2183" s="742">
        <f>Calculs!CA2255</f>
        <v>0</v>
      </c>
      <c r="F2183" s="742">
        <f>Calculs!CB2255</f>
        <v>0</v>
      </c>
      <c r="G2183" s="742">
        <f>Calculs!CC2255</f>
        <v>0</v>
      </c>
      <c r="H2183" s="742"/>
      <c r="I2183" s="742">
        <f>Calculs!CE2255</f>
        <v>0</v>
      </c>
      <c r="J2183" s="742">
        <f>Calculs!CF2255</f>
        <v>0</v>
      </c>
      <c r="K2183" s="742"/>
      <c r="L2183" s="742">
        <f>Calculs!CH2255</f>
        <v>0</v>
      </c>
    </row>
    <row r="2184" spans="2:12">
      <c r="B2184" s="742">
        <f>Calculs!B2256</f>
        <v>0</v>
      </c>
      <c r="C2184" s="742">
        <f>Calculs!BY2256</f>
        <v>0</v>
      </c>
      <c r="D2184" s="742">
        <f>Calculs!BZ2256</f>
        <v>0</v>
      </c>
      <c r="E2184" s="742">
        <f>Calculs!CA2256</f>
        <v>0</v>
      </c>
      <c r="F2184" s="742">
        <f>Calculs!CB2256</f>
        <v>0</v>
      </c>
      <c r="G2184" s="742">
        <f>Calculs!CC2256</f>
        <v>0</v>
      </c>
      <c r="H2184" s="742"/>
      <c r="I2184" s="742">
        <f>Calculs!CE2256</f>
        <v>0</v>
      </c>
      <c r="J2184" s="742">
        <f>Calculs!CF2256</f>
        <v>0</v>
      </c>
      <c r="K2184" s="742"/>
      <c r="L2184" s="742">
        <f>Calculs!CH2256</f>
        <v>0</v>
      </c>
    </row>
    <row r="2185" spans="2:12">
      <c r="B2185" s="742">
        <f>Calculs!B2257</f>
        <v>0</v>
      </c>
      <c r="C2185" s="742">
        <f>Calculs!BY2257</f>
        <v>0</v>
      </c>
      <c r="D2185" s="742">
        <f>Calculs!BZ2257</f>
        <v>0</v>
      </c>
      <c r="E2185" s="742">
        <f>Calculs!CA2257</f>
        <v>0</v>
      </c>
      <c r="F2185" s="742">
        <f>Calculs!CB2257</f>
        <v>0</v>
      </c>
      <c r="G2185" s="742">
        <f>Calculs!CC2257</f>
        <v>0</v>
      </c>
      <c r="H2185" s="742"/>
      <c r="I2185" s="742">
        <f>Calculs!CE2257</f>
        <v>0</v>
      </c>
      <c r="J2185" s="742">
        <f>Calculs!CF2257</f>
        <v>0</v>
      </c>
      <c r="K2185" s="742"/>
      <c r="L2185" s="742">
        <f>Calculs!CH2257</f>
        <v>0</v>
      </c>
    </row>
    <row r="2186" spans="2:12">
      <c r="B2186" s="742">
        <f>Calculs!B2258</f>
        <v>0</v>
      </c>
      <c r="C2186" s="742">
        <f>Calculs!BY2258</f>
        <v>0</v>
      </c>
      <c r="D2186" s="742">
        <f>Calculs!BZ2258</f>
        <v>0</v>
      </c>
      <c r="E2186" s="742">
        <f>Calculs!CA2258</f>
        <v>0</v>
      </c>
      <c r="F2186" s="742">
        <f>Calculs!CB2258</f>
        <v>0</v>
      </c>
      <c r="G2186" s="742">
        <f>Calculs!CC2258</f>
        <v>0</v>
      </c>
      <c r="H2186" s="742"/>
      <c r="I2186" s="742">
        <f>Calculs!CE2258</f>
        <v>0</v>
      </c>
      <c r="J2186" s="742">
        <f>Calculs!CF2258</f>
        <v>0</v>
      </c>
      <c r="K2186" s="742"/>
      <c r="L2186" s="742">
        <f>Calculs!CH2258</f>
        <v>0</v>
      </c>
    </row>
    <row r="2187" spans="2:12">
      <c r="B2187" s="742">
        <f>Calculs!B2259</f>
        <v>0</v>
      </c>
      <c r="C2187" s="742">
        <f>Calculs!BY2259</f>
        <v>0</v>
      </c>
      <c r="D2187" s="742">
        <f>Calculs!BZ2259</f>
        <v>0</v>
      </c>
      <c r="E2187" s="742">
        <f>Calculs!CA2259</f>
        <v>0</v>
      </c>
      <c r="F2187" s="742">
        <f>Calculs!CB2259</f>
        <v>0</v>
      </c>
      <c r="G2187" s="742">
        <f>Calculs!CC2259</f>
        <v>0</v>
      </c>
      <c r="H2187" s="742"/>
      <c r="I2187" s="742">
        <f>Calculs!CE2259</f>
        <v>0</v>
      </c>
      <c r="J2187" s="742">
        <f>Calculs!CF2259</f>
        <v>0</v>
      </c>
      <c r="K2187" s="742"/>
      <c r="L2187" s="742">
        <f>Calculs!CH2259</f>
        <v>0</v>
      </c>
    </row>
    <row r="2188" spans="2:12">
      <c r="B2188" s="742">
        <f>Calculs!B2260</f>
        <v>0</v>
      </c>
      <c r="C2188" s="742">
        <f>Calculs!BY2260</f>
        <v>0</v>
      </c>
      <c r="D2188" s="742">
        <f>Calculs!BZ2260</f>
        <v>0</v>
      </c>
      <c r="E2188" s="742">
        <f>Calculs!CA2260</f>
        <v>0</v>
      </c>
      <c r="F2188" s="742">
        <f>Calculs!CB2260</f>
        <v>0</v>
      </c>
      <c r="G2188" s="742">
        <f>Calculs!CC2260</f>
        <v>0</v>
      </c>
      <c r="H2188" s="742"/>
      <c r="I2188" s="742">
        <f>Calculs!CE2260</f>
        <v>0</v>
      </c>
      <c r="J2188" s="742">
        <f>Calculs!CF2260</f>
        <v>0</v>
      </c>
      <c r="K2188" s="742"/>
      <c r="L2188" s="742">
        <f>Calculs!CH2260</f>
        <v>0</v>
      </c>
    </row>
    <row r="2189" spans="2:12">
      <c r="B2189" s="742">
        <f>Calculs!B2261</f>
        <v>0</v>
      </c>
      <c r="C2189" s="742">
        <f>Calculs!BY2261</f>
        <v>0</v>
      </c>
      <c r="D2189" s="742">
        <f>Calculs!BZ2261</f>
        <v>0</v>
      </c>
      <c r="E2189" s="742">
        <f>Calculs!CA2261</f>
        <v>0</v>
      </c>
      <c r="F2189" s="742">
        <f>Calculs!CB2261</f>
        <v>0</v>
      </c>
      <c r="G2189" s="742">
        <f>Calculs!CC2261</f>
        <v>0</v>
      </c>
      <c r="H2189" s="742"/>
      <c r="I2189" s="742">
        <f>Calculs!CE2261</f>
        <v>0</v>
      </c>
      <c r="J2189" s="742">
        <f>Calculs!CF2261</f>
        <v>0</v>
      </c>
      <c r="K2189" s="742"/>
      <c r="L2189" s="742">
        <f>Calculs!CH2261</f>
        <v>0</v>
      </c>
    </row>
    <row r="2190" spans="2:12">
      <c r="B2190" s="742">
        <f>Calculs!B2262</f>
        <v>0</v>
      </c>
      <c r="C2190" s="742">
        <f>Calculs!BY2262</f>
        <v>0</v>
      </c>
      <c r="D2190" s="742">
        <f>Calculs!BZ2262</f>
        <v>0</v>
      </c>
      <c r="E2190" s="742">
        <f>Calculs!CA2262</f>
        <v>0</v>
      </c>
      <c r="F2190" s="742">
        <f>Calculs!CB2262</f>
        <v>0</v>
      </c>
      <c r="G2190" s="742">
        <f>Calculs!CC2262</f>
        <v>0</v>
      </c>
      <c r="H2190" s="742"/>
      <c r="I2190" s="742">
        <f>Calculs!CE2262</f>
        <v>0</v>
      </c>
      <c r="J2190" s="742">
        <f>Calculs!CF2262</f>
        <v>0</v>
      </c>
      <c r="K2190" s="742"/>
      <c r="L2190" s="742">
        <f>Calculs!CH2262</f>
        <v>0</v>
      </c>
    </row>
    <row r="2191" spans="2:12">
      <c r="B2191" s="742">
        <f>Calculs!B2263</f>
        <v>0</v>
      </c>
      <c r="C2191" s="742">
        <f>Calculs!BY2263</f>
        <v>0</v>
      </c>
      <c r="D2191" s="742">
        <f>Calculs!BZ2263</f>
        <v>0</v>
      </c>
      <c r="E2191" s="742">
        <f>Calculs!CA2263</f>
        <v>0</v>
      </c>
      <c r="F2191" s="742">
        <f>Calculs!CB2263</f>
        <v>0</v>
      </c>
      <c r="G2191" s="742">
        <f>Calculs!CC2263</f>
        <v>0</v>
      </c>
      <c r="H2191" s="742"/>
      <c r="I2191" s="742">
        <f>Calculs!CE2263</f>
        <v>0</v>
      </c>
      <c r="J2191" s="742">
        <f>Calculs!CF2263</f>
        <v>0</v>
      </c>
      <c r="K2191" s="742"/>
      <c r="L2191" s="742">
        <f>Calculs!CH2263</f>
        <v>0</v>
      </c>
    </row>
    <row r="2192" spans="2:12">
      <c r="B2192" s="742">
        <f>Calculs!B2264</f>
        <v>0</v>
      </c>
      <c r="C2192" s="742">
        <f>Calculs!BY2264</f>
        <v>0</v>
      </c>
      <c r="D2192" s="742">
        <f>Calculs!BZ2264</f>
        <v>0</v>
      </c>
      <c r="E2192" s="742">
        <f>Calculs!CA2264</f>
        <v>0</v>
      </c>
      <c r="F2192" s="742">
        <f>Calculs!CB2264</f>
        <v>0</v>
      </c>
      <c r="G2192" s="742">
        <f>Calculs!CC2264</f>
        <v>0</v>
      </c>
      <c r="H2192" s="742"/>
      <c r="I2192" s="742">
        <f>Calculs!CE2264</f>
        <v>0</v>
      </c>
      <c r="J2192" s="742">
        <f>Calculs!CF2264</f>
        <v>0</v>
      </c>
      <c r="K2192" s="742"/>
      <c r="L2192" s="742">
        <f>Calculs!CH2264</f>
        <v>0</v>
      </c>
    </row>
    <row r="2193" spans="2:12">
      <c r="B2193" s="742">
        <f>Calculs!B2265</f>
        <v>0</v>
      </c>
      <c r="C2193" s="742">
        <f>Calculs!BY2265</f>
        <v>0</v>
      </c>
      <c r="D2193" s="742">
        <f>Calculs!BZ2265</f>
        <v>0</v>
      </c>
      <c r="E2193" s="742">
        <f>Calculs!CA2265</f>
        <v>0</v>
      </c>
      <c r="F2193" s="742">
        <f>Calculs!CB2265</f>
        <v>0</v>
      </c>
      <c r="G2193" s="742">
        <f>Calculs!CC2265</f>
        <v>0</v>
      </c>
      <c r="H2193" s="742"/>
      <c r="I2193" s="742">
        <f>Calculs!CE2265</f>
        <v>0</v>
      </c>
      <c r="J2193" s="742">
        <f>Calculs!CF2265</f>
        <v>0</v>
      </c>
      <c r="K2193" s="742"/>
      <c r="L2193" s="742">
        <f>Calculs!CH2265</f>
        <v>0</v>
      </c>
    </row>
    <row r="2194" spans="2:12">
      <c r="B2194" s="742">
        <f>Calculs!B2266</f>
        <v>0</v>
      </c>
      <c r="C2194" s="742">
        <f>Calculs!BY2266</f>
        <v>0</v>
      </c>
      <c r="D2194" s="742">
        <f>Calculs!BZ2266</f>
        <v>0</v>
      </c>
      <c r="E2194" s="742">
        <f>Calculs!CA2266</f>
        <v>0</v>
      </c>
      <c r="F2194" s="742">
        <f>Calculs!CB2266</f>
        <v>0</v>
      </c>
      <c r="G2194" s="742">
        <f>Calculs!CC2266</f>
        <v>0</v>
      </c>
      <c r="H2194" s="742"/>
      <c r="I2194" s="742">
        <f>Calculs!CE2266</f>
        <v>0</v>
      </c>
      <c r="J2194" s="742">
        <f>Calculs!CF2266</f>
        <v>0</v>
      </c>
      <c r="K2194" s="742"/>
      <c r="L2194" s="742">
        <f>Calculs!CH2266</f>
        <v>0</v>
      </c>
    </row>
    <row r="2195" spans="2:12">
      <c r="B2195" s="742">
        <f>Calculs!B2267</f>
        <v>0</v>
      </c>
      <c r="C2195" s="742">
        <f>Calculs!BY2267</f>
        <v>0</v>
      </c>
      <c r="D2195" s="742">
        <f>Calculs!BZ2267</f>
        <v>0</v>
      </c>
      <c r="E2195" s="742">
        <f>Calculs!CA2267</f>
        <v>0</v>
      </c>
      <c r="F2195" s="742">
        <f>Calculs!CB2267</f>
        <v>0</v>
      </c>
      <c r="G2195" s="742">
        <f>Calculs!CC2267</f>
        <v>0</v>
      </c>
      <c r="H2195" s="742"/>
      <c r="I2195" s="742">
        <f>Calculs!CE2267</f>
        <v>0</v>
      </c>
      <c r="J2195" s="742">
        <f>Calculs!CF2267</f>
        <v>0</v>
      </c>
      <c r="K2195" s="742"/>
      <c r="L2195" s="742">
        <f>Calculs!CH2267</f>
        <v>0</v>
      </c>
    </row>
    <row r="2196" spans="2:12">
      <c r="B2196" s="742">
        <f>Calculs!B2268</f>
        <v>0</v>
      </c>
      <c r="C2196" s="742">
        <f>Calculs!BY2268</f>
        <v>0</v>
      </c>
      <c r="D2196" s="742">
        <f>Calculs!BZ2268</f>
        <v>0</v>
      </c>
      <c r="E2196" s="742">
        <f>Calculs!CA2268</f>
        <v>0</v>
      </c>
      <c r="F2196" s="742">
        <f>Calculs!CB2268</f>
        <v>0</v>
      </c>
      <c r="G2196" s="742">
        <f>Calculs!CC2268</f>
        <v>0</v>
      </c>
      <c r="H2196" s="742"/>
      <c r="I2196" s="742">
        <f>Calculs!CE2268</f>
        <v>0</v>
      </c>
      <c r="J2196" s="742">
        <f>Calculs!CF2268</f>
        <v>0</v>
      </c>
      <c r="K2196" s="742"/>
      <c r="L2196" s="742">
        <f>Calculs!CH2268</f>
        <v>0</v>
      </c>
    </row>
    <row r="2197" spans="2:12">
      <c r="B2197" s="742">
        <f>Calculs!B2269</f>
        <v>0</v>
      </c>
      <c r="C2197" s="742">
        <f>Calculs!BY2269</f>
        <v>0</v>
      </c>
      <c r="D2197" s="742">
        <f>Calculs!BZ2269</f>
        <v>0</v>
      </c>
      <c r="E2197" s="742">
        <f>Calculs!CA2269</f>
        <v>0</v>
      </c>
      <c r="F2197" s="742">
        <f>Calculs!CB2269</f>
        <v>0</v>
      </c>
      <c r="G2197" s="742">
        <f>Calculs!CC2269</f>
        <v>0</v>
      </c>
      <c r="H2197" s="742"/>
      <c r="I2197" s="742">
        <f>Calculs!CE2269</f>
        <v>0</v>
      </c>
      <c r="J2197" s="742">
        <f>Calculs!CF2269</f>
        <v>0</v>
      </c>
      <c r="K2197" s="742"/>
      <c r="L2197" s="742">
        <f>Calculs!CH2269</f>
        <v>0</v>
      </c>
    </row>
    <row r="2198" spans="2:12">
      <c r="B2198" s="742">
        <f>Calculs!B2270</f>
        <v>0</v>
      </c>
      <c r="C2198" s="742">
        <f>Calculs!BY2270</f>
        <v>0</v>
      </c>
      <c r="D2198" s="742">
        <f>Calculs!BZ2270</f>
        <v>0</v>
      </c>
      <c r="E2198" s="742">
        <f>Calculs!CA2270</f>
        <v>0</v>
      </c>
      <c r="F2198" s="742">
        <f>Calculs!CB2270</f>
        <v>0</v>
      </c>
      <c r="G2198" s="742">
        <f>Calculs!CC2270</f>
        <v>0</v>
      </c>
      <c r="H2198" s="742"/>
      <c r="I2198" s="742">
        <f>Calculs!CE2270</f>
        <v>0</v>
      </c>
      <c r="J2198" s="742">
        <f>Calculs!CF2270</f>
        <v>0</v>
      </c>
      <c r="K2198" s="742"/>
      <c r="L2198" s="742">
        <f>Calculs!CH2270</f>
        <v>0</v>
      </c>
    </row>
    <row r="2199" spans="2:12">
      <c r="B2199" s="742">
        <f>Calculs!B2271</f>
        <v>0</v>
      </c>
      <c r="C2199" s="742">
        <f>Calculs!BY2271</f>
        <v>0</v>
      </c>
      <c r="D2199" s="742">
        <f>Calculs!BZ2271</f>
        <v>0</v>
      </c>
      <c r="E2199" s="742">
        <f>Calculs!CA2271</f>
        <v>0</v>
      </c>
      <c r="F2199" s="742">
        <f>Calculs!CB2271</f>
        <v>0</v>
      </c>
      <c r="G2199" s="742">
        <f>Calculs!CC2271</f>
        <v>0</v>
      </c>
      <c r="H2199" s="742"/>
      <c r="I2199" s="742">
        <f>Calculs!CE2271</f>
        <v>0</v>
      </c>
      <c r="J2199" s="742">
        <f>Calculs!CF2271</f>
        <v>0</v>
      </c>
      <c r="K2199" s="742"/>
      <c r="L2199" s="742">
        <f>Calculs!CH2271</f>
        <v>0</v>
      </c>
    </row>
    <row r="2200" spans="2:12">
      <c r="B2200" s="742">
        <f>Calculs!B2272</f>
        <v>0</v>
      </c>
      <c r="C2200" s="742">
        <f>Calculs!BY2272</f>
        <v>0</v>
      </c>
      <c r="D2200" s="742">
        <f>Calculs!BZ2272</f>
        <v>0</v>
      </c>
      <c r="E2200" s="742">
        <f>Calculs!CA2272</f>
        <v>0</v>
      </c>
      <c r="F2200" s="742">
        <f>Calculs!CB2272</f>
        <v>0</v>
      </c>
      <c r="G2200" s="742">
        <f>Calculs!CC2272</f>
        <v>0</v>
      </c>
      <c r="H2200" s="742"/>
      <c r="I2200" s="742">
        <f>Calculs!CE2272</f>
        <v>0</v>
      </c>
      <c r="J2200" s="742">
        <f>Calculs!CF2272</f>
        <v>0</v>
      </c>
      <c r="K2200" s="742"/>
      <c r="L2200" s="742">
        <f>Calculs!CH2272</f>
        <v>0</v>
      </c>
    </row>
    <row r="2201" spans="2:12">
      <c r="B2201" s="742">
        <f>Calculs!B2273</f>
        <v>0</v>
      </c>
      <c r="C2201" s="742">
        <f>Calculs!BY2273</f>
        <v>0</v>
      </c>
      <c r="D2201" s="742">
        <f>Calculs!BZ2273</f>
        <v>0</v>
      </c>
      <c r="E2201" s="742">
        <f>Calculs!CA2273</f>
        <v>0</v>
      </c>
      <c r="F2201" s="742">
        <f>Calculs!CB2273</f>
        <v>0</v>
      </c>
      <c r="G2201" s="742">
        <f>Calculs!CC2273</f>
        <v>0</v>
      </c>
      <c r="H2201" s="742"/>
      <c r="I2201" s="742">
        <f>Calculs!CE2273</f>
        <v>0</v>
      </c>
      <c r="J2201" s="742">
        <f>Calculs!CF2273</f>
        <v>0</v>
      </c>
      <c r="K2201" s="742"/>
      <c r="L2201" s="742">
        <f>Calculs!CH2273</f>
        <v>0</v>
      </c>
    </row>
    <row r="2202" spans="2:12">
      <c r="B2202" s="742">
        <f>Calculs!B2274</f>
        <v>0</v>
      </c>
      <c r="C2202" s="742">
        <f>Calculs!BY2274</f>
        <v>0</v>
      </c>
      <c r="D2202" s="742">
        <f>Calculs!BZ2274</f>
        <v>0</v>
      </c>
      <c r="E2202" s="742">
        <f>Calculs!CA2274</f>
        <v>0</v>
      </c>
      <c r="F2202" s="742">
        <f>Calculs!CB2274</f>
        <v>0</v>
      </c>
      <c r="G2202" s="742">
        <f>Calculs!CC2274</f>
        <v>0</v>
      </c>
      <c r="H2202" s="742"/>
      <c r="I2202" s="742">
        <f>Calculs!CE2274</f>
        <v>0</v>
      </c>
      <c r="J2202" s="742">
        <f>Calculs!CF2274</f>
        <v>0</v>
      </c>
      <c r="K2202" s="742"/>
      <c r="L2202" s="742">
        <f>Calculs!CH2274</f>
        <v>0</v>
      </c>
    </row>
    <row r="2203" spans="2:12">
      <c r="B2203" s="742">
        <f>Calculs!B2275</f>
        <v>0</v>
      </c>
      <c r="C2203" s="742">
        <f>Calculs!BY2275</f>
        <v>0</v>
      </c>
      <c r="D2203" s="742">
        <f>Calculs!BZ2275</f>
        <v>0</v>
      </c>
      <c r="E2203" s="742">
        <f>Calculs!CA2275</f>
        <v>0</v>
      </c>
      <c r="F2203" s="742">
        <f>Calculs!CB2275</f>
        <v>0</v>
      </c>
      <c r="G2203" s="742">
        <f>Calculs!CC2275</f>
        <v>0</v>
      </c>
      <c r="H2203" s="742"/>
      <c r="I2203" s="742">
        <f>Calculs!CE2275</f>
        <v>0</v>
      </c>
      <c r="J2203" s="742">
        <f>Calculs!CF2275</f>
        <v>0</v>
      </c>
      <c r="K2203" s="742"/>
      <c r="L2203" s="742">
        <f>Calculs!CH2275</f>
        <v>0</v>
      </c>
    </row>
    <row r="2204" spans="2:12">
      <c r="B2204" s="742">
        <f>Calculs!B2276</f>
        <v>0</v>
      </c>
      <c r="C2204" s="742">
        <f>Calculs!BY2276</f>
        <v>0</v>
      </c>
      <c r="D2204" s="742">
        <f>Calculs!BZ2276</f>
        <v>0</v>
      </c>
      <c r="E2204" s="742">
        <f>Calculs!CA2276</f>
        <v>0</v>
      </c>
      <c r="F2204" s="742">
        <f>Calculs!CB2276</f>
        <v>0</v>
      </c>
      <c r="G2204" s="742">
        <f>Calculs!CC2276</f>
        <v>0</v>
      </c>
      <c r="H2204" s="742"/>
      <c r="I2204" s="742">
        <f>Calculs!CE2276</f>
        <v>0</v>
      </c>
      <c r="J2204" s="742">
        <f>Calculs!CF2276</f>
        <v>0</v>
      </c>
      <c r="K2204" s="742"/>
      <c r="L2204" s="742">
        <f>Calculs!CH2276</f>
        <v>0</v>
      </c>
    </row>
    <row r="2205" spans="2:12">
      <c r="B2205" s="742">
        <f>Calculs!B2277</f>
        <v>0</v>
      </c>
      <c r="C2205" s="742">
        <f>Calculs!BY2277</f>
        <v>0</v>
      </c>
      <c r="D2205" s="742">
        <f>Calculs!BZ2277</f>
        <v>0</v>
      </c>
      <c r="E2205" s="742">
        <f>Calculs!CA2277</f>
        <v>0</v>
      </c>
      <c r="F2205" s="742">
        <f>Calculs!CB2277</f>
        <v>0</v>
      </c>
      <c r="G2205" s="742">
        <f>Calculs!CC2277</f>
        <v>0</v>
      </c>
      <c r="H2205" s="742"/>
      <c r="I2205" s="742">
        <f>Calculs!CE2277</f>
        <v>0</v>
      </c>
      <c r="J2205" s="742">
        <f>Calculs!CF2277</f>
        <v>0</v>
      </c>
      <c r="K2205" s="742"/>
      <c r="L2205" s="742">
        <f>Calculs!CH2277</f>
        <v>0</v>
      </c>
    </row>
    <row r="2206" spans="2:12">
      <c r="B2206" s="742">
        <f>Calculs!B2278</f>
        <v>0</v>
      </c>
      <c r="C2206" s="742">
        <f>Calculs!BY2278</f>
        <v>0</v>
      </c>
      <c r="D2206" s="742">
        <f>Calculs!BZ2278</f>
        <v>0</v>
      </c>
      <c r="E2206" s="742">
        <f>Calculs!CA2278</f>
        <v>0</v>
      </c>
      <c r="F2206" s="742">
        <f>Calculs!CB2278</f>
        <v>0</v>
      </c>
      <c r="G2206" s="742">
        <f>Calculs!CC2278</f>
        <v>0</v>
      </c>
      <c r="H2206" s="742"/>
      <c r="I2206" s="742">
        <f>Calculs!CE2278</f>
        <v>0</v>
      </c>
      <c r="J2206" s="742">
        <f>Calculs!CF2278</f>
        <v>0</v>
      </c>
      <c r="K2206" s="742"/>
      <c r="L2206" s="742">
        <f>Calculs!CH2278</f>
        <v>0</v>
      </c>
    </row>
    <row r="2207" spans="2:12">
      <c r="B2207" s="742">
        <f>Calculs!B2279</f>
        <v>0</v>
      </c>
      <c r="C2207" s="742">
        <f>Calculs!BY2279</f>
        <v>0</v>
      </c>
      <c r="D2207" s="742">
        <f>Calculs!BZ2279</f>
        <v>0</v>
      </c>
      <c r="E2207" s="742">
        <f>Calculs!CA2279</f>
        <v>0</v>
      </c>
      <c r="F2207" s="742">
        <f>Calculs!CB2279</f>
        <v>0</v>
      </c>
      <c r="G2207" s="742">
        <f>Calculs!CC2279</f>
        <v>0</v>
      </c>
      <c r="H2207" s="742"/>
      <c r="I2207" s="742">
        <f>Calculs!CE2279</f>
        <v>0</v>
      </c>
      <c r="J2207" s="742">
        <f>Calculs!CF2279</f>
        <v>0</v>
      </c>
      <c r="K2207" s="742"/>
      <c r="L2207" s="742">
        <f>Calculs!CH2279</f>
        <v>0</v>
      </c>
    </row>
    <row r="2208" spans="2:12">
      <c r="B2208" s="742">
        <f>Calculs!B2280</f>
        <v>0</v>
      </c>
      <c r="C2208" s="742">
        <f>Calculs!BY2280</f>
        <v>0</v>
      </c>
      <c r="D2208" s="742">
        <f>Calculs!BZ2280</f>
        <v>0</v>
      </c>
      <c r="E2208" s="742">
        <f>Calculs!CA2280</f>
        <v>0</v>
      </c>
      <c r="F2208" s="742">
        <f>Calculs!CB2280</f>
        <v>0</v>
      </c>
      <c r="G2208" s="742">
        <f>Calculs!CC2280</f>
        <v>0</v>
      </c>
      <c r="H2208" s="742"/>
      <c r="I2208" s="742">
        <f>Calculs!CE2280</f>
        <v>0</v>
      </c>
      <c r="J2208" s="742">
        <f>Calculs!CF2280</f>
        <v>0</v>
      </c>
      <c r="K2208" s="742"/>
      <c r="L2208" s="742">
        <f>Calculs!CH2280</f>
        <v>0</v>
      </c>
    </row>
    <row r="2209" spans="2:12">
      <c r="B2209" s="742">
        <f>Calculs!B2281</f>
        <v>0</v>
      </c>
      <c r="C2209" s="742">
        <f>Calculs!BY2281</f>
        <v>0</v>
      </c>
      <c r="D2209" s="742">
        <f>Calculs!BZ2281</f>
        <v>0</v>
      </c>
      <c r="E2209" s="742">
        <f>Calculs!CA2281</f>
        <v>0</v>
      </c>
      <c r="F2209" s="742">
        <f>Calculs!CB2281</f>
        <v>0</v>
      </c>
      <c r="G2209" s="742">
        <f>Calculs!CC2281</f>
        <v>0</v>
      </c>
      <c r="H2209" s="742"/>
      <c r="I2209" s="742">
        <f>Calculs!CE2281</f>
        <v>0</v>
      </c>
      <c r="J2209" s="742">
        <f>Calculs!CF2281</f>
        <v>0</v>
      </c>
      <c r="K2209" s="742"/>
      <c r="L2209" s="742">
        <f>Calculs!CH2281</f>
        <v>0</v>
      </c>
    </row>
    <row r="2210" spans="2:12">
      <c r="B2210" s="742">
        <f>Calculs!B2282</f>
        <v>0</v>
      </c>
      <c r="C2210" s="742">
        <f>Calculs!BY2282</f>
        <v>0</v>
      </c>
      <c r="D2210" s="742">
        <f>Calculs!BZ2282</f>
        <v>0</v>
      </c>
      <c r="E2210" s="742">
        <f>Calculs!CA2282</f>
        <v>0</v>
      </c>
      <c r="F2210" s="742">
        <f>Calculs!CB2282</f>
        <v>0</v>
      </c>
      <c r="G2210" s="742">
        <f>Calculs!CC2282</f>
        <v>0</v>
      </c>
      <c r="H2210" s="742"/>
      <c r="I2210" s="742">
        <f>Calculs!CE2282</f>
        <v>0</v>
      </c>
      <c r="J2210" s="742">
        <f>Calculs!CF2282</f>
        <v>0</v>
      </c>
      <c r="K2210" s="742"/>
      <c r="L2210" s="742">
        <f>Calculs!CH2282</f>
        <v>0</v>
      </c>
    </row>
    <row r="2211" spans="2:12">
      <c r="B2211" s="742">
        <f>Calculs!B2283</f>
        <v>0</v>
      </c>
      <c r="C2211" s="742">
        <f>Calculs!BY2283</f>
        <v>0</v>
      </c>
      <c r="D2211" s="742">
        <f>Calculs!BZ2283</f>
        <v>0</v>
      </c>
      <c r="E2211" s="742">
        <f>Calculs!CA2283</f>
        <v>0</v>
      </c>
      <c r="F2211" s="742">
        <f>Calculs!CB2283</f>
        <v>0</v>
      </c>
      <c r="G2211" s="742">
        <f>Calculs!CC2283</f>
        <v>0</v>
      </c>
      <c r="H2211" s="742"/>
      <c r="I2211" s="742">
        <f>Calculs!CE2283</f>
        <v>0</v>
      </c>
      <c r="J2211" s="742">
        <f>Calculs!CF2283</f>
        <v>0</v>
      </c>
      <c r="K2211" s="742"/>
      <c r="L2211" s="742">
        <f>Calculs!CH2283</f>
        <v>0</v>
      </c>
    </row>
    <row r="2212" spans="2:12">
      <c r="B2212" s="742">
        <f>Calculs!B2284</f>
        <v>0</v>
      </c>
      <c r="C2212" s="742">
        <f>Calculs!BY2284</f>
        <v>0</v>
      </c>
      <c r="D2212" s="742">
        <f>Calculs!BZ2284</f>
        <v>0</v>
      </c>
      <c r="E2212" s="742">
        <f>Calculs!CA2284</f>
        <v>0</v>
      </c>
      <c r="F2212" s="742">
        <f>Calculs!CB2284</f>
        <v>0</v>
      </c>
      <c r="G2212" s="742">
        <f>Calculs!CC2284</f>
        <v>0</v>
      </c>
      <c r="H2212" s="742"/>
      <c r="I2212" s="742">
        <f>Calculs!CE2284</f>
        <v>0</v>
      </c>
      <c r="J2212" s="742">
        <f>Calculs!CF2284</f>
        <v>0</v>
      </c>
      <c r="K2212" s="742"/>
      <c r="L2212" s="742">
        <f>Calculs!CH2284</f>
        <v>0</v>
      </c>
    </row>
    <row r="2213" spans="2:12">
      <c r="B2213" s="742">
        <f>Calculs!B2285</f>
        <v>0</v>
      </c>
      <c r="C2213" s="742">
        <f>Calculs!BY2285</f>
        <v>0</v>
      </c>
      <c r="D2213" s="742">
        <f>Calculs!BZ2285</f>
        <v>0</v>
      </c>
      <c r="E2213" s="742">
        <f>Calculs!CA2285</f>
        <v>0</v>
      </c>
      <c r="F2213" s="742">
        <f>Calculs!CB2285</f>
        <v>0</v>
      </c>
      <c r="G2213" s="742">
        <f>Calculs!CC2285</f>
        <v>0</v>
      </c>
      <c r="H2213" s="742"/>
      <c r="I2213" s="742">
        <f>Calculs!CE2285</f>
        <v>0</v>
      </c>
      <c r="J2213" s="742">
        <f>Calculs!CF2285</f>
        <v>0</v>
      </c>
      <c r="K2213" s="742"/>
      <c r="L2213" s="742">
        <f>Calculs!CH2285</f>
        <v>0</v>
      </c>
    </row>
    <row r="2214" spans="2:12">
      <c r="B2214" s="742">
        <f>Calculs!B2286</f>
        <v>0</v>
      </c>
      <c r="C2214" s="742">
        <f>Calculs!BY2286</f>
        <v>0</v>
      </c>
      <c r="D2214" s="742">
        <f>Calculs!BZ2286</f>
        <v>0</v>
      </c>
      <c r="E2214" s="742">
        <f>Calculs!CA2286</f>
        <v>0</v>
      </c>
      <c r="F2214" s="742">
        <f>Calculs!CB2286</f>
        <v>0</v>
      </c>
      <c r="G2214" s="742">
        <f>Calculs!CC2286</f>
        <v>0</v>
      </c>
      <c r="H2214" s="742"/>
      <c r="I2214" s="742">
        <f>Calculs!CE2286</f>
        <v>0</v>
      </c>
      <c r="J2214" s="742">
        <f>Calculs!CF2286</f>
        <v>0</v>
      </c>
      <c r="K2214" s="742"/>
      <c r="L2214" s="742">
        <f>Calculs!CH2286</f>
        <v>0</v>
      </c>
    </row>
    <row r="2215" spans="2:12">
      <c r="B2215" s="742">
        <f>Calculs!B2287</f>
        <v>0</v>
      </c>
      <c r="C2215" s="742">
        <f>Calculs!BY2287</f>
        <v>0</v>
      </c>
      <c r="D2215" s="742">
        <f>Calculs!BZ2287</f>
        <v>0</v>
      </c>
      <c r="E2215" s="742">
        <f>Calculs!CA2287</f>
        <v>0</v>
      </c>
      <c r="F2215" s="742">
        <f>Calculs!CB2287</f>
        <v>0</v>
      </c>
      <c r="G2215" s="742">
        <f>Calculs!CC2287</f>
        <v>0</v>
      </c>
      <c r="H2215" s="742"/>
      <c r="I2215" s="742">
        <f>Calculs!CE2287</f>
        <v>0</v>
      </c>
      <c r="J2215" s="742">
        <f>Calculs!CF2287</f>
        <v>0</v>
      </c>
      <c r="K2215" s="742"/>
      <c r="L2215" s="742">
        <f>Calculs!CH2287</f>
        <v>0</v>
      </c>
    </row>
    <row r="2216" spans="2:12">
      <c r="B2216" s="742">
        <f>Calculs!B2288</f>
        <v>0</v>
      </c>
      <c r="C2216" s="742">
        <f>Calculs!BY2288</f>
        <v>0</v>
      </c>
      <c r="D2216" s="742">
        <f>Calculs!BZ2288</f>
        <v>0</v>
      </c>
      <c r="E2216" s="742">
        <f>Calculs!CA2288</f>
        <v>0</v>
      </c>
      <c r="F2216" s="742">
        <f>Calculs!CB2288</f>
        <v>0</v>
      </c>
      <c r="G2216" s="742">
        <f>Calculs!CC2288</f>
        <v>0</v>
      </c>
      <c r="H2216" s="742"/>
      <c r="I2216" s="742">
        <f>Calculs!CE2288</f>
        <v>0</v>
      </c>
      <c r="J2216" s="742">
        <f>Calculs!CF2288</f>
        <v>0</v>
      </c>
      <c r="K2216" s="742"/>
      <c r="L2216" s="742">
        <f>Calculs!CH2288</f>
        <v>0</v>
      </c>
    </row>
    <row r="2217" spans="2:12">
      <c r="B2217" s="742">
        <f>Calculs!B2289</f>
        <v>0</v>
      </c>
      <c r="C2217" s="742">
        <f>Calculs!BY2289</f>
        <v>0</v>
      </c>
      <c r="D2217" s="742">
        <f>Calculs!BZ2289</f>
        <v>0</v>
      </c>
      <c r="E2217" s="742">
        <f>Calculs!CA2289</f>
        <v>0</v>
      </c>
      <c r="F2217" s="742">
        <f>Calculs!CB2289</f>
        <v>0</v>
      </c>
      <c r="G2217" s="742">
        <f>Calculs!CC2289</f>
        <v>0</v>
      </c>
      <c r="H2217" s="742"/>
      <c r="I2217" s="742">
        <f>Calculs!CE2289</f>
        <v>0</v>
      </c>
      <c r="J2217" s="742">
        <f>Calculs!CF2289</f>
        <v>0</v>
      </c>
      <c r="K2217" s="742"/>
      <c r="L2217" s="742">
        <f>Calculs!CH2289</f>
        <v>0</v>
      </c>
    </row>
    <row r="2218" spans="2:12">
      <c r="B2218" s="742">
        <f>Calculs!B2290</f>
        <v>0</v>
      </c>
      <c r="C2218" s="742">
        <f>Calculs!BY2290</f>
        <v>0</v>
      </c>
      <c r="D2218" s="742">
        <f>Calculs!BZ2290</f>
        <v>0</v>
      </c>
      <c r="E2218" s="742">
        <f>Calculs!CA2290</f>
        <v>0</v>
      </c>
      <c r="F2218" s="742">
        <f>Calculs!CB2290</f>
        <v>0</v>
      </c>
      <c r="G2218" s="742">
        <f>Calculs!CC2290</f>
        <v>0</v>
      </c>
      <c r="H2218" s="742"/>
      <c r="I2218" s="742">
        <f>Calculs!CE2290</f>
        <v>0</v>
      </c>
      <c r="J2218" s="742">
        <f>Calculs!CF2290</f>
        <v>0</v>
      </c>
      <c r="K2218" s="742"/>
      <c r="L2218" s="742">
        <f>Calculs!CH2290</f>
        <v>0</v>
      </c>
    </row>
    <row r="2219" spans="2:12">
      <c r="B2219" s="742">
        <f>Calculs!B2291</f>
        <v>0</v>
      </c>
      <c r="C2219" s="742">
        <f>Calculs!BY2291</f>
        <v>0</v>
      </c>
      <c r="D2219" s="742">
        <f>Calculs!BZ2291</f>
        <v>0</v>
      </c>
      <c r="E2219" s="742">
        <f>Calculs!CA2291</f>
        <v>0</v>
      </c>
      <c r="F2219" s="742">
        <f>Calculs!CB2291</f>
        <v>0</v>
      </c>
      <c r="G2219" s="742">
        <f>Calculs!CC2291</f>
        <v>0</v>
      </c>
      <c r="H2219" s="742"/>
      <c r="I2219" s="742">
        <f>Calculs!CE2291</f>
        <v>0</v>
      </c>
      <c r="J2219" s="742">
        <f>Calculs!CF2291</f>
        <v>0</v>
      </c>
      <c r="K2219" s="742"/>
      <c r="L2219" s="742">
        <f>Calculs!CH2291</f>
        <v>0</v>
      </c>
    </row>
    <row r="2220" spans="2:12">
      <c r="B2220" s="742">
        <f>Calculs!B2292</f>
        <v>0</v>
      </c>
      <c r="C2220" s="742">
        <f>Calculs!BY2292</f>
        <v>0</v>
      </c>
      <c r="D2220" s="742">
        <f>Calculs!BZ2292</f>
        <v>0</v>
      </c>
      <c r="E2220" s="742">
        <f>Calculs!CA2292</f>
        <v>0</v>
      </c>
      <c r="F2220" s="742">
        <f>Calculs!CB2292</f>
        <v>0</v>
      </c>
      <c r="G2220" s="742">
        <f>Calculs!CC2292</f>
        <v>0</v>
      </c>
      <c r="H2220" s="742"/>
      <c r="I2220" s="742">
        <f>Calculs!CE2292</f>
        <v>0</v>
      </c>
      <c r="J2220" s="742">
        <f>Calculs!CF2292</f>
        <v>0</v>
      </c>
      <c r="K2220" s="742"/>
      <c r="L2220" s="742">
        <f>Calculs!CH2292</f>
        <v>0</v>
      </c>
    </row>
    <row r="2221" spans="2:12">
      <c r="B2221" s="742">
        <f>Calculs!B2293</f>
        <v>0</v>
      </c>
      <c r="C2221" s="742">
        <f>Calculs!BY2293</f>
        <v>0</v>
      </c>
      <c r="D2221" s="742">
        <f>Calculs!BZ2293</f>
        <v>0</v>
      </c>
      <c r="E2221" s="742">
        <f>Calculs!CA2293</f>
        <v>0</v>
      </c>
      <c r="F2221" s="742">
        <f>Calculs!CB2293</f>
        <v>0</v>
      </c>
      <c r="G2221" s="742">
        <f>Calculs!CC2293</f>
        <v>0</v>
      </c>
      <c r="H2221" s="742"/>
      <c r="I2221" s="742">
        <f>Calculs!CE2293</f>
        <v>0</v>
      </c>
      <c r="J2221" s="742">
        <f>Calculs!CF2293</f>
        <v>0</v>
      </c>
      <c r="K2221" s="742"/>
      <c r="L2221" s="742">
        <f>Calculs!CH2293</f>
        <v>0</v>
      </c>
    </row>
    <row r="2222" spans="2:12">
      <c r="B2222" s="742">
        <f>Calculs!B2294</f>
        <v>0</v>
      </c>
      <c r="C2222" s="742">
        <f>Calculs!BY2294</f>
        <v>0</v>
      </c>
      <c r="D2222" s="742">
        <f>Calculs!BZ2294</f>
        <v>0</v>
      </c>
      <c r="E2222" s="742">
        <f>Calculs!CA2294</f>
        <v>0</v>
      </c>
      <c r="F2222" s="742">
        <f>Calculs!CB2294</f>
        <v>0</v>
      </c>
      <c r="G2222" s="742">
        <f>Calculs!CC2294</f>
        <v>0</v>
      </c>
      <c r="H2222" s="742"/>
      <c r="I2222" s="742">
        <f>Calculs!CE2294</f>
        <v>0</v>
      </c>
      <c r="J2222" s="742">
        <f>Calculs!CF2294</f>
        <v>0</v>
      </c>
      <c r="K2222" s="742"/>
      <c r="L2222" s="742">
        <f>Calculs!CH2294</f>
        <v>0</v>
      </c>
    </row>
    <row r="2223" spans="2:12">
      <c r="B2223" s="742">
        <f>Calculs!B2295</f>
        <v>0</v>
      </c>
      <c r="C2223" s="742">
        <f>Calculs!BY2295</f>
        <v>0</v>
      </c>
      <c r="D2223" s="742">
        <f>Calculs!BZ2295</f>
        <v>0</v>
      </c>
      <c r="E2223" s="742">
        <f>Calculs!CA2295</f>
        <v>0</v>
      </c>
      <c r="F2223" s="742">
        <f>Calculs!CB2295</f>
        <v>0</v>
      </c>
      <c r="G2223" s="742">
        <f>Calculs!CC2295</f>
        <v>0</v>
      </c>
      <c r="H2223" s="742"/>
      <c r="I2223" s="742">
        <f>Calculs!CE2295</f>
        <v>0</v>
      </c>
      <c r="J2223" s="742">
        <f>Calculs!CF2295</f>
        <v>0</v>
      </c>
      <c r="K2223" s="742"/>
      <c r="L2223" s="742">
        <f>Calculs!CH2295</f>
        <v>0</v>
      </c>
    </row>
    <row r="2224" spans="2:12">
      <c r="B2224" s="742">
        <f>Calculs!B2296</f>
        <v>0</v>
      </c>
      <c r="C2224" s="742">
        <f>Calculs!BY2296</f>
        <v>0</v>
      </c>
      <c r="D2224" s="742">
        <f>Calculs!BZ2296</f>
        <v>0</v>
      </c>
      <c r="E2224" s="742">
        <f>Calculs!CA2296</f>
        <v>0</v>
      </c>
      <c r="F2224" s="742">
        <f>Calculs!CB2296</f>
        <v>0</v>
      </c>
      <c r="G2224" s="742">
        <f>Calculs!CC2296</f>
        <v>0</v>
      </c>
      <c r="H2224" s="742"/>
      <c r="I2224" s="742">
        <f>Calculs!CE2296</f>
        <v>0</v>
      </c>
      <c r="J2224" s="742">
        <f>Calculs!CF2296</f>
        <v>0</v>
      </c>
      <c r="K2224" s="742"/>
      <c r="L2224" s="742">
        <f>Calculs!CH2296</f>
        <v>0</v>
      </c>
    </row>
    <row r="2225" spans="2:12">
      <c r="B2225" s="742">
        <f>Calculs!B2297</f>
        <v>0</v>
      </c>
      <c r="C2225" s="742">
        <f>Calculs!BY2297</f>
        <v>0</v>
      </c>
      <c r="D2225" s="742">
        <f>Calculs!BZ2297</f>
        <v>0</v>
      </c>
      <c r="E2225" s="742">
        <f>Calculs!CA2297</f>
        <v>0</v>
      </c>
      <c r="F2225" s="742">
        <f>Calculs!CB2297</f>
        <v>0</v>
      </c>
      <c r="G2225" s="742">
        <f>Calculs!CC2297</f>
        <v>0</v>
      </c>
      <c r="H2225" s="742"/>
      <c r="I2225" s="742">
        <f>Calculs!CE2297</f>
        <v>0</v>
      </c>
      <c r="J2225" s="742">
        <f>Calculs!CF2297</f>
        <v>0</v>
      </c>
      <c r="K2225" s="742"/>
      <c r="L2225" s="742">
        <f>Calculs!CH2297</f>
        <v>0</v>
      </c>
    </row>
    <row r="2226" spans="2:12">
      <c r="B2226" s="742">
        <f>Calculs!B2298</f>
        <v>0</v>
      </c>
      <c r="C2226" s="742">
        <f>Calculs!BY2298</f>
        <v>0</v>
      </c>
      <c r="D2226" s="742">
        <f>Calculs!BZ2298</f>
        <v>0</v>
      </c>
      <c r="E2226" s="742">
        <f>Calculs!CA2298</f>
        <v>0</v>
      </c>
      <c r="F2226" s="742">
        <f>Calculs!CB2298</f>
        <v>0</v>
      </c>
      <c r="G2226" s="742">
        <f>Calculs!CC2298</f>
        <v>0</v>
      </c>
      <c r="H2226" s="742"/>
      <c r="I2226" s="742">
        <f>Calculs!CE2298</f>
        <v>0</v>
      </c>
      <c r="J2226" s="742">
        <f>Calculs!CF2298</f>
        <v>0</v>
      </c>
      <c r="K2226" s="742"/>
      <c r="L2226" s="742">
        <f>Calculs!CH2298</f>
        <v>0</v>
      </c>
    </row>
    <row r="2227" spans="2:12">
      <c r="B2227" s="742">
        <f>Calculs!B2299</f>
        <v>0</v>
      </c>
      <c r="C2227" s="742">
        <f>Calculs!BY2299</f>
        <v>0</v>
      </c>
      <c r="D2227" s="742">
        <f>Calculs!BZ2299</f>
        <v>0</v>
      </c>
      <c r="E2227" s="742">
        <f>Calculs!CA2299</f>
        <v>0</v>
      </c>
      <c r="F2227" s="742">
        <f>Calculs!CB2299</f>
        <v>0</v>
      </c>
      <c r="G2227" s="742">
        <f>Calculs!CC2299</f>
        <v>0</v>
      </c>
      <c r="H2227" s="742"/>
      <c r="I2227" s="742">
        <f>Calculs!CE2299</f>
        <v>0</v>
      </c>
      <c r="J2227" s="742">
        <f>Calculs!CF2299</f>
        <v>0</v>
      </c>
      <c r="K2227" s="742"/>
      <c r="L2227" s="742">
        <f>Calculs!CH2299</f>
        <v>0</v>
      </c>
    </row>
    <row r="2228" spans="2:12">
      <c r="B2228" s="742">
        <f>Calculs!B2300</f>
        <v>0</v>
      </c>
      <c r="C2228" s="742">
        <f>Calculs!BY2300</f>
        <v>0</v>
      </c>
      <c r="D2228" s="742">
        <f>Calculs!BZ2300</f>
        <v>0</v>
      </c>
      <c r="E2228" s="742">
        <f>Calculs!CA2300</f>
        <v>0</v>
      </c>
      <c r="F2228" s="742">
        <f>Calculs!CB2300</f>
        <v>0</v>
      </c>
      <c r="G2228" s="742">
        <f>Calculs!CC2300</f>
        <v>0</v>
      </c>
      <c r="H2228" s="742"/>
      <c r="I2228" s="742">
        <f>Calculs!CE2300</f>
        <v>0</v>
      </c>
      <c r="J2228" s="742">
        <f>Calculs!CF2300</f>
        <v>0</v>
      </c>
      <c r="K2228" s="742"/>
      <c r="L2228" s="742">
        <f>Calculs!CH2300</f>
        <v>0</v>
      </c>
    </row>
    <row r="2229" spans="2:12">
      <c r="B2229" s="742">
        <f>Calculs!B2301</f>
        <v>0</v>
      </c>
      <c r="C2229" s="742">
        <f>Calculs!BY2301</f>
        <v>0</v>
      </c>
      <c r="D2229" s="742">
        <f>Calculs!BZ2301</f>
        <v>0</v>
      </c>
      <c r="E2229" s="742">
        <f>Calculs!CA2301</f>
        <v>0</v>
      </c>
      <c r="F2229" s="742">
        <f>Calculs!CB2301</f>
        <v>0</v>
      </c>
      <c r="G2229" s="742">
        <f>Calculs!CC2301</f>
        <v>0</v>
      </c>
      <c r="H2229" s="742"/>
      <c r="I2229" s="742">
        <f>Calculs!CE2301</f>
        <v>0</v>
      </c>
      <c r="J2229" s="742">
        <f>Calculs!CF2301</f>
        <v>0</v>
      </c>
      <c r="K2229" s="742"/>
      <c r="L2229" s="742">
        <f>Calculs!CH2301</f>
        <v>0</v>
      </c>
    </row>
    <row r="2230" spans="2:12">
      <c r="B2230" s="742">
        <f>Calculs!B2302</f>
        <v>0</v>
      </c>
      <c r="C2230" s="742">
        <f>Calculs!BY2302</f>
        <v>0</v>
      </c>
      <c r="D2230" s="742">
        <f>Calculs!BZ2302</f>
        <v>0</v>
      </c>
      <c r="E2230" s="742">
        <f>Calculs!CA2302</f>
        <v>0</v>
      </c>
      <c r="F2230" s="742">
        <f>Calculs!CB2302</f>
        <v>0</v>
      </c>
      <c r="G2230" s="742">
        <f>Calculs!CC2302</f>
        <v>0</v>
      </c>
      <c r="H2230" s="742"/>
      <c r="I2230" s="742">
        <f>Calculs!CE2302</f>
        <v>0</v>
      </c>
      <c r="J2230" s="742">
        <f>Calculs!CF2302</f>
        <v>0</v>
      </c>
      <c r="K2230" s="742"/>
      <c r="L2230" s="742">
        <f>Calculs!CH2302</f>
        <v>0</v>
      </c>
    </row>
    <row r="2231" spans="2:12">
      <c r="B2231" s="742">
        <f>Calculs!B2303</f>
        <v>0</v>
      </c>
      <c r="C2231" s="742">
        <f>Calculs!BY2303</f>
        <v>0</v>
      </c>
      <c r="D2231" s="742">
        <f>Calculs!BZ2303</f>
        <v>0</v>
      </c>
      <c r="E2231" s="742">
        <f>Calculs!CA2303</f>
        <v>0</v>
      </c>
      <c r="F2231" s="742">
        <f>Calculs!CB2303</f>
        <v>0</v>
      </c>
      <c r="G2231" s="742">
        <f>Calculs!CC2303</f>
        <v>0</v>
      </c>
      <c r="H2231" s="742"/>
      <c r="I2231" s="742">
        <f>Calculs!CE2303</f>
        <v>0</v>
      </c>
      <c r="J2231" s="742">
        <f>Calculs!CF2303</f>
        <v>0</v>
      </c>
      <c r="K2231" s="742"/>
      <c r="L2231" s="742">
        <f>Calculs!CH2303</f>
        <v>0</v>
      </c>
    </row>
    <row r="2232" spans="2:12">
      <c r="B2232" s="742">
        <f>Calculs!B2304</f>
        <v>0</v>
      </c>
      <c r="C2232" s="742">
        <f>Calculs!BY2304</f>
        <v>0</v>
      </c>
      <c r="D2232" s="742">
        <f>Calculs!BZ2304</f>
        <v>0</v>
      </c>
      <c r="E2232" s="742">
        <f>Calculs!CA2304</f>
        <v>0</v>
      </c>
      <c r="F2232" s="742">
        <f>Calculs!CB2304</f>
        <v>0</v>
      </c>
      <c r="G2232" s="742">
        <f>Calculs!CC2304</f>
        <v>0</v>
      </c>
      <c r="H2232" s="742"/>
      <c r="I2232" s="742">
        <f>Calculs!CE2304</f>
        <v>0</v>
      </c>
      <c r="J2232" s="742">
        <f>Calculs!CF2304</f>
        <v>0</v>
      </c>
      <c r="K2232" s="742"/>
      <c r="L2232" s="742">
        <f>Calculs!CH2304</f>
        <v>0</v>
      </c>
    </row>
    <row r="2233" spans="2:12">
      <c r="B2233" s="742">
        <f>Calculs!B2305</f>
        <v>0</v>
      </c>
      <c r="C2233" s="742">
        <f>Calculs!BY2305</f>
        <v>0</v>
      </c>
      <c r="D2233" s="742">
        <f>Calculs!BZ2305</f>
        <v>0</v>
      </c>
      <c r="E2233" s="742">
        <f>Calculs!CA2305</f>
        <v>0</v>
      </c>
      <c r="F2233" s="742">
        <f>Calculs!CB2305</f>
        <v>0</v>
      </c>
      <c r="G2233" s="742">
        <f>Calculs!CC2305</f>
        <v>0</v>
      </c>
      <c r="H2233" s="742"/>
      <c r="I2233" s="742">
        <f>Calculs!CE2305</f>
        <v>0</v>
      </c>
      <c r="J2233" s="742">
        <f>Calculs!CF2305</f>
        <v>0</v>
      </c>
      <c r="K2233" s="742"/>
      <c r="L2233" s="742">
        <f>Calculs!CH2305</f>
        <v>0</v>
      </c>
    </row>
    <row r="2234" spans="2:12">
      <c r="B2234" s="742">
        <f>Calculs!B2306</f>
        <v>0</v>
      </c>
      <c r="C2234" s="742">
        <f>Calculs!BY2306</f>
        <v>0</v>
      </c>
      <c r="D2234" s="742">
        <f>Calculs!BZ2306</f>
        <v>0</v>
      </c>
      <c r="E2234" s="742">
        <f>Calculs!CA2306</f>
        <v>0</v>
      </c>
      <c r="F2234" s="742">
        <f>Calculs!CB2306</f>
        <v>0</v>
      </c>
      <c r="G2234" s="742">
        <f>Calculs!CC2306</f>
        <v>0</v>
      </c>
      <c r="H2234" s="742"/>
      <c r="I2234" s="742">
        <f>Calculs!CE2306</f>
        <v>0</v>
      </c>
      <c r="J2234" s="742">
        <f>Calculs!CF2306</f>
        <v>0</v>
      </c>
      <c r="K2234" s="742"/>
      <c r="L2234" s="742">
        <f>Calculs!CH2306</f>
        <v>0</v>
      </c>
    </row>
    <row r="2235" spans="2:12">
      <c r="B2235" s="742">
        <f>Calculs!B2307</f>
        <v>0</v>
      </c>
      <c r="C2235" s="742">
        <f>Calculs!BY2307</f>
        <v>0</v>
      </c>
      <c r="D2235" s="742">
        <f>Calculs!BZ2307</f>
        <v>0</v>
      </c>
      <c r="E2235" s="742">
        <f>Calculs!CA2307</f>
        <v>0</v>
      </c>
      <c r="F2235" s="742">
        <f>Calculs!CB2307</f>
        <v>0</v>
      </c>
      <c r="G2235" s="742">
        <f>Calculs!CC2307</f>
        <v>0</v>
      </c>
      <c r="H2235" s="742"/>
      <c r="I2235" s="742">
        <f>Calculs!CE2307</f>
        <v>0</v>
      </c>
      <c r="J2235" s="742">
        <f>Calculs!CF2307</f>
        <v>0</v>
      </c>
      <c r="K2235" s="742"/>
      <c r="L2235" s="742">
        <f>Calculs!CH2307</f>
        <v>0</v>
      </c>
    </row>
    <row r="2236" spans="2:12">
      <c r="B2236" s="742">
        <f>Calculs!B2308</f>
        <v>0</v>
      </c>
      <c r="C2236" s="742">
        <f>Calculs!BY2308</f>
        <v>0</v>
      </c>
      <c r="D2236" s="742">
        <f>Calculs!BZ2308</f>
        <v>0</v>
      </c>
      <c r="E2236" s="742">
        <f>Calculs!CA2308</f>
        <v>0</v>
      </c>
      <c r="F2236" s="742">
        <f>Calculs!CB2308</f>
        <v>0</v>
      </c>
      <c r="G2236" s="742">
        <f>Calculs!CC2308</f>
        <v>0</v>
      </c>
      <c r="H2236" s="742"/>
      <c r="I2236" s="742">
        <f>Calculs!CE2308</f>
        <v>0</v>
      </c>
      <c r="J2236" s="742">
        <f>Calculs!CF2308</f>
        <v>0</v>
      </c>
      <c r="K2236" s="742"/>
      <c r="L2236" s="742">
        <f>Calculs!CH2308</f>
        <v>0</v>
      </c>
    </row>
    <row r="2237" spans="2:12">
      <c r="B2237" s="742">
        <f>Calculs!B2309</f>
        <v>0</v>
      </c>
      <c r="C2237" s="742">
        <f>Calculs!BY2309</f>
        <v>0</v>
      </c>
      <c r="D2237" s="742">
        <f>Calculs!BZ2309</f>
        <v>0</v>
      </c>
      <c r="E2237" s="742">
        <f>Calculs!CA2309</f>
        <v>0</v>
      </c>
      <c r="F2237" s="742">
        <f>Calculs!CB2309</f>
        <v>0</v>
      </c>
      <c r="G2237" s="742">
        <f>Calculs!CC2309</f>
        <v>0</v>
      </c>
      <c r="H2237" s="742"/>
      <c r="I2237" s="742">
        <f>Calculs!CE2309</f>
        <v>0</v>
      </c>
      <c r="J2237" s="742">
        <f>Calculs!CF2309</f>
        <v>0</v>
      </c>
      <c r="K2237" s="742"/>
      <c r="L2237" s="742">
        <f>Calculs!CH2309</f>
        <v>0</v>
      </c>
    </row>
    <row r="2238" spans="2:12">
      <c r="B2238" s="742">
        <f>Calculs!B2310</f>
        <v>0</v>
      </c>
      <c r="C2238" s="742">
        <f>Calculs!BY2310</f>
        <v>0</v>
      </c>
      <c r="D2238" s="742">
        <f>Calculs!BZ2310</f>
        <v>0</v>
      </c>
      <c r="E2238" s="742">
        <f>Calculs!CA2310</f>
        <v>0</v>
      </c>
      <c r="F2238" s="742">
        <f>Calculs!CB2310</f>
        <v>0</v>
      </c>
      <c r="G2238" s="742">
        <f>Calculs!CC2310</f>
        <v>0</v>
      </c>
      <c r="H2238" s="742"/>
      <c r="I2238" s="742">
        <f>Calculs!CE2310</f>
        <v>0</v>
      </c>
      <c r="J2238" s="742">
        <f>Calculs!CF2310</f>
        <v>0</v>
      </c>
      <c r="K2238" s="742"/>
      <c r="L2238" s="742">
        <f>Calculs!CH2310</f>
        <v>0</v>
      </c>
    </row>
    <row r="2239" spans="2:12">
      <c r="B2239" s="742">
        <f>Calculs!B2311</f>
        <v>0</v>
      </c>
      <c r="C2239" s="742">
        <f>Calculs!BY2311</f>
        <v>0</v>
      </c>
      <c r="D2239" s="742">
        <f>Calculs!BZ2311</f>
        <v>0</v>
      </c>
      <c r="E2239" s="742">
        <f>Calculs!CA2311</f>
        <v>0</v>
      </c>
      <c r="F2239" s="742">
        <f>Calculs!CB2311</f>
        <v>0</v>
      </c>
      <c r="G2239" s="742">
        <f>Calculs!CC2311</f>
        <v>0</v>
      </c>
      <c r="H2239" s="742"/>
      <c r="I2239" s="742">
        <f>Calculs!CE2311</f>
        <v>0</v>
      </c>
      <c r="J2239" s="742">
        <f>Calculs!CF2311</f>
        <v>0</v>
      </c>
      <c r="K2239" s="742"/>
      <c r="L2239" s="742">
        <f>Calculs!CH2311</f>
        <v>0</v>
      </c>
    </row>
    <row r="2240" spans="2:12">
      <c r="B2240" s="742">
        <f>Calculs!B2312</f>
        <v>0</v>
      </c>
      <c r="C2240" s="742">
        <f>Calculs!BY2312</f>
        <v>0</v>
      </c>
      <c r="D2240" s="742">
        <f>Calculs!BZ2312</f>
        <v>0</v>
      </c>
      <c r="E2240" s="742">
        <f>Calculs!CA2312</f>
        <v>0</v>
      </c>
      <c r="F2240" s="742">
        <f>Calculs!CB2312</f>
        <v>0</v>
      </c>
      <c r="G2240" s="742">
        <f>Calculs!CC2312</f>
        <v>0</v>
      </c>
      <c r="H2240" s="742"/>
      <c r="I2240" s="742">
        <f>Calculs!CE2312</f>
        <v>0</v>
      </c>
      <c r="J2240" s="742">
        <f>Calculs!CF2312</f>
        <v>0</v>
      </c>
      <c r="K2240" s="742"/>
      <c r="L2240" s="742">
        <f>Calculs!CH2312</f>
        <v>0</v>
      </c>
    </row>
    <row r="2241" spans="2:12">
      <c r="B2241" s="742">
        <f>Calculs!B2313</f>
        <v>0</v>
      </c>
      <c r="C2241" s="742">
        <f>Calculs!BY2313</f>
        <v>0</v>
      </c>
      <c r="D2241" s="742">
        <f>Calculs!BZ2313</f>
        <v>0</v>
      </c>
      <c r="E2241" s="742">
        <f>Calculs!CA2313</f>
        <v>0</v>
      </c>
      <c r="F2241" s="742">
        <f>Calculs!CB2313</f>
        <v>0</v>
      </c>
      <c r="G2241" s="742">
        <f>Calculs!CC2313</f>
        <v>0</v>
      </c>
      <c r="H2241" s="742"/>
      <c r="I2241" s="742">
        <f>Calculs!CE2313</f>
        <v>0</v>
      </c>
      <c r="J2241" s="742">
        <f>Calculs!CF2313</f>
        <v>0</v>
      </c>
      <c r="K2241" s="742"/>
      <c r="L2241" s="742">
        <f>Calculs!CH2313</f>
        <v>0</v>
      </c>
    </row>
    <row r="2242" spans="2:12">
      <c r="B2242" s="742">
        <f>Calculs!B2314</f>
        <v>0</v>
      </c>
      <c r="C2242" s="742">
        <f>Calculs!BY2314</f>
        <v>0</v>
      </c>
      <c r="D2242" s="742">
        <f>Calculs!BZ2314</f>
        <v>0</v>
      </c>
      <c r="E2242" s="742">
        <f>Calculs!CA2314</f>
        <v>0</v>
      </c>
      <c r="F2242" s="742">
        <f>Calculs!CB2314</f>
        <v>0</v>
      </c>
      <c r="G2242" s="742">
        <f>Calculs!CC2314</f>
        <v>0</v>
      </c>
      <c r="H2242" s="742"/>
      <c r="I2242" s="742">
        <f>Calculs!CE2314</f>
        <v>0</v>
      </c>
      <c r="J2242" s="742">
        <f>Calculs!CF2314</f>
        <v>0</v>
      </c>
      <c r="K2242" s="742"/>
      <c r="L2242" s="742">
        <f>Calculs!CH2314</f>
        <v>0</v>
      </c>
    </row>
    <row r="2243" spans="2:12">
      <c r="B2243" s="742">
        <f>Calculs!B2315</f>
        <v>0</v>
      </c>
      <c r="C2243" s="742">
        <f>Calculs!BY2315</f>
        <v>0</v>
      </c>
      <c r="D2243" s="742">
        <f>Calculs!BZ2315</f>
        <v>0</v>
      </c>
      <c r="E2243" s="742">
        <f>Calculs!CA2315</f>
        <v>0</v>
      </c>
      <c r="F2243" s="742">
        <f>Calculs!CB2315</f>
        <v>0</v>
      </c>
      <c r="G2243" s="742">
        <f>Calculs!CC2315</f>
        <v>0</v>
      </c>
      <c r="H2243" s="742"/>
      <c r="I2243" s="742">
        <f>Calculs!CE2315</f>
        <v>0</v>
      </c>
      <c r="J2243" s="742">
        <f>Calculs!CF2315</f>
        <v>0</v>
      </c>
      <c r="K2243" s="742"/>
      <c r="L2243" s="742">
        <f>Calculs!CH2315</f>
        <v>0</v>
      </c>
    </row>
    <row r="2244" spans="2:12">
      <c r="B2244" s="742">
        <f>Calculs!B2316</f>
        <v>0</v>
      </c>
      <c r="C2244" s="742">
        <f>Calculs!BY2316</f>
        <v>0</v>
      </c>
      <c r="D2244" s="742">
        <f>Calculs!BZ2316</f>
        <v>0</v>
      </c>
      <c r="E2244" s="742">
        <f>Calculs!CA2316</f>
        <v>0</v>
      </c>
      <c r="F2244" s="742">
        <f>Calculs!CB2316</f>
        <v>0</v>
      </c>
      <c r="G2244" s="742">
        <f>Calculs!CC2316</f>
        <v>0</v>
      </c>
      <c r="H2244" s="742"/>
      <c r="I2244" s="742">
        <f>Calculs!CE2316</f>
        <v>0</v>
      </c>
      <c r="J2244" s="742">
        <f>Calculs!CF2316</f>
        <v>0</v>
      </c>
      <c r="K2244" s="742"/>
      <c r="L2244" s="742">
        <f>Calculs!CH2316</f>
        <v>0</v>
      </c>
    </row>
    <row r="2245" spans="2:12">
      <c r="B2245" s="742">
        <f>Calculs!B2317</f>
        <v>0</v>
      </c>
      <c r="C2245" s="742">
        <f>Calculs!BY2317</f>
        <v>0</v>
      </c>
      <c r="D2245" s="742">
        <f>Calculs!BZ2317</f>
        <v>0</v>
      </c>
      <c r="E2245" s="742">
        <f>Calculs!CA2317</f>
        <v>0</v>
      </c>
      <c r="F2245" s="742">
        <f>Calculs!CB2317</f>
        <v>0</v>
      </c>
      <c r="G2245" s="742">
        <f>Calculs!CC2317</f>
        <v>0</v>
      </c>
      <c r="H2245" s="742"/>
      <c r="I2245" s="742">
        <f>Calculs!CE2317</f>
        <v>0</v>
      </c>
      <c r="J2245" s="742">
        <f>Calculs!CF2317</f>
        <v>0</v>
      </c>
      <c r="K2245" s="742"/>
      <c r="L2245" s="742">
        <f>Calculs!CH2317</f>
        <v>0</v>
      </c>
    </row>
    <row r="2246" spans="2:12">
      <c r="B2246" s="742">
        <f>Calculs!B2318</f>
        <v>0</v>
      </c>
      <c r="C2246" s="742">
        <f>Calculs!BY2318</f>
        <v>0</v>
      </c>
      <c r="D2246" s="742">
        <f>Calculs!BZ2318</f>
        <v>0</v>
      </c>
      <c r="E2246" s="742">
        <f>Calculs!CA2318</f>
        <v>0</v>
      </c>
      <c r="F2246" s="742">
        <f>Calculs!CB2318</f>
        <v>0</v>
      </c>
      <c r="G2246" s="742">
        <f>Calculs!CC2318</f>
        <v>0</v>
      </c>
      <c r="H2246" s="742"/>
      <c r="I2246" s="742">
        <f>Calculs!CE2318</f>
        <v>0</v>
      </c>
      <c r="J2246" s="742">
        <f>Calculs!CF2318</f>
        <v>0</v>
      </c>
      <c r="K2246" s="742"/>
      <c r="L2246" s="742">
        <f>Calculs!CH2318</f>
        <v>0</v>
      </c>
    </row>
    <row r="2247" spans="2:12">
      <c r="B2247" s="742">
        <f>Calculs!B2319</f>
        <v>0</v>
      </c>
      <c r="C2247" s="742">
        <f>Calculs!BY2319</f>
        <v>0</v>
      </c>
      <c r="D2247" s="742">
        <f>Calculs!BZ2319</f>
        <v>0</v>
      </c>
      <c r="E2247" s="742">
        <f>Calculs!CA2319</f>
        <v>0</v>
      </c>
      <c r="F2247" s="742">
        <f>Calculs!CB2319</f>
        <v>0</v>
      </c>
      <c r="G2247" s="742">
        <f>Calculs!CC2319</f>
        <v>0</v>
      </c>
      <c r="H2247" s="742"/>
      <c r="I2247" s="742">
        <f>Calculs!CE2319</f>
        <v>0</v>
      </c>
      <c r="J2247" s="742">
        <f>Calculs!CF2319</f>
        <v>0</v>
      </c>
      <c r="K2247" s="742"/>
      <c r="L2247" s="742">
        <f>Calculs!CH2319</f>
        <v>0</v>
      </c>
    </row>
    <row r="2248" spans="2:12">
      <c r="B2248" s="742">
        <f>Calculs!B2320</f>
        <v>0</v>
      </c>
      <c r="C2248" s="742">
        <f>Calculs!BY2320</f>
        <v>0</v>
      </c>
      <c r="D2248" s="742">
        <f>Calculs!BZ2320</f>
        <v>0</v>
      </c>
      <c r="E2248" s="742">
        <f>Calculs!CA2320</f>
        <v>0</v>
      </c>
      <c r="F2248" s="742">
        <f>Calculs!CB2320</f>
        <v>0</v>
      </c>
      <c r="G2248" s="742">
        <f>Calculs!CC2320</f>
        <v>0</v>
      </c>
      <c r="H2248" s="742"/>
      <c r="I2248" s="742">
        <f>Calculs!CE2320</f>
        <v>0</v>
      </c>
      <c r="J2248" s="742">
        <f>Calculs!CF2320</f>
        <v>0</v>
      </c>
      <c r="K2248" s="742"/>
      <c r="L2248" s="742">
        <f>Calculs!CH2320</f>
        <v>0</v>
      </c>
    </row>
    <row r="2249" spans="2:12">
      <c r="B2249" s="742">
        <f>Calculs!B2321</f>
        <v>0</v>
      </c>
      <c r="C2249" s="742">
        <f>Calculs!BY2321</f>
        <v>0</v>
      </c>
      <c r="D2249" s="742">
        <f>Calculs!BZ2321</f>
        <v>0</v>
      </c>
      <c r="E2249" s="742">
        <f>Calculs!CA2321</f>
        <v>0</v>
      </c>
      <c r="F2249" s="742">
        <f>Calculs!CB2321</f>
        <v>0</v>
      </c>
      <c r="G2249" s="742">
        <f>Calculs!CC2321</f>
        <v>0</v>
      </c>
      <c r="H2249" s="742"/>
      <c r="I2249" s="742">
        <f>Calculs!CE2321</f>
        <v>0</v>
      </c>
      <c r="J2249" s="742">
        <f>Calculs!CF2321</f>
        <v>0</v>
      </c>
      <c r="K2249" s="742"/>
      <c r="L2249" s="742">
        <f>Calculs!CH2321</f>
        <v>0</v>
      </c>
    </row>
    <row r="2250" spans="2:12">
      <c r="B2250" s="742">
        <f>Calculs!B2322</f>
        <v>0</v>
      </c>
      <c r="C2250" s="742">
        <f>Calculs!BY2322</f>
        <v>0</v>
      </c>
      <c r="D2250" s="742">
        <f>Calculs!BZ2322</f>
        <v>0</v>
      </c>
      <c r="E2250" s="742">
        <f>Calculs!CA2322</f>
        <v>0</v>
      </c>
      <c r="F2250" s="742">
        <f>Calculs!CB2322</f>
        <v>0</v>
      </c>
      <c r="G2250" s="742">
        <f>Calculs!CC2322</f>
        <v>0</v>
      </c>
      <c r="H2250" s="742"/>
      <c r="I2250" s="742">
        <f>Calculs!CE2322</f>
        <v>0</v>
      </c>
      <c r="J2250" s="742">
        <f>Calculs!CF2322</f>
        <v>0</v>
      </c>
      <c r="K2250" s="742"/>
      <c r="L2250" s="742">
        <f>Calculs!CH2322</f>
        <v>0</v>
      </c>
    </row>
    <row r="2251" spans="2:12">
      <c r="B2251" s="742">
        <f>Calculs!B2323</f>
        <v>0</v>
      </c>
      <c r="C2251" s="742">
        <f>Calculs!BY2323</f>
        <v>0</v>
      </c>
      <c r="D2251" s="742">
        <f>Calculs!BZ2323</f>
        <v>0</v>
      </c>
      <c r="E2251" s="742">
        <f>Calculs!CA2323</f>
        <v>0</v>
      </c>
      <c r="F2251" s="742">
        <f>Calculs!CB2323</f>
        <v>0</v>
      </c>
      <c r="G2251" s="742">
        <f>Calculs!CC2323</f>
        <v>0</v>
      </c>
      <c r="H2251" s="742"/>
      <c r="I2251" s="742">
        <f>Calculs!CE2323</f>
        <v>0</v>
      </c>
      <c r="J2251" s="742">
        <f>Calculs!CF2323</f>
        <v>0</v>
      </c>
      <c r="K2251" s="742"/>
      <c r="L2251" s="742">
        <f>Calculs!CH2323</f>
        <v>0</v>
      </c>
    </row>
    <row r="2252" spans="2:12">
      <c r="B2252" s="742">
        <f>Calculs!B2324</f>
        <v>0</v>
      </c>
      <c r="C2252" s="742">
        <f>Calculs!BY2324</f>
        <v>0</v>
      </c>
      <c r="D2252" s="742">
        <f>Calculs!BZ2324</f>
        <v>0</v>
      </c>
      <c r="E2252" s="742">
        <f>Calculs!CA2324</f>
        <v>0</v>
      </c>
      <c r="F2252" s="742">
        <f>Calculs!CB2324</f>
        <v>0</v>
      </c>
      <c r="G2252" s="742">
        <f>Calculs!CC2324</f>
        <v>0</v>
      </c>
      <c r="H2252" s="742"/>
      <c r="I2252" s="742">
        <f>Calculs!CE2324</f>
        <v>0</v>
      </c>
      <c r="J2252" s="742">
        <f>Calculs!CF2324</f>
        <v>0</v>
      </c>
      <c r="K2252" s="742"/>
      <c r="L2252" s="742">
        <f>Calculs!CH2324</f>
        <v>0</v>
      </c>
    </row>
    <row r="2253" spans="2:12">
      <c r="B2253" s="742">
        <f>Calculs!B2455</f>
        <v>0</v>
      </c>
      <c r="C2253" s="742">
        <f>Calculs!BY2455</f>
        <v>0</v>
      </c>
      <c r="D2253" s="742">
        <f>Calculs!BZ2455</f>
        <v>0</v>
      </c>
      <c r="E2253" s="742">
        <f>Calculs!CA2455</f>
        <v>0</v>
      </c>
      <c r="F2253" s="742">
        <f>Calculs!CB2455</f>
        <v>0</v>
      </c>
      <c r="G2253" s="742">
        <f>Calculs!CC2455</f>
        <v>0</v>
      </c>
      <c r="H2253" s="742"/>
      <c r="I2253" s="742">
        <f>Calculs!CE2455</f>
        <v>0</v>
      </c>
      <c r="J2253" s="742">
        <f>Calculs!CF2455</f>
        <v>0</v>
      </c>
      <c r="K2253" s="742"/>
      <c r="L2253" s="742">
        <f>Calculs!CH2455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3D89-17CF-4C9F-B05E-C2551134442C}">
  <sheetPr codeName="Feuil2">
    <tabColor theme="0" tint="-0.14999847407452621"/>
  </sheetPr>
  <dimension ref="B1:R113"/>
  <sheetViews>
    <sheetView zoomScale="80" zoomScaleNormal="80" workbookViewId="0">
      <pane ySplit="4" topLeftCell="A75" activePane="bottomLeft" state="frozen"/>
      <selection pane="bottomLeft" activeCell="P90" sqref="P90"/>
    </sheetView>
  </sheetViews>
  <sheetFormatPr baseColWidth="10" defaultRowHeight="15"/>
  <cols>
    <col min="1" max="1" width="2.85546875" style="1" customWidth="1"/>
    <col min="2" max="2" width="13.7109375" style="1" customWidth="1"/>
    <col min="3" max="3" width="9.42578125" style="1" hidden="1" customWidth="1"/>
    <col min="4" max="4" width="30.85546875" style="1" hidden="1" customWidth="1"/>
    <col min="5" max="5" width="9.140625" style="1" hidden="1" customWidth="1"/>
    <col min="6" max="6" width="29.140625" style="1" hidden="1" customWidth="1"/>
    <col min="7" max="7" width="6.5703125" style="1" hidden="1" customWidth="1"/>
    <col min="8" max="8" width="34.85546875" style="1" hidden="1" customWidth="1"/>
    <col min="9" max="9" width="10" style="765" bestFit="1" customWidth="1"/>
    <col min="10" max="10" width="39.85546875" style="1" hidden="1" customWidth="1"/>
    <col min="11" max="11" width="3.5703125" style="1" hidden="1" customWidth="1"/>
    <col min="12" max="12" width="20.5703125" style="600" hidden="1" customWidth="1"/>
    <col min="13" max="13" width="4.28515625" style="1" customWidth="1"/>
    <col min="14" max="14" width="13.140625" style="600" bestFit="1" customWidth="1"/>
    <col min="15" max="15" width="12.140625" style="600" bestFit="1" customWidth="1"/>
    <col min="16" max="16384" width="11.42578125" style="1"/>
  </cols>
  <sheetData>
    <row r="1" spans="2:18" ht="15.75" thickBot="1"/>
    <row r="2" spans="2:18" ht="39" thickTop="1" thickBot="1">
      <c r="B2" s="1269" t="s">
        <v>0</v>
      </c>
      <c r="C2" s="1270"/>
      <c r="D2" s="1270"/>
      <c r="E2" s="1270"/>
      <c r="F2" s="1270"/>
      <c r="G2" s="1270"/>
      <c r="H2" s="1270"/>
      <c r="I2" s="1270"/>
      <c r="J2" s="1271"/>
      <c r="L2" s="807" t="s">
        <v>1405</v>
      </c>
      <c r="N2" s="1265" t="s">
        <v>6389</v>
      </c>
      <c r="O2" s="1266"/>
    </row>
    <row r="3" spans="2:18" ht="20.25" thickTop="1" thickBot="1">
      <c r="B3" s="2" t="s">
        <v>1</v>
      </c>
      <c r="C3" s="1272" t="s">
        <v>2</v>
      </c>
      <c r="D3" s="1273"/>
      <c r="E3" s="1274" t="s">
        <v>3</v>
      </c>
      <c r="F3" s="1274"/>
      <c r="G3" s="1274" t="s">
        <v>4</v>
      </c>
      <c r="H3" s="1274"/>
      <c r="I3" s="1274"/>
      <c r="J3" s="3"/>
      <c r="L3" s="3"/>
      <c r="N3" s="1267"/>
      <c r="O3" s="1268"/>
    </row>
    <row r="4" spans="2:18" ht="20.25" thickTop="1" thickBot="1">
      <c r="B4" s="4" t="s">
        <v>5</v>
      </c>
      <c r="C4" s="5" t="s">
        <v>6</v>
      </c>
      <c r="D4" s="6" t="s">
        <v>7</v>
      </c>
      <c r="E4" s="7" t="s">
        <v>8</v>
      </c>
      <c r="F4" s="8" t="s">
        <v>7</v>
      </c>
      <c r="G4" s="7" t="s">
        <v>9</v>
      </c>
      <c r="H4" s="9" t="s">
        <v>7</v>
      </c>
      <c r="I4" s="10" t="s">
        <v>10</v>
      </c>
      <c r="J4" s="11" t="s">
        <v>11</v>
      </c>
      <c r="L4" s="11" t="s">
        <v>10</v>
      </c>
      <c r="N4" s="11" t="s">
        <v>6421</v>
      </c>
      <c r="O4" s="11" t="s">
        <v>6390</v>
      </c>
    </row>
    <row r="5" spans="2:18" ht="30.75" thickTop="1">
      <c r="B5" s="1275" t="s">
        <v>12</v>
      </c>
      <c r="C5" s="1093" t="s">
        <v>6428</v>
      </c>
      <c r="D5" s="1244" t="s">
        <v>13</v>
      </c>
      <c r="E5" s="1277" t="s">
        <v>14</v>
      </c>
      <c r="F5" s="1250" t="s">
        <v>15</v>
      </c>
      <c r="G5" s="13">
        <v>1</v>
      </c>
      <c r="H5" s="14" t="s">
        <v>16</v>
      </c>
      <c r="I5" s="766" t="s">
        <v>6451</v>
      </c>
      <c r="J5" s="15"/>
      <c r="L5" s="1003" t="s">
        <v>1406</v>
      </c>
      <c r="N5" s="13">
        <f>ROW(Debut_1A1)+1</f>
        <v>11</v>
      </c>
      <c r="O5" s="13">
        <f>ROW(Fin_1A1)-1</f>
        <v>30</v>
      </c>
      <c r="Q5" s="738"/>
    </row>
    <row r="6" spans="2:18" ht="30">
      <c r="B6" s="1092"/>
      <c r="C6" s="1093"/>
      <c r="D6" s="1244"/>
      <c r="E6" s="1277"/>
      <c r="F6" s="1250"/>
      <c r="G6" s="16">
        <v>2</v>
      </c>
      <c r="H6" s="17" t="s">
        <v>17</v>
      </c>
      <c r="I6" s="767" t="s">
        <v>18</v>
      </c>
      <c r="J6" s="15"/>
      <c r="L6" s="1004" t="s">
        <v>1407</v>
      </c>
      <c r="N6" s="16"/>
      <c r="O6" s="16"/>
      <c r="R6" s="738"/>
    </row>
    <row r="7" spans="2:18" ht="30">
      <c r="B7" s="1092"/>
      <c r="C7" s="1094" t="s">
        <v>6429</v>
      </c>
      <c r="D7" s="1278" t="s">
        <v>19</v>
      </c>
      <c r="E7" s="1245" t="s">
        <v>14</v>
      </c>
      <c r="F7" s="1247" t="s">
        <v>20</v>
      </c>
      <c r="G7" s="20">
        <v>1</v>
      </c>
      <c r="H7" s="21" t="s">
        <v>16</v>
      </c>
      <c r="I7" s="768" t="s">
        <v>6454</v>
      </c>
      <c r="J7" s="23" t="s">
        <v>21</v>
      </c>
      <c r="L7" s="1005" t="s">
        <v>1408</v>
      </c>
      <c r="N7" s="20">
        <f>ROW(Calculs!B38)+1</f>
        <v>39</v>
      </c>
      <c r="O7" s="20">
        <f>ROW(Calculs!B56)-1</f>
        <v>55</v>
      </c>
    </row>
    <row r="8" spans="2:18" ht="30">
      <c r="B8" s="1092"/>
      <c r="C8" s="1094"/>
      <c r="D8" s="1278"/>
      <c r="E8" s="1279"/>
      <c r="F8" s="1248"/>
      <c r="G8" s="20">
        <v>2</v>
      </c>
      <c r="H8" s="21" t="s">
        <v>22</v>
      </c>
      <c r="I8" s="768" t="s">
        <v>6455</v>
      </c>
      <c r="J8" s="24"/>
      <c r="L8" s="22" t="s">
        <v>1409</v>
      </c>
      <c r="N8" s="20">
        <f>ROW(Calculs!B63)+1</f>
        <v>64</v>
      </c>
      <c r="O8" s="20">
        <f>ROW(Calculs!B74)-1</f>
        <v>73</v>
      </c>
    </row>
    <row r="9" spans="2:18">
      <c r="B9" s="1092"/>
      <c r="C9" s="1094"/>
      <c r="D9" s="1278"/>
      <c r="E9" s="1279"/>
      <c r="F9" s="1248"/>
      <c r="G9" s="25">
        <v>3</v>
      </c>
      <c r="H9" s="26" t="s">
        <v>23</v>
      </c>
      <c r="I9" s="768" t="s">
        <v>6456</v>
      </c>
      <c r="J9" s="601"/>
      <c r="K9" s="602"/>
      <c r="L9" s="1005" t="s">
        <v>1410</v>
      </c>
      <c r="N9" s="25">
        <f>ROW(Calculs!B81)+1</f>
        <v>82</v>
      </c>
      <c r="O9" s="25">
        <f>ROW(Calculs!B92)-1</f>
        <v>91</v>
      </c>
    </row>
    <row r="10" spans="2:18" ht="45">
      <c r="B10" s="1092"/>
      <c r="C10" s="1094"/>
      <c r="D10" s="1278"/>
      <c r="E10" s="20" t="s">
        <v>24</v>
      </c>
      <c r="F10" s="19" t="s">
        <v>25</v>
      </c>
      <c r="G10" s="25">
        <v>1</v>
      </c>
      <c r="H10" s="26" t="s">
        <v>26</v>
      </c>
      <c r="I10" s="768" t="s">
        <v>6457</v>
      </c>
      <c r="J10" s="23" t="s">
        <v>27</v>
      </c>
      <c r="L10" s="1005" t="s">
        <v>1412</v>
      </c>
      <c r="N10" s="25">
        <f>ROW(Calculs!B99)+1</f>
        <v>100</v>
      </c>
      <c r="O10" s="25">
        <f>ROW(Calculs!B110)-1</f>
        <v>109</v>
      </c>
    </row>
    <row r="11" spans="2:18">
      <c r="B11" s="1092"/>
      <c r="C11" s="1095" t="s">
        <v>6430</v>
      </c>
      <c r="D11" s="1243" t="s">
        <v>28</v>
      </c>
      <c r="E11" s="27" t="s">
        <v>14</v>
      </c>
      <c r="F11" s="28" t="s">
        <v>29</v>
      </c>
      <c r="G11" s="27">
        <v>1</v>
      </c>
      <c r="H11" s="29" t="s">
        <v>30</v>
      </c>
      <c r="I11" s="766" t="s">
        <v>6458</v>
      </c>
      <c r="J11" s="31" t="s">
        <v>31</v>
      </c>
      <c r="L11" s="30"/>
      <c r="N11" s="27"/>
      <c r="O11" s="27"/>
    </row>
    <row r="12" spans="2:18">
      <c r="B12" s="1092"/>
      <c r="C12" s="1096"/>
      <c r="D12" s="1250"/>
      <c r="E12" s="1241" t="s">
        <v>24</v>
      </c>
      <c r="F12" s="1243" t="s">
        <v>32</v>
      </c>
      <c r="G12" s="27">
        <v>1</v>
      </c>
      <c r="H12" s="29" t="s">
        <v>33</v>
      </c>
      <c r="I12" s="766" t="s">
        <v>6459</v>
      </c>
      <c r="J12" s="33"/>
      <c r="L12" s="30"/>
      <c r="N12" s="27"/>
      <c r="O12" s="27"/>
    </row>
    <row r="13" spans="2:18">
      <c r="B13" s="1092"/>
      <c r="C13" s="1096"/>
      <c r="D13" s="1250"/>
      <c r="E13" s="1242"/>
      <c r="F13" s="1244"/>
      <c r="G13" s="27">
        <v>2</v>
      </c>
      <c r="H13" s="29" t="s">
        <v>30</v>
      </c>
      <c r="I13" s="766" t="s">
        <v>6460</v>
      </c>
      <c r="J13" s="31" t="s">
        <v>34</v>
      </c>
      <c r="L13" s="30"/>
      <c r="N13" s="27"/>
      <c r="O13" s="27"/>
    </row>
    <row r="14" spans="2:18">
      <c r="B14" s="1092"/>
      <c r="C14" s="1096"/>
      <c r="D14" s="1250"/>
      <c r="E14" s="27" t="s">
        <v>35</v>
      </c>
      <c r="F14" s="28" t="s">
        <v>36</v>
      </c>
      <c r="G14" s="27">
        <v>1</v>
      </c>
      <c r="H14" s="29" t="s">
        <v>37</v>
      </c>
      <c r="I14" s="766" t="s">
        <v>6461</v>
      </c>
      <c r="J14" s="31" t="s">
        <v>38</v>
      </c>
      <c r="L14" s="30"/>
      <c r="N14" s="27"/>
      <c r="O14" s="27"/>
    </row>
    <row r="15" spans="2:18">
      <c r="B15" s="1092"/>
      <c r="C15" s="1096"/>
      <c r="D15" s="1250"/>
      <c r="E15" s="34" t="s">
        <v>39</v>
      </c>
      <c r="F15" s="12" t="s">
        <v>40</v>
      </c>
      <c r="G15" s="27">
        <v>1</v>
      </c>
      <c r="H15" s="29" t="s">
        <v>41</v>
      </c>
      <c r="I15" s="766" t="s">
        <v>6462</v>
      </c>
      <c r="J15" s="31" t="s">
        <v>42</v>
      </c>
      <c r="L15" s="30"/>
      <c r="N15" s="27"/>
      <c r="O15" s="27"/>
    </row>
    <row r="16" spans="2:18" ht="15" customHeight="1">
      <c r="B16" s="1092"/>
      <c r="C16" s="1097" t="s">
        <v>6431</v>
      </c>
      <c r="D16" s="1247" t="s">
        <v>43</v>
      </c>
      <c r="E16" s="1280" t="s">
        <v>14</v>
      </c>
      <c r="F16" s="1278" t="s">
        <v>44</v>
      </c>
      <c r="G16" s="20">
        <v>1</v>
      </c>
      <c r="H16" s="35" t="s">
        <v>45</v>
      </c>
      <c r="I16" s="768" t="s">
        <v>6463</v>
      </c>
      <c r="J16" s="24"/>
      <c r="L16" s="22"/>
      <c r="N16" s="20">
        <f>ROW(Calculs!B117)+1</f>
        <v>118</v>
      </c>
      <c r="O16" s="20">
        <f>ROW(Calculs!B128)-1</f>
        <v>127</v>
      </c>
    </row>
    <row r="17" spans="2:15">
      <c r="B17" s="1092"/>
      <c r="C17" s="1098"/>
      <c r="D17" s="1248"/>
      <c r="E17" s="1280"/>
      <c r="F17" s="1278"/>
      <c r="G17" s="748">
        <v>2</v>
      </c>
      <c r="H17" s="749" t="s">
        <v>46</v>
      </c>
      <c r="I17" s="769" t="s">
        <v>6464</v>
      </c>
      <c r="J17" s="24"/>
      <c r="L17" s="22"/>
      <c r="N17" s="748"/>
      <c r="O17" s="748"/>
    </row>
    <row r="18" spans="2:15" ht="30" customHeight="1">
      <c r="B18" s="1092"/>
      <c r="C18" s="1098"/>
      <c r="D18" s="1248"/>
      <c r="E18" s="1245" t="s">
        <v>24</v>
      </c>
      <c r="F18" s="1247" t="s">
        <v>47</v>
      </c>
      <c r="G18" s="20">
        <v>1</v>
      </c>
      <c r="H18" s="35" t="s">
        <v>46</v>
      </c>
      <c r="I18" s="768" t="s">
        <v>6465</v>
      </c>
      <c r="J18" s="36" t="s">
        <v>6401</v>
      </c>
      <c r="L18" s="22"/>
      <c r="N18" s="20">
        <f>ROW(Calculs!B135)+1</f>
        <v>136</v>
      </c>
      <c r="O18" s="20">
        <f>ROW(Calculs!B137)-1</f>
        <v>136</v>
      </c>
    </row>
    <row r="19" spans="2:15">
      <c r="B19" s="1092"/>
      <c r="C19" s="1099"/>
      <c r="D19" s="1249"/>
      <c r="E19" s="1246"/>
      <c r="F19" s="1249"/>
      <c r="G19" s="20">
        <v>2</v>
      </c>
      <c r="H19" s="35" t="s">
        <v>6420</v>
      </c>
      <c r="I19" s="768" t="s">
        <v>6466</v>
      </c>
      <c r="J19" s="36"/>
      <c r="L19" s="22"/>
      <c r="N19" s="20">
        <f>ROW(Calculs!B144)+1</f>
        <v>145</v>
      </c>
      <c r="O19" s="20">
        <f>ROW(Calculs!B155)-1</f>
        <v>154</v>
      </c>
    </row>
    <row r="20" spans="2:15">
      <c r="B20" s="1092"/>
      <c r="C20" s="1095" t="s">
        <v>6432</v>
      </c>
      <c r="D20" s="1243" t="s">
        <v>48</v>
      </c>
      <c r="E20" s="27" t="s">
        <v>14</v>
      </c>
      <c r="F20" s="28" t="s">
        <v>49</v>
      </c>
      <c r="G20" s="27">
        <v>1</v>
      </c>
      <c r="H20" s="29" t="s">
        <v>50</v>
      </c>
      <c r="I20" s="766" t="s">
        <v>6467</v>
      </c>
      <c r="J20" s="31" t="s">
        <v>51</v>
      </c>
      <c r="L20" s="30"/>
      <c r="N20" s="27"/>
      <c r="O20" s="27"/>
    </row>
    <row r="21" spans="2:15" ht="30">
      <c r="B21" s="1092"/>
      <c r="C21" s="1096"/>
      <c r="D21" s="1250"/>
      <c r="E21" s="1241" t="s">
        <v>24</v>
      </c>
      <c r="F21" s="1243" t="s">
        <v>52</v>
      </c>
      <c r="G21" s="32">
        <v>1</v>
      </c>
      <c r="H21" s="29" t="s">
        <v>53</v>
      </c>
      <c r="I21" s="770" t="s">
        <v>6468</v>
      </c>
      <c r="J21" s="31" t="s">
        <v>54</v>
      </c>
      <c r="L21" s="30"/>
      <c r="N21" s="32"/>
      <c r="O21" s="32"/>
    </row>
    <row r="22" spans="2:15" ht="30">
      <c r="B22" s="1092"/>
      <c r="C22" s="1096"/>
      <c r="D22" s="1250"/>
      <c r="E22" s="1242"/>
      <c r="F22" s="1244"/>
      <c r="G22" s="32">
        <v>2</v>
      </c>
      <c r="H22" s="29" t="s">
        <v>55</v>
      </c>
      <c r="I22" s="770" t="s">
        <v>6469</v>
      </c>
      <c r="J22" s="31"/>
      <c r="L22" s="30"/>
      <c r="N22" s="32"/>
      <c r="O22" s="32"/>
    </row>
    <row r="23" spans="2:15" ht="30">
      <c r="B23" s="1092"/>
      <c r="C23" s="1096"/>
      <c r="D23" s="1250"/>
      <c r="E23" s="1241" t="s">
        <v>35</v>
      </c>
      <c r="F23" s="1243" t="s">
        <v>56</v>
      </c>
      <c r="G23" s="32">
        <v>1</v>
      </c>
      <c r="H23" s="37" t="s">
        <v>57</v>
      </c>
      <c r="I23" s="770" t="s">
        <v>6470</v>
      </c>
      <c r="J23" s="31"/>
      <c r="L23" s="30"/>
      <c r="N23" s="32"/>
      <c r="O23" s="32"/>
    </row>
    <row r="24" spans="2:15">
      <c r="B24" s="1276"/>
      <c r="C24" s="1096"/>
      <c r="D24" s="1250"/>
      <c r="E24" s="1242"/>
      <c r="F24" s="1244"/>
      <c r="G24" s="32">
        <v>2</v>
      </c>
      <c r="H24" s="37" t="s">
        <v>58</v>
      </c>
      <c r="I24" s="770" t="s">
        <v>6471</v>
      </c>
      <c r="J24" s="31"/>
      <c r="L24" s="30"/>
      <c r="N24" s="32"/>
      <c r="O24" s="32"/>
    </row>
    <row r="25" spans="2:15" ht="30">
      <c r="B25" s="1147" t="s">
        <v>59</v>
      </c>
      <c r="C25" s="1149" t="s">
        <v>6433</v>
      </c>
      <c r="D25" s="1253" t="s">
        <v>60</v>
      </c>
      <c r="E25" s="1251" t="s">
        <v>14</v>
      </c>
      <c r="F25" s="1253" t="s">
        <v>6396</v>
      </c>
      <c r="G25" s="991">
        <v>1</v>
      </c>
      <c r="H25" s="992" t="s">
        <v>61</v>
      </c>
      <c r="I25" s="993" t="s">
        <v>6481</v>
      </c>
      <c r="J25" s="48"/>
      <c r="L25" s="47" t="s">
        <v>1411</v>
      </c>
      <c r="N25" s="991">
        <f>ROW(Calculs!B162)+1</f>
        <v>163</v>
      </c>
      <c r="O25" s="991">
        <f>ROW(Calculs!B173)-1</f>
        <v>172</v>
      </c>
    </row>
    <row r="26" spans="2:15" ht="30">
      <c r="B26" s="1148"/>
      <c r="C26" s="1150"/>
      <c r="D26" s="1254"/>
      <c r="E26" s="1252"/>
      <c r="F26" s="1254"/>
      <c r="G26" s="994">
        <v>2</v>
      </c>
      <c r="H26" s="995" t="s">
        <v>62</v>
      </c>
      <c r="I26" s="993" t="s">
        <v>6482</v>
      </c>
      <c r="J26" s="48"/>
      <c r="L26" s="47"/>
      <c r="N26" s="991"/>
      <c r="O26" s="991"/>
    </row>
    <row r="27" spans="2:15" ht="45">
      <c r="B27" s="1148"/>
      <c r="C27" s="1263"/>
      <c r="D27" s="1264"/>
      <c r="E27" s="46" t="s">
        <v>24</v>
      </c>
      <c r="F27" s="45" t="s">
        <v>6395</v>
      </c>
      <c r="G27" s="996">
        <v>1</v>
      </c>
      <c r="H27" s="992" t="s">
        <v>6402</v>
      </c>
      <c r="I27" s="993" t="s">
        <v>6483</v>
      </c>
      <c r="J27" s="48"/>
      <c r="L27" s="47" t="s">
        <v>6397</v>
      </c>
      <c r="N27" s="991">
        <f>ROW(Calculs!B180)+1</f>
        <v>181</v>
      </c>
      <c r="O27" s="991">
        <f>ROW(Calculs!B191)-1</f>
        <v>190</v>
      </c>
    </row>
    <row r="28" spans="2:15" ht="45">
      <c r="B28" s="1148"/>
      <c r="C28" s="1255" t="s">
        <v>6434</v>
      </c>
      <c r="D28" s="1257" t="s">
        <v>63</v>
      </c>
      <c r="E28" s="1259" t="s">
        <v>14</v>
      </c>
      <c r="F28" s="1257" t="s">
        <v>64</v>
      </c>
      <c r="G28" s="49">
        <v>1</v>
      </c>
      <c r="H28" s="43" t="s">
        <v>65</v>
      </c>
      <c r="I28" s="771" t="s">
        <v>6484</v>
      </c>
      <c r="J28" s="51"/>
      <c r="L28" s="50" t="s">
        <v>1413</v>
      </c>
      <c r="N28" s="1327"/>
      <c r="O28" s="1327"/>
    </row>
    <row r="29" spans="2:15" ht="30">
      <c r="B29" s="1148"/>
      <c r="C29" s="1256"/>
      <c r="D29" s="1258"/>
      <c r="E29" s="1260"/>
      <c r="F29" s="1258"/>
      <c r="G29" s="49">
        <v>2</v>
      </c>
      <c r="H29" s="43" t="s">
        <v>66</v>
      </c>
      <c r="I29" s="771" t="s">
        <v>6485</v>
      </c>
      <c r="J29" s="51"/>
      <c r="L29" s="50" t="s">
        <v>1414</v>
      </c>
      <c r="N29" s="1327">
        <f>ROW(Calculs!B198)+1</f>
        <v>199</v>
      </c>
      <c r="O29" s="1327">
        <f>ROW(Calculs!B210)-1</f>
        <v>209</v>
      </c>
    </row>
    <row r="30" spans="2:15" ht="30">
      <c r="B30" s="1148"/>
      <c r="C30" s="1256"/>
      <c r="D30" s="1258"/>
      <c r="E30" s="1261"/>
      <c r="F30" s="1262"/>
      <c r="G30" s="997">
        <v>3</v>
      </c>
      <c r="H30" s="998" t="s">
        <v>67</v>
      </c>
      <c r="I30" s="999" t="s">
        <v>6486</v>
      </c>
      <c r="J30" s="51"/>
      <c r="L30" s="50"/>
      <c r="N30" s="1327"/>
      <c r="O30" s="1327"/>
    </row>
    <row r="31" spans="2:15" ht="30">
      <c r="B31" s="1148"/>
      <c r="C31" s="1256"/>
      <c r="D31" s="1258"/>
      <c r="E31" s="1000" t="s">
        <v>24</v>
      </c>
      <c r="F31" s="1001" t="s">
        <v>68</v>
      </c>
      <c r="G31" s="997">
        <v>1</v>
      </c>
      <c r="H31" s="998" t="s">
        <v>69</v>
      </c>
      <c r="I31" s="999" t="s">
        <v>6487</v>
      </c>
      <c r="J31" s="51"/>
      <c r="K31" s="1002"/>
      <c r="L31" s="50"/>
      <c r="N31" s="1327"/>
      <c r="O31" s="1327"/>
    </row>
    <row r="32" spans="2:15" ht="15" customHeight="1">
      <c r="B32" s="1166" t="s">
        <v>81</v>
      </c>
      <c r="C32" s="1154" t="s">
        <v>6435</v>
      </c>
      <c r="D32" s="607"/>
      <c r="E32" s="607"/>
      <c r="F32" s="607"/>
      <c r="G32" s="607"/>
      <c r="H32" s="607"/>
      <c r="I32" s="38" t="s">
        <v>6528</v>
      </c>
      <c r="J32" s="607"/>
      <c r="K32" s="1002"/>
      <c r="L32" s="1006"/>
      <c r="N32" s="1328">
        <f>ROW(Calculs!B216)+1</f>
        <v>217</v>
      </c>
      <c r="O32" s="1328">
        <f>ROW(Calculs!B227)-1</f>
        <v>226</v>
      </c>
    </row>
    <row r="33" spans="2:15">
      <c r="B33" s="1167"/>
      <c r="C33" s="1155"/>
      <c r="D33" s="607"/>
      <c r="E33" s="607"/>
      <c r="F33" s="607"/>
      <c r="G33" s="607"/>
      <c r="H33" s="607"/>
      <c r="I33" s="39" t="s">
        <v>6529</v>
      </c>
      <c r="J33" s="607"/>
      <c r="K33" s="1002"/>
      <c r="L33" s="1006"/>
      <c r="N33" s="1328"/>
      <c r="O33" s="1328"/>
    </row>
    <row r="34" spans="2:15" ht="15" customHeight="1">
      <c r="B34" s="1167"/>
      <c r="C34" s="1156" t="s">
        <v>6436</v>
      </c>
      <c r="D34" s="608"/>
      <c r="E34" s="608"/>
      <c r="F34" s="608"/>
      <c r="G34" s="608"/>
      <c r="H34" s="608"/>
      <c r="I34" s="40" t="s">
        <v>6530</v>
      </c>
      <c r="J34" s="608"/>
      <c r="K34" s="1002"/>
      <c r="L34" s="1007"/>
      <c r="N34" s="1329"/>
      <c r="O34" s="1329"/>
    </row>
    <row r="35" spans="2:15">
      <c r="B35" s="1167"/>
      <c r="C35" s="1157"/>
      <c r="D35" s="608"/>
      <c r="E35" s="608"/>
      <c r="F35" s="608"/>
      <c r="G35" s="608"/>
      <c r="H35" s="608"/>
      <c r="I35" s="40" t="s">
        <v>6531</v>
      </c>
      <c r="J35" s="608"/>
      <c r="K35" s="1002"/>
      <c r="L35" s="1007"/>
      <c r="N35" s="1329"/>
      <c r="O35" s="1329"/>
    </row>
    <row r="36" spans="2:15" ht="15" customHeight="1">
      <c r="B36" s="1167"/>
      <c r="C36" s="1154" t="s">
        <v>6437</v>
      </c>
      <c r="D36" s="607"/>
      <c r="E36" s="607"/>
      <c r="F36" s="607"/>
      <c r="G36" s="607"/>
      <c r="H36" s="607"/>
      <c r="I36" s="38" t="s">
        <v>6532</v>
      </c>
      <c r="J36" s="607"/>
      <c r="K36" s="1002"/>
      <c r="L36" s="1006"/>
      <c r="N36" s="1328"/>
      <c r="O36" s="1328"/>
    </row>
    <row r="37" spans="2:15">
      <c r="B37" s="1167"/>
      <c r="C37" s="1169"/>
      <c r="D37" s="607"/>
      <c r="E37" s="607"/>
      <c r="F37" s="607"/>
      <c r="G37" s="607"/>
      <c r="H37" s="607"/>
      <c r="I37" s="38" t="s">
        <v>6533</v>
      </c>
      <c r="J37" s="607"/>
      <c r="K37" s="1002"/>
      <c r="L37" s="1006"/>
      <c r="N37" s="1328"/>
      <c r="O37" s="1328"/>
    </row>
    <row r="38" spans="2:15">
      <c r="B38" s="1167"/>
      <c r="C38" s="1169"/>
      <c r="D38" s="711"/>
      <c r="E38" s="711"/>
      <c r="F38" s="711"/>
      <c r="G38" s="711"/>
      <c r="H38" s="711"/>
      <c r="I38" s="840" t="s">
        <v>6534</v>
      </c>
      <c r="J38" s="711"/>
      <c r="K38" s="1002"/>
      <c r="L38" s="1008"/>
      <c r="N38" s="1330"/>
      <c r="O38" s="1330"/>
    </row>
    <row r="39" spans="2:15">
      <c r="B39" s="1167"/>
      <c r="C39" s="1169"/>
      <c r="D39" s="711"/>
      <c r="E39" s="711"/>
      <c r="F39" s="711"/>
      <c r="G39" s="711"/>
      <c r="H39" s="711"/>
      <c r="I39" s="894" t="s">
        <v>6535</v>
      </c>
      <c r="J39" s="711"/>
      <c r="K39" s="1002"/>
      <c r="L39" s="1008"/>
      <c r="N39" s="1330"/>
      <c r="O39" s="1330"/>
    </row>
    <row r="40" spans="2:15">
      <c r="B40" s="1167"/>
      <c r="C40" s="1169"/>
      <c r="D40" s="711"/>
      <c r="E40" s="711"/>
      <c r="F40" s="711"/>
      <c r="G40" s="711"/>
      <c r="H40" s="711"/>
      <c r="I40" s="840" t="s">
        <v>6536</v>
      </c>
      <c r="J40" s="711"/>
      <c r="K40" s="1002"/>
      <c r="L40" s="1008"/>
      <c r="N40" s="1330"/>
      <c r="O40" s="1330"/>
    </row>
    <row r="41" spans="2:15" ht="15" customHeight="1">
      <c r="B41" s="1167"/>
      <c r="C41" s="1156" t="s">
        <v>6438</v>
      </c>
      <c r="D41" s="608"/>
      <c r="E41" s="608"/>
      <c r="F41" s="608"/>
      <c r="G41" s="608"/>
      <c r="H41" s="608"/>
      <c r="I41" s="41" t="s">
        <v>6537</v>
      </c>
      <c r="J41" s="608"/>
      <c r="K41" s="1002"/>
      <c r="L41" s="1007"/>
      <c r="N41" s="1328">
        <f>ROW(Calculs!B234)+1</f>
        <v>235</v>
      </c>
      <c r="O41" s="1328">
        <f>ROW(Calculs!B245)-1</f>
        <v>244</v>
      </c>
    </row>
    <row r="42" spans="2:15">
      <c r="B42" s="1167"/>
      <c r="C42" s="1157"/>
      <c r="D42" s="608"/>
      <c r="E42" s="608"/>
      <c r="F42" s="608"/>
      <c r="G42" s="608"/>
      <c r="H42" s="608"/>
      <c r="I42" s="40" t="s">
        <v>6538</v>
      </c>
      <c r="J42" s="608"/>
      <c r="K42" s="1002"/>
      <c r="L42" s="1007"/>
      <c r="N42" s="1329"/>
      <c r="O42" s="1329"/>
    </row>
    <row r="43" spans="2:15">
      <c r="B43" s="1167"/>
      <c r="C43" s="1157"/>
      <c r="D43" s="608"/>
      <c r="E43" s="608"/>
      <c r="F43" s="608"/>
      <c r="G43" s="608"/>
      <c r="H43" s="608"/>
      <c r="I43" s="42" t="s">
        <v>6539</v>
      </c>
      <c r="J43" s="608"/>
      <c r="K43" s="1002"/>
      <c r="L43" s="1007"/>
      <c r="N43" s="1329"/>
      <c r="O43" s="1329"/>
    </row>
    <row r="44" spans="2:15">
      <c r="B44" s="1167"/>
      <c r="C44" s="1173"/>
      <c r="D44" s="608"/>
      <c r="E44" s="608"/>
      <c r="F44" s="608"/>
      <c r="G44" s="608"/>
      <c r="H44" s="608"/>
      <c r="I44" s="40" t="s">
        <v>6540</v>
      </c>
      <c r="J44" s="608"/>
      <c r="K44" s="1002"/>
      <c r="L44" s="1007"/>
      <c r="N44" s="1328">
        <f>ROW(Calculs!B252)+1</f>
        <v>253</v>
      </c>
      <c r="O44" s="1328">
        <f>ROW(Calculs!B263)-1</f>
        <v>262</v>
      </c>
    </row>
    <row r="45" spans="2:15" ht="15" customHeight="1">
      <c r="B45" s="1167"/>
      <c r="C45" s="1154" t="s">
        <v>6439</v>
      </c>
      <c r="D45" s="607"/>
      <c r="E45" s="607"/>
      <c r="F45" s="607"/>
      <c r="G45" s="607"/>
      <c r="H45" s="607"/>
      <c r="I45" s="38" t="s">
        <v>6541</v>
      </c>
      <c r="J45" s="607"/>
      <c r="K45" s="1002"/>
      <c r="L45" s="1006"/>
      <c r="N45" s="1328">
        <f>ROW(Calculs!B270)+1</f>
        <v>271</v>
      </c>
      <c r="O45" s="1328">
        <f>ROW(Calculs!B281)-1</f>
        <v>280</v>
      </c>
    </row>
    <row r="46" spans="2:15">
      <c r="B46" s="1167"/>
      <c r="C46" s="1169"/>
      <c r="D46" s="607"/>
      <c r="E46" s="607"/>
      <c r="F46" s="607"/>
      <c r="G46" s="607"/>
      <c r="H46" s="607"/>
      <c r="I46" s="44" t="s">
        <v>6542</v>
      </c>
      <c r="J46" s="607"/>
      <c r="K46" s="1002"/>
      <c r="L46" s="1006"/>
      <c r="N46" s="1328"/>
      <c r="O46" s="1328"/>
    </row>
    <row r="47" spans="2:15">
      <c r="B47" s="1167"/>
      <c r="C47" s="1169"/>
      <c r="D47" s="607"/>
      <c r="E47" s="607"/>
      <c r="F47" s="607"/>
      <c r="G47" s="607"/>
      <c r="H47" s="607"/>
      <c r="I47" s="44" t="s">
        <v>6543</v>
      </c>
      <c r="J47" s="607"/>
      <c r="K47" s="1002"/>
      <c r="L47" s="1006"/>
      <c r="N47" s="1328"/>
      <c r="O47" s="1328"/>
    </row>
    <row r="48" spans="2:15">
      <c r="B48" s="1167"/>
      <c r="C48" s="1169"/>
      <c r="D48" s="607"/>
      <c r="E48" s="607"/>
      <c r="F48" s="607"/>
      <c r="G48" s="607"/>
      <c r="H48" s="607"/>
      <c r="I48" s="38" t="s">
        <v>6544</v>
      </c>
      <c r="J48" s="607"/>
      <c r="K48" s="1002"/>
      <c r="L48" s="1006"/>
      <c r="N48" s="1328">
        <f>ROW(Calculs!B288)+1</f>
        <v>289</v>
      </c>
      <c r="O48" s="1328">
        <f>ROW(Calculs!B299)-1</f>
        <v>298</v>
      </c>
    </row>
    <row r="49" spans="2:15">
      <c r="B49" s="1167"/>
      <c r="C49" s="1169"/>
      <c r="D49" s="607"/>
      <c r="E49" s="607"/>
      <c r="F49" s="607"/>
      <c r="G49" s="607"/>
      <c r="H49" s="607"/>
      <c r="I49" s="39" t="s">
        <v>6545</v>
      </c>
      <c r="J49" s="607"/>
      <c r="K49" s="1002"/>
      <c r="L49" s="1006"/>
      <c r="N49" s="1328"/>
      <c r="O49" s="1328"/>
    </row>
    <row r="50" spans="2:15">
      <c r="B50" s="1167"/>
      <c r="C50" s="1169"/>
      <c r="D50" s="607"/>
      <c r="E50" s="607"/>
      <c r="F50" s="607"/>
      <c r="G50" s="607"/>
      <c r="H50" s="607"/>
      <c r="I50" s="38" t="s">
        <v>6546</v>
      </c>
      <c r="J50" s="607"/>
      <c r="K50" s="1002"/>
      <c r="L50" s="1006"/>
      <c r="N50" s="1328">
        <f>ROW(Calculs!B306)+1</f>
        <v>307</v>
      </c>
      <c r="O50" s="1328">
        <f>ROW(Calculs!B317)-1</f>
        <v>316</v>
      </c>
    </row>
    <row r="51" spans="2:15">
      <c r="B51" s="1167"/>
      <c r="C51" s="1169"/>
      <c r="D51" s="607"/>
      <c r="E51" s="607"/>
      <c r="F51" s="607"/>
      <c r="G51" s="607"/>
      <c r="H51" s="607"/>
      <c r="I51" s="38" t="s">
        <v>6547</v>
      </c>
      <c r="J51" s="607"/>
      <c r="K51" s="1002"/>
      <c r="L51" s="1006"/>
      <c r="N51" s="1328"/>
      <c r="O51" s="1328"/>
    </row>
    <row r="52" spans="2:15">
      <c r="B52" s="1167"/>
      <c r="C52" s="1169"/>
      <c r="D52" s="607"/>
      <c r="E52" s="607"/>
      <c r="F52" s="607"/>
      <c r="G52" s="607"/>
      <c r="H52" s="607"/>
      <c r="I52" s="38" t="s">
        <v>6548</v>
      </c>
      <c r="J52" s="607"/>
      <c r="K52" s="1002"/>
      <c r="L52" s="1006"/>
      <c r="N52" s="1328"/>
      <c r="O52" s="1328"/>
    </row>
    <row r="53" spans="2:15">
      <c r="B53" s="1168"/>
      <c r="C53" s="1169"/>
      <c r="D53" s="607"/>
      <c r="E53" s="607"/>
      <c r="F53" s="607"/>
      <c r="G53" s="607"/>
      <c r="H53" s="607"/>
      <c r="I53" s="38" t="s">
        <v>6549</v>
      </c>
      <c r="J53" s="607"/>
      <c r="K53" s="1002"/>
      <c r="L53" s="1006"/>
      <c r="N53" s="1328"/>
      <c r="O53" s="1328"/>
    </row>
    <row r="54" spans="2:15" ht="15" customHeight="1">
      <c r="B54" s="1239" t="s">
        <v>70</v>
      </c>
      <c r="C54" s="1162" t="s">
        <v>6440</v>
      </c>
      <c r="D54" s="907"/>
      <c r="E54" s="907"/>
      <c r="F54" s="907"/>
      <c r="G54" s="907"/>
      <c r="H54" s="907"/>
      <c r="I54" s="905" t="s">
        <v>6491</v>
      </c>
      <c r="J54" s="907"/>
      <c r="K54" s="1002"/>
      <c r="L54" s="1009"/>
      <c r="N54" s="1331"/>
      <c r="O54" s="1331"/>
    </row>
    <row r="55" spans="2:15">
      <c r="B55" s="1172"/>
      <c r="C55" s="1170"/>
      <c r="D55" s="907"/>
      <c r="E55" s="907"/>
      <c r="F55" s="907"/>
      <c r="G55" s="907"/>
      <c r="H55" s="907"/>
      <c r="I55" s="905" t="s">
        <v>6492</v>
      </c>
      <c r="J55" s="907"/>
      <c r="K55" s="1002"/>
      <c r="L55" s="1009"/>
      <c r="N55" s="1331">
        <f>ROW(Calculs!B324)+1</f>
        <v>325</v>
      </c>
      <c r="O55" s="1331">
        <f>ROW(Calculs!B335)-1</f>
        <v>334</v>
      </c>
    </row>
    <row r="56" spans="2:15">
      <c r="B56" s="1172"/>
      <c r="C56" s="1170"/>
      <c r="D56" s="907"/>
      <c r="E56" s="907"/>
      <c r="F56" s="907"/>
      <c r="G56" s="907"/>
      <c r="H56" s="907"/>
      <c r="I56" s="905" t="s">
        <v>6493</v>
      </c>
      <c r="J56" s="907"/>
      <c r="K56" s="1002"/>
      <c r="L56" s="1009"/>
      <c r="N56" s="1331"/>
      <c r="O56" s="1331"/>
    </row>
    <row r="57" spans="2:15">
      <c r="B57" s="1172"/>
      <c r="C57" s="1170"/>
      <c r="D57" s="907"/>
      <c r="E57" s="907"/>
      <c r="F57" s="907"/>
      <c r="G57" s="907"/>
      <c r="H57" s="907"/>
      <c r="I57" s="905" t="s">
        <v>6494</v>
      </c>
      <c r="J57" s="907"/>
      <c r="K57" s="1002"/>
      <c r="L57" s="1009"/>
      <c r="N57" s="1331">
        <f>ROW(Calculs!B342)+1</f>
        <v>343</v>
      </c>
      <c r="O57" s="1331">
        <f>ROW(Calculs!B353)-1</f>
        <v>352</v>
      </c>
    </row>
    <row r="58" spans="2:15">
      <c r="B58" s="1172"/>
      <c r="C58" s="1170"/>
      <c r="D58" s="907"/>
      <c r="E58" s="907"/>
      <c r="F58" s="907"/>
      <c r="G58" s="907"/>
      <c r="H58" s="907"/>
      <c r="I58" s="905" t="s">
        <v>6495</v>
      </c>
      <c r="J58" s="907"/>
      <c r="K58" s="1002"/>
      <c r="L58" s="1009"/>
      <c r="N58" s="1331">
        <f>ROW(Calculs!B360)+1</f>
        <v>361</v>
      </c>
      <c r="O58" s="1331">
        <f>ROW(Calculs!B371)-1</f>
        <v>370</v>
      </c>
    </row>
    <row r="59" spans="2:15">
      <c r="B59" s="1172"/>
      <c r="C59" s="1170"/>
      <c r="D59" s="907"/>
      <c r="E59" s="907"/>
      <c r="F59" s="907"/>
      <c r="G59" s="907"/>
      <c r="H59" s="907"/>
      <c r="I59" s="905" t="s">
        <v>6496</v>
      </c>
      <c r="J59" s="907"/>
      <c r="K59" s="1002"/>
      <c r="L59" s="1009"/>
      <c r="N59" s="1331">
        <f>ROW(Calculs!B378)+1</f>
        <v>379</v>
      </c>
      <c r="O59" s="1331">
        <f>ROW(Calculs!B389)-1</f>
        <v>388</v>
      </c>
    </row>
    <row r="60" spans="2:15">
      <c r="B60" s="1172"/>
      <c r="C60" s="1170"/>
      <c r="D60" s="907"/>
      <c r="E60" s="907"/>
      <c r="F60" s="907"/>
      <c r="G60" s="907"/>
      <c r="H60" s="907"/>
      <c r="I60" s="905" t="s">
        <v>6497</v>
      </c>
      <c r="J60" s="907"/>
      <c r="K60" s="1002"/>
      <c r="L60" s="1009"/>
      <c r="N60" s="1331"/>
      <c r="O60" s="1331"/>
    </row>
    <row r="61" spans="2:15">
      <c r="B61" s="1172"/>
      <c r="C61" s="1170"/>
      <c r="D61" s="907"/>
      <c r="E61" s="907"/>
      <c r="F61" s="907"/>
      <c r="G61" s="907"/>
      <c r="H61" s="907"/>
      <c r="I61" s="905" t="s">
        <v>6489</v>
      </c>
      <c r="J61" s="907"/>
      <c r="K61" s="1002"/>
      <c r="L61" s="1009"/>
      <c r="N61" s="1331">
        <f>ROW(Calculs!B396)+1</f>
        <v>397</v>
      </c>
      <c r="O61" s="1331">
        <f>ROW(Calculs!B407)-1</f>
        <v>406</v>
      </c>
    </row>
    <row r="62" spans="2:15">
      <c r="B62" s="1172"/>
      <c r="C62" s="1170"/>
      <c r="D62" s="907"/>
      <c r="E62" s="907"/>
      <c r="F62" s="907"/>
      <c r="G62" s="907"/>
      <c r="H62" s="907"/>
      <c r="I62" s="905" t="s">
        <v>6490</v>
      </c>
      <c r="J62" s="907"/>
      <c r="K62" s="1002"/>
      <c r="L62" s="1009"/>
      <c r="N62" s="1331">
        <f>ROW(Calculs!B414)+1</f>
        <v>415</v>
      </c>
      <c r="O62" s="1331">
        <f>ROW(Calculs!B425)-1</f>
        <v>424</v>
      </c>
    </row>
    <row r="63" spans="2:15">
      <c r="B63" s="1172"/>
      <c r="C63" s="1170"/>
      <c r="D63" s="907"/>
      <c r="E63" s="907"/>
      <c r="F63" s="907"/>
      <c r="G63" s="907"/>
      <c r="H63" s="907"/>
      <c r="I63" s="905" t="s">
        <v>6498</v>
      </c>
      <c r="J63" s="907"/>
      <c r="K63" s="1002"/>
      <c r="L63" s="1009"/>
      <c r="N63" s="1331"/>
      <c r="O63" s="1331"/>
    </row>
    <row r="64" spans="2:15">
      <c r="B64" s="1172"/>
      <c r="C64" s="1170"/>
      <c r="D64" s="907"/>
      <c r="E64" s="907"/>
      <c r="F64" s="907"/>
      <c r="G64" s="907"/>
      <c r="H64" s="907"/>
      <c r="I64" s="905" t="s">
        <v>6499</v>
      </c>
      <c r="J64" s="907"/>
      <c r="K64" s="1002"/>
      <c r="L64" s="1009"/>
      <c r="N64" s="1331"/>
      <c r="O64" s="1331"/>
    </row>
    <row r="65" spans="2:15">
      <c r="B65" s="1172"/>
      <c r="C65" s="1170"/>
      <c r="D65" s="907"/>
      <c r="E65" s="907"/>
      <c r="F65" s="907"/>
      <c r="G65" s="907"/>
      <c r="H65" s="907"/>
      <c r="I65" s="905" t="s">
        <v>6500</v>
      </c>
      <c r="J65" s="907"/>
      <c r="K65" s="1002"/>
      <c r="L65" s="1009"/>
      <c r="N65" s="1331"/>
      <c r="O65" s="1331"/>
    </row>
    <row r="66" spans="2:15">
      <c r="B66" s="1172"/>
      <c r="C66" s="1170"/>
      <c r="D66" s="907"/>
      <c r="E66" s="907"/>
      <c r="F66" s="907"/>
      <c r="G66" s="907"/>
      <c r="H66" s="907"/>
      <c r="I66" s="905" t="s">
        <v>6501</v>
      </c>
      <c r="J66" s="907"/>
      <c r="K66" s="1002"/>
      <c r="L66" s="1009"/>
      <c r="N66" s="1331"/>
      <c r="O66" s="1331"/>
    </row>
    <row r="67" spans="2:15">
      <c r="B67" s="1172"/>
      <c r="C67" s="1170"/>
      <c r="D67" s="907"/>
      <c r="E67" s="907"/>
      <c r="F67" s="907"/>
      <c r="G67" s="907"/>
      <c r="H67" s="907"/>
      <c r="I67" s="905" t="s">
        <v>6502</v>
      </c>
      <c r="J67" s="907"/>
      <c r="K67" s="1002"/>
      <c r="L67" s="1009"/>
      <c r="N67" s="1331"/>
      <c r="O67" s="1331"/>
    </row>
    <row r="68" spans="2:15">
      <c r="B68" s="1172"/>
      <c r="C68" s="1170"/>
      <c r="D68" s="907"/>
      <c r="E68" s="907"/>
      <c r="F68" s="907"/>
      <c r="G68" s="907"/>
      <c r="H68" s="907"/>
      <c r="I68" s="905" t="s">
        <v>6503</v>
      </c>
      <c r="J68" s="907"/>
      <c r="K68" s="1002"/>
      <c r="L68" s="1009"/>
      <c r="N68" s="1331"/>
      <c r="O68" s="1331"/>
    </row>
    <row r="69" spans="2:15">
      <c r="B69" s="1172"/>
      <c r="C69" s="1170"/>
      <c r="D69" s="907"/>
      <c r="E69" s="907"/>
      <c r="F69" s="907"/>
      <c r="G69" s="907"/>
      <c r="H69" s="907"/>
      <c r="I69" s="905" t="s">
        <v>6504</v>
      </c>
      <c r="J69" s="907"/>
      <c r="K69" s="1002"/>
      <c r="L69" s="1009"/>
      <c r="N69" s="1331"/>
      <c r="O69" s="1331"/>
    </row>
    <row r="70" spans="2:15">
      <c r="B70" s="1172"/>
      <c r="C70" s="1170"/>
      <c r="D70" s="907"/>
      <c r="E70" s="907"/>
      <c r="F70" s="907"/>
      <c r="G70" s="907"/>
      <c r="H70" s="907"/>
      <c r="I70" s="905" t="s">
        <v>6505</v>
      </c>
      <c r="J70" s="907"/>
      <c r="K70" s="1002"/>
      <c r="L70" s="1009"/>
      <c r="N70" s="1331"/>
      <c r="O70" s="1331"/>
    </row>
    <row r="71" spans="2:15" ht="15" customHeight="1">
      <c r="B71" s="1172"/>
      <c r="C71" s="1170"/>
      <c r="D71" s="907"/>
      <c r="E71" s="907"/>
      <c r="F71" s="907"/>
      <c r="G71" s="907"/>
      <c r="H71" s="907"/>
      <c r="I71" s="905" t="s">
        <v>6506</v>
      </c>
      <c r="J71" s="907"/>
      <c r="K71" s="1002"/>
      <c r="L71" s="1009"/>
      <c r="N71" s="1331"/>
      <c r="O71" s="1331"/>
    </row>
    <row r="72" spans="2:15">
      <c r="B72" s="1172"/>
      <c r="C72" s="1170"/>
      <c r="D72" s="907"/>
      <c r="E72" s="907"/>
      <c r="F72" s="907"/>
      <c r="G72" s="907"/>
      <c r="H72" s="907"/>
      <c r="I72" s="911" t="s">
        <v>6517</v>
      </c>
      <c r="J72" s="907"/>
      <c r="K72" s="1002"/>
      <c r="L72" s="1009"/>
      <c r="N72" s="1331"/>
      <c r="O72" s="1331"/>
    </row>
    <row r="73" spans="2:15">
      <c r="B73" s="1172"/>
      <c r="C73" s="1170"/>
      <c r="D73" s="907"/>
      <c r="E73" s="907"/>
      <c r="F73" s="907"/>
      <c r="G73" s="907"/>
      <c r="H73" s="907"/>
      <c r="I73" s="911" t="s">
        <v>6518</v>
      </c>
      <c r="J73" s="907"/>
      <c r="K73" s="1002"/>
      <c r="L73" s="1009"/>
      <c r="N73" s="1331"/>
      <c r="O73" s="1331"/>
    </row>
    <row r="74" spans="2:15">
      <c r="B74" s="1172"/>
      <c r="C74" s="1170"/>
      <c r="D74" s="907"/>
      <c r="E74" s="907"/>
      <c r="F74" s="907"/>
      <c r="G74" s="907"/>
      <c r="H74" s="907"/>
      <c r="I74" s="905" t="s">
        <v>6519</v>
      </c>
      <c r="J74" s="907"/>
      <c r="K74" s="1002"/>
      <c r="L74" s="1009"/>
      <c r="N74" s="1331"/>
      <c r="O74" s="1331"/>
    </row>
    <row r="75" spans="2:15">
      <c r="B75" s="1172"/>
      <c r="C75" s="1170"/>
      <c r="D75" s="907"/>
      <c r="E75" s="907"/>
      <c r="F75" s="907"/>
      <c r="G75" s="907"/>
      <c r="H75" s="907"/>
      <c r="I75" s="905" t="s">
        <v>6520</v>
      </c>
      <c r="J75" s="907"/>
      <c r="K75" s="1002"/>
      <c r="L75" s="1009"/>
      <c r="N75" s="1331"/>
      <c r="O75" s="1331"/>
    </row>
    <row r="76" spans="2:15">
      <c r="B76" s="1172"/>
      <c r="C76" s="1170"/>
      <c r="D76" s="907"/>
      <c r="E76" s="907"/>
      <c r="F76" s="907"/>
      <c r="G76" s="907"/>
      <c r="H76" s="907"/>
      <c r="I76" s="905" t="s">
        <v>6521</v>
      </c>
      <c r="J76" s="907"/>
      <c r="K76" s="1002"/>
      <c r="L76" s="1009"/>
      <c r="N76" s="1331"/>
      <c r="O76" s="1331"/>
    </row>
    <row r="77" spans="2:15">
      <c r="B77" s="1172"/>
      <c r="C77" s="1170"/>
      <c r="D77" s="907"/>
      <c r="E77" s="907"/>
      <c r="F77" s="907"/>
      <c r="G77" s="907"/>
      <c r="H77" s="907"/>
      <c r="I77" s="905" t="s">
        <v>6522</v>
      </c>
      <c r="J77" s="907"/>
      <c r="K77" s="1002"/>
      <c r="L77" s="1009"/>
      <c r="N77" s="1331"/>
      <c r="O77" s="1331"/>
    </row>
    <row r="78" spans="2:15">
      <c r="B78" s="1172"/>
      <c r="C78" s="1170"/>
      <c r="D78" s="907"/>
      <c r="E78" s="907"/>
      <c r="F78" s="907"/>
      <c r="G78" s="907"/>
      <c r="H78" s="907"/>
      <c r="I78" s="911" t="s">
        <v>6523</v>
      </c>
      <c r="J78" s="907"/>
      <c r="K78" s="1002"/>
      <c r="L78" s="1009"/>
      <c r="N78" s="1331"/>
      <c r="O78" s="1331"/>
    </row>
    <row r="79" spans="2:15">
      <c r="B79" s="1172"/>
      <c r="C79" s="1170"/>
      <c r="D79" s="907"/>
      <c r="E79" s="907"/>
      <c r="F79" s="907"/>
      <c r="G79" s="907"/>
      <c r="H79" s="907"/>
      <c r="I79" s="911" t="s">
        <v>6525</v>
      </c>
      <c r="J79" s="907"/>
      <c r="K79" s="1002"/>
      <c r="L79" s="1009"/>
      <c r="N79" s="1331"/>
      <c r="O79" s="1331"/>
    </row>
    <row r="80" spans="2:15">
      <c r="B80" s="1172"/>
      <c r="C80" s="1170"/>
      <c r="D80" s="907"/>
      <c r="E80" s="907"/>
      <c r="F80" s="907"/>
      <c r="G80" s="907"/>
      <c r="H80" s="907"/>
      <c r="I80" s="911" t="s">
        <v>6526</v>
      </c>
      <c r="J80" s="907"/>
      <c r="K80" s="1002"/>
      <c r="L80" s="1009"/>
      <c r="N80" s="1331"/>
      <c r="O80" s="1331"/>
    </row>
    <row r="81" spans="2:15">
      <c r="B81" s="1172"/>
      <c r="C81" s="1170"/>
      <c r="D81" s="907"/>
      <c r="E81" s="907"/>
      <c r="F81" s="907"/>
      <c r="G81" s="907"/>
      <c r="H81" s="907"/>
      <c r="I81" s="911" t="s">
        <v>6524</v>
      </c>
      <c r="J81" s="907"/>
      <c r="K81" s="1002"/>
      <c r="L81" s="1009"/>
      <c r="N81" s="1331"/>
      <c r="O81" s="1331"/>
    </row>
    <row r="82" spans="2:15">
      <c r="B82" s="1172"/>
      <c r="C82" s="1170"/>
      <c r="D82" s="907"/>
      <c r="E82" s="907"/>
      <c r="F82" s="907"/>
      <c r="G82" s="907"/>
      <c r="H82" s="907"/>
      <c r="I82" s="911" t="s">
        <v>6527</v>
      </c>
      <c r="J82" s="907"/>
      <c r="K82" s="1002"/>
      <c r="L82" s="1009"/>
      <c r="N82" s="1331"/>
      <c r="O82" s="1331"/>
    </row>
    <row r="83" spans="2:15">
      <c r="B83" s="1172"/>
      <c r="C83" s="1163"/>
      <c r="D83" s="907"/>
      <c r="E83" s="907"/>
      <c r="F83" s="907"/>
      <c r="G83" s="907"/>
      <c r="H83" s="907"/>
      <c r="I83" s="905"/>
      <c r="J83" s="907"/>
      <c r="K83" s="1002"/>
      <c r="L83" s="1009"/>
      <c r="N83" s="1331"/>
      <c r="O83" s="1331"/>
    </row>
    <row r="84" spans="2:15" ht="15" customHeight="1">
      <c r="B84" s="1172"/>
      <c r="C84" s="1154" t="s">
        <v>6442</v>
      </c>
      <c r="D84" s="607"/>
      <c r="E84" s="607"/>
      <c r="F84" s="607"/>
      <c r="G84" s="607"/>
      <c r="H84" s="607"/>
      <c r="I84" s="38" t="s">
        <v>6550</v>
      </c>
      <c r="J84" s="607"/>
      <c r="K84" s="1002"/>
      <c r="L84" s="1006"/>
      <c r="N84" s="1328"/>
      <c r="O84" s="1328"/>
    </row>
    <row r="85" spans="2:15">
      <c r="B85" s="1172"/>
      <c r="C85" s="1169"/>
      <c r="D85" s="607"/>
      <c r="E85" s="607"/>
      <c r="F85" s="607"/>
      <c r="G85" s="607"/>
      <c r="H85" s="607"/>
      <c r="I85" s="38" t="s">
        <v>6551</v>
      </c>
      <c r="J85" s="607"/>
      <c r="K85" s="1002"/>
      <c r="L85" s="1006"/>
      <c r="N85" s="1328"/>
      <c r="O85" s="1328"/>
    </row>
    <row r="86" spans="2:15">
      <c r="B86" s="1172"/>
      <c r="C86" s="1169"/>
      <c r="D86" s="607"/>
      <c r="E86" s="607"/>
      <c r="F86" s="607"/>
      <c r="G86" s="607"/>
      <c r="H86" s="607"/>
      <c r="I86" s="38" t="s">
        <v>6552</v>
      </c>
      <c r="J86" s="607"/>
      <c r="K86" s="1002"/>
      <c r="L86" s="1006"/>
      <c r="N86" s="1328"/>
      <c r="O86" s="1328"/>
    </row>
    <row r="87" spans="2:15">
      <c r="B87" s="1172"/>
      <c r="C87" s="1169"/>
      <c r="D87" s="607"/>
      <c r="E87" s="607"/>
      <c r="F87" s="607"/>
      <c r="G87" s="607"/>
      <c r="H87" s="607"/>
      <c r="I87" s="38" t="s">
        <v>6553</v>
      </c>
      <c r="J87" s="607"/>
      <c r="K87" s="1002"/>
      <c r="L87" s="1006"/>
      <c r="N87" s="1328"/>
      <c r="O87" s="1328"/>
    </row>
    <row r="88" spans="2:15">
      <c r="B88" s="1172"/>
      <c r="C88" s="1169"/>
      <c r="D88" s="607"/>
      <c r="E88" s="607"/>
      <c r="F88" s="607"/>
      <c r="G88" s="607"/>
      <c r="H88" s="607"/>
      <c r="I88" s="38" t="s">
        <v>6554</v>
      </c>
      <c r="J88" s="607"/>
      <c r="K88" s="1002"/>
      <c r="L88" s="1006"/>
      <c r="N88" s="1328"/>
      <c r="O88" s="1328"/>
    </row>
    <row r="89" spans="2:15">
      <c r="B89" s="1172"/>
      <c r="C89" s="1155"/>
      <c r="D89" s="607"/>
      <c r="E89" s="607"/>
      <c r="F89" s="607"/>
      <c r="G89" s="607"/>
      <c r="H89" s="607"/>
      <c r="I89" s="38" t="s">
        <v>6555</v>
      </c>
      <c r="J89" s="607"/>
      <c r="K89" s="1002"/>
      <c r="L89" s="1006"/>
      <c r="N89" s="1328"/>
      <c r="O89" s="1328"/>
    </row>
    <row r="90" spans="2:15" ht="15" customHeight="1">
      <c r="B90" s="1172"/>
      <c r="C90" s="1162" t="s">
        <v>6443</v>
      </c>
      <c r="D90" s="907"/>
      <c r="E90" s="907"/>
      <c r="F90" s="907"/>
      <c r="G90" s="907"/>
      <c r="H90" s="907"/>
      <c r="I90" s="905" t="s">
        <v>6557</v>
      </c>
      <c r="J90" s="907"/>
      <c r="K90" s="1002"/>
      <c r="L90" s="1009"/>
      <c r="N90" s="1331">
        <f>ROW(Calculs!B432)+1</f>
        <v>433</v>
      </c>
      <c r="O90" s="1331">
        <f>ROW(Calculs!B443)-1</f>
        <v>442</v>
      </c>
    </row>
    <row r="91" spans="2:15">
      <c r="B91" s="1172"/>
      <c r="C91" s="1170"/>
      <c r="D91" s="907"/>
      <c r="E91" s="907"/>
      <c r="F91" s="907"/>
      <c r="G91" s="907"/>
      <c r="H91" s="907"/>
      <c r="I91" s="905" t="s">
        <v>6558</v>
      </c>
      <c r="J91" s="907"/>
      <c r="K91" s="1002"/>
      <c r="L91" s="1009"/>
      <c r="N91" s="1331"/>
      <c r="O91" s="1331"/>
    </row>
    <row r="92" spans="2:15">
      <c r="B92" s="1172"/>
      <c r="C92" s="1170"/>
      <c r="D92" s="907"/>
      <c r="E92" s="907"/>
      <c r="F92" s="907"/>
      <c r="G92" s="907"/>
      <c r="H92" s="907"/>
      <c r="I92" s="905" t="s">
        <v>6559</v>
      </c>
      <c r="J92" s="907"/>
      <c r="K92" s="1002"/>
      <c r="L92" s="1009"/>
      <c r="N92" s="1331"/>
      <c r="O92" s="1331"/>
    </row>
    <row r="93" spans="2:15">
      <c r="B93" s="1172"/>
      <c r="C93" s="1163"/>
      <c r="D93" s="907"/>
      <c r="E93" s="907"/>
      <c r="F93" s="907"/>
      <c r="G93" s="907"/>
      <c r="H93" s="907"/>
      <c r="I93" s="905" t="s">
        <v>6560</v>
      </c>
      <c r="J93" s="907"/>
      <c r="K93" s="1002"/>
      <c r="L93" s="1009"/>
      <c r="N93" s="1331"/>
      <c r="O93" s="1331"/>
    </row>
    <row r="94" spans="2:15" ht="15" customHeight="1">
      <c r="B94" s="1172"/>
      <c r="C94" s="1171" t="s">
        <v>6444</v>
      </c>
      <c r="D94" s="607"/>
      <c r="E94" s="607"/>
      <c r="F94" s="607"/>
      <c r="G94" s="607"/>
      <c r="H94" s="607"/>
      <c r="I94" s="38" t="s">
        <v>6561</v>
      </c>
      <c r="J94" s="607"/>
      <c r="K94" s="1002"/>
      <c r="L94" s="1006"/>
      <c r="N94" s="1328"/>
      <c r="O94" s="1328"/>
    </row>
    <row r="95" spans="2:15">
      <c r="B95" s="1172"/>
      <c r="C95" s="1171"/>
      <c r="D95" s="607"/>
      <c r="E95" s="607"/>
      <c r="F95" s="607"/>
      <c r="G95" s="607"/>
      <c r="H95" s="607"/>
      <c r="I95" s="38" t="s">
        <v>6562</v>
      </c>
      <c r="J95" s="607"/>
      <c r="K95" s="1002"/>
      <c r="L95" s="1006"/>
      <c r="N95" s="1328"/>
      <c r="O95" s="1328"/>
    </row>
    <row r="96" spans="2:15" ht="15" customHeight="1">
      <c r="B96" s="1172"/>
      <c r="C96" s="1171"/>
      <c r="D96" s="607"/>
      <c r="E96" s="607"/>
      <c r="F96" s="607"/>
      <c r="G96" s="607"/>
      <c r="H96" s="607"/>
      <c r="I96" s="38" t="s">
        <v>6563</v>
      </c>
      <c r="J96" s="607"/>
      <c r="K96" s="1002"/>
      <c r="L96" s="1006"/>
      <c r="N96" s="1328"/>
      <c r="O96" s="1328"/>
    </row>
    <row r="97" spans="2:15">
      <c r="B97" s="1172"/>
      <c r="C97" s="1171"/>
      <c r="D97" s="607"/>
      <c r="E97" s="607"/>
      <c r="F97" s="607"/>
      <c r="G97" s="607"/>
      <c r="H97" s="607"/>
      <c r="I97" s="38" t="s">
        <v>6564</v>
      </c>
      <c r="J97" s="607"/>
      <c r="K97" s="1002"/>
      <c r="L97" s="1006"/>
      <c r="N97" s="1328"/>
      <c r="O97" s="1328"/>
    </row>
    <row r="98" spans="2:15">
      <c r="B98" s="1172"/>
      <c r="C98" s="1171"/>
      <c r="D98" s="607"/>
      <c r="E98" s="607"/>
      <c r="F98" s="607"/>
      <c r="G98" s="607"/>
      <c r="H98" s="607"/>
      <c r="I98" s="38" t="s">
        <v>6565</v>
      </c>
      <c r="J98" s="607"/>
      <c r="K98" s="1002"/>
      <c r="L98" s="1006"/>
      <c r="N98" s="1328"/>
      <c r="O98" s="1328"/>
    </row>
    <row r="99" spans="2:15" ht="15" customHeight="1">
      <c r="B99" s="1172"/>
      <c r="C99" s="1162" t="s">
        <v>6445</v>
      </c>
      <c r="D99" s="907"/>
      <c r="E99" s="907"/>
      <c r="F99" s="907"/>
      <c r="G99" s="907"/>
      <c r="H99" s="907"/>
      <c r="I99" s="905"/>
      <c r="J99" s="907"/>
      <c r="K99" s="1002"/>
      <c r="L99" s="1009"/>
      <c r="N99" s="1331"/>
      <c r="O99" s="1331"/>
    </row>
    <row r="100" spans="2:15">
      <c r="B100" s="1172"/>
      <c r="C100" s="1170"/>
      <c r="D100" s="907"/>
      <c r="E100" s="907"/>
      <c r="F100" s="907"/>
      <c r="G100" s="907"/>
      <c r="H100" s="907"/>
      <c r="I100" s="905"/>
      <c r="J100" s="907"/>
      <c r="K100" s="1002"/>
      <c r="L100" s="1009"/>
      <c r="N100" s="1331"/>
      <c r="O100" s="1331"/>
    </row>
    <row r="101" spans="2:15">
      <c r="B101" s="1172"/>
      <c r="C101" s="1170"/>
      <c r="D101" s="907"/>
      <c r="E101" s="907"/>
      <c r="F101" s="907"/>
      <c r="G101" s="907"/>
      <c r="H101" s="907"/>
      <c r="I101" s="905" t="s">
        <v>6566</v>
      </c>
      <c r="J101" s="907"/>
      <c r="K101" s="1002"/>
      <c r="L101" s="1009"/>
      <c r="N101" s="1331"/>
      <c r="O101" s="1331"/>
    </row>
    <row r="102" spans="2:15">
      <c r="B102" s="1172"/>
      <c r="C102" s="1170"/>
      <c r="D102" s="907"/>
      <c r="E102" s="907"/>
      <c r="F102" s="907"/>
      <c r="G102" s="907"/>
      <c r="H102" s="907"/>
      <c r="I102" s="905" t="s">
        <v>6567</v>
      </c>
      <c r="J102" s="907"/>
      <c r="K102" s="1002"/>
      <c r="L102" s="1009"/>
      <c r="N102" s="1331"/>
      <c r="O102" s="1331"/>
    </row>
    <row r="103" spans="2:15">
      <c r="B103" s="1172"/>
      <c r="C103" s="1170"/>
      <c r="D103" s="907"/>
      <c r="E103" s="907"/>
      <c r="F103" s="907"/>
      <c r="G103" s="907"/>
      <c r="H103" s="907"/>
      <c r="I103" s="905" t="s">
        <v>6568</v>
      </c>
      <c r="J103" s="907"/>
      <c r="K103" s="1002"/>
      <c r="L103" s="1009"/>
      <c r="N103" s="1331"/>
      <c r="O103" s="1331"/>
    </row>
    <row r="104" spans="2:15">
      <c r="B104" s="1172"/>
      <c r="C104" s="1170"/>
      <c r="D104" s="907"/>
      <c r="E104" s="907"/>
      <c r="F104" s="907"/>
      <c r="G104" s="907"/>
      <c r="H104" s="907"/>
      <c r="I104" s="905" t="s">
        <v>6599</v>
      </c>
      <c r="J104" s="907"/>
      <c r="K104" s="1002"/>
      <c r="L104" s="1009"/>
      <c r="N104" s="1331"/>
      <c r="O104" s="1331"/>
    </row>
    <row r="105" spans="2:15">
      <c r="B105" s="1240"/>
      <c r="C105" s="1163"/>
      <c r="D105" s="907"/>
      <c r="E105" s="907"/>
      <c r="F105" s="907"/>
      <c r="G105" s="907"/>
      <c r="H105" s="907"/>
      <c r="I105" s="905" t="s">
        <v>6600</v>
      </c>
      <c r="J105" s="907"/>
      <c r="K105" s="1002"/>
      <c r="L105" s="1009"/>
      <c r="N105" s="1331"/>
      <c r="O105" s="1331"/>
    </row>
    <row r="106" spans="2:15">
      <c r="B106" s="1158" t="s">
        <v>87</v>
      </c>
      <c r="C106" s="913" t="s">
        <v>6447</v>
      </c>
      <c r="D106" s="916"/>
      <c r="E106" s="916"/>
      <c r="F106" s="916"/>
      <c r="G106" s="916"/>
      <c r="H106" s="916"/>
      <c r="I106" s="914"/>
      <c r="J106" s="916"/>
      <c r="K106" s="1002"/>
      <c r="L106" s="1010"/>
      <c r="N106" s="1332"/>
      <c r="O106" s="1332"/>
    </row>
    <row r="107" spans="2:15">
      <c r="B107" s="1158"/>
      <c r="C107" s="920" t="s">
        <v>6448</v>
      </c>
      <c r="D107" s="907"/>
      <c r="E107" s="907"/>
      <c r="F107" s="907"/>
      <c r="G107" s="907"/>
      <c r="H107" s="907"/>
      <c r="I107" s="905"/>
      <c r="J107" s="907"/>
      <c r="K107" s="1002"/>
      <c r="L107" s="1009"/>
      <c r="N107" s="1331"/>
      <c r="O107" s="1331"/>
    </row>
    <row r="108" spans="2:15" ht="15" customHeight="1">
      <c r="B108" s="1158"/>
      <c r="C108" s="1159" t="s">
        <v>6449</v>
      </c>
      <c r="D108" s="916"/>
      <c r="E108" s="916"/>
      <c r="F108" s="916"/>
      <c r="G108" s="916"/>
      <c r="H108" s="916"/>
      <c r="I108" s="914" t="s">
        <v>6569</v>
      </c>
      <c r="J108" s="916"/>
      <c r="K108" s="1002"/>
      <c r="L108" s="1010"/>
      <c r="N108" s="1332"/>
      <c r="O108" s="1332"/>
    </row>
    <row r="109" spans="2:15">
      <c r="B109" s="1158"/>
      <c r="C109" s="1160"/>
      <c r="D109" s="916"/>
      <c r="E109" s="916"/>
      <c r="F109" s="916"/>
      <c r="G109" s="916"/>
      <c r="H109" s="916"/>
      <c r="I109" s="914" t="s">
        <v>6570</v>
      </c>
      <c r="J109" s="916"/>
      <c r="K109" s="1002"/>
      <c r="L109" s="1010"/>
      <c r="N109" s="1332"/>
      <c r="O109" s="1332"/>
    </row>
    <row r="110" spans="2:15">
      <c r="B110" s="1158"/>
      <c r="C110" s="1161"/>
      <c r="D110" s="916"/>
      <c r="E110" s="916"/>
      <c r="F110" s="916"/>
      <c r="G110" s="916"/>
      <c r="H110" s="916"/>
      <c r="I110" s="914" t="s">
        <v>6571</v>
      </c>
      <c r="J110" s="916"/>
      <c r="K110" s="1002"/>
      <c r="L110" s="1010"/>
      <c r="N110" s="1332"/>
      <c r="O110" s="1332"/>
    </row>
    <row r="111" spans="2:15" ht="15" customHeight="1">
      <c r="B111" s="1158"/>
      <c r="C111" s="1162" t="s">
        <v>6450</v>
      </c>
      <c r="D111" s="907"/>
      <c r="E111" s="907"/>
      <c r="F111" s="907"/>
      <c r="G111" s="907"/>
      <c r="H111" s="907"/>
      <c r="I111" s="905" t="s">
        <v>6572</v>
      </c>
      <c r="J111" s="907"/>
      <c r="K111" s="1002"/>
      <c r="L111" s="1009"/>
      <c r="N111" s="1331"/>
      <c r="O111" s="1331"/>
    </row>
    <row r="112" spans="2:15">
      <c r="B112" s="1158"/>
      <c r="C112" s="1163"/>
      <c r="D112" s="907"/>
      <c r="E112" s="907"/>
      <c r="F112" s="907"/>
      <c r="G112" s="907"/>
      <c r="H112" s="907"/>
      <c r="I112" s="905" t="s">
        <v>6573</v>
      </c>
      <c r="J112" s="907"/>
      <c r="K112" s="1002"/>
      <c r="L112" s="1009"/>
      <c r="N112" s="1331"/>
      <c r="O112" s="1331"/>
    </row>
    <row r="113" spans="2:15" ht="15.75" thickBot="1">
      <c r="B113" s="1016" t="s">
        <v>96</v>
      </c>
      <c r="C113" s="52">
        <v>6</v>
      </c>
      <c r="D113" s="610"/>
      <c r="E113" s="610"/>
      <c r="F113" s="610"/>
      <c r="G113" s="610"/>
      <c r="H113" s="610"/>
      <c r="I113" s="1014"/>
      <c r="J113" s="610"/>
      <c r="K113" s="1002"/>
      <c r="L113" s="1011"/>
      <c r="N113" s="1020"/>
      <c r="O113" s="1020"/>
    </row>
  </sheetData>
  <mergeCells count="54">
    <mergeCell ref="B5:B24"/>
    <mergeCell ref="C5:C6"/>
    <mergeCell ref="D5:D6"/>
    <mergeCell ref="E5:E6"/>
    <mergeCell ref="F5:F6"/>
    <mergeCell ref="C7:C10"/>
    <mergeCell ref="D7:D10"/>
    <mergeCell ref="E7:E9"/>
    <mergeCell ref="F7:F9"/>
    <mergeCell ref="C11:C15"/>
    <mergeCell ref="D11:D15"/>
    <mergeCell ref="E12:E13"/>
    <mergeCell ref="F12:F13"/>
    <mergeCell ref="E16:E17"/>
    <mergeCell ref="F16:F17"/>
    <mergeCell ref="C20:C24"/>
    <mergeCell ref="N2:O3"/>
    <mergeCell ref="B2:J2"/>
    <mergeCell ref="C3:D3"/>
    <mergeCell ref="E3:F3"/>
    <mergeCell ref="G3:I3"/>
    <mergeCell ref="B25:B31"/>
    <mergeCell ref="E25:E26"/>
    <mergeCell ref="F25:F26"/>
    <mergeCell ref="C28:C31"/>
    <mergeCell ref="D28:D31"/>
    <mergeCell ref="E28:E30"/>
    <mergeCell ref="F28:F30"/>
    <mergeCell ref="C25:C27"/>
    <mergeCell ref="D25:D27"/>
    <mergeCell ref="E23:E24"/>
    <mergeCell ref="F23:F24"/>
    <mergeCell ref="E18:E19"/>
    <mergeCell ref="D16:D19"/>
    <mergeCell ref="C16:C19"/>
    <mergeCell ref="F18:F19"/>
    <mergeCell ref="D20:D24"/>
    <mergeCell ref="E21:E22"/>
    <mergeCell ref="F21:F22"/>
    <mergeCell ref="C111:C112"/>
    <mergeCell ref="C99:C105"/>
    <mergeCell ref="B32:B53"/>
    <mergeCell ref="B106:B112"/>
    <mergeCell ref="B54:B105"/>
    <mergeCell ref="C54:C83"/>
    <mergeCell ref="C84:C89"/>
    <mergeCell ref="C90:C93"/>
    <mergeCell ref="C94:C98"/>
    <mergeCell ref="C108:C110"/>
    <mergeCell ref="C32:C33"/>
    <mergeCell ref="C34:C35"/>
    <mergeCell ref="C36:C40"/>
    <mergeCell ref="C41:C44"/>
    <mergeCell ref="C45:C53"/>
  </mergeCells>
  <phoneticPr fontId="56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4520-AE8B-42E1-8522-E942D5B8DDE1}">
  <sheetPr codeName="Feuil10">
    <tabColor theme="0" tint="-0.14999847407452621"/>
  </sheetPr>
  <dimension ref="B1:L40"/>
  <sheetViews>
    <sheetView workbookViewId="0">
      <selection activeCell="K26" sqref="K26"/>
    </sheetView>
  </sheetViews>
  <sheetFormatPr baseColWidth="10" defaultRowHeight="15"/>
  <cols>
    <col min="1" max="1" width="2.85546875" style="1" customWidth="1"/>
    <col min="2" max="2" width="25.5703125" style="1" bestFit="1" customWidth="1"/>
    <col min="3" max="3" width="16.7109375" style="1" bestFit="1" customWidth="1"/>
    <col min="4" max="10" width="11.42578125" style="1"/>
    <col min="11" max="11" width="2.28515625" style="1" customWidth="1"/>
    <col min="12" max="12" width="137.85546875" style="1" customWidth="1"/>
    <col min="13" max="16384" width="11.42578125" style="1"/>
  </cols>
  <sheetData>
    <row r="1" spans="2:12" ht="15.75" thickBot="1"/>
    <row r="2" spans="2:12">
      <c r="B2" s="1281" t="s">
        <v>1374</v>
      </c>
      <c r="C2" s="1282"/>
      <c r="D2" s="1282"/>
      <c r="E2" s="1282"/>
      <c r="F2" s="1282"/>
      <c r="G2" s="1282"/>
      <c r="H2" s="1282"/>
      <c r="I2" s="1282"/>
      <c r="J2" s="1282"/>
      <c r="K2" s="1282"/>
      <c r="L2" s="1283"/>
    </row>
    <row r="3" spans="2:12" ht="15.75" thickBot="1">
      <c r="B3" s="1284"/>
      <c r="C3" s="1285"/>
      <c r="D3" s="1285"/>
      <c r="E3" s="1285"/>
      <c r="F3" s="1285"/>
      <c r="G3" s="1285"/>
      <c r="H3" s="1285"/>
      <c r="I3" s="1285"/>
      <c r="J3" s="1285"/>
      <c r="K3" s="1285"/>
      <c r="L3" s="1286"/>
    </row>
    <row r="4" spans="2:12" ht="8.25" customHeight="1" thickBot="1"/>
    <row r="5" spans="2:12" ht="19.5" thickBot="1">
      <c r="B5" s="544" t="s">
        <v>1375</v>
      </c>
      <c r="C5" s="545"/>
      <c r="D5" s="546"/>
      <c r="E5" s="546"/>
      <c r="F5" s="546"/>
      <c r="G5" s="546"/>
      <c r="H5" s="546"/>
      <c r="I5" s="546"/>
      <c r="J5" s="547" t="s">
        <v>1376</v>
      </c>
      <c r="L5" s="548" t="s">
        <v>1377</v>
      </c>
    </row>
    <row r="6" spans="2:12">
      <c r="B6" s="191"/>
      <c r="C6" s="192"/>
      <c r="D6" s="192"/>
      <c r="E6" s="192"/>
      <c r="F6" s="192"/>
      <c r="G6" s="192"/>
      <c r="H6" s="192"/>
      <c r="I6" s="192"/>
      <c r="J6" s="549" t="s">
        <v>1378</v>
      </c>
      <c r="L6" s="193"/>
    </row>
    <row r="7" spans="2:12">
      <c r="B7" s="103" t="s">
        <v>1379</v>
      </c>
      <c r="C7" s="104" t="s">
        <v>1380</v>
      </c>
      <c r="D7" s="104"/>
      <c r="E7" s="104"/>
      <c r="F7" s="104"/>
      <c r="G7" s="104"/>
      <c r="H7" s="104"/>
      <c r="I7" s="104"/>
      <c r="J7" s="550"/>
      <c r="L7" s="194"/>
    </row>
    <row r="8" spans="2:12" ht="18">
      <c r="B8" s="551" t="s">
        <v>1381</v>
      </c>
      <c r="C8" s="339" t="s">
        <v>1341</v>
      </c>
      <c r="D8" s="339"/>
      <c r="E8" s="339"/>
      <c r="F8" s="339"/>
      <c r="G8" s="339"/>
      <c r="H8" s="339"/>
      <c r="I8" s="339"/>
      <c r="J8" s="71">
        <v>1</v>
      </c>
      <c r="L8" s="568" t="s">
        <v>1342</v>
      </c>
    </row>
    <row r="9" spans="2:12" ht="18">
      <c r="B9" s="551" t="s">
        <v>1382</v>
      </c>
      <c r="C9" s="339" t="s">
        <v>1343</v>
      </c>
      <c r="D9" s="339"/>
      <c r="E9" s="339"/>
      <c r="F9" s="339"/>
      <c r="G9" s="339"/>
      <c r="H9" s="339"/>
      <c r="I9" s="339"/>
      <c r="J9" s="71">
        <v>29.8</v>
      </c>
      <c r="L9" s="568" t="s">
        <v>1342</v>
      </c>
    </row>
    <row r="10" spans="2:12" ht="18">
      <c r="B10" s="551" t="s">
        <v>1383</v>
      </c>
      <c r="C10" s="339" t="s">
        <v>1344</v>
      </c>
      <c r="D10" s="339"/>
      <c r="E10" s="339"/>
      <c r="F10" s="339"/>
      <c r="G10" s="339"/>
      <c r="H10" s="339"/>
      <c r="I10" s="339"/>
      <c r="J10" s="71">
        <v>273</v>
      </c>
      <c r="L10" s="568" t="s">
        <v>1342</v>
      </c>
    </row>
    <row r="11" spans="2:12" ht="18">
      <c r="B11" s="551" t="s">
        <v>1384</v>
      </c>
      <c r="C11" s="339" t="s">
        <v>1345</v>
      </c>
      <c r="D11" s="339"/>
      <c r="E11" s="339"/>
      <c r="F11" s="339"/>
      <c r="G11" s="339"/>
      <c r="H11" s="339"/>
      <c r="I11" s="339"/>
      <c r="J11" s="71">
        <v>7380</v>
      </c>
      <c r="L11" s="568" t="s">
        <v>1342</v>
      </c>
    </row>
    <row r="12" spans="2:12" ht="18">
      <c r="B12" s="551" t="s">
        <v>1385</v>
      </c>
      <c r="C12" s="339" t="s">
        <v>1346</v>
      </c>
      <c r="D12" s="339"/>
      <c r="E12" s="339"/>
      <c r="F12" s="339"/>
      <c r="G12" s="339"/>
      <c r="H12" s="339"/>
      <c r="I12" s="339"/>
      <c r="J12" s="71">
        <v>22800</v>
      </c>
      <c r="L12" s="568" t="s">
        <v>1347</v>
      </c>
    </row>
    <row r="13" spans="2:12" ht="15.75" thickBot="1">
      <c r="B13" s="214"/>
      <c r="C13" s="552"/>
      <c r="D13" s="552"/>
      <c r="E13" s="552"/>
      <c r="F13" s="552"/>
      <c r="G13" s="552"/>
      <c r="H13" s="552"/>
      <c r="I13" s="552"/>
      <c r="J13" s="553"/>
      <c r="L13" s="569"/>
    </row>
    <row r="14" spans="2:12" ht="9.75" customHeight="1" thickBot="1"/>
    <row r="15" spans="2:12" ht="19.5" thickBot="1">
      <c r="B15" s="544" t="s">
        <v>1386</v>
      </c>
      <c r="C15" s="545"/>
      <c r="D15" s="546"/>
      <c r="E15" s="546"/>
      <c r="F15" s="546"/>
      <c r="G15" s="546"/>
      <c r="H15" s="546"/>
      <c r="I15" s="546"/>
      <c r="J15" s="547" t="s">
        <v>1376</v>
      </c>
      <c r="L15" s="548" t="s">
        <v>1377</v>
      </c>
    </row>
    <row r="16" spans="2:12">
      <c r="B16" s="191"/>
      <c r="C16" s="192"/>
      <c r="D16" s="1287" t="s">
        <v>1387</v>
      </c>
      <c r="E16" s="1288"/>
      <c r="F16" s="1288"/>
      <c r="G16" s="1288"/>
      <c r="H16" s="1288"/>
      <c r="I16" s="1289"/>
      <c r="J16" s="549" t="s">
        <v>1378</v>
      </c>
      <c r="L16" s="193"/>
    </row>
    <row r="17" spans="2:12">
      <c r="B17" s="103" t="s">
        <v>1386</v>
      </c>
      <c r="C17" s="104" t="s">
        <v>1388</v>
      </c>
      <c r="D17" s="108" t="s">
        <v>1348</v>
      </c>
      <c r="E17" s="104" t="s">
        <v>1349</v>
      </c>
      <c r="F17" s="104" t="s">
        <v>1350</v>
      </c>
      <c r="G17" s="104" t="s">
        <v>1351</v>
      </c>
      <c r="H17" s="104" t="s">
        <v>1352</v>
      </c>
      <c r="I17" s="104" t="s">
        <v>1353</v>
      </c>
      <c r="J17" s="550"/>
      <c r="L17" s="194"/>
    </row>
    <row r="18" spans="2:12">
      <c r="B18" s="129" t="s">
        <v>1354</v>
      </c>
      <c r="C18" s="59"/>
      <c r="D18" s="554"/>
      <c r="E18" s="555"/>
      <c r="F18" s="555"/>
      <c r="G18" s="555"/>
      <c r="H18" s="555"/>
      <c r="I18" s="555"/>
      <c r="J18" s="556">
        <v>6226</v>
      </c>
      <c r="L18" s="123" t="s">
        <v>1342</v>
      </c>
    </row>
    <row r="19" spans="2:12">
      <c r="B19" s="129" t="s">
        <v>1355</v>
      </c>
      <c r="C19" s="59"/>
      <c r="D19" s="554"/>
      <c r="E19" s="555"/>
      <c r="F19" s="555"/>
      <c r="G19" s="555"/>
      <c r="H19" s="555"/>
      <c r="I19" s="555"/>
      <c r="J19" s="556">
        <v>10910</v>
      </c>
      <c r="L19" s="123" t="s">
        <v>1356</v>
      </c>
    </row>
    <row r="20" spans="2:12">
      <c r="B20" s="129" t="s">
        <v>1357</v>
      </c>
      <c r="C20" s="59" t="s">
        <v>1389</v>
      </c>
      <c r="D20" s="554"/>
      <c r="E20" s="555"/>
      <c r="F20" s="555"/>
      <c r="G20" s="555"/>
      <c r="H20" s="555"/>
      <c r="I20" s="555"/>
      <c r="J20" s="556">
        <v>1810</v>
      </c>
      <c r="L20" s="123" t="s">
        <v>1356</v>
      </c>
    </row>
    <row r="21" spans="2:12">
      <c r="B21" s="129" t="s">
        <v>1358</v>
      </c>
      <c r="C21" s="59"/>
      <c r="D21" s="554"/>
      <c r="E21" s="555"/>
      <c r="F21" s="555"/>
      <c r="G21" s="555"/>
      <c r="H21" s="555"/>
      <c r="I21" s="555"/>
      <c r="J21" s="556">
        <v>14800</v>
      </c>
      <c r="L21" s="123" t="s">
        <v>1347</v>
      </c>
    </row>
    <row r="22" spans="2:12">
      <c r="B22" s="129" t="s">
        <v>1348</v>
      </c>
      <c r="C22" s="59" t="s">
        <v>1390</v>
      </c>
      <c r="D22" s="554"/>
      <c r="E22" s="555"/>
      <c r="F22" s="555"/>
      <c r="G22" s="555"/>
      <c r="H22" s="555"/>
      <c r="I22" s="555"/>
      <c r="J22" s="556">
        <v>771</v>
      </c>
      <c r="L22" s="123" t="s">
        <v>1342</v>
      </c>
    </row>
    <row r="23" spans="2:12">
      <c r="B23" s="129" t="s">
        <v>1349</v>
      </c>
      <c r="C23" s="59"/>
      <c r="D23" s="554"/>
      <c r="E23" s="555"/>
      <c r="F23" s="555"/>
      <c r="G23" s="555"/>
      <c r="H23" s="555"/>
      <c r="I23" s="555"/>
      <c r="J23" s="556">
        <v>3500</v>
      </c>
      <c r="L23" s="123" t="s">
        <v>1347</v>
      </c>
    </row>
    <row r="24" spans="2:12">
      <c r="B24" s="129" t="s">
        <v>1350</v>
      </c>
      <c r="C24" s="59" t="s">
        <v>1390</v>
      </c>
      <c r="D24" s="557"/>
      <c r="E24" s="558"/>
      <c r="F24" s="558"/>
      <c r="G24" s="558"/>
      <c r="H24" s="558"/>
      <c r="I24" s="558"/>
      <c r="J24" s="556">
        <v>1526</v>
      </c>
      <c r="L24" s="123" t="s">
        <v>1342</v>
      </c>
    </row>
    <row r="25" spans="2:12">
      <c r="B25" s="129" t="s">
        <v>1351</v>
      </c>
      <c r="C25" s="59"/>
      <c r="D25" s="557"/>
      <c r="E25" s="558"/>
      <c r="F25" s="558"/>
      <c r="G25" s="558"/>
      <c r="H25" s="558"/>
      <c r="I25" s="558"/>
      <c r="J25" s="556">
        <v>4470</v>
      </c>
      <c r="L25" s="123" t="s">
        <v>1347</v>
      </c>
    </row>
    <row r="26" spans="2:12">
      <c r="B26" s="129" t="s">
        <v>1359</v>
      </c>
      <c r="C26" s="59" t="s">
        <v>1391</v>
      </c>
      <c r="D26" s="559">
        <v>0</v>
      </c>
      <c r="E26" s="560">
        <v>0.44</v>
      </c>
      <c r="F26" s="560">
        <v>0.04</v>
      </c>
      <c r="G26" s="560">
        <v>0.52</v>
      </c>
      <c r="H26" s="211">
        <v>0</v>
      </c>
      <c r="I26" s="211">
        <v>0</v>
      </c>
      <c r="J26" s="561">
        <f t="shared" ref="J26:J33" si="0">D26*$J$22+E26*$J$23+G26*$J$25+F26*$J$24+H26*$J$37+I26*$J$36</f>
        <v>3925.44</v>
      </c>
      <c r="L26" s="123" t="s">
        <v>1356</v>
      </c>
    </row>
    <row r="27" spans="2:12">
      <c r="B27" s="129" t="s">
        <v>1360</v>
      </c>
      <c r="C27" s="59" t="s">
        <v>1391</v>
      </c>
      <c r="D27" s="562">
        <v>0.2</v>
      </c>
      <c r="E27" s="560">
        <v>0.4</v>
      </c>
      <c r="F27" s="560">
        <v>0.4</v>
      </c>
      <c r="G27" s="211">
        <v>0</v>
      </c>
      <c r="H27" s="211">
        <v>0</v>
      </c>
      <c r="I27" s="211">
        <v>0</v>
      </c>
      <c r="J27" s="561">
        <f t="shared" si="0"/>
        <v>2164.6</v>
      </c>
      <c r="L27" s="123" t="s">
        <v>1361</v>
      </c>
    </row>
    <row r="28" spans="2:12">
      <c r="B28" s="129" t="s">
        <v>1362</v>
      </c>
      <c r="C28" s="59" t="s">
        <v>1391</v>
      </c>
      <c r="D28" s="562">
        <v>0.23</v>
      </c>
      <c r="E28" s="560">
        <v>0.25</v>
      </c>
      <c r="F28" s="560">
        <v>0.52</v>
      </c>
      <c r="G28" s="211">
        <v>0</v>
      </c>
      <c r="H28" s="211">
        <v>0</v>
      </c>
      <c r="I28" s="211">
        <v>0</v>
      </c>
      <c r="J28" s="561">
        <f t="shared" si="0"/>
        <v>1845.85</v>
      </c>
      <c r="L28" s="123" t="s">
        <v>1356</v>
      </c>
    </row>
    <row r="29" spans="2:12">
      <c r="B29" s="129" t="s">
        <v>1363</v>
      </c>
      <c r="C29" s="59" t="s">
        <v>1390</v>
      </c>
      <c r="D29" s="562">
        <v>0.5</v>
      </c>
      <c r="E29" s="560">
        <v>0.5</v>
      </c>
      <c r="F29" s="211">
        <v>0</v>
      </c>
      <c r="G29" s="211">
        <v>0</v>
      </c>
      <c r="H29" s="211">
        <v>0</v>
      </c>
      <c r="I29" s="211">
        <v>0</v>
      </c>
      <c r="J29" s="561">
        <f t="shared" si="0"/>
        <v>2135.5</v>
      </c>
      <c r="L29" s="123" t="s">
        <v>1356</v>
      </c>
    </row>
    <row r="30" spans="2:12">
      <c r="B30" s="129" t="s">
        <v>1364</v>
      </c>
      <c r="C30" s="59" t="s">
        <v>1391</v>
      </c>
      <c r="D30" s="562">
        <v>0.26</v>
      </c>
      <c r="E30" s="560">
        <v>0.26</v>
      </c>
      <c r="F30" s="560">
        <v>0.21</v>
      </c>
      <c r="G30" s="211">
        <v>0</v>
      </c>
      <c r="H30" s="560">
        <v>7.0000000000000007E-2</v>
      </c>
      <c r="I30" s="560">
        <v>0.2</v>
      </c>
      <c r="J30" s="561">
        <f t="shared" si="0"/>
        <v>1431.72</v>
      </c>
      <c r="L30" s="123" t="s">
        <v>1356</v>
      </c>
    </row>
    <row r="31" spans="2:12">
      <c r="B31" s="129" t="s">
        <v>1365</v>
      </c>
      <c r="C31" s="59" t="s">
        <v>1391</v>
      </c>
      <c r="D31" s="562">
        <v>0.24299999999999999</v>
      </c>
      <c r="E31" s="560">
        <v>0.247</v>
      </c>
      <c r="F31" s="560">
        <v>0.25700000000000001</v>
      </c>
      <c r="G31" s="211">
        <v>0</v>
      </c>
      <c r="H31" s="211">
        <v>0</v>
      </c>
      <c r="I31" s="560">
        <v>5.2999999999999999E-2</v>
      </c>
      <c r="J31" s="561">
        <f t="shared" si="0"/>
        <v>1444.2470000000001</v>
      </c>
      <c r="L31" s="123" t="s">
        <v>1366</v>
      </c>
    </row>
    <row r="32" spans="2:12">
      <c r="B32" s="129" t="s">
        <v>1367</v>
      </c>
      <c r="C32" s="59" t="s">
        <v>1391</v>
      </c>
      <c r="D32" s="562">
        <v>0.68899999999999995</v>
      </c>
      <c r="E32" s="211">
        <v>0</v>
      </c>
      <c r="F32" s="211">
        <v>0</v>
      </c>
      <c r="G32" s="211">
        <v>0</v>
      </c>
      <c r="H32" s="211">
        <v>0</v>
      </c>
      <c r="I32" s="560">
        <v>0.311</v>
      </c>
      <c r="J32" s="561">
        <f>D32*$J$22+E32*$J$23+G32*$J$25+F32*$J$24+H32*$J$37+I32*$J$36</f>
        <v>532.46299999999997</v>
      </c>
      <c r="L32" s="123" t="s">
        <v>1368</v>
      </c>
    </row>
    <row r="33" spans="2:12">
      <c r="B33" s="129" t="s">
        <v>1369</v>
      </c>
      <c r="C33" s="59" t="s">
        <v>1391</v>
      </c>
      <c r="D33" s="559">
        <v>0</v>
      </c>
      <c r="E33" s="211">
        <v>0</v>
      </c>
      <c r="F33" s="560">
        <v>0.44</v>
      </c>
      <c r="G33" s="211">
        <v>0</v>
      </c>
      <c r="H33" s="211">
        <v>0</v>
      </c>
      <c r="I33" s="560">
        <v>0.56000000000000005</v>
      </c>
      <c r="J33" s="561">
        <f t="shared" si="0"/>
        <v>673.68000000000006</v>
      </c>
      <c r="L33" s="123" t="s">
        <v>1356</v>
      </c>
    </row>
    <row r="34" spans="2:12">
      <c r="B34" s="129" t="s">
        <v>1370</v>
      </c>
      <c r="C34" s="59" t="s">
        <v>1391</v>
      </c>
      <c r="D34" s="557"/>
      <c r="E34" s="558"/>
      <c r="F34" s="558"/>
      <c r="G34" s="558"/>
      <c r="H34" s="558"/>
      <c r="I34" s="558"/>
      <c r="J34" s="563">
        <v>3</v>
      </c>
      <c r="L34" s="123" t="s">
        <v>1371</v>
      </c>
    </row>
    <row r="35" spans="2:12">
      <c r="B35" s="129" t="s">
        <v>584</v>
      </c>
      <c r="C35" s="59" t="s">
        <v>1391</v>
      </c>
      <c r="D35" s="557"/>
      <c r="E35" s="558"/>
      <c r="F35" s="558"/>
      <c r="G35" s="558"/>
      <c r="H35" s="558"/>
      <c r="I35" s="558"/>
      <c r="J35" s="563">
        <v>3</v>
      </c>
      <c r="L35" s="123" t="s">
        <v>1372</v>
      </c>
    </row>
    <row r="36" spans="2:12">
      <c r="B36" s="129" t="s">
        <v>1353</v>
      </c>
      <c r="C36" s="59" t="s">
        <v>1390</v>
      </c>
      <c r="D36" s="557"/>
      <c r="E36" s="558"/>
      <c r="F36" s="558"/>
      <c r="G36" s="558"/>
      <c r="H36" s="558"/>
      <c r="I36" s="558"/>
      <c r="J36" s="556">
        <v>4</v>
      </c>
      <c r="L36" s="123" t="s">
        <v>1356</v>
      </c>
    </row>
    <row r="37" spans="2:12">
      <c r="B37" s="129" t="s">
        <v>1352</v>
      </c>
      <c r="C37" s="59"/>
      <c r="D37" s="557"/>
      <c r="E37" s="558"/>
      <c r="F37" s="558"/>
      <c r="G37" s="558"/>
      <c r="H37" s="558"/>
      <c r="I37" s="558"/>
      <c r="J37" s="556">
        <v>0</v>
      </c>
      <c r="L37" s="123" t="s">
        <v>1356</v>
      </c>
    </row>
    <row r="38" spans="2:12" ht="18">
      <c r="B38" s="129" t="s">
        <v>1341</v>
      </c>
      <c r="C38" s="59" t="s">
        <v>1391</v>
      </c>
      <c r="D38" s="557"/>
      <c r="E38" s="558"/>
      <c r="F38" s="558"/>
      <c r="G38" s="558"/>
      <c r="H38" s="558"/>
      <c r="I38" s="558"/>
      <c r="J38" s="556">
        <v>1</v>
      </c>
      <c r="L38" s="568" t="s">
        <v>1342</v>
      </c>
    </row>
    <row r="39" spans="2:12" ht="18">
      <c r="B39" s="112" t="s">
        <v>1373</v>
      </c>
      <c r="C39" s="59" t="s">
        <v>1391</v>
      </c>
      <c r="D39" s="564"/>
      <c r="E39" s="565"/>
      <c r="F39" s="565"/>
      <c r="G39" s="565"/>
      <c r="H39" s="565"/>
      <c r="I39" s="565"/>
      <c r="J39" s="566">
        <v>0</v>
      </c>
      <c r="L39" s="282"/>
    </row>
    <row r="40" spans="2:12" ht="15.75" thickBot="1">
      <c r="B40" s="145"/>
      <c r="C40" s="136"/>
      <c r="D40" s="136"/>
      <c r="E40" s="136"/>
      <c r="F40" s="136"/>
      <c r="G40" s="136"/>
      <c r="H40" s="136"/>
      <c r="I40" s="136"/>
      <c r="J40" s="567"/>
      <c r="L40" s="147"/>
    </row>
  </sheetData>
  <mergeCells count="2">
    <mergeCell ref="B2:L3"/>
    <mergeCell ref="D16:I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9FB5-3A93-4437-B2FA-8D9F5D33EDBF}">
  <sheetPr codeName="Feuil11">
    <tabColor theme="0" tint="-0.14999847407452621"/>
  </sheetPr>
  <dimension ref="A1:Y1098"/>
  <sheetViews>
    <sheetView topLeftCell="B41" zoomScale="80" zoomScaleNormal="80" workbookViewId="0">
      <selection activeCell="C73" sqref="C73"/>
    </sheetView>
  </sheetViews>
  <sheetFormatPr baseColWidth="10" defaultColWidth="11.28515625" defaultRowHeight="15"/>
  <cols>
    <col min="1" max="1" width="3.28515625" style="57" customWidth="1"/>
    <col min="2" max="2" width="61.85546875" style="57" customWidth="1"/>
    <col min="3" max="3" width="67" style="57" customWidth="1"/>
    <col min="4" max="4" width="19.7109375" style="57" customWidth="1"/>
    <col min="5" max="5" width="21.28515625" style="57" customWidth="1"/>
    <col min="6" max="6" width="21.85546875" style="57" customWidth="1"/>
    <col min="7" max="7" width="24.85546875" style="57" bestFit="1" customWidth="1"/>
    <col min="8" max="8" width="26.85546875" style="57" bestFit="1" customWidth="1"/>
    <col min="9" max="9" width="23.42578125" style="57" bestFit="1" customWidth="1"/>
    <col min="10" max="10" width="20.85546875" style="57" customWidth="1"/>
    <col min="11" max="11" width="19.42578125" style="57" customWidth="1"/>
    <col min="12" max="12" width="21.28515625" style="57" customWidth="1"/>
    <col min="13" max="13" width="3" style="57" customWidth="1"/>
    <col min="14" max="14" width="27.7109375" style="57" customWidth="1"/>
    <col min="15" max="15" width="28.140625" style="57" bestFit="1" customWidth="1"/>
    <col min="16" max="16" width="23.5703125" style="57" bestFit="1" customWidth="1"/>
    <col min="17" max="17" width="27.28515625" style="57" bestFit="1" customWidth="1"/>
    <col min="18" max="18" width="1.42578125" style="57" customWidth="1"/>
    <col min="19" max="19" width="255.7109375" style="85" bestFit="1" customWidth="1"/>
    <col min="20" max="20" width="2.7109375" style="57" customWidth="1"/>
    <col min="21" max="21" width="11.28515625" style="57"/>
    <col min="22" max="22" width="2.85546875" style="57" customWidth="1"/>
    <col min="23" max="23" width="11.28515625" style="57"/>
    <col min="24" max="24" width="71.28515625" style="57" customWidth="1"/>
    <col min="25" max="34" width="11.28515625" style="57"/>
    <col min="35" max="35" width="64.42578125" style="57" customWidth="1"/>
    <col min="36" max="16384" width="11.28515625" style="57"/>
  </cols>
  <sheetData>
    <row r="1" spans="1:25" ht="15.75" thickBot="1"/>
    <row r="2" spans="1:25" ht="15" customHeight="1">
      <c r="B2" s="1281" t="s">
        <v>150</v>
      </c>
      <c r="C2" s="1282"/>
      <c r="D2" s="1282"/>
      <c r="E2" s="1282"/>
      <c r="F2" s="1282"/>
      <c r="G2" s="1282"/>
      <c r="H2" s="1282"/>
      <c r="I2" s="1282"/>
      <c r="J2" s="1282"/>
      <c r="K2" s="1282"/>
      <c r="L2" s="1282"/>
      <c r="M2" s="1282"/>
      <c r="N2" s="1282"/>
      <c r="O2" s="1282"/>
      <c r="P2" s="1282"/>
      <c r="Q2" s="1282"/>
      <c r="R2" s="1282"/>
      <c r="S2" s="1282"/>
      <c r="T2" s="1282"/>
      <c r="U2" s="1282"/>
      <c r="V2" s="1282"/>
      <c r="W2" s="1282"/>
      <c r="X2" s="1282"/>
      <c r="Y2" s="1283"/>
    </row>
    <row r="3" spans="1:25" ht="15" customHeight="1" thickBot="1">
      <c r="B3" s="1284"/>
      <c r="C3" s="1285"/>
      <c r="D3" s="1285"/>
      <c r="E3" s="1285"/>
      <c r="F3" s="1285"/>
      <c r="G3" s="1285"/>
      <c r="H3" s="1285"/>
      <c r="I3" s="1285"/>
      <c r="J3" s="1285"/>
      <c r="K3" s="1285"/>
      <c r="L3" s="1285"/>
      <c r="M3" s="1285"/>
      <c r="N3" s="1285"/>
      <c r="O3" s="1285"/>
      <c r="P3" s="1285"/>
      <c r="Q3" s="1285"/>
      <c r="R3" s="1285"/>
      <c r="S3" s="1285"/>
      <c r="T3" s="1285"/>
      <c r="U3" s="1285"/>
      <c r="V3" s="1285"/>
      <c r="W3" s="1285"/>
      <c r="X3" s="1285"/>
      <c r="Y3" s="1286"/>
    </row>
    <row r="4" spans="1:25" ht="9.75" customHeight="1"/>
    <row r="5" spans="1:25" ht="9.75" customHeight="1" thickBot="1"/>
    <row r="6" spans="1:25" ht="19.5" thickBot="1">
      <c r="A6" s="86"/>
      <c r="B6" s="543" t="s">
        <v>151</v>
      </c>
      <c r="C6" s="540"/>
      <c r="D6" s="540"/>
      <c r="E6" s="540"/>
      <c r="F6" s="540"/>
      <c r="G6" s="541" t="s">
        <v>152</v>
      </c>
      <c r="H6" s="541" t="s">
        <v>153</v>
      </c>
      <c r="I6" s="56" t="s">
        <v>154</v>
      </c>
      <c r="J6" s="56" t="s">
        <v>154</v>
      </c>
      <c r="K6" s="56" t="s">
        <v>154</v>
      </c>
      <c r="L6" s="542" t="s">
        <v>155</v>
      </c>
      <c r="M6" s="56"/>
      <c r="N6" s="56"/>
      <c r="O6" s="56"/>
      <c r="P6" s="56"/>
      <c r="Q6" s="56"/>
      <c r="R6" s="90"/>
      <c r="S6" s="539" t="s">
        <v>156</v>
      </c>
      <c r="Y6" s="91"/>
    </row>
    <row r="7" spans="1:25" ht="18">
      <c r="B7" s="92"/>
      <c r="C7" s="93"/>
      <c r="D7" s="93" t="s">
        <v>154</v>
      </c>
      <c r="E7" s="94"/>
      <c r="F7" s="95"/>
      <c r="G7" s="96" t="s">
        <v>157</v>
      </c>
      <c r="H7" s="96" t="s">
        <v>158</v>
      </c>
      <c r="I7" s="97" t="s">
        <v>159</v>
      </c>
      <c r="J7" s="97" t="s">
        <v>160</v>
      </c>
      <c r="K7" s="97" t="s">
        <v>161</v>
      </c>
      <c r="L7" s="98" t="s">
        <v>162</v>
      </c>
      <c r="M7" s="99"/>
      <c r="N7" s="100" t="s">
        <v>163</v>
      </c>
      <c r="O7" s="101"/>
      <c r="P7" s="101"/>
      <c r="Q7" s="100" t="s">
        <v>163</v>
      </c>
      <c r="S7" s="102"/>
    </row>
    <row r="8" spans="1:25" ht="18">
      <c r="B8" s="103" t="s">
        <v>164</v>
      </c>
      <c r="C8" s="104" t="s">
        <v>165</v>
      </c>
      <c r="D8" s="104" t="s">
        <v>166</v>
      </c>
      <c r="E8" s="105"/>
      <c r="F8" s="106" t="s">
        <v>167</v>
      </c>
      <c r="G8" s="107" t="s">
        <v>168</v>
      </c>
      <c r="H8" s="107" t="s">
        <v>169</v>
      </c>
      <c r="I8" s="108" t="s">
        <v>170</v>
      </c>
      <c r="J8" s="104" t="s">
        <v>171</v>
      </c>
      <c r="K8" s="104" t="s">
        <v>172</v>
      </c>
      <c r="L8" s="109" t="s">
        <v>173</v>
      </c>
      <c r="M8" s="110"/>
      <c r="N8" s="110" t="s">
        <v>174</v>
      </c>
      <c r="O8" s="110"/>
      <c r="P8" s="110"/>
      <c r="Q8" s="110" t="s">
        <v>174</v>
      </c>
      <c r="S8" s="111"/>
    </row>
    <row r="9" spans="1:25" ht="17.25">
      <c r="B9" s="112" t="str">
        <f>_xlfn.CONCAT(C9, " - ", D9)</f>
        <v>Chauffage - Gaz naturel [m3]</v>
      </c>
      <c r="C9" s="59" t="s">
        <v>175</v>
      </c>
      <c r="D9" s="113" t="s">
        <v>176</v>
      </c>
      <c r="E9" s="114"/>
      <c r="F9" s="115" t="s">
        <v>177</v>
      </c>
      <c r="G9" s="116"/>
      <c r="H9" s="116">
        <v>10.53</v>
      </c>
      <c r="I9" s="117">
        <v>1878</v>
      </c>
      <c r="J9" s="117">
        <v>3.6999999999999998E-2</v>
      </c>
      <c r="K9" s="118">
        <v>3.4000000000000002E-2</v>
      </c>
      <c r="L9" s="119">
        <f>I9*PRP!$J$8+J9*PRP!$J$9+K9*PRP!$J$10</f>
        <v>1888.3845999999999</v>
      </c>
      <c r="M9" s="120"/>
      <c r="N9" s="121"/>
      <c r="O9" s="122"/>
      <c r="P9" s="122"/>
      <c r="Q9" s="121"/>
      <c r="S9" s="123" t="s">
        <v>178</v>
      </c>
    </row>
    <row r="10" spans="1:25">
      <c r="B10" s="112" t="str">
        <f t="shared" ref="B10:B19" si="0">_xlfn.CONCAT(C10, " - ", D10)</f>
        <v>Chauffage - Propane [L]</v>
      </c>
      <c r="C10" s="59" t="s">
        <v>175</v>
      </c>
      <c r="D10" s="59" t="s">
        <v>179</v>
      </c>
      <c r="E10" s="114"/>
      <c r="F10" s="115" t="s">
        <v>77</v>
      </c>
      <c r="G10" s="116"/>
      <c r="H10" s="124">
        <v>7.03</v>
      </c>
      <c r="I10" s="125">
        <v>1515</v>
      </c>
      <c r="J10" s="59">
        <v>2.7E-2</v>
      </c>
      <c r="K10" s="126">
        <v>0.108</v>
      </c>
      <c r="L10" s="127">
        <f>I10*PRP!$J$8+J10*PRP!$J$9+K10*PRP!$J$10</f>
        <v>1545.2885999999999</v>
      </c>
      <c r="M10" s="128"/>
      <c r="N10" s="129"/>
      <c r="O10" s="130"/>
      <c r="P10" s="130"/>
      <c r="Q10" s="129"/>
      <c r="S10" s="123" t="s">
        <v>180</v>
      </c>
    </row>
    <row r="11" spans="1:25">
      <c r="B11" s="112" t="str">
        <f t="shared" si="0"/>
        <v>Chauffage - Mazout [L]</v>
      </c>
      <c r="C11" s="59" t="s">
        <v>175</v>
      </c>
      <c r="D11" s="113" t="s">
        <v>181</v>
      </c>
      <c r="E11" s="114"/>
      <c r="F11" s="115" t="s">
        <v>77</v>
      </c>
      <c r="G11" s="116"/>
      <c r="H11" s="116">
        <v>10.77</v>
      </c>
      <c r="I11" s="117">
        <v>2753</v>
      </c>
      <c r="J11" s="117">
        <v>6.0000000000000001E-3</v>
      </c>
      <c r="K11" s="118">
        <v>3.1E-2</v>
      </c>
      <c r="L11" s="127">
        <f>I11*PRP!$J$8+J11*PRP!$J$9+K11*PRP!$J$10</f>
        <v>2761.6418000000003</v>
      </c>
      <c r="M11" s="120"/>
      <c r="N11" s="121"/>
      <c r="O11" s="122"/>
      <c r="P11" s="122"/>
      <c r="Q11" s="121"/>
      <c r="S11" s="123" t="s">
        <v>182</v>
      </c>
    </row>
    <row r="12" spans="1:25">
      <c r="B12" s="112" t="str">
        <f t="shared" si="0"/>
        <v>Chauffage - Bois [kg]</v>
      </c>
      <c r="C12" s="59" t="s">
        <v>175</v>
      </c>
      <c r="D12" s="113" t="s">
        <v>183</v>
      </c>
      <c r="E12" s="114"/>
      <c r="F12" s="115" t="s">
        <v>184</v>
      </c>
      <c r="G12" s="116"/>
      <c r="H12" s="116">
        <v>5.33</v>
      </c>
      <c r="I12" s="117">
        <v>0</v>
      </c>
      <c r="J12" s="117">
        <v>0.57599999999999996</v>
      </c>
      <c r="K12" s="118">
        <v>7.6999999999999999E-2</v>
      </c>
      <c r="L12" s="127">
        <f>J12*PRP!$J$9+K12*PRP!$J$10</f>
        <v>38.1858</v>
      </c>
      <c r="M12" s="120"/>
      <c r="N12" s="121">
        <v>1799</v>
      </c>
      <c r="O12" s="122"/>
      <c r="P12" s="122"/>
      <c r="Q12" s="121">
        <v>1799</v>
      </c>
      <c r="S12" s="123" t="s">
        <v>178</v>
      </c>
    </row>
    <row r="13" spans="1:25">
      <c r="B13" s="112" t="str">
        <f t="shared" si="0"/>
        <v>Génératrice - Essence [L]</v>
      </c>
      <c r="C13" s="59" t="s">
        <v>185</v>
      </c>
      <c r="D13" s="113" t="s">
        <v>186</v>
      </c>
      <c r="E13" s="114"/>
      <c r="F13" s="115" t="s">
        <v>77</v>
      </c>
      <c r="G13" s="116"/>
      <c r="H13" s="116">
        <v>9.69</v>
      </c>
      <c r="I13" s="117">
        <f>I41</f>
        <v>2307.3000000000002</v>
      </c>
      <c r="J13" s="117">
        <f>J41</f>
        <v>0.111</v>
      </c>
      <c r="K13" s="118">
        <f>K41</f>
        <v>7.0000000000000001E-3</v>
      </c>
      <c r="L13" s="127">
        <f>I13*PRP!$J$8+J13*PRP!$J$9+K13*PRP!$J$10</f>
        <v>2312.5188000000003</v>
      </c>
      <c r="M13" s="120"/>
      <c r="N13" s="121"/>
      <c r="O13" s="122"/>
      <c r="P13" s="122"/>
      <c r="Q13" s="121"/>
      <c r="S13" s="123" t="str">
        <f>S41</f>
        <v>NIR2023, PT2, annexe A6, tableau A6.1-14, p.266</v>
      </c>
    </row>
    <row r="14" spans="1:25">
      <c r="B14" s="112" t="str">
        <f t="shared" si="0"/>
        <v>Génératrice - Diesel [L]</v>
      </c>
      <c r="C14" s="59" t="s">
        <v>185</v>
      </c>
      <c r="D14" s="113" t="s">
        <v>187</v>
      </c>
      <c r="E14" s="114"/>
      <c r="F14" s="115" t="s">
        <v>77</v>
      </c>
      <c r="G14" s="116"/>
      <c r="H14" s="116">
        <v>10.64</v>
      </c>
      <c r="I14" s="117">
        <f>I51</f>
        <v>2680.5</v>
      </c>
      <c r="J14" s="117">
        <f>J51</f>
        <v>6.8000000000000005E-2</v>
      </c>
      <c r="K14" s="118">
        <f>K51</f>
        <v>0.22</v>
      </c>
      <c r="L14" s="127">
        <f>I14*PRP!$J$8+J14*PRP!$J$9+K14*PRP!$J$10</f>
        <v>2742.5864000000001</v>
      </c>
      <c r="M14" s="120"/>
      <c r="N14" s="121"/>
      <c r="O14" s="122"/>
      <c r="P14" s="122"/>
      <c r="Q14" s="121"/>
      <c r="S14" s="123" t="str">
        <f>S51</f>
        <v>NIR2023, PT2, annexe A6, tableau A6.1-14, p.275</v>
      </c>
    </row>
    <row r="15" spans="1:25">
      <c r="B15" s="112" t="str">
        <f t="shared" si="0"/>
        <v>Génératrice - Mazout [L]</v>
      </c>
      <c r="C15" s="59" t="s">
        <v>185</v>
      </c>
      <c r="D15" s="113" t="s">
        <v>181</v>
      </c>
      <c r="E15" s="114"/>
      <c r="F15" s="115" t="s">
        <v>77</v>
      </c>
      <c r="G15" s="116"/>
      <c r="H15" s="116">
        <f>H11</f>
        <v>10.77</v>
      </c>
      <c r="I15" s="117">
        <v>2753</v>
      </c>
      <c r="J15" s="117">
        <v>0.18</v>
      </c>
      <c r="K15" s="118">
        <v>3.1E-2</v>
      </c>
      <c r="L15" s="127">
        <f>I15*PRP!$J$8+J15*PRP!$J$9+K15*PRP!$J$10</f>
        <v>2766.8270000000002</v>
      </c>
      <c r="M15" s="120"/>
      <c r="N15" s="121"/>
      <c r="O15" s="122"/>
      <c r="P15" s="122"/>
      <c r="Q15" s="121"/>
      <c r="S15" s="123" t="s">
        <v>182</v>
      </c>
    </row>
    <row r="16" spans="1:25">
      <c r="B16" s="112" t="str">
        <f t="shared" si="0"/>
        <v>Soudure - Acétylène [kg]</v>
      </c>
      <c r="C16" s="59" t="s">
        <v>188</v>
      </c>
      <c r="D16" s="113" t="s">
        <v>189</v>
      </c>
      <c r="E16" s="114"/>
      <c r="F16" s="115" t="s">
        <v>184</v>
      </c>
      <c r="G16" s="116"/>
      <c r="H16" s="116"/>
      <c r="I16" s="131">
        <f>(2*$C$1079/$C$1082)*1000</f>
        <v>3380.3671556955223</v>
      </c>
      <c r="J16" s="117"/>
      <c r="K16" s="118"/>
      <c r="L16" s="132">
        <f>I16*PRP!$J$8+J16*PRP!$J$9+K16*PRP!$J$10</f>
        <v>3380.3671556955223</v>
      </c>
      <c r="M16" s="120"/>
      <c r="N16" s="121"/>
      <c r="O16" s="122"/>
      <c r="P16" s="122"/>
      <c r="Q16" s="121"/>
      <c r="S16" s="133" t="s">
        <v>190</v>
      </c>
    </row>
    <row r="17" spans="1:25">
      <c r="B17" s="112" t="str">
        <f>_xlfn.CONCAT(C17, " - ", D17)</f>
        <v>Soudure - Argoshield [kg]</v>
      </c>
      <c r="C17" s="59" t="s">
        <v>188</v>
      </c>
      <c r="D17" s="113" t="s">
        <v>191</v>
      </c>
      <c r="E17" s="114"/>
      <c r="F17" s="115" t="s">
        <v>184</v>
      </c>
      <c r="G17" s="116"/>
      <c r="H17" s="116"/>
      <c r="I17" s="131">
        <f>0.16*E1085*1000</f>
        <v>299.20000000000005</v>
      </c>
      <c r="J17" s="117"/>
      <c r="K17" s="118"/>
      <c r="L17" s="127">
        <f>I17*PRP!$J$8+J17*PRP!$J$9+K17*PRP!$J$10</f>
        <v>299.20000000000005</v>
      </c>
      <c r="M17" s="120"/>
      <c r="N17" s="121"/>
      <c r="O17" s="122"/>
      <c r="P17" s="122"/>
      <c r="Q17" s="121"/>
      <c r="S17" s="123" t="s">
        <v>192</v>
      </c>
    </row>
    <row r="18" spans="1:25" ht="17.25">
      <c r="B18" s="112" t="str">
        <f t="shared" si="0"/>
        <v>Autre - Gaz naturel [m3]</v>
      </c>
      <c r="C18" s="59" t="s">
        <v>193</v>
      </c>
      <c r="D18" s="113" t="s">
        <v>176</v>
      </c>
      <c r="E18" s="114"/>
      <c r="F18" s="115" t="s">
        <v>177</v>
      </c>
      <c r="G18" s="116"/>
      <c r="H18" s="116">
        <f>H9</f>
        <v>10.53</v>
      </c>
      <c r="I18" s="117">
        <v>1878</v>
      </c>
      <c r="J18" s="117">
        <v>3.6999999999999998E-2</v>
      </c>
      <c r="K18" s="118">
        <v>3.4000000000000002E-2</v>
      </c>
      <c r="L18" s="127">
        <f>I18*PRP!$J$8+J18*PRP!$J$9+K18*PRP!$J$10</f>
        <v>1888.3845999999999</v>
      </c>
      <c r="M18" s="120"/>
      <c r="N18" s="121"/>
      <c r="O18" s="122"/>
      <c r="P18" s="122"/>
      <c r="Q18" s="121"/>
      <c r="S18" s="123" t="s">
        <v>178</v>
      </c>
    </row>
    <row r="19" spans="1:25">
      <c r="B19" s="112" t="str">
        <f t="shared" si="0"/>
        <v>Autre - Propane [L]</v>
      </c>
      <c r="C19" s="59" t="s">
        <v>193</v>
      </c>
      <c r="D19" s="113" t="s">
        <v>179</v>
      </c>
      <c r="E19" s="114"/>
      <c r="F19" s="115" t="s">
        <v>77</v>
      </c>
      <c r="G19" s="116"/>
      <c r="H19" s="116">
        <f>H10</f>
        <v>7.03</v>
      </c>
      <c r="I19" s="134">
        <v>1515</v>
      </c>
      <c r="J19" s="117">
        <v>2.4E-2</v>
      </c>
      <c r="K19" s="118">
        <v>0.108</v>
      </c>
      <c r="L19" s="127">
        <f>I19*PRP!$J$8+J19*PRP!$J$9+K19*PRP!$J$10</f>
        <v>1545.1992</v>
      </c>
      <c r="M19" s="120"/>
      <c r="N19" s="121"/>
      <c r="O19" s="122"/>
      <c r="P19" s="122"/>
      <c r="Q19" s="121"/>
      <c r="S19" s="123" t="s">
        <v>180</v>
      </c>
    </row>
    <row r="20" spans="1:25">
      <c r="B20" s="112" t="str">
        <f>_xlfn.CONCAT(C20, " - ", D20)</f>
        <v>Autre - Propane [kg]</v>
      </c>
      <c r="C20" s="59" t="s">
        <v>193</v>
      </c>
      <c r="D20" s="113" t="s">
        <v>194</v>
      </c>
      <c r="E20" s="114"/>
      <c r="F20" s="115" t="s">
        <v>184</v>
      </c>
      <c r="G20" s="116">
        <v>0.5</v>
      </c>
      <c r="H20" s="116">
        <f>H19/G20</f>
        <v>14.06</v>
      </c>
      <c r="I20" s="134">
        <f>I19/G20</f>
        <v>3030</v>
      </c>
      <c r="J20" s="117">
        <f>J19/G20</f>
        <v>4.8000000000000001E-2</v>
      </c>
      <c r="K20" s="118">
        <f>K19/G20</f>
        <v>0.216</v>
      </c>
      <c r="L20" s="127">
        <f>I20*PRP!$J$8+J20*PRP!$J$9+K20*PRP!$J$10</f>
        <v>3090.3984</v>
      </c>
      <c r="M20" s="120"/>
      <c r="N20" s="121"/>
      <c r="O20" s="122"/>
      <c r="P20" s="122"/>
      <c r="Q20" s="121"/>
      <c r="S20" s="123" t="s">
        <v>180</v>
      </c>
    </row>
    <row r="21" spans="1:25" ht="15.75" thickBot="1">
      <c r="B21" s="135" t="str">
        <f>_xlfn.CONCAT(C21, " - ", D21)</f>
        <v>Autre - Propane [lbs]</v>
      </c>
      <c r="C21" s="136" t="s">
        <v>193</v>
      </c>
      <c r="D21" s="62" t="s">
        <v>195</v>
      </c>
      <c r="E21" s="137"/>
      <c r="F21" s="138" t="s">
        <v>196</v>
      </c>
      <c r="G21" s="139">
        <f>0.5*2.20462</f>
        <v>1.1023099999999999</v>
      </c>
      <c r="H21" s="140">
        <f>H19/G21</f>
        <v>6.3775163066650951</v>
      </c>
      <c r="I21" s="141">
        <f>I19/G21</f>
        <v>1374.3865155899884</v>
      </c>
      <c r="J21" s="136">
        <f>J19/G21</f>
        <v>2.1772459652910709E-2</v>
      </c>
      <c r="K21" s="142">
        <f>K19/G21</f>
        <v>9.7976068438098182E-2</v>
      </c>
      <c r="L21" s="143">
        <f>I21*PRP!$J$8+J21*PRP!$J$9+K21*PRP!$J$10</f>
        <v>1401.782801571246</v>
      </c>
      <c r="M21" s="144"/>
      <c r="N21" s="145"/>
      <c r="O21" s="146"/>
      <c r="P21" s="146"/>
      <c r="Q21" s="145"/>
      <c r="S21" s="147" t="s">
        <v>180</v>
      </c>
    </row>
    <row r="22" spans="1:25" ht="15.75" thickBot="1">
      <c r="A22" s="86"/>
      <c r="S22" s="57"/>
    </row>
    <row r="23" spans="1:25" ht="19.5" thickBot="1">
      <c r="A23" s="86"/>
      <c r="B23" s="543" t="s">
        <v>197</v>
      </c>
      <c r="C23" s="540"/>
      <c r="D23" s="540"/>
      <c r="E23" s="540" t="s">
        <v>154</v>
      </c>
      <c r="F23" s="540"/>
      <c r="G23" s="541" t="s">
        <v>154</v>
      </c>
      <c r="H23" s="541"/>
      <c r="I23" s="56" t="s">
        <v>154</v>
      </c>
      <c r="J23" s="56" t="s">
        <v>154</v>
      </c>
      <c r="K23" s="56" t="s">
        <v>154</v>
      </c>
      <c r="L23" s="542" t="s">
        <v>155</v>
      </c>
      <c r="M23" s="56"/>
      <c r="N23" s="56"/>
      <c r="O23" s="56"/>
      <c r="P23" s="56"/>
      <c r="Q23" s="56"/>
      <c r="R23" s="90"/>
      <c r="S23" s="539" t="s">
        <v>156</v>
      </c>
      <c r="Y23" s="91"/>
    </row>
    <row r="24" spans="1:25">
      <c r="B24" s="92" t="s">
        <v>154</v>
      </c>
      <c r="C24" s="93"/>
      <c r="D24" s="93" t="s">
        <v>154</v>
      </c>
      <c r="E24" s="1287" t="s">
        <v>198</v>
      </c>
      <c r="F24" s="1288"/>
      <c r="G24" s="157"/>
      <c r="H24" s="156"/>
      <c r="I24" s="158"/>
      <c r="J24" s="97"/>
      <c r="K24" s="93"/>
      <c r="L24" s="98"/>
      <c r="M24" s="159"/>
      <c r="N24" s="159"/>
      <c r="O24" s="159"/>
      <c r="P24" s="159"/>
      <c r="Q24" s="159"/>
      <c r="S24" s="160" t="s">
        <v>154</v>
      </c>
    </row>
    <row r="25" spans="1:25" ht="17.25">
      <c r="B25" s="161" t="s">
        <v>199</v>
      </c>
      <c r="C25" s="162" t="s">
        <v>154</v>
      </c>
      <c r="D25" s="162" t="s">
        <v>154</v>
      </c>
      <c r="E25" s="163" t="s">
        <v>200</v>
      </c>
      <c r="F25" s="163" t="s">
        <v>201</v>
      </c>
      <c r="G25" s="162" t="s">
        <v>154</v>
      </c>
      <c r="H25" s="163"/>
      <c r="I25" s="164"/>
      <c r="J25" s="163"/>
      <c r="K25" s="162"/>
      <c r="L25" s="109"/>
      <c r="M25" s="159"/>
      <c r="N25" s="159"/>
      <c r="O25" s="159"/>
      <c r="P25" s="159"/>
      <c r="Q25" s="159"/>
      <c r="S25" s="165" t="s">
        <v>154</v>
      </c>
    </row>
    <row r="26" spans="1:25">
      <c r="B26" s="166" t="s">
        <v>202</v>
      </c>
      <c r="C26" s="117"/>
      <c r="D26" s="167"/>
      <c r="E26" s="168">
        <v>1.1399999999999999</v>
      </c>
      <c r="F26" s="168">
        <f t="shared" ref="F26:F36" si="1">$C$1071*E26</f>
        <v>316.66919999999993</v>
      </c>
      <c r="G26" s="167"/>
      <c r="H26" s="169"/>
      <c r="I26" s="170"/>
      <c r="J26" s="167"/>
      <c r="K26" s="167"/>
      <c r="L26" s="127"/>
      <c r="M26" s="171"/>
      <c r="N26" s="171"/>
      <c r="O26" s="171"/>
      <c r="P26" s="171"/>
      <c r="Q26" s="171"/>
      <c r="S26" s="133" t="s">
        <v>203</v>
      </c>
    </row>
    <row r="27" spans="1:25">
      <c r="B27" s="172" t="s">
        <v>204</v>
      </c>
      <c r="C27" s="173"/>
      <c r="D27" s="174"/>
      <c r="E27" s="168">
        <v>2.4500000000000002</v>
      </c>
      <c r="F27" s="168">
        <f t="shared" si="1"/>
        <v>680.56100000000004</v>
      </c>
      <c r="G27" s="174"/>
      <c r="H27" s="169"/>
      <c r="I27" s="175"/>
      <c r="J27" s="174"/>
      <c r="K27" s="174"/>
      <c r="L27" s="176"/>
      <c r="M27" s="171"/>
      <c r="N27" s="171"/>
      <c r="O27" s="171"/>
      <c r="P27" s="171"/>
      <c r="Q27" s="171"/>
      <c r="S27" s="133" t="s">
        <v>203</v>
      </c>
    </row>
    <row r="28" spans="1:25">
      <c r="B28" s="172" t="s">
        <v>205</v>
      </c>
      <c r="C28" s="173"/>
      <c r="D28" s="174"/>
      <c r="E28" s="168">
        <v>1.3</v>
      </c>
      <c r="F28" s="168">
        <f t="shared" si="1"/>
        <v>361.11399999999998</v>
      </c>
      <c r="G28" s="174"/>
      <c r="H28" s="169"/>
      <c r="I28" s="175"/>
      <c r="J28" s="174"/>
      <c r="K28" s="174"/>
      <c r="L28" s="176"/>
      <c r="M28" s="171"/>
      <c r="N28" s="171"/>
      <c r="O28" s="171"/>
      <c r="P28" s="171"/>
      <c r="Q28" s="171"/>
      <c r="S28" s="133" t="s">
        <v>203</v>
      </c>
    </row>
    <row r="29" spans="1:25">
      <c r="B29" s="172" t="s">
        <v>206</v>
      </c>
      <c r="C29" s="173"/>
      <c r="D29" s="174"/>
      <c r="E29" s="168">
        <v>1.28</v>
      </c>
      <c r="F29" s="168">
        <f t="shared" si="1"/>
        <v>355.55839999999995</v>
      </c>
      <c r="G29" s="174"/>
      <c r="H29" s="169"/>
      <c r="I29" s="175"/>
      <c r="J29" s="174"/>
      <c r="K29" s="174"/>
      <c r="L29" s="176"/>
      <c r="M29" s="171"/>
      <c r="N29" s="171"/>
      <c r="O29" s="171"/>
      <c r="P29" s="171"/>
      <c r="Q29" s="171"/>
      <c r="S29" s="133" t="s">
        <v>203</v>
      </c>
    </row>
    <row r="30" spans="1:25">
      <c r="B30" s="172" t="s">
        <v>207</v>
      </c>
      <c r="C30" s="173"/>
      <c r="D30" s="174"/>
      <c r="E30" s="168">
        <v>1.1200000000000001</v>
      </c>
      <c r="F30" s="168">
        <f t="shared" si="1"/>
        <v>311.11360000000002</v>
      </c>
      <c r="G30" s="174"/>
      <c r="H30" s="169"/>
      <c r="I30" s="175"/>
      <c r="J30" s="174"/>
      <c r="K30" s="174"/>
      <c r="L30" s="176"/>
      <c r="M30" s="171"/>
      <c r="N30" s="171"/>
      <c r="O30" s="171"/>
      <c r="P30" s="171"/>
      <c r="Q30" s="171"/>
      <c r="S30" s="133" t="s">
        <v>203</v>
      </c>
    </row>
    <row r="31" spans="1:25">
      <c r="B31" s="172" t="s">
        <v>208</v>
      </c>
      <c r="C31" s="173"/>
      <c r="D31" s="174"/>
      <c r="E31" s="168">
        <v>1.88</v>
      </c>
      <c r="F31" s="168">
        <f t="shared" si="1"/>
        <v>522.2263999999999</v>
      </c>
      <c r="G31" s="174"/>
      <c r="H31" s="169"/>
      <c r="I31" s="175"/>
      <c r="J31" s="174"/>
      <c r="K31" s="174"/>
      <c r="L31" s="176"/>
      <c r="M31" s="171"/>
      <c r="N31" s="171"/>
      <c r="O31" s="171"/>
      <c r="P31" s="171"/>
      <c r="Q31" s="171"/>
      <c r="S31" s="133" t="s">
        <v>203</v>
      </c>
    </row>
    <row r="32" spans="1:25">
      <c r="B32" s="172" t="s">
        <v>209</v>
      </c>
      <c r="C32" s="173"/>
      <c r="D32" s="174"/>
      <c r="E32" s="168">
        <v>1.1200000000000001</v>
      </c>
      <c r="F32" s="168">
        <f t="shared" si="1"/>
        <v>311.11360000000002</v>
      </c>
      <c r="G32" s="174"/>
      <c r="H32" s="169"/>
      <c r="I32" s="175"/>
      <c r="J32" s="174"/>
      <c r="K32" s="174"/>
      <c r="L32" s="176"/>
      <c r="M32" s="171"/>
      <c r="N32" s="171"/>
      <c r="O32" s="171"/>
      <c r="P32" s="171"/>
      <c r="Q32" s="171"/>
      <c r="S32" s="133" t="s">
        <v>203</v>
      </c>
    </row>
    <row r="33" spans="1:25">
      <c r="B33" s="172" t="s">
        <v>210</v>
      </c>
      <c r="C33" s="173"/>
      <c r="D33" s="174"/>
      <c r="E33" s="168">
        <v>0.88</v>
      </c>
      <c r="F33" s="168">
        <f t="shared" si="1"/>
        <v>244.44639999999998</v>
      </c>
      <c r="G33" s="174"/>
      <c r="H33" s="169"/>
      <c r="I33" s="175"/>
      <c r="J33" s="174"/>
      <c r="K33" s="174"/>
      <c r="L33" s="176"/>
      <c r="M33" s="171"/>
      <c r="N33" s="171"/>
      <c r="O33" s="171"/>
      <c r="P33" s="171"/>
      <c r="Q33" s="171"/>
      <c r="S33" s="133" t="s">
        <v>203</v>
      </c>
    </row>
    <row r="34" spans="1:25">
      <c r="B34" s="172" t="s">
        <v>211</v>
      </c>
      <c r="C34" s="173"/>
      <c r="D34" s="174"/>
      <c r="E34" s="168">
        <v>1.24</v>
      </c>
      <c r="F34" s="168">
        <f t="shared" si="1"/>
        <v>344.44719999999995</v>
      </c>
      <c r="G34" s="174"/>
      <c r="H34" s="169"/>
      <c r="I34" s="175"/>
      <c r="J34" s="174"/>
      <c r="K34" s="174"/>
      <c r="L34" s="176"/>
      <c r="M34" s="171"/>
      <c r="N34" s="171"/>
      <c r="O34" s="171"/>
      <c r="P34" s="171"/>
      <c r="Q34" s="171"/>
      <c r="S34" s="133" t="s">
        <v>203</v>
      </c>
    </row>
    <row r="35" spans="1:25">
      <c r="B35" s="177" t="s">
        <v>212</v>
      </c>
      <c r="C35" s="178"/>
      <c r="D35" s="179"/>
      <c r="E35" s="180">
        <v>0.82</v>
      </c>
      <c r="F35" s="180">
        <f t="shared" si="1"/>
        <v>227.77959999999996</v>
      </c>
      <c r="G35" s="179"/>
      <c r="H35" s="181"/>
      <c r="I35" s="182"/>
      <c r="J35" s="179"/>
      <c r="K35" s="179"/>
      <c r="L35" s="183"/>
      <c r="M35" s="171"/>
      <c r="N35" s="171"/>
      <c r="O35" s="171"/>
      <c r="P35" s="171"/>
      <c r="Q35" s="171"/>
      <c r="S35" s="133" t="s">
        <v>203</v>
      </c>
    </row>
    <row r="36" spans="1:25" ht="15.75" thickBot="1">
      <c r="B36" s="184" t="s">
        <v>213</v>
      </c>
      <c r="C36" s="185"/>
      <c r="D36" s="186"/>
      <c r="E36" s="187">
        <v>1.19</v>
      </c>
      <c r="F36" s="187">
        <f t="shared" si="1"/>
        <v>330.55819999999994</v>
      </c>
      <c r="G36" s="186"/>
      <c r="H36" s="188"/>
      <c r="I36" s="189"/>
      <c r="J36" s="186"/>
      <c r="K36" s="186"/>
      <c r="L36" s="143"/>
      <c r="M36" s="171"/>
      <c r="N36" s="171"/>
      <c r="O36" s="171"/>
      <c r="P36" s="171"/>
      <c r="Q36" s="171"/>
      <c r="S36" s="190" t="s">
        <v>203</v>
      </c>
    </row>
    <row r="37" spans="1:25" ht="15.75" thickBot="1">
      <c r="A37" s="86"/>
      <c r="S37" s="57"/>
    </row>
    <row r="38" spans="1:25" ht="19.5" thickBot="1">
      <c r="A38" s="86"/>
      <c r="B38" s="543" t="s">
        <v>214</v>
      </c>
      <c r="C38" s="540"/>
      <c r="D38" s="540"/>
      <c r="E38" s="540"/>
      <c r="F38" s="540"/>
      <c r="G38" s="541" t="s">
        <v>152</v>
      </c>
      <c r="H38" s="541" t="s">
        <v>153</v>
      </c>
      <c r="I38" s="56"/>
      <c r="J38" s="56"/>
      <c r="K38" s="56"/>
      <c r="L38" s="542" t="s">
        <v>155</v>
      </c>
      <c r="M38" s="56"/>
      <c r="N38" s="56"/>
      <c r="O38" s="56"/>
      <c r="P38" s="56"/>
      <c r="Q38" s="56"/>
      <c r="R38" s="90"/>
      <c r="S38" s="539" t="s">
        <v>156</v>
      </c>
      <c r="Y38" s="91"/>
    </row>
    <row r="39" spans="1:25" ht="16.5">
      <c r="B39" s="191"/>
      <c r="C39" s="192"/>
      <c r="D39" s="192"/>
      <c r="E39" s="192"/>
      <c r="F39" s="156"/>
      <c r="G39" s="96" t="s">
        <v>157</v>
      </c>
      <c r="H39" s="96" t="s">
        <v>158</v>
      </c>
      <c r="I39" s="192" t="s">
        <v>215</v>
      </c>
      <c r="J39" s="192" t="s">
        <v>216</v>
      </c>
      <c r="K39" s="192" t="s">
        <v>217</v>
      </c>
      <c r="L39" s="98" t="s">
        <v>162</v>
      </c>
      <c r="M39" s="159"/>
      <c r="N39" s="159"/>
      <c r="O39" s="159"/>
      <c r="P39" s="159"/>
      <c r="Q39" s="159"/>
      <c r="S39" s="193"/>
    </row>
    <row r="40" spans="1:25" ht="18">
      <c r="B40" s="103" t="s">
        <v>218</v>
      </c>
      <c r="C40" s="104" t="s">
        <v>165</v>
      </c>
      <c r="D40" s="104" t="s">
        <v>219</v>
      </c>
      <c r="E40" s="104" t="s">
        <v>166</v>
      </c>
      <c r="F40" s="106" t="s">
        <v>167</v>
      </c>
      <c r="G40" s="107" t="s">
        <v>220</v>
      </c>
      <c r="H40" s="107" t="s">
        <v>113</v>
      </c>
      <c r="I40" s="104" t="s">
        <v>221</v>
      </c>
      <c r="J40" s="104" t="s">
        <v>222</v>
      </c>
      <c r="K40" s="104" t="s">
        <v>223</v>
      </c>
      <c r="L40" s="109" t="s">
        <v>224</v>
      </c>
      <c r="M40" s="159"/>
      <c r="N40" s="159"/>
      <c r="O40" s="159"/>
      <c r="P40" s="159"/>
      <c r="Q40" s="159"/>
      <c r="S40" s="194"/>
    </row>
    <row r="41" spans="1:25">
      <c r="B41" s="129" t="str">
        <f>_xlfn.CONCAT(C41, " ", D41," - ", E41)</f>
        <v>Voiture légère - Essence [L]</v>
      </c>
      <c r="C41" s="195" t="s">
        <v>225</v>
      </c>
      <c r="D41" s="195" t="s">
        <v>226</v>
      </c>
      <c r="E41" s="195" t="s">
        <v>186</v>
      </c>
      <c r="F41" s="196" t="s">
        <v>77</v>
      </c>
      <c r="G41" s="116"/>
      <c r="H41" s="116">
        <f>$H$13</f>
        <v>9.69</v>
      </c>
      <c r="I41" s="195">
        <v>2307.3000000000002</v>
      </c>
      <c r="J41" s="59">
        <v>0.111</v>
      </c>
      <c r="K41" s="126">
        <v>7.0000000000000001E-3</v>
      </c>
      <c r="L41" s="119">
        <f>I41*PRP!$J$8+J41*PRP!$J$9+K41*PRP!$J$10</f>
        <v>2312.5188000000003</v>
      </c>
      <c r="M41" s="171"/>
      <c r="N41" s="171"/>
      <c r="O41" s="171"/>
      <c r="P41" s="171"/>
      <c r="Q41" s="171"/>
      <c r="S41" s="123" t="s">
        <v>227</v>
      </c>
    </row>
    <row r="42" spans="1:25">
      <c r="B42" s="129" t="str">
        <f>_xlfn.CONCAT(C42, " ", D42," - ", E42)</f>
        <v>Camion léger - Essence [L]</v>
      </c>
      <c r="C42" s="59" t="s">
        <v>228</v>
      </c>
      <c r="D42" s="59" t="s">
        <v>229</v>
      </c>
      <c r="E42" s="59" t="s">
        <v>186</v>
      </c>
      <c r="F42" s="196" t="s">
        <v>77</v>
      </c>
      <c r="G42" s="124"/>
      <c r="H42" s="124">
        <f>H41</f>
        <v>9.69</v>
      </c>
      <c r="I42" s="59">
        <v>2307.3000000000002</v>
      </c>
      <c r="J42" s="59">
        <v>0.111</v>
      </c>
      <c r="K42" s="126">
        <v>7.0000000000000001E-3</v>
      </c>
      <c r="L42" s="127">
        <f>I42*PRP!$J$8+J42*PRP!$J$9+K42*PRP!$J$10</f>
        <v>2312.5188000000003</v>
      </c>
      <c r="M42" s="171"/>
      <c r="N42" s="171"/>
      <c r="O42" s="171"/>
      <c r="P42" s="171"/>
      <c r="Q42" s="171"/>
      <c r="S42" s="123" t="s">
        <v>227</v>
      </c>
    </row>
    <row r="43" spans="1:25">
      <c r="B43" s="129" t="str">
        <f t="shared" ref="B43:B59" si="2">_xlfn.CONCAT(C43, " ", D43," - ", E43)</f>
        <v>Camion lourd - Essence [L]</v>
      </c>
      <c r="C43" s="59" t="s">
        <v>228</v>
      </c>
      <c r="D43" s="59" t="s">
        <v>230</v>
      </c>
      <c r="E43" s="59" t="s">
        <v>186</v>
      </c>
      <c r="F43" s="196" t="s">
        <v>77</v>
      </c>
      <c r="G43" s="116"/>
      <c r="H43" s="116">
        <f>H41</f>
        <v>9.69</v>
      </c>
      <c r="I43" s="59">
        <v>2307.3000000000002</v>
      </c>
      <c r="J43" s="59">
        <v>6.8000000000000005E-2</v>
      </c>
      <c r="K43" s="126">
        <v>0.2</v>
      </c>
      <c r="L43" s="127">
        <f>I43*PRP!$J$8+J43*PRP!$J$9+K43*PRP!$J$10</f>
        <v>2363.9264000000003</v>
      </c>
      <c r="M43" s="171"/>
      <c r="N43" s="171"/>
      <c r="O43" s="171"/>
      <c r="P43" s="171"/>
      <c r="Q43" s="171"/>
      <c r="S43" s="123" t="s">
        <v>231</v>
      </c>
    </row>
    <row r="44" spans="1:25">
      <c r="B44" s="129" t="str">
        <f t="shared" si="2"/>
        <v>Motocyclette  - Essence [L]</v>
      </c>
      <c r="C44" s="59" t="s">
        <v>232</v>
      </c>
      <c r="D44" s="59"/>
      <c r="E44" s="59" t="s">
        <v>186</v>
      </c>
      <c r="F44" s="196" t="s">
        <v>77</v>
      </c>
      <c r="G44" s="116"/>
      <c r="H44" s="116">
        <f>H41</f>
        <v>9.69</v>
      </c>
      <c r="I44" s="59">
        <v>2307.3000000000002</v>
      </c>
      <c r="J44" s="59">
        <v>0.77</v>
      </c>
      <c r="K44" s="126">
        <v>4.1000000000000002E-2</v>
      </c>
      <c r="L44" s="127">
        <f>I44*PRP!$J$8+J44*PRP!$J$9+K44*PRP!$J$10</f>
        <v>2341.4390000000003</v>
      </c>
      <c r="M44" s="171"/>
      <c r="N44" s="171"/>
      <c r="O44" s="171"/>
      <c r="P44" s="171"/>
      <c r="Q44" s="171"/>
      <c r="S44" s="123" t="s">
        <v>233</v>
      </c>
    </row>
    <row r="45" spans="1:25">
      <c r="B45" s="129" t="str">
        <f t="shared" si="2"/>
        <v>Hors route 2 temps - Essence [L]</v>
      </c>
      <c r="C45" s="59" t="s">
        <v>234</v>
      </c>
      <c r="D45" s="59" t="s">
        <v>235</v>
      </c>
      <c r="E45" s="59" t="s">
        <v>186</v>
      </c>
      <c r="F45" s="196" t="s">
        <v>77</v>
      </c>
      <c r="G45" s="116"/>
      <c r="H45" s="116">
        <f>H41</f>
        <v>9.69</v>
      </c>
      <c r="I45" s="59">
        <v>2307.3000000000002</v>
      </c>
      <c r="J45" s="59">
        <v>10.61</v>
      </c>
      <c r="K45" s="126">
        <v>1.2999999999999999E-2</v>
      </c>
      <c r="L45" s="127">
        <f>I45*PRP!$J$8+J45*PRP!$J$9+K45*PRP!$J$10</f>
        <v>2627.027</v>
      </c>
      <c r="M45" s="171"/>
      <c r="N45" s="171"/>
      <c r="O45" s="171"/>
      <c r="P45" s="171"/>
      <c r="Q45" s="171"/>
      <c r="S45" s="123" t="s">
        <v>236</v>
      </c>
    </row>
    <row r="46" spans="1:25">
      <c r="B46" s="129" t="str">
        <f t="shared" si="2"/>
        <v>Hors route 4 temps - Essence [L]</v>
      </c>
      <c r="C46" s="59" t="s">
        <v>234</v>
      </c>
      <c r="D46" s="59" t="s">
        <v>237</v>
      </c>
      <c r="E46" s="59" t="s">
        <v>186</v>
      </c>
      <c r="F46" s="196" t="s">
        <v>77</v>
      </c>
      <c r="G46" s="116"/>
      <c r="H46" s="116">
        <f>H41</f>
        <v>9.69</v>
      </c>
      <c r="I46" s="59">
        <v>2307.3000000000002</v>
      </c>
      <c r="J46" s="59">
        <v>5.08</v>
      </c>
      <c r="K46" s="126">
        <v>6.4000000000000001E-2</v>
      </c>
      <c r="L46" s="127">
        <f>I46*PRP!$J$8+J46*PRP!$J$9+K46*PRP!$J$10</f>
        <v>2476.1560000000004</v>
      </c>
      <c r="M46" s="171"/>
      <c r="N46" s="171"/>
      <c r="O46" s="171"/>
      <c r="P46" s="171"/>
      <c r="Q46" s="171"/>
      <c r="S46" s="123" t="s">
        <v>238</v>
      </c>
    </row>
    <row r="47" spans="1:25">
      <c r="B47" s="129" t="str">
        <f t="shared" si="2"/>
        <v>Bateau  - Essence [L]</v>
      </c>
      <c r="C47" s="59" t="s">
        <v>239</v>
      </c>
      <c r="D47" s="59"/>
      <c r="E47" s="59" t="s">
        <v>186</v>
      </c>
      <c r="F47" s="196" t="s">
        <v>77</v>
      </c>
      <c r="G47" s="116"/>
      <c r="H47" s="116">
        <f>$H$41</f>
        <v>9.69</v>
      </c>
      <c r="I47" s="59">
        <v>2307.3000000000002</v>
      </c>
      <c r="J47" s="59">
        <v>0.21931</v>
      </c>
      <c r="K47" s="126">
        <v>6.2659999999999993E-2</v>
      </c>
      <c r="L47" s="127">
        <f>I47*PRP!$J$8+J47*PRP!$J$9+K47*PRP!$J$10</f>
        <v>2330.9416180000003</v>
      </c>
      <c r="M47" s="171"/>
      <c r="N47" s="171"/>
      <c r="O47" s="171"/>
      <c r="P47" s="171"/>
      <c r="Q47" s="171"/>
      <c r="S47" s="123" t="s">
        <v>240</v>
      </c>
    </row>
    <row r="48" spans="1:25">
      <c r="B48" s="129" t="str">
        <f t="shared" si="2"/>
        <v>Bateau  - Diesel [L]</v>
      </c>
      <c r="C48" s="59" t="s">
        <v>239</v>
      </c>
      <c r="D48" s="59"/>
      <c r="E48" s="59" t="s">
        <v>187</v>
      </c>
      <c r="F48" s="196" t="s">
        <v>77</v>
      </c>
      <c r="G48" s="116"/>
      <c r="H48" s="116">
        <f>$H$14</f>
        <v>10.64</v>
      </c>
      <c r="I48" s="59">
        <v>2680.5</v>
      </c>
      <c r="J48" s="59">
        <v>0.25192999999999999</v>
      </c>
      <c r="K48" s="126">
        <v>7.1980000000000002E-2</v>
      </c>
      <c r="L48" s="127">
        <f>I48*PRP!$J$8+J48*PRP!$J$9+K48*PRP!$J$10</f>
        <v>2707.658054</v>
      </c>
      <c r="M48" s="171"/>
      <c r="N48" s="171"/>
      <c r="O48" s="171"/>
      <c r="P48" s="171"/>
      <c r="Q48" s="171"/>
      <c r="S48" s="123" t="s">
        <v>241</v>
      </c>
    </row>
    <row r="49" spans="1:25">
      <c r="B49" s="129" t="str">
        <f t="shared" si="2"/>
        <v>Bateau Cargo - Mazout [L]</v>
      </c>
      <c r="C49" s="59" t="s">
        <v>239</v>
      </c>
      <c r="D49" s="59" t="s">
        <v>242</v>
      </c>
      <c r="E49" s="59" t="s">
        <v>181</v>
      </c>
      <c r="F49" s="196" t="s">
        <v>77</v>
      </c>
      <c r="G49" s="116"/>
      <c r="H49" s="116">
        <f>H11</f>
        <v>10.77</v>
      </c>
      <c r="I49" s="59">
        <v>3156</v>
      </c>
      <c r="J49" s="59">
        <v>0.28560000000000002</v>
      </c>
      <c r="K49" s="126">
        <v>8.1600000000000006E-2</v>
      </c>
      <c r="L49" s="127">
        <f>I49*PRP!$J$8+J49*PRP!$J$9+K49*PRP!$J$10</f>
        <v>3186.7876799999999</v>
      </c>
      <c r="M49" s="171"/>
      <c r="N49" s="171"/>
      <c r="O49" s="171"/>
      <c r="P49" s="171"/>
      <c r="Q49" s="171"/>
      <c r="S49" s="123" t="s">
        <v>243</v>
      </c>
    </row>
    <row r="50" spans="1:25">
      <c r="B50" s="129" t="str">
        <f t="shared" si="2"/>
        <v>Voiture légère - Diesel [L]</v>
      </c>
      <c r="C50" s="59" t="s">
        <v>225</v>
      </c>
      <c r="D50" s="59" t="s">
        <v>226</v>
      </c>
      <c r="E50" s="59" t="s">
        <v>187</v>
      </c>
      <c r="F50" s="196" t="s">
        <v>77</v>
      </c>
      <c r="G50" s="116"/>
      <c r="H50" s="116">
        <f>H48</f>
        <v>10.64</v>
      </c>
      <c r="I50" s="59">
        <v>2680.5</v>
      </c>
      <c r="J50" s="59">
        <v>5.0999999999999997E-2</v>
      </c>
      <c r="K50" s="126">
        <v>0.22</v>
      </c>
      <c r="L50" s="127">
        <f>I50*PRP!$J$8+J50*PRP!$J$9+K50*PRP!$J$10</f>
        <v>2742.0798</v>
      </c>
      <c r="M50" s="171"/>
      <c r="N50" s="171"/>
      <c r="O50" s="171"/>
      <c r="P50" s="171"/>
      <c r="Q50" s="171"/>
      <c r="S50" s="123" t="s">
        <v>244</v>
      </c>
    </row>
    <row r="51" spans="1:25">
      <c r="B51" s="129" t="str">
        <f t="shared" si="2"/>
        <v>Camion léger - Diesel [L]</v>
      </c>
      <c r="C51" s="59" t="s">
        <v>228</v>
      </c>
      <c r="D51" s="59" t="s">
        <v>229</v>
      </c>
      <c r="E51" s="59" t="s">
        <v>187</v>
      </c>
      <c r="F51" s="196" t="s">
        <v>77</v>
      </c>
      <c r="G51" s="116"/>
      <c r="H51" s="116">
        <f>H48</f>
        <v>10.64</v>
      </c>
      <c r="I51" s="59">
        <v>2680.5</v>
      </c>
      <c r="J51" s="59">
        <v>6.8000000000000005E-2</v>
      </c>
      <c r="K51" s="126">
        <v>0.22</v>
      </c>
      <c r="L51" s="127">
        <f>I51*PRP!$J$8+J51*PRP!$J$9+K51*PRP!$J$10</f>
        <v>2742.5864000000001</v>
      </c>
      <c r="M51" s="171"/>
      <c r="N51" s="171"/>
      <c r="O51" s="171"/>
      <c r="P51" s="171"/>
      <c r="Q51" s="171"/>
      <c r="S51" s="123" t="s">
        <v>245</v>
      </c>
    </row>
    <row r="52" spans="1:25">
      <c r="B52" s="129" t="str">
        <f t="shared" si="2"/>
        <v>Camion lourd - Diesel [L]</v>
      </c>
      <c r="C52" s="59" t="s">
        <v>228</v>
      </c>
      <c r="D52" s="59" t="s">
        <v>230</v>
      </c>
      <c r="E52" s="59" t="s">
        <v>187</v>
      </c>
      <c r="F52" s="196" t="s">
        <v>77</v>
      </c>
      <c r="G52" s="116"/>
      <c r="H52" s="116">
        <f>H48</f>
        <v>10.64</v>
      </c>
      <c r="I52" s="59">
        <v>2680.5</v>
      </c>
      <c r="J52" s="59">
        <v>0.11</v>
      </c>
      <c r="K52" s="126">
        <v>0.151</v>
      </c>
      <c r="L52" s="127">
        <f>I52*PRP!$J$8+J52*PRP!$J$9+K52*PRP!$J$10</f>
        <v>2725.0009999999997</v>
      </c>
      <c r="M52" s="171"/>
      <c r="N52" s="171"/>
      <c r="O52" s="171"/>
      <c r="P52" s="171"/>
      <c r="Q52" s="171"/>
      <c r="S52" s="123" t="s">
        <v>246</v>
      </c>
    </row>
    <row r="53" spans="1:25">
      <c r="B53" s="129" t="str">
        <f t="shared" si="2"/>
        <v>Train  - Diesel [L]</v>
      </c>
      <c r="C53" s="59" t="s">
        <v>247</v>
      </c>
      <c r="D53" s="59"/>
      <c r="E53" s="59" t="s">
        <v>187</v>
      </c>
      <c r="F53" s="196" t="s">
        <v>77</v>
      </c>
      <c r="G53" s="116"/>
      <c r="H53" s="116">
        <f>H50</f>
        <v>10.64</v>
      </c>
      <c r="I53" s="59">
        <v>2680.5</v>
      </c>
      <c r="J53" s="59">
        <v>0.14899999999999999</v>
      </c>
      <c r="K53" s="126">
        <v>1.0289999999999999</v>
      </c>
      <c r="L53" s="127">
        <f>I53*PRP!$J$8+J53*PRP!$J$9+K53*PRP!$J$10</f>
        <v>2965.8571999999999</v>
      </c>
      <c r="M53" s="171"/>
      <c r="N53" s="171"/>
      <c r="O53" s="171"/>
      <c r="P53" s="171"/>
      <c r="Q53" s="171"/>
      <c r="S53" s="123" t="s">
        <v>248</v>
      </c>
    </row>
    <row r="54" spans="1:25">
      <c r="B54" s="129" t="str">
        <f t="shared" si="2"/>
        <v>Véhicule  - Propane [L]</v>
      </c>
      <c r="C54" s="59" t="s">
        <v>25</v>
      </c>
      <c r="D54" s="59"/>
      <c r="E54" s="59" t="s">
        <v>179</v>
      </c>
      <c r="F54" s="196" t="s">
        <v>77</v>
      </c>
      <c r="G54" s="116"/>
      <c r="H54" s="116">
        <f>H10</f>
        <v>7.03</v>
      </c>
      <c r="I54" s="59">
        <v>1515</v>
      </c>
      <c r="J54" s="59">
        <v>0.64</v>
      </c>
      <c r="K54" s="126">
        <v>2.8000000000000001E-2</v>
      </c>
      <c r="L54" s="127">
        <f>I54*PRP!$J$8+J54*PRP!$J$9+K54*PRP!$J$10</f>
        <v>1541.7159999999999</v>
      </c>
      <c r="M54" s="171"/>
      <c r="N54" s="171"/>
      <c r="O54" s="171"/>
      <c r="P54" s="171"/>
      <c r="Q54" s="171"/>
      <c r="S54" s="123" t="s">
        <v>249</v>
      </c>
    </row>
    <row r="55" spans="1:25">
      <c r="B55" s="129" t="str">
        <f t="shared" si="2"/>
        <v>Véhicule  - Propane [kg]</v>
      </c>
      <c r="C55" s="59" t="s">
        <v>25</v>
      </c>
      <c r="D55" s="59"/>
      <c r="E55" s="59" t="s">
        <v>194</v>
      </c>
      <c r="F55" s="196" t="s">
        <v>184</v>
      </c>
      <c r="G55" s="116">
        <v>0.5</v>
      </c>
      <c r="H55" s="116">
        <f>H54/G55</f>
        <v>14.06</v>
      </c>
      <c r="I55" s="59">
        <f>I54/G55</f>
        <v>3030</v>
      </c>
      <c r="J55" s="59">
        <f>J54/G55</f>
        <v>1.28</v>
      </c>
      <c r="K55" s="126">
        <f>K54/G55</f>
        <v>5.6000000000000001E-2</v>
      </c>
      <c r="L55" s="127">
        <f>I55*PRP!$J$8+J55*PRP!$J$9+K55*PRP!$J$10</f>
        <v>3083.4319999999998</v>
      </c>
      <c r="M55" s="171"/>
      <c r="N55" s="171"/>
      <c r="O55" s="171"/>
      <c r="P55" s="171"/>
      <c r="Q55" s="171"/>
      <c r="S55" s="123" t="s">
        <v>249</v>
      </c>
    </row>
    <row r="56" spans="1:25">
      <c r="B56" s="129" t="str">
        <f>_xlfn.CONCAT(C56, " ", D56," - ", E56)</f>
        <v>Véhicule  - Propane [lbs]</v>
      </c>
      <c r="C56" s="59" t="s">
        <v>25</v>
      </c>
      <c r="D56" s="59"/>
      <c r="E56" s="59" t="s">
        <v>195</v>
      </c>
      <c r="F56" s="196" t="s">
        <v>196</v>
      </c>
      <c r="G56" s="116">
        <f>0.5*2.20462</f>
        <v>1.1023099999999999</v>
      </c>
      <c r="H56" s="116">
        <f>H54/G56</f>
        <v>6.3775163066650951</v>
      </c>
      <c r="I56" s="59">
        <f>I54/G56</f>
        <v>1374.3865155899884</v>
      </c>
      <c r="J56" s="59">
        <f>J54/G56</f>
        <v>0.58059892407761893</v>
      </c>
      <c r="K56" s="126">
        <f>K54/G56</f>
        <v>2.5401202928395827E-2</v>
      </c>
      <c r="L56" s="127">
        <f>I56*PRP!$J$8+J56*PRP!$J$9+K56*PRP!$J$10</f>
        <v>1398.6228919269536</v>
      </c>
      <c r="M56" s="171"/>
      <c r="N56" s="171"/>
      <c r="O56" s="171"/>
      <c r="P56" s="171"/>
      <c r="Q56" s="171"/>
      <c r="S56" s="123" t="s">
        <v>249</v>
      </c>
    </row>
    <row r="57" spans="1:25">
      <c r="B57" s="197" t="str">
        <f t="shared" si="2"/>
        <v>Véhicule  - Électrique [kWh]</v>
      </c>
      <c r="C57" s="198" t="s">
        <v>25</v>
      </c>
      <c r="D57" s="198"/>
      <c r="E57" s="198" t="s">
        <v>250</v>
      </c>
      <c r="F57" s="199" t="s">
        <v>251</v>
      </c>
      <c r="G57" s="200"/>
      <c r="H57" s="200">
        <v>1</v>
      </c>
      <c r="I57" s="198">
        <f>I385</f>
        <v>1.3</v>
      </c>
      <c r="J57" s="198">
        <v>0</v>
      </c>
      <c r="K57" s="201">
        <v>0</v>
      </c>
      <c r="L57" s="202">
        <f>I57*PRP!$J$8+J57*PRP!$J$9+K57*PRP!$J$10</f>
        <v>1.3</v>
      </c>
      <c r="M57" s="171"/>
      <c r="N57" s="171"/>
      <c r="O57" s="171"/>
      <c r="P57" s="171"/>
      <c r="Q57" s="171"/>
      <c r="S57" s="111"/>
    </row>
    <row r="58" spans="1:25">
      <c r="B58" s="129" t="str">
        <f t="shared" si="2"/>
        <v>Aviation  - Kérosène [L]</v>
      </c>
      <c r="C58" s="59" t="s">
        <v>252</v>
      </c>
      <c r="D58" s="59"/>
      <c r="E58" s="59" t="s">
        <v>253</v>
      </c>
      <c r="F58" s="196" t="s">
        <v>77</v>
      </c>
      <c r="G58" s="116"/>
      <c r="H58" s="116">
        <v>10.47</v>
      </c>
      <c r="I58" s="59">
        <v>2559.6999999999998</v>
      </c>
      <c r="J58" s="59">
        <v>2.9000000000000001E-2</v>
      </c>
      <c r="K58" s="126">
        <v>7.1099999999999997E-2</v>
      </c>
      <c r="L58" s="127">
        <f>I58*PRP!$J$8+J58*PRP!$J$9+K58*PRP!$J$10</f>
        <v>2579.9744999999998</v>
      </c>
      <c r="M58" s="171"/>
      <c r="N58" s="171"/>
      <c r="O58" s="171"/>
      <c r="P58" s="171"/>
      <c r="Q58" s="171"/>
      <c r="S58" s="123" t="s">
        <v>227</v>
      </c>
    </row>
    <row r="59" spans="1:25" ht="15.75" thickBot="1">
      <c r="B59" s="135" t="str">
        <f t="shared" si="2"/>
        <v>Aviation  - Essence [L]</v>
      </c>
      <c r="C59" s="136" t="s">
        <v>252</v>
      </c>
      <c r="D59" s="136"/>
      <c r="E59" s="136" t="s">
        <v>186</v>
      </c>
      <c r="F59" s="203" t="s">
        <v>77</v>
      </c>
      <c r="G59" s="204"/>
      <c r="H59" s="204">
        <v>9.31</v>
      </c>
      <c r="I59" s="136">
        <v>2325.4</v>
      </c>
      <c r="J59" s="136">
        <v>2.19</v>
      </c>
      <c r="K59" s="142">
        <v>0.23</v>
      </c>
      <c r="L59" s="205">
        <f>I59*PRP!$J$8+J59*PRP!$J$9+K59*PRP!$J$10</f>
        <v>2453.4520000000002</v>
      </c>
      <c r="M59" s="171"/>
      <c r="N59" s="171"/>
      <c r="O59" s="171"/>
      <c r="P59" s="171"/>
      <c r="Q59" s="171"/>
      <c r="S59" s="147" t="s">
        <v>227</v>
      </c>
    </row>
    <row r="60" spans="1:25" ht="15.75" thickBot="1">
      <c r="A60" s="86"/>
    </row>
    <row r="61" spans="1:25" ht="19.5" thickBot="1">
      <c r="A61" s="86"/>
      <c r="B61" s="543" t="s">
        <v>254</v>
      </c>
      <c r="C61" s="540"/>
      <c r="D61" s="540"/>
      <c r="E61" s="540"/>
      <c r="F61" s="540"/>
      <c r="G61" s="541"/>
      <c r="H61" s="541" t="s">
        <v>153</v>
      </c>
      <c r="I61" s="56"/>
      <c r="J61" s="56"/>
      <c r="K61" s="56"/>
      <c r="L61" s="542"/>
      <c r="M61" s="56"/>
      <c r="N61" s="56"/>
      <c r="O61" s="56"/>
      <c r="P61" s="56"/>
      <c r="Q61" s="56"/>
      <c r="R61" s="90"/>
      <c r="S61" s="539"/>
      <c r="Y61" s="91"/>
    </row>
    <row r="62" spans="1:25" ht="16.5">
      <c r="B62" s="191"/>
      <c r="C62" s="192"/>
      <c r="D62" s="192"/>
      <c r="E62" s="155"/>
      <c r="F62" s="155"/>
      <c r="G62" s="155"/>
      <c r="H62" s="96" t="s">
        <v>158</v>
      </c>
      <c r="I62" s="192" t="s">
        <v>215</v>
      </c>
      <c r="J62" s="192" t="s">
        <v>216</v>
      </c>
      <c r="K62" s="192" t="s">
        <v>217</v>
      </c>
      <c r="L62" s="98" t="s">
        <v>162</v>
      </c>
      <c r="M62" s="159"/>
      <c r="N62" s="159"/>
      <c r="O62" s="159"/>
      <c r="P62" s="159"/>
      <c r="Q62" s="159"/>
      <c r="S62" s="193"/>
    </row>
    <row r="63" spans="1:25" ht="18">
      <c r="B63" s="103" t="s">
        <v>255</v>
      </c>
      <c r="C63" s="104"/>
      <c r="D63" s="104" t="s">
        <v>166</v>
      </c>
      <c r="E63" s="104" t="s">
        <v>256</v>
      </c>
      <c r="F63" s="206" t="s">
        <v>167</v>
      </c>
      <c r="G63" s="207"/>
      <c r="H63" s="107" t="s">
        <v>169</v>
      </c>
      <c r="I63" s="104" t="s">
        <v>221</v>
      </c>
      <c r="J63" s="104" t="s">
        <v>222</v>
      </c>
      <c r="K63" s="104" t="s">
        <v>223</v>
      </c>
      <c r="L63" s="109" t="s">
        <v>224</v>
      </c>
      <c r="M63" s="159"/>
      <c r="N63" s="159"/>
      <c r="O63" s="159"/>
      <c r="P63" s="159"/>
      <c r="Q63" s="159"/>
      <c r="S63" s="194"/>
    </row>
    <row r="64" spans="1:25">
      <c r="B64" s="129" t="s">
        <v>225</v>
      </c>
      <c r="C64" s="59"/>
      <c r="D64" s="195" t="s">
        <v>186</v>
      </c>
      <c r="E64" s="59">
        <v>9.6999999999999993</v>
      </c>
      <c r="F64" s="59" t="s">
        <v>77</v>
      </c>
      <c r="G64" s="59"/>
      <c r="H64" s="116">
        <f>$H$13</f>
        <v>9.69</v>
      </c>
      <c r="I64" s="59">
        <v>2307.3000000000002</v>
      </c>
      <c r="J64" s="59">
        <v>0.14000000000000001</v>
      </c>
      <c r="K64" s="126">
        <v>2.1999999999999999E-2</v>
      </c>
      <c r="L64" s="127">
        <f>I64*PRP!$J$8+J64*PRP!$J$9+K64*PRP!$J$10</f>
        <v>2317.4780000000001</v>
      </c>
      <c r="M64" s="171"/>
      <c r="N64" s="171"/>
      <c r="O64" s="171"/>
      <c r="P64" s="171"/>
      <c r="Q64" s="171"/>
      <c r="S64" s="123" t="s">
        <v>257</v>
      </c>
    </row>
    <row r="65" spans="1:25">
      <c r="B65" s="129" t="s">
        <v>6652</v>
      </c>
      <c r="C65" s="59"/>
      <c r="D65" s="59" t="s">
        <v>186</v>
      </c>
      <c r="E65" s="59">
        <v>12.6</v>
      </c>
      <c r="F65" s="59" t="s">
        <v>77</v>
      </c>
      <c r="G65" s="59"/>
      <c r="H65" s="116">
        <f>$H$13</f>
        <v>9.69</v>
      </c>
      <c r="I65" s="59">
        <v>2307.3000000000002</v>
      </c>
      <c r="J65" s="59">
        <v>0.14000000000000001</v>
      </c>
      <c r="K65" s="126">
        <v>2.1999999999999999E-2</v>
      </c>
      <c r="L65" s="127">
        <f>I65*PRP!$J$8+J65*PRP!$J$9+K65*PRP!$J$10</f>
        <v>2317.4780000000001</v>
      </c>
      <c r="M65" s="171"/>
      <c r="N65" s="171"/>
      <c r="O65" s="171"/>
      <c r="P65" s="171"/>
      <c r="Q65" s="171"/>
      <c r="S65" s="123" t="s">
        <v>257</v>
      </c>
    </row>
    <row r="66" spans="1:25">
      <c r="B66" s="129" t="s">
        <v>6653</v>
      </c>
      <c r="C66" s="59"/>
      <c r="D66" s="59" t="s">
        <v>186</v>
      </c>
      <c r="E66" s="59">
        <v>16.3</v>
      </c>
      <c r="F66" s="59" t="s">
        <v>77</v>
      </c>
      <c r="G66" s="59"/>
      <c r="H66" s="116">
        <f>$H$13</f>
        <v>9.69</v>
      </c>
      <c r="I66" s="59">
        <v>2307.3000000000002</v>
      </c>
      <c r="J66" s="59">
        <v>0.14000000000000001</v>
      </c>
      <c r="K66" s="126">
        <v>2.1999999999999999E-2</v>
      </c>
      <c r="L66" s="127">
        <f>I66*PRP!$J$8+J66*PRP!$J$9+K66*PRP!$J$10</f>
        <v>2317.4780000000001</v>
      </c>
      <c r="M66" s="171"/>
      <c r="N66" s="171"/>
      <c r="O66" s="171"/>
      <c r="P66" s="171"/>
      <c r="Q66" s="171"/>
      <c r="S66" s="123" t="s">
        <v>257</v>
      </c>
    </row>
    <row r="67" spans="1:25">
      <c r="B67" s="129" t="s">
        <v>6654</v>
      </c>
      <c r="C67" s="59"/>
      <c r="D67" s="61" t="s">
        <v>250</v>
      </c>
      <c r="E67" s="59">
        <v>18</v>
      </c>
      <c r="F67" s="59" t="s">
        <v>251</v>
      </c>
      <c r="G67" s="59"/>
      <c r="H67" s="116">
        <v>1</v>
      </c>
      <c r="I67" s="59">
        <f>$I$385</f>
        <v>1.3</v>
      </c>
      <c r="J67" s="59">
        <v>0</v>
      </c>
      <c r="K67" s="126">
        <v>0</v>
      </c>
      <c r="L67" s="127">
        <f>I67*PRP!$J$8+J67*PRP!$J$9+K67*PRP!$J$10</f>
        <v>1.3</v>
      </c>
      <c r="M67" s="171"/>
      <c r="N67" s="171"/>
      <c r="O67" s="171"/>
      <c r="P67" s="171"/>
      <c r="Q67" s="171"/>
      <c r="S67" s="123"/>
    </row>
    <row r="68" spans="1:25">
      <c r="B68" s="129" t="s">
        <v>258</v>
      </c>
      <c r="C68" s="59"/>
      <c r="D68" s="61" t="s">
        <v>186</v>
      </c>
      <c r="E68" s="59">
        <v>5.5</v>
      </c>
      <c r="F68" s="59" t="s">
        <v>77</v>
      </c>
      <c r="G68" s="59"/>
      <c r="H68" s="116">
        <f>$H$13</f>
        <v>9.69</v>
      </c>
      <c r="I68" s="59">
        <v>2307.3000000000002</v>
      </c>
      <c r="J68" s="59">
        <v>0.14000000000000001</v>
      </c>
      <c r="K68" s="126">
        <v>2.1999999999999999E-2</v>
      </c>
      <c r="L68" s="127">
        <f>I68*PRP!$J$8+J68*PRP!$J$9+K68*PRP!$J$10</f>
        <v>2317.4780000000001</v>
      </c>
      <c r="M68" s="171"/>
      <c r="N68" s="171"/>
      <c r="O68" s="171"/>
      <c r="P68" s="171"/>
      <c r="Q68" s="171"/>
      <c r="S68" s="123" t="s">
        <v>259</v>
      </c>
    </row>
    <row r="69" spans="1:25">
      <c r="B69" s="129" t="s">
        <v>260</v>
      </c>
      <c r="C69" s="59"/>
      <c r="D69" s="59" t="s">
        <v>186</v>
      </c>
      <c r="E69" s="59">
        <v>2.75</v>
      </c>
      <c r="F69" s="59" t="s">
        <v>77</v>
      </c>
      <c r="G69" s="59"/>
      <c r="H69" s="116">
        <f>$H$13</f>
        <v>9.69</v>
      </c>
      <c r="I69" s="59">
        <v>2307.3000000000002</v>
      </c>
      <c r="J69" s="59">
        <v>0.14000000000000001</v>
      </c>
      <c r="K69" s="126">
        <v>2.1999999999999999E-2</v>
      </c>
      <c r="L69" s="127">
        <f>I69*PRP!$J$8+J69*PRP!$J$9+K69*PRP!$J$10</f>
        <v>2317.4780000000001</v>
      </c>
      <c r="M69" s="171"/>
      <c r="N69" s="171"/>
      <c r="O69" s="171"/>
      <c r="P69" s="171"/>
      <c r="Q69" s="171"/>
      <c r="S69" s="123" t="s">
        <v>259</v>
      </c>
    </row>
    <row r="70" spans="1:25">
      <c r="B70" s="129" t="s">
        <v>6655</v>
      </c>
      <c r="C70" s="59" t="s">
        <v>261</v>
      </c>
      <c r="D70" s="59" t="s">
        <v>186</v>
      </c>
      <c r="E70" s="59">
        <f>9.5/2</f>
        <v>4.75</v>
      </c>
      <c r="F70" s="59" t="s">
        <v>77</v>
      </c>
      <c r="G70" s="59"/>
      <c r="H70" s="116">
        <f>$H$13</f>
        <v>9.69</v>
      </c>
      <c r="I70" s="59">
        <v>2307.3000000000002</v>
      </c>
      <c r="J70" s="59">
        <v>0.14000000000000001</v>
      </c>
      <c r="K70" s="126">
        <v>2.1999999999999999E-2</v>
      </c>
      <c r="L70" s="127">
        <f>I70*PRP!$J$8+J70*PRP!$J$9+K70*PRP!$J$10</f>
        <v>2317.4780000000001</v>
      </c>
      <c r="M70" s="171"/>
      <c r="N70" s="171"/>
      <c r="O70" s="171"/>
      <c r="P70" s="171"/>
      <c r="Q70" s="171"/>
      <c r="S70" s="123"/>
    </row>
    <row r="71" spans="1:25">
      <c r="B71" s="129" t="s">
        <v>6656</v>
      </c>
      <c r="C71" s="59"/>
      <c r="D71" s="59" t="s">
        <v>187</v>
      </c>
      <c r="E71" s="59">
        <f>E328*100</f>
        <v>2.443301855669044</v>
      </c>
      <c r="F71" s="59" t="s">
        <v>77</v>
      </c>
      <c r="G71" s="59"/>
      <c r="H71" s="116">
        <f>$H$14</f>
        <v>10.64</v>
      </c>
      <c r="I71" s="208">
        <f>$E$328*I52</f>
        <v>65.492706241208722</v>
      </c>
      <c r="J71" s="61">
        <f>$E$328*J52</f>
        <v>2.6876320412359484E-3</v>
      </c>
      <c r="K71" s="209">
        <f>$E$328*K52</f>
        <v>3.6893858020602566E-3</v>
      </c>
      <c r="L71" s="127">
        <f>I71*PRP!$J$8+J71*PRP!$J$9+K71*PRP!$J$10</f>
        <v>66.58</v>
      </c>
      <c r="M71" s="171"/>
      <c r="N71" s="171"/>
      <c r="O71" s="171"/>
      <c r="P71" s="171"/>
      <c r="Q71" s="171"/>
      <c r="S71" s="123" t="s">
        <v>262</v>
      </c>
    </row>
    <row r="72" spans="1:25">
      <c r="B72" s="129" t="s">
        <v>263</v>
      </c>
      <c r="C72" s="59"/>
      <c r="D72" s="59"/>
      <c r="E72" s="59">
        <v>0</v>
      </c>
      <c r="F72" s="59"/>
      <c r="G72" s="59"/>
      <c r="H72" s="116"/>
      <c r="I72" s="125"/>
      <c r="J72" s="59"/>
      <c r="K72" s="126"/>
      <c r="L72" s="127"/>
      <c r="M72" s="171"/>
      <c r="N72" s="171"/>
      <c r="O72" s="171"/>
      <c r="P72" s="171"/>
      <c r="Q72" s="171"/>
      <c r="S72" s="123"/>
    </row>
    <row r="73" spans="1:25">
      <c r="B73" s="129" t="s">
        <v>264</v>
      </c>
      <c r="C73" s="59"/>
      <c r="D73" s="59"/>
      <c r="E73" s="59">
        <v>0</v>
      </c>
      <c r="F73" s="59"/>
      <c r="G73" s="59"/>
      <c r="H73" s="116"/>
      <c r="I73" s="59"/>
      <c r="J73" s="59"/>
      <c r="K73" s="126"/>
      <c r="L73" s="127"/>
      <c r="M73" s="171"/>
      <c r="N73" s="171"/>
      <c r="O73" s="171"/>
      <c r="P73" s="171"/>
      <c r="Q73" s="171"/>
      <c r="S73" s="123"/>
    </row>
    <row r="74" spans="1:25" ht="15.75" thickBot="1">
      <c r="B74" s="145" t="s">
        <v>95</v>
      </c>
      <c r="C74" s="136"/>
      <c r="D74" s="136"/>
      <c r="E74" s="136">
        <v>0</v>
      </c>
      <c r="F74" s="136"/>
      <c r="G74" s="136"/>
      <c r="H74" s="204"/>
      <c r="I74" s="136"/>
      <c r="J74" s="136"/>
      <c r="K74" s="142"/>
      <c r="L74" s="205"/>
      <c r="M74" s="171"/>
      <c r="N74" s="171"/>
      <c r="O74" s="171"/>
      <c r="P74" s="171"/>
      <c r="Q74" s="171"/>
      <c r="S74" s="147"/>
    </row>
    <row r="75" spans="1:25" ht="15.75" thickBot="1">
      <c r="A75" s="86"/>
    </row>
    <row r="76" spans="1:25" ht="19.5" thickBot="1">
      <c r="A76" s="86"/>
      <c r="B76" s="543" t="s">
        <v>265</v>
      </c>
      <c r="C76" s="540"/>
      <c r="D76" s="540"/>
      <c r="E76" s="540"/>
      <c r="F76" s="540"/>
      <c r="G76" s="541"/>
      <c r="H76" s="541"/>
      <c r="I76" s="56"/>
      <c r="J76" s="56"/>
      <c r="K76" s="56"/>
      <c r="L76" s="542" t="s">
        <v>155</v>
      </c>
      <c r="M76" s="56"/>
      <c r="N76" s="56"/>
      <c r="O76" s="56"/>
      <c r="P76" s="56"/>
      <c r="Q76" s="56"/>
      <c r="R76" s="90"/>
      <c r="S76" s="539" t="s">
        <v>156</v>
      </c>
      <c r="Y76" s="91"/>
    </row>
    <row r="77" spans="1:25" ht="16.5">
      <c r="B77" s="191"/>
      <c r="C77" s="192"/>
      <c r="D77" s="192"/>
      <c r="E77" s="192"/>
      <c r="F77" s="192"/>
      <c r="G77" s="192"/>
      <c r="H77" s="96" t="s">
        <v>158</v>
      </c>
      <c r="I77" s="158" t="s">
        <v>215</v>
      </c>
      <c r="J77" s="192" t="s">
        <v>216</v>
      </c>
      <c r="K77" s="192" t="s">
        <v>217</v>
      </c>
      <c r="L77" s="98" t="s">
        <v>162</v>
      </c>
      <c r="M77" s="159"/>
      <c r="N77" s="159"/>
      <c r="O77" s="159"/>
      <c r="P77" s="159"/>
      <c r="Q77" s="159"/>
      <c r="S77" s="193"/>
    </row>
    <row r="78" spans="1:25" ht="18">
      <c r="B78" s="103" t="s">
        <v>266</v>
      </c>
      <c r="C78" s="104"/>
      <c r="D78" s="104" t="s">
        <v>166</v>
      </c>
      <c r="E78" s="104" t="s">
        <v>267</v>
      </c>
      <c r="F78" s="104" t="s">
        <v>268</v>
      </c>
      <c r="G78" s="104" t="s">
        <v>269</v>
      </c>
      <c r="H78" s="107" t="s">
        <v>169</v>
      </c>
      <c r="I78" s="164" t="s">
        <v>270</v>
      </c>
      <c r="J78" s="104" t="s">
        <v>271</v>
      </c>
      <c r="K78" s="104" t="s">
        <v>272</v>
      </c>
      <c r="L78" s="109" t="s">
        <v>273</v>
      </c>
      <c r="M78" s="159"/>
      <c r="N78" s="159"/>
      <c r="O78" s="159"/>
      <c r="P78" s="159"/>
      <c r="Q78" s="159"/>
      <c r="S78" s="194"/>
    </row>
    <row r="79" spans="1:25">
      <c r="B79" s="129" t="s">
        <v>274</v>
      </c>
      <c r="C79" s="59" t="s">
        <v>275</v>
      </c>
      <c r="D79" s="59" t="s">
        <v>187</v>
      </c>
      <c r="E79" s="59">
        <f>L79/$L$52</f>
        <v>3.3092712582016792E-2</v>
      </c>
      <c r="F79" s="59"/>
      <c r="G79" s="59"/>
      <c r="H79" s="116">
        <f>$H$14</f>
        <v>10.64</v>
      </c>
      <c r="I79" s="210">
        <f>144/$C$1070</f>
        <v>89.477451682176081</v>
      </c>
      <c r="J79" s="59">
        <f>0.0085/$C$1070</f>
        <v>5.2816551340173386E-3</v>
      </c>
      <c r="K79" s="126">
        <f>0.0032/$C$1070</f>
        <v>1.9883878151594685E-3</v>
      </c>
      <c r="L79" s="127">
        <f>I79*PRP!$J$8+J79*PRP!$J$9+K79*PRP!$J$10</f>
        <v>90.177674878708331</v>
      </c>
      <c r="M79" s="171"/>
      <c r="N79" s="171"/>
      <c r="O79" s="171"/>
      <c r="P79" s="171"/>
      <c r="Q79" s="171"/>
      <c r="S79" s="123" t="s">
        <v>276</v>
      </c>
    </row>
    <row r="80" spans="1:25">
      <c r="B80" s="129" t="s">
        <v>277</v>
      </c>
      <c r="C80" s="59" t="s">
        <v>278</v>
      </c>
      <c r="D80" s="59" t="s">
        <v>187</v>
      </c>
      <c r="E80" s="59">
        <f>G80/F80</f>
        <v>7.0032705578387769E-2</v>
      </c>
      <c r="F80" s="211">
        <f>(967000000)*1.60934</f>
        <v>1556231780</v>
      </c>
      <c r="G80" s="211">
        <f>194651000/1.786</f>
        <v>108987122.06047033</v>
      </c>
      <c r="H80" s="116">
        <f>$H$14</f>
        <v>10.64</v>
      </c>
      <c r="I80" s="210">
        <f>$E80*I53</f>
        <v>187.72266730286842</v>
      </c>
      <c r="J80" s="59">
        <f>$E80*J53</f>
        <v>1.0434873131179778E-2</v>
      </c>
      <c r="K80" s="126">
        <f>$E80*K53</f>
        <v>7.2063654040161004E-2</v>
      </c>
      <c r="L80" s="127">
        <f>I80*PRP!$J$8+J80*PRP!$J$9+K80*PRP!$J$10</f>
        <v>207.70700407514153</v>
      </c>
      <c r="M80" s="171"/>
      <c r="N80" s="171"/>
      <c r="O80" s="171"/>
      <c r="P80" s="171"/>
      <c r="Q80" s="171"/>
      <c r="S80" s="123" t="s">
        <v>279</v>
      </c>
    </row>
    <row r="81" spans="2:19">
      <c r="B81" s="129" t="s">
        <v>280</v>
      </c>
      <c r="C81" s="59" t="s">
        <v>275</v>
      </c>
      <c r="D81" s="59" t="s">
        <v>187</v>
      </c>
      <c r="E81" s="59">
        <f>L81/$L$52</f>
        <v>3.9951489654616548E-2</v>
      </c>
      <c r="F81" s="59"/>
      <c r="G81" s="59"/>
      <c r="H81" s="116">
        <f>$H$14</f>
        <v>10.64</v>
      </c>
      <c r="I81" s="210">
        <f>174/$C$1070</f>
        <v>108.1185874492961</v>
      </c>
      <c r="J81" s="59">
        <f>0.0084/$C$1070</f>
        <v>5.219518014793605E-3</v>
      </c>
      <c r="K81" s="126">
        <f>0.0035/$C$1070</f>
        <v>2.1747991728306689E-3</v>
      </c>
      <c r="L81" s="127">
        <f>I81*PRP!$J$8+J81*PRP!$J$9+K81*PRP!$J$10</f>
        <v>108.86784926031973</v>
      </c>
      <c r="M81" s="171"/>
      <c r="N81" s="171"/>
      <c r="O81" s="171"/>
      <c r="P81" s="171"/>
      <c r="Q81" s="171"/>
      <c r="S81" s="123" t="s">
        <v>276</v>
      </c>
    </row>
    <row r="82" spans="2:19">
      <c r="B82" s="129" t="s">
        <v>281</v>
      </c>
      <c r="C82" s="59" t="s">
        <v>275</v>
      </c>
      <c r="D82" s="61" t="s">
        <v>250</v>
      </c>
      <c r="E82" s="59"/>
      <c r="F82" s="59"/>
      <c r="G82" s="59"/>
      <c r="H82" s="116"/>
      <c r="I82" s="210">
        <f>133/$C$1070</f>
        <v>82.642368567565413</v>
      </c>
      <c r="J82" s="59">
        <f>0.0026/$C$1070</f>
        <v>1.615565099817068E-3</v>
      </c>
      <c r="K82" s="126">
        <f>0.002/$C$1070</f>
        <v>1.2427423844746678E-3</v>
      </c>
      <c r="L82" s="127">
        <f>I82*PRP!$J$8+J82*PRP!$J$9+K82*PRP!$J$10</f>
        <v>83.029781078501543</v>
      </c>
      <c r="M82" s="171"/>
      <c r="N82" s="171"/>
      <c r="O82" s="171"/>
      <c r="P82" s="171"/>
      <c r="Q82" s="171"/>
      <c r="S82" s="123" t="s">
        <v>276</v>
      </c>
    </row>
    <row r="83" spans="2:19" ht="15.75" thickBot="1">
      <c r="B83" s="145" t="s">
        <v>282</v>
      </c>
      <c r="C83" s="136" t="s">
        <v>275</v>
      </c>
      <c r="D83" s="62" t="s">
        <v>187</v>
      </c>
      <c r="E83" s="136">
        <f>L83/$L$52</f>
        <v>1.3255167497930371E-2</v>
      </c>
      <c r="F83" s="136"/>
      <c r="G83" s="136"/>
      <c r="H83" s="204">
        <f>$H$14</f>
        <v>10.64</v>
      </c>
      <c r="I83" s="136">
        <f>58/$C$1070</f>
        <v>36.039529149765364</v>
      </c>
      <c r="J83" s="136">
        <f>0.0007/$C$1070</f>
        <v>4.3495983456613376E-4</v>
      </c>
      <c r="K83" s="142">
        <f>0.0004/$C$1070</f>
        <v>2.4854847689493356E-4</v>
      </c>
      <c r="L83" s="205">
        <f>I83*PRP!$J$8+J83*PRP!$J$9+K83*PRP!$J$10</f>
        <v>36.120344687027753</v>
      </c>
      <c r="M83" s="171"/>
      <c r="N83" s="171"/>
      <c r="O83" s="171"/>
      <c r="P83" s="171"/>
      <c r="Q83" s="171"/>
      <c r="S83" s="147" t="s">
        <v>276</v>
      </c>
    </row>
    <row r="84" spans="2:19" ht="15.75" thickBot="1"/>
    <row r="85" spans="2:19" ht="16.5">
      <c r="B85" s="191"/>
      <c r="C85" s="192"/>
      <c r="D85" s="192" t="s">
        <v>283</v>
      </c>
      <c r="E85" s="192" t="s">
        <v>284</v>
      </c>
      <c r="F85" s="192"/>
      <c r="G85" s="192"/>
      <c r="H85" s="156"/>
      <c r="I85" s="158" t="s">
        <v>215</v>
      </c>
      <c r="J85" s="192" t="s">
        <v>216</v>
      </c>
      <c r="K85" s="192" t="s">
        <v>217</v>
      </c>
      <c r="L85" s="98" t="s">
        <v>162</v>
      </c>
      <c r="M85" s="159"/>
      <c r="N85" s="159"/>
      <c r="O85" s="159"/>
      <c r="P85" s="159"/>
      <c r="Q85" s="159"/>
      <c r="S85" s="193"/>
    </row>
    <row r="86" spans="2:19" ht="18">
      <c r="B86" s="103" t="s">
        <v>266</v>
      </c>
      <c r="C86" s="104"/>
      <c r="D86" s="104" t="s">
        <v>285</v>
      </c>
      <c r="E86" s="104" t="s">
        <v>285</v>
      </c>
      <c r="F86" s="104"/>
      <c r="G86" s="104"/>
      <c r="H86" s="212"/>
      <c r="I86" s="164" t="s">
        <v>270</v>
      </c>
      <c r="J86" s="104" t="s">
        <v>271</v>
      </c>
      <c r="K86" s="104" t="s">
        <v>272</v>
      </c>
      <c r="L86" s="109" t="s">
        <v>273</v>
      </c>
      <c r="M86" s="159"/>
      <c r="N86" s="159"/>
      <c r="O86" s="159"/>
      <c r="P86" s="159"/>
      <c r="Q86" s="159"/>
      <c r="S86" s="194"/>
    </row>
    <row r="87" spans="2:19">
      <c r="B87" s="1308" t="s">
        <v>286</v>
      </c>
      <c r="C87" s="59" t="s">
        <v>275</v>
      </c>
      <c r="D87" s="59">
        <v>0</v>
      </c>
      <c r="E87" s="213">
        <f>300*$C$1070</f>
        <v>482.80320000000006</v>
      </c>
      <c r="F87" s="213"/>
      <c r="G87" s="213"/>
      <c r="H87" s="196"/>
      <c r="I87" s="210">
        <f>275/$C$1070</f>
        <v>170.87707786526684</v>
      </c>
      <c r="J87" s="59">
        <f>0.0091/$C$1070</f>
        <v>5.6544778493597394E-3</v>
      </c>
      <c r="K87" s="126">
        <f>0.0087/$C$1070</f>
        <v>5.4059293724648049E-3</v>
      </c>
      <c r="L87" s="127">
        <f>I87*PRP!$J$8+J87*PRP!$J$9+K87*PRP!$J$10</f>
        <v>172.52140002386065</v>
      </c>
      <c r="M87" s="171"/>
      <c r="N87" s="171"/>
      <c r="O87" s="171"/>
      <c r="P87" s="171"/>
      <c r="Q87" s="171"/>
      <c r="S87" s="123" t="s">
        <v>276</v>
      </c>
    </row>
    <row r="88" spans="2:19">
      <c r="B88" s="1309"/>
      <c r="C88" s="59" t="s">
        <v>275</v>
      </c>
      <c r="D88" s="213">
        <f>300*$C$1070</f>
        <v>482.80320000000006</v>
      </c>
      <c r="E88" s="213">
        <f>2300*$C$1070</f>
        <v>3701.4912000000004</v>
      </c>
      <c r="F88" s="213"/>
      <c r="G88" s="213"/>
      <c r="H88" s="196"/>
      <c r="I88" s="210">
        <f>162/$C$1070</f>
        <v>100.6621331424481</v>
      </c>
      <c r="J88" s="59">
        <f>0.0008/$C$1070</f>
        <v>4.9709695378986711E-4</v>
      </c>
      <c r="K88" s="126">
        <f>0.0052/$C$1070</f>
        <v>3.2311301996341361E-3</v>
      </c>
      <c r="L88" s="127">
        <f>I88*PRP!$J$8+J88*PRP!$J$9+K88*PRP!$J$10</f>
        <v>101.55904517617117</v>
      </c>
      <c r="M88" s="171"/>
      <c r="N88" s="171"/>
      <c r="O88" s="171"/>
      <c r="P88" s="171"/>
      <c r="Q88" s="171"/>
      <c r="S88" s="123" t="s">
        <v>276</v>
      </c>
    </row>
    <row r="89" spans="2:19" ht="15.75" thickBot="1">
      <c r="B89" s="1310"/>
      <c r="C89" s="62" t="s">
        <v>275</v>
      </c>
      <c r="D89" s="215">
        <f>2300*$C$1070</f>
        <v>3701.4912000000004</v>
      </c>
      <c r="E89" s="215" t="s">
        <v>287</v>
      </c>
      <c r="F89" s="215"/>
      <c r="G89" s="215"/>
      <c r="H89" s="203"/>
      <c r="I89" s="216">
        <f>191/$C$1070</f>
        <v>118.68189771733078</v>
      </c>
      <c r="J89" s="136">
        <f>0.0008/$C$1070</f>
        <v>4.9709695378986711E-4</v>
      </c>
      <c r="K89" s="142">
        <f>0.006/$C$1070</f>
        <v>3.7282271534240037E-3</v>
      </c>
      <c r="L89" s="205">
        <f>I89*PRP!$J$8+J89*PRP!$J$9+K89*PRP!$J$10</f>
        <v>119.71451721943848</v>
      </c>
      <c r="M89" s="171"/>
      <c r="N89" s="171"/>
      <c r="O89" s="171"/>
      <c r="P89" s="171"/>
      <c r="Q89" s="171"/>
      <c r="S89" s="147" t="s">
        <v>276</v>
      </c>
    </row>
    <row r="90" spans="2:19" ht="15.75" thickBot="1"/>
    <row r="91" spans="2:19" ht="16.5">
      <c r="B91" s="191"/>
      <c r="C91" s="192"/>
      <c r="D91" s="192" t="s">
        <v>288</v>
      </c>
      <c r="E91" s="192"/>
      <c r="F91" s="192"/>
      <c r="G91" s="192"/>
      <c r="H91" s="96" t="s">
        <v>158</v>
      </c>
      <c r="I91" s="158" t="s">
        <v>215</v>
      </c>
      <c r="J91" s="192" t="s">
        <v>216</v>
      </c>
      <c r="K91" s="192" t="s">
        <v>217</v>
      </c>
      <c r="L91" s="98" t="s">
        <v>162</v>
      </c>
      <c r="M91" s="159"/>
      <c r="N91" s="191" t="s">
        <v>215</v>
      </c>
      <c r="O91" s="192" t="s">
        <v>216</v>
      </c>
      <c r="P91" s="192" t="s">
        <v>217</v>
      </c>
      <c r="Q91" s="98"/>
      <c r="S91" s="193"/>
    </row>
    <row r="92" spans="2:19" ht="18">
      <c r="B92" s="103" t="s">
        <v>266</v>
      </c>
      <c r="C92" s="104" t="s">
        <v>289</v>
      </c>
      <c r="D92" s="104" t="s">
        <v>285</v>
      </c>
      <c r="E92" s="104" t="s">
        <v>166</v>
      </c>
      <c r="F92" s="104"/>
      <c r="G92" s="104"/>
      <c r="H92" s="107" t="s">
        <v>169</v>
      </c>
      <c r="I92" s="164" t="s">
        <v>290</v>
      </c>
      <c r="J92" s="104" t="s">
        <v>291</v>
      </c>
      <c r="K92" s="104" t="s">
        <v>292</v>
      </c>
      <c r="L92" s="109" t="s">
        <v>293</v>
      </c>
      <c r="M92" s="159"/>
      <c r="N92" s="103" t="s">
        <v>294</v>
      </c>
      <c r="O92" s="104" t="s">
        <v>295</v>
      </c>
      <c r="P92" s="104" t="s">
        <v>296</v>
      </c>
      <c r="Q92" s="109" t="s">
        <v>297</v>
      </c>
      <c r="S92" s="194"/>
    </row>
    <row r="93" spans="2:19">
      <c r="B93" s="1308" t="s">
        <v>84</v>
      </c>
      <c r="C93" s="59" t="s">
        <v>298</v>
      </c>
      <c r="D93" s="59">
        <v>1.8</v>
      </c>
      <c r="E93" s="59" t="s">
        <v>181</v>
      </c>
      <c r="F93" s="59"/>
      <c r="G93" s="213"/>
      <c r="H93" s="116">
        <f>$H$49</f>
        <v>10.77</v>
      </c>
      <c r="I93" s="59">
        <f t="shared" ref="I93:K103" si="3">$L93*I$49/$L$49</f>
        <v>416.5760962482521</v>
      </c>
      <c r="J93" s="59">
        <f t="shared" si="3"/>
        <v>3.7697760801172625E-2</v>
      </c>
      <c r="K93" s="59">
        <f t="shared" si="3"/>
        <v>1.0770788800335036E-2</v>
      </c>
      <c r="L93" s="127">
        <f t="shared" ref="L93:L103" si="4">$L$107*D93</f>
        <v>420.63991486261847</v>
      </c>
      <c r="M93" s="171"/>
      <c r="N93" s="129">
        <f t="shared" ref="N93:P104" si="5">$Q93*I$49/$L$49</f>
        <v>1562.1603609309454</v>
      </c>
      <c r="O93" s="59">
        <f t="shared" si="5"/>
        <v>0.14136660300439735</v>
      </c>
      <c r="P93" s="126">
        <f t="shared" si="5"/>
        <v>4.0390458001256381E-2</v>
      </c>
      <c r="Q93" s="127">
        <f t="shared" ref="Q93:Q103" si="6">$Q$107*$D93</f>
        <v>1577.3996807348194</v>
      </c>
      <c r="S93" s="123" t="s">
        <v>299</v>
      </c>
    </row>
    <row r="94" spans="2:19">
      <c r="B94" s="1309"/>
      <c r="C94" s="59" t="s">
        <v>300</v>
      </c>
      <c r="D94" s="213">
        <v>1.1000000000000001</v>
      </c>
      <c r="E94" s="59" t="s">
        <v>181</v>
      </c>
      <c r="F94" s="59"/>
      <c r="G94" s="213"/>
      <c r="H94" s="116">
        <f>$H$49</f>
        <v>10.77</v>
      </c>
      <c r="I94" s="59">
        <f t="shared" si="3"/>
        <v>254.57428104059855</v>
      </c>
      <c r="J94" s="59">
        <f t="shared" si="3"/>
        <v>2.3037520489605497E-2</v>
      </c>
      <c r="K94" s="59">
        <f t="shared" si="3"/>
        <v>6.5821487113158555E-3</v>
      </c>
      <c r="L94" s="127">
        <f t="shared" si="4"/>
        <v>257.05772574937799</v>
      </c>
      <c r="M94" s="171"/>
      <c r="N94" s="129">
        <f t="shared" si="5"/>
        <v>954.65355390224431</v>
      </c>
      <c r="O94" s="59">
        <f t="shared" si="5"/>
        <v>8.63907018360206E-2</v>
      </c>
      <c r="P94" s="126">
        <f t="shared" si="5"/>
        <v>2.4683057667434456E-2</v>
      </c>
      <c r="Q94" s="127">
        <f t="shared" si="6"/>
        <v>963.96647156016741</v>
      </c>
      <c r="S94" s="123" t="s">
        <v>299</v>
      </c>
    </row>
    <row r="95" spans="2:19">
      <c r="B95" s="1309"/>
      <c r="C95" s="59" t="s">
        <v>301</v>
      </c>
      <c r="D95" s="213">
        <v>8.6</v>
      </c>
      <c r="E95" s="59" t="s">
        <v>181</v>
      </c>
      <c r="F95" s="59"/>
      <c r="G95" s="213"/>
      <c r="H95" s="116">
        <f t="shared" ref="H95:H107" si="7">$H$49</f>
        <v>10.77</v>
      </c>
      <c r="I95" s="59">
        <f t="shared" si="3"/>
        <v>1990.3080154083154</v>
      </c>
      <c r="J95" s="59">
        <f t="shared" si="3"/>
        <v>0.18011152382782472</v>
      </c>
      <c r="K95" s="59">
        <f t="shared" si="3"/>
        <v>5.14604353793785E-2</v>
      </c>
      <c r="L95" s="127">
        <f t="shared" si="4"/>
        <v>2009.7240376769548</v>
      </c>
      <c r="M95" s="171"/>
      <c r="N95" s="129">
        <f t="shared" si="5"/>
        <v>7463.6550577811831</v>
      </c>
      <c r="O95" s="59">
        <f t="shared" si="5"/>
        <v>0.67541821435434279</v>
      </c>
      <c r="P95" s="126">
        <f t="shared" si="5"/>
        <v>0.19297663267266937</v>
      </c>
      <c r="Q95" s="127">
        <f t="shared" si="6"/>
        <v>7536.4651412885805</v>
      </c>
      <c r="S95" s="123" t="s">
        <v>299</v>
      </c>
    </row>
    <row r="96" spans="2:19">
      <c r="B96" s="1309"/>
      <c r="C96" s="59" t="s">
        <v>302</v>
      </c>
      <c r="D96" s="213">
        <v>4.0999999999999996</v>
      </c>
      <c r="E96" s="59" t="s">
        <v>181</v>
      </c>
      <c r="F96" s="59"/>
      <c r="G96" s="213"/>
      <c r="H96" s="116">
        <f t="shared" si="7"/>
        <v>10.77</v>
      </c>
      <c r="I96" s="59">
        <f t="shared" si="3"/>
        <v>948.86777478768522</v>
      </c>
      <c r="J96" s="59">
        <f t="shared" si="3"/>
        <v>8.5867121824893186E-2</v>
      </c>
      <c r="K96" s="59">
        <f t="shared" si="3"/>
        <v>2.4533463378540909E-2</v>
      </c>
      <c r="L96" s="127">
        <f t="shared" si="4"/>
        <v>958.12425052040862</v>
      </c>
      <c r="M96" s="171"/>
      <c r="N96" s="129">
        <f t="shared" si="5"/>
        <v>3558.2541554538197</v>
      </c>
      <c r="O96" s="59">
        <f t="shared" si="5"/>
        <v>0.32200170684334944</v>
      </c>
      <c r="P96" s="126">
        <f t="shared" si="5"/>
        <v>9.2000487669528411E-2</v>
      </c>
      <c r="Q96" s="127">
        <f t="shared" si="6"/>
        <v>3592.9659394515324</v>
      </c>
      <c r="S96" s="123" t="s">
        <v>299</v>
      </c>
    </row>
    <row r="97" spans="1:25">
      <c r="B97" s="1309"/>
      <c r="C97" s="59" t="s">
        <v>303</v>
      </c>
      <c r="D97" s="213">
        <v>1.5</v>
      </c>
      <c r="E97" s="59" t="s">
        <v>181</v>
      </c>
      <c r="F97" s="59"/>
      <c r="G97" s="213"/>
      <c r="H97" s="116">
        <f t="shared" si="7"/>
        <v>10.77</v>
      </c>
      <c r="I97" s="59">
        <f t="shared" si="3"/>
        <v>347.14674687354341</v>
      </c>
      <c r="J97" s="59">
        <f t="shared" si="3"/>
        <v>3.1414800667643857E-2</v>
      </c>
      <c r="K97" s="59">
        <f t="shared" si="3"/>
        <v>8.9756573336125297E-3</v>
      </c>
      <c r="L97" s="127">
        <f t="shared" si="4"/>
        <v>350.5332623855154</v>
      </c>
      <c r="M97" s="171"/>
      <c r="N97" s="129">
        <f t="shared" si="5"/>
        <v>1301.8003007757877</v>
      </c>
      <c r="O97" s="59">
        <f t="shared" si="5"/>
        <v>0.11780550250366445</v>
      </c>
      <c r="P97" s="126">
        <f t="shared" si="5"/>
        <v>3.3658715001046981E-2</v>
      </c>
      <c r="Q97" s="127">
        <f t="shared" si="6"/>
        <v>1314.4997339456827</v>
      </c>
      <c r="S97" s="123" t="s">
        <v>299</v>
      </c>
    </row>
    <row r="98" spans="1:25">
      <c r="B98" s="1309"/>
      <c r="C98" s="59" t="s">
        <v>304</v>
      </c>
      <c r="D98" s="213">
        <v>5</v>
      </c>
      <c r="E98" s="59" t="s">
        <v>181</v>
      </c>
      <c r="F98" s="59"/>
      <c r="G98" s="213"/>
      <c r="H98" s="116">
        <f t="shared" si="7"/>
        <v>10.77</v>
      </c>
      <c r="I98" s="59">
        <f t="shared" si="3"/>
        <v>1157.1558229118114</v>
      </c>
      <c r="J98" s="59">
        <f t="shared" si="3"/>
        <v>0.10471600222547951</v>
      </c>
      <c r="K98" s="59">
        <f t="shared" si="3"/>
        <v>2.9918857778708431E-2</v>
      </c>
      <c r="L98" s="127">
        <f t="shared" si="4"/>
        <v>1168.444207951718</v>
      </c>
      <c r="M98" s="171"/>
      <c r="N98" s="129">
        <f t="shared" si="5"/>
        <v>4339.3343359192922</v>
      </c>
      <c r="O98" s="59">
        <f t="shared" si="5"/>
        <v>0.39268500834554815</v>
      </c>
      <c r="P98" s="126">
        <f t="shared" si="5"/>
        <v>0.11219571667015663</v>
      </c>
      <c r="Q98" s="127">
        <f t="shared" si="6"/>
        <v>4381.6657798189426</v>
      </c>
      <c r="S98" s="123" t="s">
        <v>299</v>
      </c>
    </row>
    <row r="99" spans="1:25">
      <c r="B99" s="1309"/>
      <c r="C99" s="59" t="s">
        <v>305</v>
      </c>
      <c r="D99" s="213">
        <v>60.6</v>
      </c>
      <c r="E99" s="59" t="s">
        <v>181</v>
      </c>
      <c r="F99" s="59"/>
      <c r="G99" s="213"/>
      <c r="H99" s="116">
        <f t="shared" si="7"/>
        <v>10.77</v>
      </c>
      <c r="I99" s="59">
        <f t="shared" si="3"/>
        <v>14024.728573691153</v>
      </c>
      <c r="J99" s="59">
        <f t="shared" si="3"/>
        <v>1.2691579469728116</v>
      </c>
      <c r="K99" s="59">
        <f t="shared" si="3"/>
        <v>0.3626165562779462</v>
      </c>
      <c r="L99" s="127">
        <f t="shared" si="4"/>
        <v>14161.543800374822</v>
      </c>
      <c r="M99" s="171"/>
      <c r="N99" s="129">
        <f t="shared" si="5"/>
        <v>52592.732151341836</v>
      </c>
      <c r="O99" s="59">
        <f t="shared" si="5"/>
        <v>4.7593423011480445</v>
      </c>
      <c r="P99" s="126">
        <f t="shared" si="5"/>
        <v>1.3598120860422984</v>
      </c>
      <c r="Q99" s="127">
        <f t="shared" si="6"/>
        <v>53105.789251405586</v>
      </c>
      <c r="S99" s="123" t="s">
        <v>299</v>
      </c>
    </row>
    <row r="100" spans="1:25">
      <c r="B100" s="1309"/>
      <c r="C100" s="59" t="s">
        <v>306</v>
      </c>
      <c r="D100" s="213">
        <v>53.7</v>
      </c>
      <c r="E100" s="59" t="s">
        <v>181</v>
      </c>
      <c r="F100" s="59"/>
      <c r="G100" s="213"/>
      <c r="H100" s="116">
        <f t="shared" si="7"/>
        <v>10.77</v>
      </c>
      <c r="I100" s="59">
        <f t="shared" si="3"/>
        <v>12427.853538072854</v>
      </c>
      <c r="J100" s="59">
        <f t="shared" si="3"/>
        <v>1.12464986390165</v>
      </c>
      <c r="K100" s="59">
        <f t="shared" si="3"/>
        <v>0.3213285325433286</v>
      </c>
      <c r="L100" s="127">
        <f t="shared" si="4"/>
        <v>12549.090793401452</v>
      </c>
      <c r="M100" s="171"/>
      <c r="N100" s="129">
        <f t="shared" si="5"/>
        <v>46604.450767773204</v>
      </c>
      <c r="O100" s="59">
        <f t="shared" si="5"/>
        <v>4.217436989631187</v>
      </c>
      <c r="P100" s="126">
        <f t="shared" si="5"/>
        <v>1.204981997037482</v>
      </c>
      <c r="Q100" s="127">
        <f t="shared" si="6"/>
        <v>47059.090475255442</v>
      </c>
      <c r="S100" s="123" t="s">
        <v>299</v>
      </c>
    </row>
    <row r="101" spans="1:25">
      <c r="B101" s="1309"/>
      <c r="C101" s="59" t="s">
        <v>307</v>
      </c>
      <c r="D101" s="213">
        <v>11.8</v>
      </c>
      <c r="E101" s="59" t="s">
        <v>181</v>
      </c>
      <c r="F101" s="59"/>
      <c r="G101" s="213"/>
      <c r="H101" s="116">
        <f t="shared" si="7"/>
        <v>10.77</v>
      </c>
      <c r="I101" s="59">
        <f t="shared" si="3"/>
        <v>2730.887742071875</v>
      </c>
      <c r="J101" s="59">
        <f t="shared" si="3"/>
        <v>0.24712976525213168</v>
      </c>
      <c r="K101" s="59">
        <f t="shared" si="3"/>
        <v>7.06085043577519E-2</v>
      </c>
      <c r="L101" s="127">
        <f t="shared" si="4"/>
        <v>2757.5283307660548</v>
      </c>
      <c r="M101" s="171"/>
      <c r="N101" s="129">
        <f t="shared" si="5"/>
        <v>10240.82903276953</v>
      </c>
      <c r="O101" s="59">
        <f t="shared" si="5"/>
        <v>0.9267366196954937</v>
      </c>
      <c r="P101" s="126">
        <f t="shared" si="5"/>
        <v>0.2647818913415696</v>
      </c>
      <c r="Q101" s="127">
        <f t="shared" si="6"/>
        <v>10340.731240372705</v>
      </c>
      <c r="S101" s="123" t="s">
        <v>299</v>
      </c>
    </row>
    <row r="102" spans="1:25">
      <c r="B102" s="1309"/>
      <c r="C102" s="59" t="s">
        <v>308</v>
      </c>
      <c r="D102" s="213">
        <v>1</v>
      </c>
      <c r="E102" s="59" t="s">
        <v>181</v>
      </c>
      <c r="F102" s="59"/>
      <c r="G102" s="213"/>
      <c r="H102" s="116">
        <f t="shared" si="7"/>
        <v>10.77</v>
      </c>
      <c r="I102" s="59">
        <f t="shared" si="3"/>
        <v>231.43116458236227</v>
      </c>
      <c r="J102" s="59">
        <f t="shared" si="3"/>
        <v>2.09432004450959E-2</v>
      </c>
      <c r="K102" s="59">
        <f t="shared" si="3"/>
        <v>5.9837715557416859E-3</v>
      </c>
      <c r="L102" s="127">
        <f t="shared" si="4"/>
        <v>233.6888415903436</v>
      </c>
      <c r="M102" s="171"/>
      <c r="N102" s="129">
        <f t="shared" si="5"/>
        <v>867.86686718385852</v>
      </c>
      <c r="O102" s="59">
        <f t="shared" si="5"/>
        <v>7.8537001669109638E-2</v>
      </c>
      <c r="P102" s="126">
        <f t="shared" si="5"/>
        <v>2.2439143334031322E-2</v>
      </c>
      <c r="Q102" s="127">
        <f>$Q$107*$D102</f>
        <v>876.3331559637885</v>
      </c>
      <c r="S102" s="123" t="s">
        <v>299</v>
      </c>
    </row>
    <row r="103" spans="1:25">
      <c r="B103" s="1309"/>
      <c r="C103" s="59" t="s">
        <v>309</v>
      </c>
      <c r="D103" s="213">
        <v>148</v>
      </c>
      <c r="E103" s="59" t="s">
        <v>181</v>
      </c>
      <c r="F103" s="59"/>
      <c r="G103" s="213"/>
      <c r="H103" s="116">
        <f t="shared" si="7"/>
        <v>10.77</v>
      </c>
      <c r="I103" s="59">
        <f t="shared" si="3"/>
        <v>34251.812358189614</v>
      </c>
      <c r="J103" s="59">
        <f t="shared" si="3"/>
        <v>3.0995936658741932</v>
      </c>
      <c r="K103" s="59">
        <f t="shared" si="3"/>
        <v>0.88559819024976949</v>
      </c>
      <c r="L103" s="127">
        <f t="shared" si="4"/>
        <v>34585.948555370851</v>
      </c>
      <c r="M103" s="171"/>
      <c r="N103" s="129">
        <f t="shared" si="5"/>
        <v>128444.29634321106</v>
      </c>
      <c r="O103" s="59">
        <f t="shared" si="5"/>
        <v>11.623476247028226</v>
      </c>
      <c r="P103" s="126">
        <f t="shared" si="5"/>
        <v>3.320993213436636</v>
      </c>
      <c r="Q103" s="127">
        <f t="shared" si="6"/>
        <v>129697.30708264069</v>
      </c>
      <c r="S103" s="123" t="s">
        <v>299</v>
      </c>
    </row>
    <row r="104" spans="1:25">
      <c r="B104" s="1309"/>
      <c r="C104" s="59" t="s">
        <v>310</v>
      </c>
      <c r="D104" s="213">
        <v>26.2</v>
      </c>
      <c r="E104" s="59" t="s">
        <v>181</v>
      </c>
      <c r="F104" s="59"/>
      <c r="G104" s="213"/>
      <c r="H104" s="116">
        <f t="shared" si="7"/>
        <v>10.77</v>
      </c>
      <c r="I104" s="59">
        <f>$L104*I$49/$L$49</f>
        <v>6063.4965120578909</v>
      </c>
      <c r="J104" s="59">
        <f>$L104*J$49/$L$49</f>
        <v>0.5487118516615126</v>
      </c>
      <c r="K104" s="59">
        <f>$L104*K$49/$L$49</f>
        <v>0.15677481476043217</v>
      </c>
      <c r="L104" s="127">
        <f>$L$107*$D104</f>
        <v>6122.647649667002</v>
      </c>
      <c r="M104" s="171"/>
      <c r="N104" s="129">
        <f>$Q104*I$49/$L$49</f>
        <v>22738.111920217092</v>
      </c>
      <c r="O104" s="59">
        <f>$Q104*J$49/$L$49</f>
        <v>2.0576694437306724</v>
      </c>
      <c r="P104" s="126">
        <f t="shared" si="5"/>
        <v>0.5879055553516207</v>
      </c>
      <c r="Q104" s="127">
        <f>$Q$107*$D104</f>
        <v>22959.928686251256</v>
      </c>
      <c r="S104" s="123" t="s">
        <v>299</v>
      </c>
    </row>
    <row r="105" spans="1:25">
      <c r="B105" s="1309"/>
      <c r="C105" s="217"/>
      <c r="D105" s="218"/>
      <c r="E105" s="218"/>
      <c r="F105" s="218"/>
      <c r="G105" s="218"/>
      <c r="H105" s="219"/>
      <c r="I105" s="220"/>
      <c r="J105" s="217"/>
      <c r="K105" s="221"/>
      <c r="L105" s="222"/>
      <c r="M105" s="171"/>
      <c r="N105" s="223"/>
      <c r="O105" s="217"/>
      <c r="P105" s="221"/>
      <c r="Q105" s="222"/>
      <c r="S105" s="123"/>
    </row>
    <row r="106" spans="1:25" ht="18">
      <c r="B106" s="1309"/>
      <c r="C106" s="224"/>
      <c r="D106" s="225"/>
      <c r="E106" s="225"/>
      <c r="F106" s="225"/>
      <c r="G106" s="225"/>
      <c r="H106" s="226"/>
      <c r="I106" s="227" t="s">
        <v>270</v>
      </c>
      <c r="J106" s="228" t="s">
        <v>271</v>
      </c>
      <c r="K106" s="228" t="s">
        <v>272</v>
      </c>
      <c r="L106" s="229" t="s">
        <v>273</v>
      </c>
      <c r="M106" s="171"/>
      <c r="N106" s="230" t="s">
        <v>311</v>
      </c>
      <c r="O106" s="228" t="s">
        <v>312</v>
      </c>
      <c r="P106" s="228" t="s">
        <v>313</v>
      </c>
      <c r="Q106" s="229" t="s">
        <v>314</v>
      </c>
      <c r="S106" s="123"/>
    </row>
    <row r="107" spans="1:25">
      <c r="B107" s="1309"/>
      <c r="C107" s="59" t="s">
        <v>315</v>
      </c>
      <c r="D107" s="213"/>
      <c r="E107" s="59" t="s">
        <v>181</v>
      </c>
      <c r="F107" s="59"/>
      <c r="G107" s="213"/>
      <c r="H107" s="116">
        <f t="shared" si="7"/>
        <v>10.77</v>
      </c>
      <c r="I107" s="210">
        <f>$L$107*I49/$L$49</f>
        <v>231.43116458236227</v>
      </c>
      <c r="J107" s="59">
        <f>$L$107*J49/$L$49</f>
        <v>2.09432004450959E-2</v>
      </c>
      <c r="K107" s="126">
        <f>$L$107*K49/$L$49</f>
        <v>5.9837715557416859E-3</v>
      </c>
      <c r="L107" s="127">
        <v>233.6888415903436</v>
      </c>
      <c r="M107" s="171"/>
      <c r="N107" s="129">
        <f>$Q$107*I49/$L$49</f>
        <v>867.86686718385852</v>
      </c>
      <c r="O107" s="59">
        <f>$Q$107*J49/$L$49</f>
        <v>7.8537001669109638E-2</v>
      </c>
      <c r="P107" s="126">
        <f>$Q$107*K49/$L$49</f>
        <v>2.2439143334031322E-2</v>
      </c>
      <c r="Q107" s="127">
        <v>876.3331559637885</v>
      </c>
      <c r="S107" s="123" t="s">
        <v>299</v>
      </c>
    </row>
    <row r="108" spans="1:25" ht="15.75" thickBot="1">
      <c r="B108" s="1310"/>
      <c r="C108" s="62"/>
      <c r="D108" s="215"/>
      <c r="E108" s="215"/>
      <c r="F108" s="231"/>
      <c r="G108" s="231"/>
      <c r="H108" s="232"/>
      <c r="I108" s="216"/>
      <c r="J108" s="136"/>
      <c r="K108" s="142"/>
      <c r="L108" s="205"/>
      <c r="M108" s="171"/>
      <c r="N108" s="145"/>
      <c r="O108" s="136"/>
      <c r="P108" s="142"/>
      <c r="Q108" s="205"/>
      <c r="S108" s="147"/>
    </row>
    <row r="109" spans="1:25" ht="15.75" thickBot="1">
      <c r="A109" s="86"/>
    </row>
    <row r="110" spans="1:25" ht="19.5" thickBot="1">
      <c r="A110" s="86"/>
      <c r="B110" s="543" t="s">
        <v>316</v>
      </c>
      <c r="C110" s="540"/>
      <c r="D110" s="540"/>
      <c r="E110" s="540"/>
      <c r="F110" s="540"/>
      <c r="G110" s="541"/>
      <c r="H110" s="541"/>
      <c r="I110" s="56"/>
      <c r="J110" s="56"/>
      <c r="K110" s="56"/>
      <c r="L110" s="542" t="s">
        <v>155</v>
      </c>
      <c r="M110" s="56"/>
      <c r="N110" s="56"/>
      <c r="O110" s="56"/>
      <c r="P110" s="56"/>
      <c r="Q110" s="56"/>
      <c r="R110" s="90"/>
      <c r="S110" s="539" t="s">
        <v>156</v>
      </c>
      <c r="Y110" s="91"/>
    </row>
    <row r="111" spans="1:25" ht="16.5">
      <c r="B111" s="191"/>
      <c r="C111" s="192"/>
      <c r="D111" s="192" t="s">
        <v>317</v>
      </c>
      <c r="E111" s="192"/>
      <c r="F111" s="192"/>
      <c r="G111" s="96" t="s">
        <v>157</v>
      </c>
      <c r="H111" s="96" t="s">
        <v>158</v>
      </c>
      <c r="I111" s="158" t="s">
        <v>215</v>
      </c>
      <c r="J111" s="192" t="s">
        <v>216</v>
      </c>
      <c r="K111" s="192" t="s">
        <v>217</v>
      </c>
      <c r="L111" s="98" t="s">
        <v>162</v>
      </c>
      <c r="M111" s="159"/>
      <c r="N111" s="159"/>
      <c r="O111" s="192" t="s">
        <v>318</v>
      </c>
      <c r="P111" s="192" t="s">
        <v>319</v>
      </c>
      <c r="Q111" s="192" t="s">
        <v>320</v>
      </c>
      <c r="S111" s="193"/>
    </row>
    <row r="112" spans="1:25" ht="18">
      <c r="B112" s="103" t="s">
        <v>266</v>
      </c>
      <c r="C112" s="104" t="s">
        <v>321</v>
      </c>
      <c r="D112" s="104" t="s">
        <v>322</v>
      </c>
      <c r="E112" s="104" t="s">
        <v>166</v>
      </c>
      <c r="F112" s="104" t="s">
        <v>167</v>
      </c>
      <c r="G112" s="107" t="s">
        <v>168</v>
      </c>
      <c r="H112" s="107" t="s">
        <v>169</v>
      </c>
      <c r="I112" s="164" t="s">
        <v>323</v>
      </c>
      <c r="J112" s="104" t="s">
        <v>324</v>
      </c>
      <c r="K112" s="104" t="s">
        <v>325</v>
      </c>
      <c r="L112" s="109" t="s">
        <v>326</v>
      </c>
      <c r="M112" s="159"/>
      <c r="N112" s="159"/>
      <c r="O112" s="104" t="s">
        <v>327</v>
      </c>
      <c r="P112" s="104" t="s">
        <v>328</v>
      </c>
      <c r="Q112" s="104" t="s">
        <v>329</v>
      </c>
      <c r="S112" s="194"/>
    </row>
    <row r="113" spans="2:19">
      <c r="B113" s="1308" t="s">
        <v>330</v>
      </c>
      <c r="C113" s="233" t="s">
        <v>331</v>
      </c>
      <c r="D113" s="213">
        <f t="shared" ref="D113:D155" si="8">Q113/O113</f>
        <v>121.60347523221405</v>
      </c>
      <c r="E113" s="59" t="s">
        <v>181</v>
      </c>
      <c r="F113" s="59" t="s">
        <v>77</v>
      </c>
      <c r="G113" s="116">
        <v>0.89012999999999998</v>
      </c>
      <c r="H113" s="116">
        <f>$H$49</f>
        <v>10.77</v>
      </c>
      <c r="I113" s="234">
        <f>$D113*I$49</f>
        <v>383780.56783286756</v>
      </c>
      <c r="J113" s="211">
        <f t="shared" ref="J113:K202" si="9">$D113*J$49</f>
        <v>34.729952526320339</v>
      </c>
      <c r="K113" s="235">
        <f t="shared" si="9"/>
        <v>9.9228435789486671</v>
      </c>
      <c r="L113" s="236">
        <f>I113*PRP!$J$8+J113*PRP!$J$9+K113*PRP!$J$10</f>
        <v>387524.45671520493</v>
      </c>
      <c r="M113" s="171"/>
      <c r="N113" s="171"/>
      <c r="O113" s="59">
        <v>710</v>
      </c>
      <c r="P113" s="237">
        <v>30277</v>
      </c>
      <c r="Q113" s="237">
        <f t="shared" ref="Q113:Q140" si="10">(16.904 + 0.00198*P113 )*1000/G113</f>
        <v>86338.467414871979</v>
      </c>
      <c r="S113" s="123" t="s">
        <v>332</v>
      </c>
    </row>
    <row r="114" spans="2:19">
      <c r="B114" s="1309"/>
      <c r="C114" s="233" t="s">
        <v>333</v>
      </c>
      <c r="D114" s="213">
        <f t="shared" si="8"/>
        <v>128.47986222451186</v>
      </c>
      <c r="E114" s="59" t="s">
        <v>181</v>
      </c>
      <c r="F114" s="59" t="s">
        <v>77</v>
      </c>
      <c r="G114" s="116">
        <v>0.89012999999999998</v>
      </c>
      <c r="H114" s="116">
        <f>$H$49</f>
        <v>10.77</v>
      </c>
      <c r="I114" s="234">
        <f t="shared" ref="I114:I202" si="11">$D114*I$49</f>
        <v>405482.44518055941</v>
      </c>
      <c r="J114" s="211">
        <f t="shared" si="9"/>
        <v>36.693848651320593</v>
      </c>
      <c r="K114" s="235">
        <f t="shared" si="9"/>
        <v>10.483956757520168</v>
      </c>
      <c r="L114" s="236">
        <f>I114*PRP!$J$8+J114*PRP!$J$9+K114*PRP!$J$10</f>
        <v>409438.04206517176</v>
      </c>
      <c r="M114" s="171"/>
      <c r="N114" s="171"/>
      <c r="O114" s="59">
        <v>672</v>
      </c>
      <c r="P114" s="237">
        <v>30277</v>
      </c>
      <c r="Q114" s="237">
        <f t="shared" si="10"/>
        <v>86338.467414871979</v>
      </c>
      <c r="S114" s="123" t="s">
        <v>332</v>
      </c>
    </row>
    <row r="115" spans="2:19">
      <c r="B115" s="1309"/>
      <c r="C115" s="233" t="s">
        <v>334</v>
      </c>
      <c r="D115" s="213">
        <f t="shared" si="8"/>
        <v>122.63986848703406</v>
      </c>
      <c r="E115" s="59" t="s">
        <v>181</v>
      </c>
      <c r="F115" s="59" t="s">
        <v>77</v>
      </c>
      <c r="G115" s="116">
        <v>0.89012999999999998</v>
      </c>
      <c r="H115" s="116">
        <f t="shared" ref="H115:H202" si="12">$H$49</f>
        <v>10.77</v>
      </c>
      <c r="I115" s="234">
        <f t="shared" si="11"/>
        <v>387051.42494507949</v>
      </c>
      <c r="J115" s="211">
        <f t="shared" si="9"/>
        <v>35.025946439896934</v>
      </c>
      <c r="K115" s="235">
        <f t="shared" si="9"/>
        <v>10.007413268541981</v>
      </c>
      <c r="L115" s="236">
        <f>I115*PRP!$J$8+J115*PRP!$J$9+K115*PRP!$J$10</f>
        <v>390827.22197130037</v>
      </c>
      <c r="M115" s="171"/>
      <c r="N115" s="171"/>
      <c r="O115" s="59">
        <v>704</v>
      </c>
      <c r="P115" s="237">
        <v>30277</v>
      </c>
      <c r="Q115" s="237">
        <f t="shared" si="10"/>
        <v>86338.467414871979</v>
      </c>
      <c r="S115" s="123" t="s">
        <v>332</v>
      </c>
    </row>
    <row r="116" spans="2:19">
      <c r="B116" s="1309"/>
      <c r="C116" s="233" t="s">
        <v>335</v>
      </c>
      <c r="D116" s="213">
        <f t="shared" si="8"/>
        <v>119.58236484054291</v>
      </c>
      <c r="E116" s="59" t="s">
        <v>181</v>
      </c>
      <c r="F116" s="59" t="s">
        <v>77</v>
      </c>
      <c r="G116" s="116">
        <v>0.89012999999999998</v>
      </c>
      <c r="H116" s="116">
        <f t="shared" si="12"/>
        <v>10.77</v>
      </c>
      <c r="I116" s="234">
        <f t="shared" si="11"/>
        <v>377401.94343675341</v>
      </c>
      <c r="J116" s="211">
        <f>$D116*J$49</f>
        <v>34.152723398459059</v>
      </c>
      <c r="K116" s="235">
        <f t="shared" si="9"/>
        <v>9.7579209709883017</v>
      </c>
      <c r="L116" s="236">
        <f>I116*PRP!$J$8+J116*PRP!$J$9+K116*PRP!$J$10</f>
        <v>381083.60701910726</v>
      </c>
      <c r="M116" s="171"/>
      <c r="N116" s="171"/>
      <c r="O116" s="59">
        <v>722</v>
      </c>
      <c r="P116" s="237">
        <v>30277</v>
      </c>
      <c r="Q116" s="237">
        <f t="shared" si="10"/>
        <v>86338.467414871979</v>
      </c>
      <c r="S116" s="123" t="s">
        <v>332</v>
      </c>
    </row>
    <row r="117" spans="2:19">
      <c r="B117" s="1309"/>
      <c r="C117" s="233" t="s">
        <v>336</v>
      </c>
      <c r="D117" s="213">
        <f t="shared" si="8"/>
        <v>83.512663735941615</v>
      </c>
      <c r="E117" s="59" t="s">
        <v>181</v>
      </c>
      <c r="F117" s="59" t="s">
        <v>77</v>
      </c>
      <c r="G117" s="116">
        <v>0.89012999999999998</v>
      </c>
      <c r="H117" s="116">
        <f t="shared" si="12"/>
        <v>10.77</v>
      </c>
      <c r="I117" s="234">
        <f t="shared" si="11"/>
        <v>263565.96675063175</v>
      </c>
      <c r="J117" s="211">
        <f t="shared" si="9"/>
        <v>23.851216762984926</v>
      </c>
      <c r="K117" s="235">
        <f t="shared" si="9"/>
        <v>6.8146333608528362</v>
      </c>
      <c r="L117" s="236">
        <f>I117*PRP!$J$8+J117*PRP!$J$9+K117*PRP!$J$10</f>
        <v>266137.12791768153</v>
      </c>
      <c r="M117" s="171"/>
      <c r="N117" s="171"/>
      <c r="O117" s="59">
        <v>3690</v>
      </c>
      <c r="P117" s="237">
        <v>130000</v>
      </c>
      <c r="Q117" s="237">
        <f t="shared" si="10"/>
        <v>308161.72918562457</v>
      </c>
      <c r="S117" s="123" t="s">
        <v>332</v>
      </c>
    </row>
    <row r="118" spans="2:19">
      <c r="B118" s="1309"/>
      <c r="C118" s="233" t="s">
        <v>337</v>
      </c>
      <c r="D118" s="213">
        <f t="shared" si="8"/>
        <v>79.653251954922212</v>
      </c>
      <c r="E118" s="59" t="s">
        <v>181</v>
      </c>
      <c r="F118" s="59" t="s">
        <v>77</v>
      </c>
      <c r="G118" s="116">
        <v>0.89012999999999998</v>
      </c>
      <c r="H118" s="116">
        <f t="shared" si="12"/>
        <v>10.77</v>
      </c>
      <c r="I118" s="234">
        <f t="shared" si="11"/>
        <v>251385.6631697345</v>
      </c>
      <c r="J118" s="211">
        <f t="shared" si="9"/>
        <v>22.748968758325784</v>
      </c>
      <c r="K118" s="235">
        <f t="shared" si="9"/>
        <v>6.499705359521653</v>
      </c>
      <c r="L118" s="236">
        <f>I118*PRP!$J$8+J118*PRP!$J$9+K118*PRP!$J$10</f>
        <v>253838.00200188204</v>
      </c>
      <c r="M118" s="171"/>
      <c r="N118" s="171"/>
      <c r="O118" s="59">
        <v>5374</v>
      </c>
      <c r="P118" s="237">
        <v>183900</v>
      </c>
      <c r="Q118" s="237">
        <f t="shared" si="10"/>
        <v>428056.57600575197</v>
      </c>
      <c r="S118" s="123" t="s">
        <v>332</v>
      </c>
    </row>
    <row r="119" spans="2:19">
      <c r="B119" s="1309"/>
      <c r="C119" s="233" t="s">
        <v>338</v>
      </c>
      <c r="D119" s="213">
        <f t="shared" si="8"/>
        <v>88.65966556602875</v>
      </c>
      <c r="E119" s="59" t="s">
        <v>181</v>
      </c>
      <c r="F119" s="59" t="s">
        <v>77</v>
      </c>
      <c r="G119" s="116">
        <v>0.89012999999999998</v>
      </c>
      <c r="H119" s="116">
        <f t="shared" si="12"/>
        <v>10.77</v>
      </c>
      <c r="I119" s="234">
        <f t="shared" si="11"/>
        <v>279809.90452638676</v>
      </c>
      <c r="J119" s="211">
        <f t="shared" si="9"/>
        <v>25.321200485657812</v>
      </c>
      <c r="K119" s="235">
        <f t="shared" si="9"/>
        <v>7.2346287101879465</v>
      </c>
      <c r="L119" s="236">
        <f>I119*PRP!$J$8+J119*PRP!$J$9+K119*PRP!$J$10</f>
        <v>282539.52993874066</v>
      </c>
      <c r="M119" s="171"/>
      <c r="N119" s="171"/>
      <c r="O119" s="59">
        <v>2974</v>
      </c>
      <c r="P119" s="237">
        <v>110000</v>
      </c>
      <c r="Q119" s="237">
        <f t="shared" si="10"/>
        <v>263673.8453933695</v>
      </c>
      <c r="S119" s="123" t="s">
        <v>332</v>
      </c>
    </row>
    <row r="120" spans="2:19">
      <c r="B120" s="1309"/>
      <c r="C120" s="233" t="s">
        <v>339</v>
      </c>
      <c r="D120" s="213">
        <f t="shared" si="8"/>
        <v>84.520496211087377</v>
      </c>
      <c r="E120" s="59" t="s">
        <v>181</v>
      </c>
      <c r="F120" s="59" t="s">
        <v>77</v>
      </c>
      <c r="G120" s="116">
        <v>0.89012999999999998</v>
      </c>
      <c r="H120" s="116">
        <f t="shared" si="12"/>
        <v>10.77</v>
      </c>
      <c r="I120" s="234">
        <f t="shared" si="11"/>
        <v>266746.68604219175</v>
      </c>
      <c r="J120" s="211">
        <f t="shared" si="9"/>
        <v>24.139053717886558</v>
      </c>
      <c r="K120" s="235">
        <f t="shared" si="9"/>
        <v>6.8968724908247303</v>
      </c>
      <c r="L120" s="236">
        <f>I120*PRP!$J$8+J120*PRP!$J$9+K120*PRP!$J$10</f>
        <v>269348.87603297993</v>
      </c>
      <c r="M120" s="171"/>
      <c r="N120" s="171"/>
      <c r="O120" s="59">
        <v>3646</v>
      </c>
      <c r="P120" s="237">
        <v>130000</v>
      </c>
      <c r="Q120" s="237">
        <f t="shared" si="10"/>
        <v>308161.72918562457</v>
      </c>
      <c r="S120" s="123" t="s">
        <v>332</v>
      </c>
    </row>
    <row r="121" spans="2:19">
      <c r="B121" s="1309"/>
      <c r="C121" s="233" t="s">
        <v>340</v>
      </c>
      <c r="D121" s="213">
        <f t="shared" si="8"/>
        <v>85.533348185403156</v>
      </c>
      <c r="E121" s="59" t="s">
        <v>181</v>
      </c>
      <c r="F121" s="59" t="s">
        <v>77</v>
      </c>
      <c r="G121" s="116">
        <v>0.89012999999999998</v>
      </c>
      <c r="H121" s="116">
        <f t="shared" si="12"/>
        <v>10.77</v>
      </c>
      <c r="I121" s="234">
        <f t="shared" si="11"/>
        <v>269943.24687313236</v>
      </c>
      <c r="J121" s="211">
        <f t="shared" si="9"/>
        <v>24.428324241751142</v>
      </c>
      <c r="K121" s="235">
        <f t="shared" si="9"/>
        <v>6.9795212119288976</v>
      </c>
      <c r="L121" s="236">
        <f>I121*PRP!$J$8+J121*PRP!$J$9+K121*PRP!$J$10</f>
        <v>272576.6202263931</v>
      </c>
      <c r="M121" s="171"/>
      <c r="N121" s="171"/>
      <c r="O121" s="59">
        <v>2052</v>
      </c>
      <c r="P121" s="237">
        <v>70367</v>
      </c>
      <c r="Q121" s="237">
        <f t="shared" si="10"/>
        <v>175514.43047644728</v>
      </c>
      <c r="S121" s="123" t="s">
        <v>332</v>
      </c>
    </row>
    <row r="122" spans="2:19">
      <c r="B122" s="1309"/>
      <c r="C122" s="233" t="s">
        <v>341</v>
      </c>
      <c r="D122" s="213">
        <f t="shared" si="8"/>
        <v>88.65966556602875</v>
      </c>
      <c r="E122" s="59" t="s">
        <v>181</v>
      </c>
      <c r="F122" s="59" t="s">
        <v>77</v>
      </c>
      <c r="G122" s="116">
        <v>0.89012999999999998</v>
      </c>
      <c r="H122" s="116">
        <f t="shared" si="12"/>
        <v>10.77</v>
      </c>
      <c r="I122" s="234">
        <f t="shared" si="11"/>
        <v>279809.90452638676</v>
      </c>
      <c r="J122" s="211">
        <f t="shared" si="9"/>
        <v>25.321200485657812</v>
      </c>
      <c r="K122" s="235">
        <f t="shared" si="9"/>
        <v>7.2346287101879465</v>
      </c>
      <c r="L122" s="236">
        <f>I122*PRP!$J$8+J122*PRP!$J$9+K122*PRP!$J$10</f>
        <v>282539.52993874066</v>
      </c>
      <c r="M122" s="171"/>
      <c r="N122" s="171"/>
      <c r="O122" s="59">
        <v>2974</v>
      </c>
      <c r="P122" s="237">
        <v>110000</v>
      </c>
      <c r="Q122" s="237">
        <f t="shared" si="10"/>
        <v>263673.8453933695</v>
      </c>
      <c r="S122" s="123" t="s">
        <v>332</v>
      </c>
    </row>
    <row r="123" spans="2:19">
      <c r="B123" s="1309"/>
      <c r="C123" s="233" t="s">
        <v>342</v>
      </c>
      <c r="D123" s="213">
        <f t="shared" si="8"/>
        <v>88.65966556602875</v>
      </c>
      <c r="E123" s="59" t="s">
        <v>181</v>
      </c>
      <c r="F123" s="59" t="s">
        <v>77</v>
      </c>
      <c r="G123" s="116">
        <v>0.89012999999999998</v>
      </c>
      <c r="H123" s="116">
        <f t="shared" si="12"/>
        <v>10.77</v>
      </c>
      <c r="I123" s="234">
        <f t="shared" si="11"/>
        <v>279809.90452638676</v>
      </c>
      <c r="J123" s="211">
        <f t="shared" si="9"/>
        <v>25.321200485657812</v>
      </c>
      <c r="K123" s="235">
        <f t="shared" si="9"/>
        <v>7.2346287101879465</v>
      </c>
      <c r="L123" s="236">
        <f>I123*PRP!$J$8+J123*PRP!$J$9+K123*PRP!$J$10</f>
        <v>282539.52993874066</v>
      </c>
      <c r="M123" s="171"/>
      <c r="N123" s="171"/>
      <c r="O123" s="59">
        <v>2974</v>
      </c>
      <c r="P123" s="237">
        <v>110000</v>
      </c>
      <c r="Q123" s="237">
        <f t="shared" si="10"/>
        <v>263673.8453933695</v>
      </c>
      <c r="S123" s="123" t="s">
        <v>332</v>
      </c>
    </row>
    <row r="124" spans="2:19">
      <c r="B124" s="1309"/>
      <c r="C124" s="233" t="s">
        <v>343</v>
      </c>
      <c r="D124" s="213">
        <f t="shared" si="8"/>
        <v>80.393666373859858</v>
      </c>
      <c r="E124" s="59" t="s">
        <v>181</v>
      </c>
      <c r="F124" s="59" t="s">
        <v>77</v>
      </c>
      <c r="G124" s="116">
        <v>0.89012999999999998</v>
      </c>
      <c r="H124" s="116">
        <f t="shared" si="12"/>
        <v>10.77</v>
      </c>
      <c r="I124" s="234">
        <f t="shared" si="11"/>
        <v>253722.41107590171</v>
      </c>
      <c r="J124" s="211">
        <f t="shared" si="9"/>
        <v>22.960431116374377</v>
      </c>
      <c r="K124" s="235">
        <f t="shared" si="9"/>
        <v>6.5601231761069645</v>
      </c>
      <c r="L124" s="236">
        <f>I124*PRP!$J$8+J124*PRP!$J$9+K124*PRP!$J$10</f>
        <v>256197.54555024687</v>
      </c>
      <c r="M124" s="171"/>
      <c r="N124" s="171"/>
      <c r="O124" s="59">
        <v>3930</v>
      </c>
      <c r="P124" s="237">
        <v>133500</v>
      </c>
      <c r="Q124" s="237">
        <f t="shared" si="10"/>
        <v>315947.10884926922</v>
      </c>
      <c r="S124" s="123" t="s">
        <v>332</v>
      </c>
    </row>
    <row r="125" spans="2:19">
      <c r="B125" s="1309"/>
      <c r="C125" s="233" t="s">
        <v>344</v>
      </c>
      <c r="D125" s="213">
        <f t="shared" si="8"/>
        <v>79.653251954922212</v>
      </c>
      <c r="E125" s="59" t="s">
        <v>181</v>
      </c>
      <c r="F125" s="59" t="s">
        <v>77</v>
      </c>
      <c r="G125" s="116">
        <v>0.89012999999999998</v>
      </c>
      <c r="H125" s="116">
        <f t="shared" si="12"/>
        <v>10.77</v>
      </c>
      <c r="I125" s="234">
        <f t="shared" si="11"/>
        <v>251385.6631697345</v>
      </c>
      <c r="J125" s="211">
        <f t="shared" si="9"/>
        <v>22.748968758325784</v>
      </c>
      <c r="K125" s="235">
        <f t="shared" si="9"/>
        <v>6.499705359521653</v>
      </c>
      <c r="L125" s="236">
        <f>I125*PRP!$J$8+J125*PRP!$J$9+K125*PRP!$J$10</f>
        <v>253838.00200188204</v>
      </c>
      <c r="M125" s="171"/>
      <c r="N125" s="171"/>
      <c r="O125" s="59">
        <v>5374</v>
      </c>
      <c r="P125" s="237">
        <v>183900</v>
      </c>
      <c r="Q125" s="237">
        <f t="shared" si="10"/>
        <v>428056.57600575197</v>
      </c>
      <c r="S125" s="123" t="s">
        <v>332</v>
      </c>
    </row>
    <row r="126" spans="2:19">
      <c r="B126" s="1309"/>
      <c r="C126" s="233" t="s">
        <v>345</v>
      </c>
      <c r="D126" s="213">
        <f t="shared" si="8"/>
        <v>101.6239973242445</v>
      </c>
      <c r="E126" s="59" t="s">
        <v>181</v>
      </c>
      <c r="F126" s="59" t="s">
        <v>77</v>
      </c>
      <c r="G126" s="116">
        <v>0.89012999999999998</v>
      </c>
      <c r="H126" s="116">
        <f t="shared" si="12"/>
        <v>10.77</v>
      </c>
      <c r="I126" s="234">
        <f t="shared" si="11"/>
        <v>320725.33555531566</v>
      </c>
      <c r="J126" s="211">
        <f t="shared" si="9"/>
        <v>29.023813635804231</v>
      </c>
      <c r="K126" s="235">
        <f t="shared" si="9"/>
        <v>8.2925181816583518</v>
      </c>
      <c r="L126" s="236">
        <f>I126*PRP!$J$8+J126*PRP!$J$9+K126*PRP!$J$10</f>
        <v>323854.10266525537</v>
      </c>
      <c r="M126" s="171"/>
      <c r="N126" s="171"/>
      <c r="O126" s="59">
        <v>2124</v>
      </c>
      <c r="P126" s="237">
        <v>88500</v>
      </c>
      <c r="Q126" s="237">
        <f t="shared" si="10"/>
        <v>215849.37031669531</v>
      </c>
      <c r="S126" s="123" t="s">
        <v>332</v>
      </c>
    </row>
    <row r="127" spans="2:19">
      <c r="B127" s="1309"/>
      <c r="C127" s="233" t="s">
        <v>346</v>
      </c>
      <c r="D127" s="213">
        <f t="shared" si="8"/>
        <v>88.65966556602875</v>
      </c>
      <c r="E127" s="59" t="s">
        <v>181</v>
      </c>
      <c r="F127" s="59" t="s">
        <v>77</v>
      </c>
      <c r="G127" s="116">
        <v>0.89012999999999998</v>
      </c>
      <c r="H127" s="116">
        <f t="shared" si="12"/>
        <v>10.77</v>
      </c>
      <c r="I127" s="234">
        <f t="shared" si="11"/>
        <v>279809.90452638676</v>
      </c>
      <c r="J127" s="211">
        <f t="shared" si="9"/>
        <v>25.321200485657812</v>
      </c>
      <c r="K127" s="235">
        <f t="shared" si="9"/>
        <v>7.2346287101879465</v>
      </c>
      <c r="L127" s="236">
        <f>I127*PRP!$J$8+J127*PRP!$J$9+K127*PRP!$J$10</f>
        <v>282539.52993874066</v>
      </c>
      <c r="M127" s="171"/>
      <c r="N127" s="171"/>
      <c r="O127" s="59">
        <v>2974</v>
      </c>
      <c r="P127" s="237">
        <v>110000</v>
      </c>
      <c r="Q127" s="237">
        <f t="shared" si="10"/>
        <v>263673.8453933695</v>
      </c>
      <c r="S127" s="123" t="s">
        <v>332</v>
      </c>
    </row>
    <row r="128" spans="2:19">
      <c r="B128" s="1309"/>
      <c r="C128" s="233" t="s">
        <v>347</v>
      </c>
      <c r="D128" s="213">
        <f t="shared" si="8"/>
        <v>99.662085750823522</v>
      </c>
      <c r="E128" s="59" t="s">
        <v>181</v>
      </c>
      <c r="F128" s="59" t="s">
        <v>77</v>
      </c>
      <c r="G128" s="116">
        <v>0.89012999999999998</v>
      </c>
      <c r="H128" s="116">
        <f t="shared" si="12"/>
        <v>10.77</v>
      </c>
      <c r="I128" s="234">
        <f t="shared" si="11"/>
        <v>314533.54262959905</v>
      </c>
      <c r="J128" s="211">
        <f t="shared" si="9"/>
        <v>28.463491690435198</v>
      </c>
      <c r="K128" s="235">
        <f t="shared" si="9"/>
        <v>8.1324261972672005</v>
      </c>
      <c r="L128" s="236">
        <f>I128*PRP!$J$8+J128*PRP!$J$9+K128*PRP!$J$10</f>
        <v>317601.90703382797</v>
      </c>
      <c r="M128" s="171"/>
      <c r="N128" s="171"/>
      <c r="O128" s="59">
        <v>2260</v>
      </c>
      <c r="P128" s="237">
        <v>92720</v>
      </c>
      <c r="Q128" s="237">
        <f t="shared" si="10"/>
        <v>225236.31379686116</v>
      </c>
      <c r="S128" s="123" t="s">
        <v>332</v>
      </c>
    </row>
    <row r="129" spans="2:19">
      <c r="B129" s="1309"/>
      <c r="C129" s="233" t="s">
        <v>348</v>
      </c>
      <c r="D129" s="213">
        <f t="shared" si="8"/>
        <v>83.300312892594377</v>
      </c>
      <c r="E129" s="59" t="s">
        <v>181</v>
      </c>
      <c r="F129" s="59" t="s">
        <v>77</v>
      </c>
      <c r="G129" s="116">
        <v>0.89012999999999998</v>
      </c>
      <c r="H129" s="116">
        <f t="shared" si="12"/>
        <v>10.77</v>
      </c>
      <c r="I129" s="234">
        <f t="shared" si="11"/>
        <v>262895.78748902783</v>
      </c>
      <c r="J129" s="211">
        <f t="shared" si="9"/>
        <v>23.790569362124955</v>
      </c>
      <c r="K129" s="235">
        <f t="shared" si="9"/>
        <v>6.7973055320357014</v>
      </c>
      <c r="L129" s="236">
        <f>I129*PRP!$J$8+J129*PRP!$J$9+K129*PRP!$J$10</f>
        <v>265460.41086626489</v>
      </c>
      <c r="M129" s="171"/>
      <c r="N129" s="171"/>
      <c r="O129" s="59">
        <v>3646</v>
      </c>
      <c r="P129" s="237">
        <v>128000</v>
      </c>
      <c r="Q129" s="237">
        <f t="shared" si="10"/>
        <v>303712.9408063991</v>
      </c>
      <c r="S129" s="123" t="s">
        <v>332</v>
      </c>
    </row>
    <row r="130" spans="2:19">
      <c r="B130" s="1309"/>
      <c r="C130" s="233" t="s">
        <v>349</v>
      </c>
      <c r="D130" s="213">
        <f t="shared" si="8"/>
        <v>81.040624007147287</v>
      </c>
      <c r="E130" s="59" t="s">
        <v>181</v>
      </c>
      <c r="F130" s="59" t="s">
        <v>77</v>
      </c>
      <c r="G130" s="116">
        <v>0.89012999999999998</v>
      </c>
      <c r="H130" s="116">
        <f t="shared" si="12"/>
        <v>10.77</v>
      </c>
      <c r="I130" s="234">
        <f t="shared" si="11"/>
        <v>255764.20936655684</v>
      </c>
      <c r="J130" s="211">
        <f t="shared" si="9"/>
        <v>23.145202216441266</v>
      </c>
      <c r="K130" s="235">
        <f t="shared" si="9"/>
        <v>6.6129149189832193</v>
      </c>
      <c r="L130" s="236">
        <f>I130*PRP!$J$8+J130*PRP!$J$9+K130*PRP!$J$10</f>
        <v>258259.2621654892</v>
      </c>
      <c r="M130" s="171"/>
      <c r="N130" s="171"/>
      <c r="O130" s="59">
        <v>5282</v>
      </c>
      <c r="P130" s="237">
        <v>183900</v>
      </c>
      <c r="Q130" s="237">
        <f t="shared" si="10"/>
        <v>428056.57600575197</v>
      </c>
      <c r="S130" s="123" t="s">
        <v>332</v>
      </c>
    </row>
    <row r="131" spans="2:19">
      <c r="B131" s="1309"/>
      <c r="C131" s="233" t="s">
        <v>350</v>
      </c>
      <c r="D131" s="213">
        <f t="shared" si="8"/>
        <v>83.33203765887518</v>
      </c>
      <c r="E131" s="59" t="s">
        <v>181</v>
      </c>
      <c r="F131" s="59" t="s">
        <v>77</v>
      </c>
      <c r="G131" s="116">
        <v>0.89012999999999998</v>
      </c>
      <c r="H131" s="116">
        <f t="shared" si="12"/>
        <v>10.77</v>
      </c>
      <c r="I131" s="234">
        <f t="shared" si="11"/>
        <v>262995.91085141007</v>
      </c>
      <c r="J131" s="211">
        <f t="shared" si="9"/>
        <v>23.799629955374755</v>
      </c>
      <c r="K131" s="235">
        <f t="shared" si="9"/>
        <v>6.7998942729642149</v>
      </c>
      <c r="L131" s="236">
        <f>I131*PRP!$J$8+J131*PRP!$J$9+K131*PRP!$J$10</f>
        <v>265561.51096059947</v>
      </c>
      <c r="M131" s="171"/>
      <c r="N131" s="171"/>
      <c r="O131" s="59">
        <v>3646</v>
      </c>
      <c r="P131" s="237">
        <v>128052</v>
      </c>
      <c r="Q131" s="237">
        <f t="shared" si="10"/>
        <v>303828.60930425889</v>
      </c>
      <c r="S131" s="123" t="s">
        <v>332</v>
      </c>
    </row>
    <row r="132" spans="2:19">
      <c r="B132" s="1309"/>
      <c r="C132" s="233" t="s">
        <v>351</v>
      </c>
      <c r="D132" s="213">
        <f t="shared" si="8"/>
        <v>80.393666373859858</v>
      </c>
      <c r="E132" s="59" t="s">
        <v>181</v>
      </c>
      <c r="F132" s="59" t="s">
        <v>77</v>
      </c>
      <c r="G132" s="116">
        <v>0.89012999999999998</v>
      </c>
      <c r="H132" s="116">
        <f t="shared" si="12"/>
        <v>10.77</v>
      </c>
      <c r="I132" s="234">
        <f t="shared" si="11"/>
        <v>253722.41107590171</v>
      </c>
      <c r="J132" s="211">
        <f t="shared" si="9"/>
        <v>22.960431116374377</v>
      </c>
      <c r="K132" s="235">
        <f t="shared" si="9"/>
        <v>6.5601231761069645</v>
      </c>
      <c r="L132" s="236">
        <f>I132*PRP!$J$8+J132*PRP!$J$9+K132*PRP!$J$10</f>
        <v>256197.54555024687</v>
      </c>
      <c r="M132" s="171"/>
      <c r="N132" s="171"/>
      <c r="O132" s="59">
        <v>3930</v>
      </c>
      <c r="P132" s="237">
        <v>133500</v>
      </c>
      <c r="Q132" s="237">
        <f t="shared" si="10"/>
        <v>315947.10884926922</v>
      </c>
      <c r="S132" s="123" t="s">
        <v>332</v>
      </c>
    </row>
    <row r="133" spans="2:19">
      <c r="B133" s="1309"/>
      <c r="C133" s="233" t="s">
        <v>352</v>
      </c>
      <c r="D133" s="213">
        <f t="shared" si="8"/>
        <v>85.558280478951431</v>
      </c>
      <c r="E133" s="59" t="s">
        <v>181</v>
      </c>
      <c r="F133" s="59" t="s">
        <v>77</v>
      </c>
      <c r="G133" s="116">
        <v>0.89012999999999998</v>
      </c>
      <c r="H133" s="116">
        <f t="shared" si="12"/>
        <v>10.77</v>
      </c>
      <c r="I133" s="234">
        <f t="shared" si="11"/>
        <v>270021.93319157074</v>
      </c>
      <c r="J133" s="211">
        <f t="shared" si="9"/>
        <v>24.435444904788529</v>
      </c>
      <c r="K133" s="235">
        <f t="shared" si="9"/>
        <v>6.9815556870824373</v>
      </c>
      <c r="L133" s="236">
        <f>I133*PRP!$J$8+J133*PRP!$J$9+K133*PRP!$J$10</f>
        <v>272656.07415230694</v>
      </c>
      <c r="M133" s="171"/>
      <c r="N133" s="171"/>
      <c r="O133" s="59">
        <v>2052</v>
      </c>
      <c r="P133" s="237">
        <v>70390</v>
      </c>
      <c r="Q133" s="237">
        <f t="shared" si="10"/>
        <v>175565.59154280834</v>
      </c>
      <c r="S133" s="123" t="s">
        <v>332</v>
      </c>
    </row>
    <row r="134" spans="2:19">
      <c r="B134" s="1309"/>
      <c r="C134" s="233" t="s">
        <v>353</v>
      </c>
      <c r="D134" s="213">
        <f t="shared" si="8"/>
        <v>99.389987373459988</v>
      </c>
      <c r="E134" s="59" t="s">
        <v>181</v>
      </c>
      <c r="F134" s="59" t="s">
        <v>77</v>
      </c>
      <c r="G134" s="116">
        <v>0.89012999999999998</v>
      </c>
      <c r="H134" s="116">
        <f t="shared" si="12"/>
        <v>10.77</v>
      </c>
      <c r="I134" s="234">
        <f t="shared" si="11"/>
        <v>313674.80015063973</v>
      </c>
      <c r="J134" s="211">
        <f t="shared" si="9"/>
        <v>28.385780393860173</v>
      </c>
      <c r="K134" s="235">
        <f t="shared" si="9"/>
        <v>8.1102229696743358</v>
      </c>
      <c r="L134" s="236">
        <f>I134*PRP!$J$8+J134*PRP!$J$9+K134*PRP!$J$10</f>
        <v>316734.78727709787</v>
      </c>
      <c r="M134" s="171"/>
      <c r="N134" s="171"/>
      <c r="O134" s="59">
        <v>2114</v>
      </c>
      <c r="P134" s="237">
        <v>85920</v>
      </c>
      <c r="Q134" s="237">
        <f t="shared" si="10"/>
        <v>210110.43330749442</v>
      </c>
      <c r="S134" s="123" t="s">
        <v>332</v>
      </c>
    </row>
    <row r="135" spans="2:19">
      <c r="B135" s="1309"/>
      <c r="C135" s="233" t="s">
        <v>354</v>
      </c>
      <c r="D135" s="213">
        <f t="shared" si="8"/>
        <v>84.525730086107615</v>
      </c>
      <c r="E135" s="59" t="s">
        <v>181</v>
      </c>
      <c r="F135" s="59" t="s">
        <v>77</v>
      </c>
      <c r="G135" s="116">
        <v>0.89012999999999998</v>
      </c>
      <c r="H135" s="116">
        <f t="shared" si="12"/>
        <v>10.77</v>
      </c>
      <c r="I135" s="234">
        <f t="shared" si="11"/>
        <v>266763.20415175561</v>
      </c>
      <c r="J135" s="211">
        <f t="shared" si="9"/>
        <v>24.140548512592336</v>
      </c>
      <c r="K135" s="235">
        <f t="shared" si="9"/>
        <v>6.8972995750263815</v>
      </c>
      <c r="L135" s="236">
        <f>I135*PRP!$J$8+J135*PRP!$J$9+K135*PRP!$J$10</f>
        <v>269365.55528141308</v>
      </c>
      <c r="M135" s="171"/>
      <c r="N135" s="171"/>
      <c r="O135" s="59">
        <v>2896</v>
      </c>
      <c r="P135" s="237">
        <v>101509</v>
      </c>
      <c r="Q135" s="237">
        <f t="shared" si="10"/>
        <v>244786.51432936764</v>
      </c>
      <c r="S135" s="123" t="s">
        <v>332</v>
      </c>
    </row>
    <row r="136" spans="2:19">
      <c r="B136" s="1309"/>
      <c r="C136" s="233" t="s">
        <v>355</v>
      </c>
      <c r="D136" s="213">
        <f t="shared" si="8"/>
        <v>90.157799806750376</v>
      </c>
      <c r="E136" s="59" t="s">
        <v>181</v>
      </c>
      <c r="F136" s="59" t="s">
        <v>77</v>
      </c>
      <c r="G136" s="116">
        <v>0.89012999999999998</v>
      </c>
      <c r="H136" s="116">
        <f t="shared" si="12"/>
        <v>10.77</v>
      </c>
      <c r="I136" s="234">
        <f t="shared" si="11"/>
        <v>284538.01619010419</v>
      </c>
      <c r="J136" s="211">
        <f t="shared" si="9"/>
        <v>25.74906762480791</v>
      </c>
      <c r="K136" s="235">
        <f t="shared" si="9"/>
        <v>7.3568764642308313</v>
      </c>
      <c r="L136" s="236">
        <f>I136*PRP!$J$8+J136*PRP!$J$9+K136*PRP!$J$10</f>
        <v>287313.76568005845</v>
      </c>
      <c r="M136" s="171"/>
      <c r="N136" s="171"/>
      <c r="O136" s="59">
        <v>3006</v>
      </c>
      <c r="P136" s="237">
        <v>113300</v>
      </c>
      <c r="Q136" s="237">
        <f t="shared" si="10"/>
        <v>271014.34621909162</v>
      </c>
      <c r="S136" s="123" t="s">
        <v>332</v>
      </c>
    </row>
    <row r="137" spans="2:19">
      <c r="B137" s="1309"/>
      <c r="C137" s="233" t="s">
        <v>356</v>
      </c>
      <c r="D137" s="213">
        <f t="shared" si="8"/>
        <v>82.033014185444912</v>
      </c>
      <c r="E137" s="59" t="s">
        <v>181</v>
      </c>
      <c r="F137" s="59" t="s">
        <v>77</v>
      </c>
      <c r="G137" s="116">
        <v>0.89012999999999998</v>
      </c>
      <c r="H137" s="116">
        <f t="shared" si="12"/>
        <v>10.77</v>
      </c>
      <c r="I137" s="234">
        <f t="shared" si="11"/>
        <v>258896.19276926413</v>
      </c>
      <c r="J137" s="211">
        <f t="shared" si="9"/>
        <v>23.428628851363069</v>
      </c>
      <c r="K137" s="235">
        <f t="shared" si="9"/>
        <v>6.6938939575323051</v>
      </c>
      <c r="L137" s="236">
        <f>I137*PRP!$J$8+J137*PRP!$J$9+K137*PRP!$J$10</f>
        <v>261421.79895944108</v>
      </c>
      <c r="M137" s="171"/>
      <c r="N137" s="171"/>
      <c r="O137" s="59">
        <v>2984</v>
      </c>
      <c r="P137" s="237">
        <v>101509</v>
      </c>
      <c r="Q137" s="237">
        <f>(16.904 + 0.00198*P137 )*1000/G137</f>
        <v>244786.51432936764</v>
      </c>
      <c r="S137" s="123" t="s">
        <v>357</v>
      </c>
    </row>
    <row r="138" spans="2:19">
      <c r="B138" s="1309"/>
      <c r="C138" s="233" t="s">
        <v>358</v>
      </c>
      <c r="D138" s="213">
        <f t="shared" si="8"/>
        <v>90.157799806750376</v>
      </c>
      <c r="E138" s="59" t="s">
        <v>181</v>
      </c>
      <c r="F138" s="59" t="s">
        <v>77</v>
      </c>
      <c r="G138" s="116">
        <v>0.89012999999999998</v>
      </c>
      <c r="H138" s="116">
        <f t="shared" si="12"/>
        <v>10.77</v>
      </c>
      <c r="I138" s="234">
        <f t="shared" si="11"/>
        <v>284538.01619010419</v>
      </c>
      <c r="J138" s="211">
        <f t="shared" si="9"/>
        <v>25.74906762480791</v>
      </c>
      <c r="K138" s="235">
        <f t="shared" si="9"/>
        <v>7.3568764642308313</v>
      </c>
      <c r="L138" s="236">
        <f>I138*PRP!$J$8+J138*PRP!$J$9+K138*PRP!$J$10</f>
        <v>287313.76568005845</v>
      </c>
      <c r="M138" s="171"/>
      <c r="N138" s="171"/>
      <c r="O138" s="59">
        <v>3006</v>
      </c>
      <c r="P138" s="237">
        <v>113300</v>
      </c>
      <c r="Q138" s="237">
        <f>(16.904 + 0.00198*P138 )*1000/G138</f>
        <v>271014.34621909162</v>
      </c>
      <c r="S138" s="123" t="s">
        <v>332</v>
      </c>
    </row>
    <row r="139" spans="2:19">
      <c r="B139" s="1309"/>
      <c r="C139" s="233" t="s">
        <v>359</v>
      </c>
      <c r="D139" s="213">
        <f t="shared" si="8"/>
        <v>88.65966556602875</v>
      </c>
      <c r="E139" s="59" t="s">
        <v>181</v>
      </c>
      <c r="F139" s="59" t="s">
        <v>77</v>
      </c>
      <c r="G139" s="116">
        <v>0.89012999999999998</v>
      </c>
      <c r="H139" s="116">
        <f t="shared" si="12"/>
        <v>10.77</v>
      </c>
      <c r="I139" s="234">
        <f t="shared" si="11"/>
        <v>279809.90452638676</v>
      </c>
      <c r="J139" s="211">
        <f t="shared" si="9"/>
        <v>25.321200485657812</v>
      </c>
      <c r="K139" s="235">
        <f t="shared" si="9"/>
        <v>7.2346287101879465</v>
      </c>
      <c r="L139" s="236">
        <f>I139*PRP!$J$8+J139*PRP!$J$9+K139*PRP!$J$10</f>
        <v>282539.52993874066</v>
      </c>
      <c r="M139" s="171"/>
      <c r="N139" s="171"/>
      <c r="O139" s="59">
        <v>2974</v>
      </c>
      <c r="P139" s="237">
        <v>110000</v>
      </c>
      <c r="Q139" s="237">
        <f>(16.904 + 0.00198*P139 )*1000/G139</f>
        <v>263673.8453933695</v>
      </c>
      <c r="S139" s="123" t="s">
        <v>332</v>
      </c>
    </row>
    <row r="140" spans="2:19">
      <c r="B140" s="1309"/>
      <c r="C140" s="233" t="s">
        <v>360</v>
      </c>
      <c r="D140" s="213">
        <f t="shared" si="8"/>
        <v>68.758668960743194</v>
      </c>
      <c r="E140" s="59" t="s">
        <v>181</v>
      </c>
      <c r="F140" s="59" t="s">
        <v>77</v>
      </c>
      <c r="G140" s="116">
        <v>0.89012999999999998</v>
      </c>
      <c r="H140" s="116">
        <f t="shared" si="12"/>
        <v>10.77</v>
      </c>
      <c r="I140" s="234">
        <f t="shared" si="11"/>
        <v>217002.35924010552</v>
      </c>
      <c r="J140" s="211">
        <f t="shared" si="9"/>
        <v>19.637475855188256</v>
      </c>
      <c r="K140" s="235">
        <f t="shared" si="9"/>
        <v>5.6107073871966451</v>
      </c>
      <c r="L140" s="236">
        <f>I140*PRP!$J$8+J140*PRP!$J$9+K140*PRP!$J$10</f>
        <v>219119.2791372948</v>
      </c>
      <c r="M140" s="171"/>
      <c r="N140" s="171"/>
      <c r="O140" s="59">
        <v>3948</v>
      </c>
      <c r="P140" s="237">
        <v>113500</v>
      </c>
      <c r="Q140" s="237">
        <f t="shared" si="10"/>
        <v>271459.22505701415</v>
      </c>
      <c r="S140" s="123" t="s">
        <v>332</v>
      </c>
    </row>
    <row r="141" spans="2:19">
      <c r="B141" s="1309"/>
      <c r="C141" s="233" t="s">
        <v>361</v>
      </c>
      <c r="D141" s="213">
        <f t="shared" si="8"/>
        <v>105.22602196395415</v>
      </c>
      <c r="E141" s="59" t="s">
        <v>181</v>
      </c>
      <c r="F141" s="59" t="s">
        <v>77</v>
      </c>
      <c r="G141" s="116">
        <v>0.89012999999999998</v>
      </c>
      <c r="H141" s="116">
        <f t="shared" si="12"/>
        <v>10.77</v>
      </c>
      <c r="I141" s="234">
        <f>$D141*I$49</f>
        <v>332093.32531823928</v>
      </c>
      <c r="J141" s="211">
        <f t="shared" si="9"/>
        <v>30.052551872905308</v>
      </c>
      <c r="K141" s="235">
        <f t="shared" si="9"/>
        <v>8.5864433922586603</v>
      </c>
      <c r="L141" s="236">
        <f>I141*PRP!$J$8+J141*PRP!$J$9+K141*PRP!$J$10</f>
        <v>335332.99041013845</v>
      </c>
      <c r="M141" s="171"/>
      <c r="N141" s="238"/>
      <c r="O141" s="59">
        <v>2918</v>
      </c>
      <c r="P141" s="237">
        <v>129500</v>
      </c>
      <c r="Q141" s="237">
        <f>(16.904 + 0.00198*P141 )*1000/G141</f>
        <v>307049.53209081822</v>
      </c>
      <c r="S141" s="123" t="s">
        <v>332</v>
      </c>
    </row>
    <row r="142" spans="2:19">
      <c r="B142" s="1309"/>
      <c r="C142" s="233" t="s">
        <v>362</v>
      </c>
      <c r="D142" s="213">
        <f t="shared" si="8"/>
        <v>101.26383015736256</v>
      </c>
      <c r="E142" s="59" t="s">
        <v>181</v>
      </c>
      <c r="F142" s="59" t="s">
        <v>77</v>
      </c>
      <c r="G142" s="116">
        <v>0.89012999999999998</v>
      </c>
      <c r="H142" s="116">
        <f t="shared" si="12"/>
        <v>10.77</v>
      </c>
      <c r="I142" s="234">
        <f t="shared" si="11"/>
        <v>319588.64797663625</v>
      </c>
      <c r="J142" s="211">
        <f t="shared" si="9"/>
        <v>28.920949892942751</v>
      </c>
      <c r="K142" s="235">
        <f t="shared" si="9"/>
        <v>8.2631285408407855</v>
      </c>
      <c r="L142" s="236">
        <f>I142*PRP!$J$8+J142*PRP!$J$9+K142*PRP!$J$10</f>
        <v>322706.32637509546</v>
      </c>
      <c r="M142" s="171"/>
      <c r="N142" s="171"/>
      <c r="O142" s="59">
        <v>3276</v>
      </c>
      <c r="P142" s="237">
        <v>140600</v>
      </c>
      <c r="Q142" s="237">
        <f t="shared" ref="Q142:Q205" si="13">(16.904 + 0.00198*P142 )*1000/G142</f>
        <v>331740.30759551976</v>
      </c>
      <c r="S142" s="123" t="s">
        <v>332</v>
      </c>
    </row>
    <row r="143" spans="2:19">
      <c r="B143" s="1309"/>
      <c r="C143" s="233" t="s">
        <v>363</v>
      </c>
      <c r="D143" s="213">
        <f t="shared" si="8"/>
        <v>101.26383015736256</v>
      </c>
      <c r="E143" s="59" t="s">
        <v>181</v>
      </c>
      <c r="F143" s="59" t="s">
        <v>77</v>
      </c>
      <c r="G143" s="116">
        <v>0.89012999999999998</v>
      </c>
      <c r="H143" s="116">
        <f t="shared" si="12"/>
        <v>10.77</v>
      </c>
      <c r="I143" s="234">
        <f t="shared" si="11"/>
        <v>319588.64797663625</v>
      </c>
      <c r="J143" s="211">
        <f t="shared" si="9"/>
        <v>28.920949892942751</v>
      </c>
      <c r="K143" s="235">
        <f t="shared" si="9"/>
        <v>8.2631285408407855</v>
      </c>
      <c r="L143" s="236">
        <f>I143*PRP!$J$8+J143*PRP!$J$9+K143*PRP!$J$10</f>
        <v>322706.32637509546</v>
      </c>
      <c r="M143" s="171"/>
      <c r="N143" s="171"/>
      <c r="O143" s="59">
        <v>3276</v>
      </c>
      <c r="P143" s="237">
        <v>140600</v>
      </c>
      <c r="Q143" s="237">
        <f t="shared" si="13"/>
        <v>331740.30759551976</v>
      </c>
      <c r="S143" s="123" t="s">
        <v>332</v>
      </c>
    </row>
    <row r="144" spans="2:19">
      <c r="B144" s="1309"/>
      <c r="C144" s="233" t="s">
        <v>364</v>
      </c>
      <c r="D144" s="213">
        <f t="shared" si="8"/>
        <v>103.19661595033146</v>
      </c>
      <c r="E144" s="59" t="s">
        <v>181</v>
      </c>
      <c r="F144" s="59" t="s">
        <v>77</v>
      </c>
      <c r="G144" s="116">
        <v>0.89012999999999998</v>
      </c>
      <c r="H144" s="116">
        <f t="shared" si="12"/>
        <v>10.77</v>
      </c>
      <c r="I144" s="234">
        <f t="shared" si="11"/>
        <v>325688.51993924612</v>
      </c>
      <c r="J144" s="211">
        <f t="shared" si="9"/>
        <v>29.47295351541467</v>
      </c>
      <c r="K144" s="235">
        <f t="shared" si="9"/>
        <v>8.4208438615470484</v>
      </c>
      <c r="L144" s="236">
        <f>I144*PRP!$J$8+J144*PRP!$J$9+K144*PRP!$J$10</f>
        <v>328865.70432820782</v>
      </c>
      <c r="M144" s="171"/>
      <c r="N144" s="171"/>
      <c r="O144" s="59">
        <v>2130</v>
      </c>
      <c r="P144" s="237">
        <v>90280</v>
      </c>
      <c r="Q144" s="237">
        <f t="shared" si="13"/>
        <v>219808.79197420602</v>
      </c>
      <c r="S144" s="123" t="s">
        <v>332</v>
      </c>
    </row>
    <row r="145" spans="2:19">
      <c r="B145" s="1309"/>
      <c r="C145" s="233" t="s">
        <v>365</v>
      </c>
      <c r="D145" s="213">
        <f t="shared" si="8"/>
        <v>102.53794816466655</v>
      </c>
      <c r="E145" s="59" t="s">
        <v>181</v>
      </c>
      <c r="F145" s="59" t="s">
        <v>77</v>
      </c>
      <c r="G145" s="116">
        <v>0.89012999999999998</v>
      </c>
      <c r="H145" s="116">
        <f t="shared" si="12"/>
        <v>10.77</v>
      </c>
      <c r="I145" s="234">
        <f t="shared" si="11"/>
        <v>323609.76440768765</v>
      </c>
      <c r="J145" s="211">
        <f t="shared" si="9"/>
        <v>29.284837995828767</v>
      </c>
      <c r="K145" s="235">
        <f t="shared" si="9"/>
        <v>8.3670965702367912</v>
      </c>
      <c r="L145" s="236">
        <f>I145*PRP!$J$8+J145*PRP!$J$9+K145*PRP!$J$10</f>
        <v>326766.66994363803</v>
      </c>
      <c r="M145" s="171"/>
      <c r="N145" s="171"/>
      <c r="O145" s="59">
        <v>2158</v>
      </c>
      <c r="P145" s="237">
        <v>90940</v>
      </c>
      <c r="Q145" s="237">
        <f t="shared" si="13"/>
        <v>221276.89213935041</v>
      </c>
      <c r="S145" s="123" t="s">
        <v>332</v>
      </c>
    </row>
    <row r="146" spans="2:19">
      <c r="B146" s="1309"/>
      <c r="C146" s="233" t="s">
        <v>366</v>
      </c>
      <c r="D146" s="213">
        <f t="shared" si="8"/>
        <v>105.22602196395415</v>
      </c>
      <c r="E146" s="59" t="s">
        <v>181</v>
      </c>
      <c r="F146" s="59" t="s">
        <v>77</v>
      </c>
      <c r="G146" s="116">
        <v>0.89012999999999998</v>
      </c>
      <c r="H146" s="116">
        <f t="shared" si="12"/>
        <v>10.77</v>
      </c>
      <c r="I146" s="234">
        <f t="shared" si="11"/>
        <v>332093.32531823928</v>
      </c>
      <c r="J146" s="211">
        <f t="shared" si="9"/>
        <v>30.052551872905308</v>
      </c>
      <c r="K146" s="235">
        <f t="shared" si="9"/>
        <v>8.5864433922586603</v>
      </c>
      <c r="L146" s="236">
        <f>I146*PRP!$J$8+J146*PRP!$J$9+K146*PRP!$J$10</f>
        <v>335332.99041013845</v>
      </c>
      <c r="M146" s="171"/>
      <c r="N146" s="171"/>
      <c r="O146" s="59">
        <v>2918</v>
      </c>
      <c r="P146" s="237">
        <v>129500</v>
      </c>
      <c r="Q146" s="237">
        <f t="shared" si="13"/>
        <v>307049.53209081822</v>
      </c>
      <c r="S146" s="123" t="s">
        <v>332</v>
      </c>
    </row>
    <row r="147" spans="2:19">
      <c r="B147" s="1309"/>
      <c r="C147" s="233" t="s">
        <v>367</v>
      </c>
      <c r="D147" s="213">
        <f t="shared" si="8"/>
        <v>101.78778932547011</v>
      </c>
      <c r="E147" s="59" t="s">
        <v>181</v>
      </c>
      <c r="F147" s="59" t="s">
        <v>77</v>
      </c>
      <c r="G147" s="116">
        <v>0.89012999999999998</v>
      </c>
      <c r="H147" s="116">
        <f t="shared" si="12"/>
        <v>10.77</v>
      </c>
      <c r="I147" s="234">
        <f t="shared" si="11"/>
        <v>321242.26311118371</v>
      </c>
      <c r="J147" s="211">
        <f t="shared" si="9"/>
        <v>29.070592631354266</v>
      </c>
      <c r="K147" s="235">
        <f t="shared" si="9"/>
        <v>8.3058836089583625</v>
      </c>
      <c r="L147" s="236">
        <f>I147*PRP!$J$8+J147*PRP!$J$9+K147*PRP!$J$10</f>
        <v>324376.07299684372</v>
      </c>
      <c r="M147" s="171"/>
      <c r="N147" s="171"/>
      <c r="O147" s="59">
        <v>2850</v>
      </c>
      <c r="P147" s="237">
        <v>121878</v>
      </c>
      <c r="Q147" s="237">
        <f t="shared" si="13"/>
        <v>290095.19957758981</v>
      </c>
      <c r="S147" s="123" t="s">
        <v>332</v>
      </c>
    </row>
    <row r="148" spans="2:19">
      <c r="B148" s="1309"/>
      <c r="C148" s="233" t="s">
        <v>368</v>
      </c>
      <c r="D148" s="213">
        <f t="shared" si="8"/>
        <v>317.56282790154251</v>
      </c>
      <c r="E148" s="59" t="s">
        <v>181</v>
      </c>
      <c r="F148" s="59" t="s">
        <v>77</v>
      </c>
      <c r="G148" s="116">
        <v>0.89012999999999998</v>
      </c>
      <c r="H148" s="116">
        <f t="shared" si="12"/>
        <v>10.77</v>
      </c>
      <c r="I148" s="234">
        <f t="shared" si="11"/>
        <v>1002228.2848572681</v>
      </c>
      <c r="J148" s="211">
        <f t="shared" si="9"/>
        <v>90.69594364868054</v>
      </c>
      <c r="K148" s="235">
        <f t="shared" si="9"/>
        <v>25.91312675676587</v>
      </c>
      <c r="L148" s="236">
        <f>I148*PRP!$J$8+J148*PRP!$J$9+K148*PRP!$J$10</f>
        <v>1012005.3075825959</v>
      </c>
      <c r="M148" s="171"/>
      <c r="N148" s="171"/>
      <c r="O148" s="59">
        <v>100</v>
      </c>
      <c r="P148" s="237">
        <v>5739</v>
      </c>
      <c r="Q148" s="237">
        <f t="shared" si="13"/>
        <v>31756.282790154248</v>
      </c>
      <c r="S148" s="123" t="s">
        <v>332</v>
      </c>
    </row>
    <row r="149" spans="2:19">
      <c r="B149" s="1309"/>
      <c r="C149" s="233" t="s">
        <v>369</v>
      </c>
      <c r="D149" s="213">
        <f t="shared" si="8"/>
        <v>101.24107072642681</v>
      </c>
      <c r="E149" s="59" t="s">
        <v>181</v>
      </c>
      <c r="F149" s="59" t="s">
        <v>77</v>
      </c>
      <c r="G149" s="116">
        <v>0.89012999999999998</v>
      </c>
      <c r="H149" s="116">
        <f t="shared" si="12"/>
        <v>10.77</v>
      </c>
      <c r="I149" s="234">
        <f t="shared" si="11"/>
        <v>319516.81921260303</v>
      </c>
      <c r="J149" s="211">
        <f t="shared" si="9"/>
        <v>28.914449799467501</v>
      </c>
      <c r="K149" s="235">
        <f t="shared" si="9"/>
        <v>8.261271371276429</v>
      </c>
      <c r="L149" s="236">
        <f>I149*PRP!$J$8+J149*PRP!$J$9+K149*PRP!$J$10</f>
        <v>322633.79690098565</v>
      </c>
      <c r="M149" s="171"/>
      <c r="N149" s="171"/>
      <c r="O149" s="59">
        <v>2170</v>
      </c>
      <c r="P149" s="237">
        <v>90228</v>
      </c>
      <c r="Q149" s="237">
        <f t="shared" si="13"/>
        <v>219693.12347634617</v>
      </c>
      <c r="S149" s="123" t="s">
        <v>332</v>
      </c>
    </row>
    <row r="150" spans="2:19">
      <c r="B150" s="1309"/>
      <c r="C150" s="233" t="s">
        <v>370</v>
      </c>
      <c r="D150" s="213">
        <f t="shared" si="8"/>
        <v>97.785254928089017</v>
      </c>
      <c r="E150" s="59" t="s">
        <v>181</v>
      </c>
      <c r="F150" s="59" t="s">
        <v>77</v>
      </c>
      <c r="G150" s="116">
        <v>0.89012999999999998</v>
      </c>
      <c r="H150" s="116">
        <f t="shared" si="12"/>
        <v>10.77</v>
      </c>
      <c r="I150" s="234">
        <f t="shared" si="11"/>
        <v>308610.26455304894</v>
      </c>
      <c r="J150" s="211">
        <f t="shared" si="9"/>
        <v>27.927468807462226</v>
      </c>
      <c r="K150" s="235">
        <f t="shared" si="9"/>
        <v>7.9792768021320644</v>
      </c>
      <c r="L150" s="236">
        <f>I150*PRP!$J$8+J150*PRP!$J$9+K150*PRP!$J$10</f>
        <v>311620.84569049336</v>
      </c>
      <c r="M150" s="171"/>
      <c r="N150" s="171"/>
      <c r="O150" s="59">
        <v>3046</v>
      </c>
      <c r="P150" s="237">
        <v>125366</v>
      </c>
      <c r="Q150" s="237">
        <f t="shared" si="13"/>
        <v>297853.88651095913</v>
      </c>
      <c r="S150" s="123" t="s">
        <v>332</v>
      </c>
    </row>
    <row r="151" spans="2:19">
      <c r="B151" s="1309"/>
      <c r="C151" s="233" t="s">
        <v>371</v>
      </c>
      <c r="D151" s="213">
        <f t="shared" si="8"/>
        <v>100.77397728639681</v>
      </c>
      <c r="E151" s="59" t="s">
        <v>181</v>
      </c>
      <c r="F151" s="59" t="s">
        <v>77</v>
      </c>
      <c r="G151" s="116">
        <v>0.89012999999999998</v>
      </c>
      <c r="H151" s="116">
        <f t="shared" si="12"/>
        <v>10.77</v>
      </c>
      <c r="I151" s="234">
        <f t="shared" si="11"/>
        <v>318042.67231586837</v>
      </c>
      <c r="J151" s="211">
        <f t="shared" si="9"/>
        <v>28.781047912994932</v>
      </c>
      <c r="K151" s="235">
        <f t="shared" si="9"/>
        <v>8.2231565465699799</v>
      </c>
      <c r="L151" s="236">
        <f>I151*PRP!$J$8+J151*PRP!$J$9+K151*PRP!$J$10</f>
        <v>321145.26928088925</v>
      </c>
      <c r="M151" s="171"/>
      <c r="N151" s="171"/>
      <c r="O151" s="59">
        <v>2886</v>
      </c>
      <c r="P151" s="237">
        <v>122210</v>
      </c>
      <c r="Q151" s="237">
        <f t="shared" si="13"/>
        <v>290833.69844854122</v>
      </c>
      <c r="S151" s="123" t="s">
        <v>332</v>
      </c>
    </row>
    <row r="152" spans="2:19">
      <c r="B152" s="1309"/>
      <c r="C152" s="233" t="s">
        <v>372</v>
      </c>
      <c r="D152" s="213">
        <f t="shared" si="8"/>
        <v>101.78778932547011</v>
      </c>
      <c r="E152" s="59" t="s">
        <v>181</v>
      </c>
      <c r="F152" s="59" t="s">
        <v>77</v>
      </c>
      <c r="G152" s="116">
        <v>0.89012999999999998</v>
      </c>
      <c r="H152" s="116">
        <f t="shared" si="12"/>
        <v>10.77</v>
      </c>
      <c r="I152" s="234">
        <f t="shared" si="11"/>
        <v>321242.26311118371</v>
      </c>
      <c r="J152" s="211">
        <f t="shared" si="9"/>
        <v>29.070592631354266</v>
      </c>
      <c r="K152" s="235">
        <f t="shared" si="9"/>
        <v>8.3058836089583625</v>
      </c>
      <c r="L152" s="236">
        <f>I152*PRP!$J$8+J152*PRP!$J$9+K152*PRP!$J$10</f>
        <v>324376.07299684372</v>
      </c>
      <c r="M152" s="171"/>
      <c r="N152" s="171"/>
      <c r="O152" s="59">
        <v>2850</v>
      </c>
      <c r="P152" s="237">
        <v>121878</v>
      </c>
      <c r="Q152" s="237">
        <f t="shared" si="13"/>
        <v>290095.19957758981</v>
      </c>
      <c r="S152" s="123" t="s">
        <v>332</v>
      </c>
    </row>
    <row r="153" spans="2:19">
      <c r="B153" s="1309"/>
      <c r="C153" s="233" t="s">
        <v>373</v>
      </c>
      <c r="D153" s="213">
        <f t="shared" si="8"/>
        <v>101.80404238940972</v>
      </c>
      <c r="E153" s="59" t="s">
        <v>181</v>
      </c>
      <c r="F153" s="59" t="s">
        <v>77</v>
      </c>
      <c r="G153" s="116">
        <v>0.89012999999999998</v>
      </c>
      <c r="H153" s="116">
        <f t="shared" si="12"/>
        <v>10.77</v>
      </c>
      <c r="I153" s="234">
        <f t="shared" si="11"/>
        <v>321293.55778097705</v>
      </c>
      <c r="J153" s="211">
        <f t="shared" si="9"/>
        <v>29.075234506415416</v>
      </c>
      <c r="K153" s="235">
        <f t="shared" si="9"/>
        <v>8.307209858975833</v>
      </c>
      <c r="L153" s="236">
        <f>I153*PRP!$J$8+J153*PRP!$J$9+K153*PRP!$J$10</f>
        <v>324427.86806076858</v>
      </c>
      <c r="M153" s="171"/>
      <c r="N153" s="171"/>
      <c r="O153" s="59">
        <v>2158</v>
      </c>
      <c r="P153" s="237">
        <v>90228</v>
      </c>
      <c r="Q153" s="237">
        <f t="shared" si="13"/>
        <v>219693.12347634617</v>
      </c>
      <c r="S153" s="123" t="s">
        <v>332</v>
      </c>
    </row>
    <row r="154" spans="2:19">
      <c r="B154" s="1309"/>
      <c r="C154" s="233" t="s">
        <v>374</v>
      </c>
      <c r="D154" s="213">
        <f t="shared" si="8"/>
        <v>258.28788594740917</v>
      </c>
      <c r="E154" s="59" t="s">
        <v>181</v>
      </c>
      <c r="F154" s="59" t="s">
        <v>77</v>
      </c>
      <c r="G154" s="116">
        <v>0.89012999999999998</v>
      </c>
      <c r="H154" s="116">
        <f t="shared" si="12"/>
        <v>10.77</v>
      </c>
      <c r="I154" s="234">
        <f t="shared" si="11"/>
        <v>815156.56805002328</v>
      </c>
      <c r="J154" s="211">
        <f t="shared" si="9"/>
        <v>73.767020226580058</v>
      </c>
      <c r="K154" s="235">
        <f t="shared" si="9"/>
        <v>21.076291493308588</v>
      </c>
      <c r="L154" s="236">
        <f>I154*PRP!$J$8+J154*PRP!$J$9+K154*PRP!$J$10</f>
        <v>823108.65283044858</v>
      </c>
      <c r="M154" s="171"/>
      <c r="N154" s="171"/>
      <c r="O154" s="59">
        <v>98</v>
      </c>
      <c r="P154" s="237">
        <v>2842</v>
      </c>
      <c r="Q154" s="237">
        <f t="shared" si="13"/>
        <v>25312.212822846101</v>
      </c>
      <c r="S154" s="123" t="s">
        <v>332</v>
      </c>
    </row>
    <row r="155" spans="2:19">
      <c r="B155" s="1309"/>
      <c r="C155" s="233" t="s">
        <v>375</v>
      </c>
      <c r="D155" s="213">
        <f t="shared" si="8"/>
        <v>1231.3931672901713</v>
      </c>
      <c r="E155" s="59" t="s">
        <v>181</v>
      </c>
      <c r="F155" s="59" t="s">
        <v>77</v>
      </c>
      <c r="G155" s="116">
        <v>0.89012999999999998</v>
      </c>
      <c r="H155" s="116">
        <f t="shared" si="12"/>
        <v>10.77</v>
      </c>
      <c r="I155" s="234">
        <f t="shared" si="11"/>
        <v>3886276.8359677806</v>
      </c>
      <c r="J155" s="211">
        <f t="shared" si="9"/>
        <v>351.68588857807293</v>
      </c>
      <c r="K155" s="235">
        <f t="shared" si="9"/>
        <v>100.48168245087798</v>
      </c>
      <c r="L155" s="236">
        <f>I155*PRP!$J$8+J155*PRP!$J$9+K155*PRP!$J$10</f>
        <v>3924188.5747564966</v>
      </c>
      <c r="M155" s="171"/>
      <c r="N155" s="171"/>
      <c r="O155" s="59">
        <v>16</v>
      </c>
      <c r="P155" s="237">
        <v>320</v>
      </c>
      <c r="Q155" s="237">
        <f t="shared" si="13"/>
        <v>19702.29067664274</v>
      </c>
      <c r="S155" s="123" t="s">
        <v>332</v>
      </c>
    </row>
    <row r="156" spans="2:19">
      <c r="B156" s="1309"/>
      <c r="C156" s="233" t="s">
        <v>376</v>
      </c>
      <c r="D156" s="213">
        <f>Q156/O156</f>
        <v>89.303230979858114</v>
      </c>
      <c r="E156" s="59" t="s">
        <v>181</v>
      </c>
      <c r="F156" s="59" t="s">
        <v>77</v>
      </c>
      <c r="G156" s="116">
        <v>0.89012999999999998</v>
      </c>
      <c r="H156" s="116">
        <f t="shared" si="12"/>
        <v>10.77</v>
      </c>
      <c r="I156" s="234">
        <f t="shared" si="11"/>
        <v>281840.99697243219</v>
      </c>
      <c r="J156" s="211">
        <f t="shared" si="9"/>
        <v>25.505002767847479</v>
      </c>
      <c r="K156" s="235">
        <f t="shared" si="9"/>
        <v>7.2871436479564222</v>
      </c>
      <c r="L156" s="236">
        <f>I156*PRP!$J$8+J156*PRP!$J$9+K156*PRP!$J$10</f>
        <v>284590.43627080612</v>
      </c>
      <c r="M156" s="171"/>
      <c r="N156" s="171"/>
      <c r="O156" s="59">
        <v>1266</v>
      </c>
      <c r="P156" s="237">
        <v>42289</v>
      </c>
      <c r="Q156" s="237">
        <f t="shared" si="13"/>
        <v>113057.89042050038</v>
      </c>
      <c r="S156" s="123" t="s">
        <v>332</v>
      </c>
    </row>
    <row r="157" spans="2:19">
      <c r="B157" s="1309"/>
      <c r="C157" s="233" t="s">
        <v>377</v>
      </c>
      <c r="D157" s="213">
        <f>Q157/O157</f>
        <v>113.07578499680959</v>
      </c>
      <c r="E157" s="59" t="s">
        <v>181</v>
      </c>
      <c r="F157" s="59" t="s">
        <v>77</v>
      </c>
      <c r="G157" s="116">
        <v>0.89012999999999998</v>
      </c>
      <c r="H157" s="116">
        <f t="shared" si="12"/>
        <v>10.77</v>
      </c>
      <c r="I157" s="234">
        <f t="shared" si="11"/>
        <v>356867.17744993104</v>
      </c>
      <c r="J157" s="211">
        <f t="shared" si="9"/>
        <v>32.294444195088822</v>
      </c>
      <c r="K157" s="235">
        <f t="shared" si="9"/>
        <v>9.2269840557396634</v>
      </c>
      <c r="L157" s="236">
        <f>I157*PRP!$J$8+J157*PRP!$J$9+K157*PRP!$J$10</f>
        <v>360348.51853416162</v>
      </c>
      <c r="M157" s="171"/>
      <c r="N157" s="171"/>
      <c r="O157" s="59">
        <v>1266</v>
      </c>
      <c r="P157" s="237">
        <v>55819</v>
      </c>
      <c r="Q157" s="237">
        <f t="shared" si="13"/>
        <v>143153.94380596094</v>
      </c>
      <c r="S157" s="123" t="s">
        <v>332</v>
      </c>
    </row>
    <row r="158" spans="2:19">
      <c r="B158" s="1309"/>
      <c r="C158" s="233" t="s">
        <v>378</v>
      </c>
      <c r="D158" s="213">
        <f>Q158/O158</f>
        <v>112.82530982887296</v>
      </c>
      <c r="E158" s="59" t="s">
        <v>181</v>
      </c>
      <c r="F158" s="59" t="s">
        <v>77</v>
      </c>
      <c r="G158" s="116">
        <v>0.89012999999999998</v>
      </c>
      <c r="H158" s="116">
        <f t="shared" si="12"/>
        <v>10.77</v>
      </c>
      <c r="I158" s="234">
        <f t="shared" si="11"/>
        <v>356076.67781992309</v>
      </c>
      <c r="J158" s="211">
        <f t="shared" si="9"/>
        <v>32.222908487126119</v>
      </c>
      <c r="K158" s="235">
        <f t="shared" si="9"/>
        <v>9.2065452820360338</v>
      </c>
      <c r="L158" s="236">
        <f>I158*PRP!$J$8+J158*PRP!$J$9+K158*PRP!$J$10</f>
        <v>359550.30735483533</v>
      </c>
      <c r="M158" s="171"/>
      <c r="N158" s="171"/>
      <c r="O158" s="59">
        <v>1264</v>
      </c>
      <c r="P158" s="237">
        <v>55575</v>
      </c>
      <c r="Q158" s="237">
        <f t="shared" si="13"/>
        <v>142611.19162369543</v>
      </c>
      <c r="S158" s="123" t="s">
        <v>332</v>
      </c>
    </row>
    <row r="159" spans="2:19">
      <c r="B159" s="1309"/>
      <c r="C159" s="233" t="s">
        <v>379</v>
      </c>
      <c r="D159" s="213">
        <f t="shared" ref="D159:D222" si="14">Q159/O159</f>
        <v>79.607001590271622</v>
      </c>
      <c r="E159" s="59" t="s">
        <v>181</v>
      </c>
      <c r="F159" s="59" t="s">
        <v>77</v>
      </c>
      <c r="G159" s="116">
        <v>0.89012999999999998</v>
      </c>
      <c r="H159" s="116">
        <f t="shared" si="12"/>
        <v>10.77</v>
      </c>
      <c r="I159" s="234">
        <f t="shared" si="11"/>
        <v>251239.69701889725</v>
      </c>
      <c r="J159" s="211">
        <f t="shared" si="9"/>
        <v>22.735759654181578</v>
      </c>
      <c r="K159" s="235">
        <f t="shared" si="9"/>
        <v>6.4959313297661652</v>
      </c>
      <c r="L159" s="236">
        <f>I159*PRP!$J$8+J159*PRP!$J$9+K159*PRP!$J$10</f>
        <v>253690.61190961802</v>
      </c>
      <c r="M159" s="171"/>
      <c r="N159" s="171"/>
      <c r="O159" s="59">
        <v>2826</v>
      </c>
      <c r="P159" s="237">
        <v>92600</v>
      </c>
      <c r="Q159" s="237">
        <f t="shared" si="13"/>
        <v>224969.3864941076</v>
      </c>
      <c r="S159" s="123" t="s">
        <v>332</v>
      </c>
    </row>
    <row r="160" spans="2:19">
      <c r="B160" s="1309"/>
      <c r="C160" s="233" t="s">
        <v>380</v>
      </c>
      <c r="D160" s="213">
        <f t="shared" si="14"/>
        <v>63.416760594230134</v>
      </c>
      <c r="E160" s="59" t="s">
        <v>181</v>
      </c>
      <c r="F160" s="59" t="s">
        <v>77</v>
      </c>
      <c r="G160" s="116">
        <v>0.89012999999999998</v>
      </c>
      <c r="H160" s="116">
        <f t="shared" si="12"/>
        <v>10.77</v>
      </c>
      <c r="I160" s="234">
        <f t="shared" si="11"/>
        <v>200143.29643539031</v>
      </c>
      <c r="J160" s="211">
        <f t="shared" si="9"/>
        <v>18.111826825712129</v>
      </c>
      <c r="K160" s="235">
        <f t="shared" si="9"/>
        <v>5.1748076644891796</v>
      </c>
      <c r="L160" s="236">
        <f>I160*PRP!$J$8+J160*PRP!$J$9+K160*PRP!$J$10</f>
        <v>202095.75136720206</v>
      </c>
      <c r="M160" s="171"/>
      <c r="N160" s="171"/>
      <c r="O160" s="59">
        <v>4947</v>
      </c>
      <c r="P160" s="237">
        <v>132500</v>
      </c>
      <c r="Q160" s="237">
        <f t="shared" si="13"/>
        <v>313722.71465965646</v>
      </c>
      <c r="S160" s="123" t="s">
        <v>332</v>
      </c>
    </row>
    <row r="161" spans="2:19">
      <c r="B161" s="1309"/>
      <c r="C161" s="233" t="s">
        <v>381</v>
      </c>
      <c r="D161" s="213">
        <f t="shared" si="14"/>
        <v>71.261028105297456</v>
      </c>
      <c r="E161" s="59" t="s">
        <v>181</v>
      </c>
      <c r="F161" s="59" t="s">
        <v>77</v>
      </c>
      <c r="G161" s="116">
        <v>0.89012999999999998</v>
      </c>
      <c r="H161" s="116">
        <f t="shared" si="12"/>
        <v>10.77</v>
      </c>
      <c r="I161" s="234">
        <f t="shared" si="11"/>
        <v>224899.80470031878</v>
      </c>
      <c r="J161" s="211">
        <f t="shared" si="9"/>
        <v>20.352149626872954</v>
      </c>
      <c r="K161" s="235">
        <f t="shared" si="9"/>
        <v>5.8148998933922726</v>
      </c>
      <c r="L161" s="236">
        <f>I161*PRP!$J$8+J161*PRP!$J$9+K161*PRP!$J$10</f>
        <v>227093.76643009568</v>
      </c>
      <c r="M161" s="171"/>
      <c r="N161" s="171"/>
      <c r="O161" s="59">
        <v>3800</v>
      </c>
      <c r="P161" s="237">
        <v>113200</v>
      </c>
      <c r="Q161" s="237">
        <f t="shared" si="13"/>
        <v>270791.90680013032</v>
      </c>
      <c r="S161" s="123" t="s">
        <v>332</v>
      </c>
    </row>
    <row r="162" spans="2:19">
      <c r="B162" s="1309"/>
      <c r="C162" s="233" t="s">
        <v>382</v>
      </c>
      <c r="D162" s="213">
        <f t="shared" si="14"/>
        <v>72.022005064901819</v>
      </c>
      <c r="E162" s="59" t="s">
        <v>181</v>
      </c>
      <c r="F162" s="59" t="s">
        <v>77</v>
      </c>
      <c r="G162" s="116">
        <v>0.89012999999999998</v>
      </c>
      <c r="H162" s="116">
        <f t="shared" si="12"/>
        <v>10.77</v>
      </c>
      <c r="I162" s="234">
        <f t="shared" si="11"/>
        <v>227301.44798483013</v>
      </c>
      <c r="J162" s="211">
        <f t="shared" si="9"/>
        <v>20.569484646535962</v>
      </c>
      <c r="K162" s="235">
        <f t="shared" si="9"/>
        <v>5.8769956132959891</v>
      </c>
      <c r="L162" s="236">
        <f>I162*PRP!$J$8+J162*PRP!$J$9+K162*PRP!$J$10</f>
        <v>229518.83842972669</v>
      </c>
      <c r="M162" s="171"/>
      <c r="N162" s="171"/>
      <c r="O162" s="59">
        <v>3800</v>
      </c>
      <c r="P162" s="237">
        <v>114500</v>
      </c>
      <c r="Q162" s="237">
        <f t="shared" si="13"/>
        <v>273683.61924662691</v>
      </c>
      <c r="S162" s="123" t="s">
        <v>332</v>
      </c>
    </row>
    <row r="163" spans="2:19">
      <c r="B163" s="1309"/>
      <c r="C163" s="233" t="s">
        <v>383</v>
      </c>
      <c r="D163" s="213">
        <f t="shared" si="14"/>
        <v>71.234700652959702</v>
      </c>
      <c r="E163" s="59" t="s">
        <v>181</v>
      </c>
      <c r="F163" s="59" t="s">
        <v>77</v>
      </c>
      <c r="G163" s="116">
        <v>0.89012999999999998</v>
      </c>
      <c r="H163" s="116">
        <f t="shared" si="12"/>
        <v>10.77</v>
      </c>
      <c r="I163" s="234">
        <f t="shared" si="11"/>
        <v>224816.71526074084</v>
      </c>
      <c r="J163" s="211">
        <f t="shared" si="9"/>
        <v>20.344630506485291</v>
      </c>
      <c r="K163" s="235">
        <f t="shared" si="9"/>
        <v>5.8127515732815125</v>
      </c>
      <c r="L163" s="236">
        <f>I163*PRP!$J$8+J163*PRP!$J$9+K163*PRP!$J$10</f>
        <v>227009.86642933995</v>
      </c>
      <c r="M163" s="171"/>
      <c r="N163" s="171"/>
      <c r="O163" s="59">
        <v>3470</v>
      </c>
      <c r="P163" s="237">
        <v>102587</v>
      </c>
      <c r="Q163" s="237">
        <f t="shared" si="13"/>
        <v>247184.41126577018</v>
      </c>
      <c r="S163" s="123" t="s">
        <v>332</v>
      </c>
    </row>
    <row r="164" spans="2:19">
      <c r="B164" s="1309"/>
      <c r="C164" s="233" t="s">
        <v>384</v>
      </c>
      <c r="D164" s="213">
        <f t="shared" si="14"/>
        <v>72.403073874769021</v>
      </c>
      <c r="E164" s="59" t="s">
        <v>181</v>
      </c>
      <c r="F164" s="59" t="s">
        <v>77</v>
      </c>
      <c r="G164" s="116">
        <v>0.89012999999999998</v>
      </c>
      <c r="H164" s="116">
        <f t="shared" si="12"/>
        <v>10.77</v>
      </c>
      <c r="I164" s="234">
        <f t="shared" si="11"/>
        <v>228504.10114877103</v>
      </c>
      <c r="J164" s="211">
        <f t="shared" si="9"/>
        <v>20.678317898634035</v>
      </c>
      <c r="K164" s="235">
        <f t="shared" si="9"/>
        <v>5.9080908281811526</v>
      </c>
      <c r="L164" s="236">
        <f>I164*PRP!$J$8+J164*PRP!$J$9+K164*PRP!$J$10</f>
        <v>230733.22381824377</v>
      </c>
      <c r="M164" s="171"/>
      <c r="N164" s="171"/>
      <c r="O164" s="59">
        <v>3780</v>
      </c>
      <c r="P164" s="237">
        <v>114500</v>
      </c>
      <c r="Q164" s="237">
        <f t="shared" si="13"/>
        <v>273683.61924662691</v>
      </c>
      <c r="S164" s="123" t="s">
        <v>332</v>
      </c>
    </row>
    <row r="165" spans="2:19">
      <c r="B165" s="1309"/>
      <c r="C165" s="233" t="s">
        <v>385</v>
      </c>
      <c r="D165" s="213">
        <f t="shared" si="14"/>
        <v>82.318572308798451</v>
      </c>
      <c r="E165" s="59" t="s">
        <v>181</v>
      </c>
      <c r="F165" s="59" t="s">
        <v>77</v>
      </c>
      <c r="G165" s="116">
        <v>0.89012999999999998</v>
      </c>
      <c r="H165" s="116">
        <f t="shared" si="12"/>
        <v>10.77</v>
      </c>
      <c r="I165" s="234">
        <f t="shared" si="11"/>
        <v>259797.41420656792</v>
      </c>
      <c r="J165" s="211">
        <f t="shared" si="9"/>
        <v>23.51018425139284</v>
      </c>
      <c r="K165" s="235">
        <f t="shared" si="9"/>
        <v>6.7171955003979544</v>
      </c>
      <c r="L165" s="236">
        <f>I165*PRP!$J$8+J165*PRP!$J$9+K165*PRP!$J$10</f>
        <v>262331.81206886808</v>
      </c>
      <c r="M165" s="171"/>
      <c r="N165" s="171"/>
      <c r="O165" s="59">
        <v>5200</v>
      </c>
      <c r="P165" s="237">
        <v>183900</v>
      </c>
      <c r="Q165" s="237">
        <f t="shared" si="13"/>
        <v>428056.57600575197</v>
      </c>
      <c r="S165" s="123" t="s">
        <v>332</v>
      </c>
    </row>
    <row r="166" spans="2:19">
      <c r="B166" s="1309"/>
      <c r="C166" s="233" t="s">
        <v>386</v>
      </c>
      <c r="D166" s="213">
        <f t="shared" si="14"/>
        <v>82.411749688677887</v>
      </c>
      <c r="E166" s="59" t="s">
        <v>181</v>
      </c>
      <c r="F166" s="59" t="s">
        <v>77</v>
      </c>
      <c r="G166" s="116">
        <v>0.89012999999999998</v>
      </c>
      <c r="H166" s="116">
        <f t="shared" si="12"/>
        <v>10.77</v>
      </c>
      <c r="I166" s="234">
        <f t="shared" si="11"/>
        <v>260091.48201746741</v>
      </c>
      <c r="J166" s="211">
        <f t="shared" si="9"/>
        <v>23.536795711086405</v>
      </c>
      <c r="K166" s="235">
        <f t="shared" si="9"/>
        <v>6.724798774596116</v>
      </c>
      <c r="L166" s="236">
        <f>I166*PRP!$J$8+J166*PRP!$J$9+K166*PRP!$J$10</f>
        <v>262628.74859512254</v>
      </c>
      <c r="M166" s="171"/>
      <c r="N166" s="171"/>
      <c r="O166" s="59">
        <v>5224</v>
      </c>
      <c r="P166" s="237">
        <v>185007</v>
      </c>
      <c r="Q166" s="237">
        <f t="shared" si="13"/>
        <v>430518.98037365329</v>
      </c>
      <c r="S166" s="123" t="s">
        <v>332</v>
      </c>
    </row>
    <row r="167" spans="2:19">
      <c r="B167" s="1309"/>
      <c r="C167" s="233" t="s">
        <v>387</v>
      </c>
      <c r="D167" s="213">
        <f t="shared" si="14"/>
        <v>237.18894121989149</v>
      </c>
      <c r="E167" s="59" t="s">
        <v>181</v>
      </c>
      <c r="F167" s="59" t="s">
        <v>77</v>
      </c>
      <c r="G167" s="116">
        <v>0.89012999999999998</v>
      </c>
      <c r="H167" s="116">
        <f t="shared" si="12"/>
        <v>10.77</v>
      </c>
      <c r="I167" s="234">
        <f t="shared" si="11"/>
        <v>748568.29848997749</v>
      </c>
      <c r="J167" s="211">
        <f t="shared" si="9"/>
        <v>67.741161612401015</v>
      </c>
      <c r="K167" s="235">
        <f t="shared" si="9"/>
        <v>19.354617603543147</v>
      </c>
      <c r="L167" s="236">
        <f>I167*PRP!$J$8+J167*PRP!$J$9+K167*PRP!$J$10</f>
        <v>755870.79571179429</v>
      </c>
      <c r="M167" s="171"/>
      <c r="N167" s="171"/>
      <c r="O167" s="59">
        <v>129</v>
      </c>
      <c r="P167" s="237">
        <v>5218</v>
      </c>
      <c r="Q167" s="237">
        <f t="shared" si="13"/>
        <v>30597.373417366001</v>
      </c>
      <c r="S167" s="123" t="s">
        <v>332</v>
      </c>
    </row>
    <row r="168" spans="2:19">
      <c r="B168" s="1309"/>
      <c r="C168" s="233" t="s">
        <v>388</v>
      </c>
      <c r="D168" s="213">
        <f t="shared" si="14"/>
        <v>259.11661751370559</v>
      </c>
      <c r="E168" s="59" t="s">
        <v>181</v>
      </c>
      <c r="F168" s="59" t="s">
        <v>77</v>
      </c>
      <c r="G168" s="116">
        <v>0.89012999999999998</v>
      </c>
      <c r="H168" s="116">
        <f t="shared" si="12"/>
        <v>10.77</v>
      </c>
      <c r="I168" s="234">
        <f t="shared" si="11"/>
        <v>817772.04487325484</v>
      </c>
      <c r="J168" s="211">
        <f t="shared" si="9"/>
        <v>74.003705961914321</v>
      </c>
      <c r="K168" s="235">
        <f t="shared" si="9"/>
        <v>21.143915989118376</v>
      </c>
      <c r="L168" s="236">
        <f>I168*PRP!$J$8+J168*PRP!$J$9+K168*PRP!$J$10</f>
        <v>825749.64437594928</v>
      </c>
      <c r="M168" s="171"/>
      <c r="N168" s="171"/>
      <c r="O168" s="59">
        <v>99</v>
      </c>
      <c r="P168" s="237">
        <v>2995</v>
      </c>
      <c r="Q168" s="237">
        <f t="shared" si="13"/>
        <v>25652.545133856853</v>
      </c>
      <c r="S168" s="123" t="s">
        <v>332</v>
      </c>
    </row>
    <row r="169" spans="2:19">
      <c r="B169" s="1309"/>
      <c r="C169" s="233" t="s">
        <v>389</v>
      </c>
      <c r="D169" s="213">
        <f t="shared" si="14"/>
        <v>96.759852527633427</v>
      </c>
      <c r="E169" s="59" t="s">
        <v>181</v>
      </c>
      <c r="F169" s="59" t="s">
        <v>77</v>
      </c>
      <c r="G169" s="116">
        <v>0.89012999999999998</v>
      </c>
      <c r="H169" s="116">
        <f t="shared" si="12"/>
        <v>10.77</v>
      </c>
      <c r="I169" s="234">
        <f t="shared" si="11"/>
        <v>305374.09457721107</v>
      </c>
      <c r="J169" s="211">
        <f t="shared" si="9"/>
        <v>27.634613881892108</v>
      </c>
      <c r="K169" s="235">
        <f t="shared" si="9"/>
        <v>7.895603966254888</v>
      </c>
      <c r="L169" s="236">
        <f>I169*PRP!$J$8+J169*PRP!$J$9+K169*PRP!$J$10</f>
        <v>308353.10595367901</v>
      </c>
      <c r="M169" s="171"/>
      <c r="N169" s="171"/>
      <c r="O169" s="59">
        <v>2794</v>
      </c>
      <c r="P169" s="237">
        <v>113000</v>
      </c>
      <c r="Q169" s="237">
        <f t="shared" si="13"/>
        <v>270347.02796220779</v>
      </c>
      <c r="S169" s="123" t="s">
        <v>332</v>
      </c>
    </row>
    <row r="170" spans="2:19">
      <c r="B170" s="1309"/>
      <c r="C170" s="233" t="s">
        <v>390</v>
      </c>
      <c r="D170" s="213">
        <f t="shared" si="14"/>
        <v>106.495012405371</v>
      </c>
      <c r="E170" s="59" t="s">
        <v>181</v>
      </c>
      <c r="F170" s="59" t="s">
        <v>77</v>
      </c>
      <c r="G170" s="116">
        <v>0.89012999999999998</v>
      </c>
      <c r="H170" s="116">
        <f t="shared" si="12"/>
        <v>10.77</v>
      </c>
      <c r="I170" s="234">
        <f t="shared" si="11"/>
        <v>336098.25915135088</v>
      </c>
      <c r="J170" s="211">
        <f t="shared" si="9"/>
        <v>30.414975542973959</v>
      </c>
      <c r="K170" s="235">
        <f t="shared" si="9"/>
        <v>8.6899930122782738</v>
      </c>
      <c r="L170" s="236">
        <f>I170*PRP!$J$8+J170*PRP!$J$9+K170*PRP!$J$10</f>
        <v>339376.99351488345</v>
      </c>
      <c r="M170" s="171"/>
      <c r="N170" s="171"/>
      <c r="O170" s="59">
        <v>2077</v>
      </c>
      <c r="P170" s="237">
        <v>90901</v>
      </c>
      <c r="Q170" s="237">
        <f t="shared" si="13"/>
        <v>221190.14076595556</v>
      </c>
      <c r="S170" s="123" t="s">
        <v>332</v>
      </c>
    </row>
    <row r="171" spans="2:19">
      <c r="B171" s="1309"/>
      <c r="C171" s="233" t="s">
        <v>391</v>
      </c>
      <c r="D171" s="213">
        <f t="shared" si="14"/>
        <v>128.16408830915981</v>
      </c>
      <c r="E171" s="59" t="s">
        <v>181</v>
      </c>
      <c r="F171" s="59" t="s">
        <v>77</v>
      </c>
      <c r="G171" s="116">
        <v>0.89012999999999998</v>
      </c>
      <c r="H171" s="116">
        <f t="shared" si="12"/>
        <v>10.77</v>
      </c>
      <c r="I171" s="234">
        <f t="shared" si="11"/>
        <v>404485.86270370835</v>
      </c>
      <c r="J171" s="211">
        <f t="shared" si="9"/>
        <v>36.603663621096047</v>
      </c>
      <c r="K171" s="235">
        <f t="shared" si="9"/>
        <v>10.458189606027441</v>
      </c>
      <c r="L171" s="236">
        <f>I171*PRP!$J$8+J171*PRP!$J$9+K171*PRP!$J$10</f>
        <v>408431.73764206248</v>
      </c>
      <c r="M171" s="171"/>
      <c r="N171" s="171"/>
      <c r="O171" s="59">
        <v>2726</v>
      </c>
      <c r="P171" s="237">
        <v>148528</v>
      </c>
      <c r="Q171" s="237">
        <f t="shared" si="13"/>
        <v>349375.30473076965</v>
      </c>
      <c r="S171" s="123" t="s">
        <v>332</v>
      </c>
    </row>
    <row r="172" spans="2:19">
      <c r="B172" s="1309"/>
      <c r="C172" s="233" t="s">
        <v>392</v>
      </c>
      <c r="D172" s="213">
        <f t="shared" si="14"/>
        <v>105.68272015482856</v>
      </c>
      <c r="E172" s="59" t="s">
        <v>181</v>
      </c>
      <c r="F172" s="59" t="s">
        <v>77</v>
      </c>
      <c r="G172" s="116">
        <v>0.89012999999999998</v>
      </c>
      <c r="H172" s="116">
        <f t="shared" si="12"/>
        <v>10.77</v>
      </c>
      <c r="I172" s="234">
        <f t="shared" si="11"/>
        <v>333534.66480863892</v>
      </c>
      <c r="J172" s="211">
        <f t="shared" si="9"/>
        <v>30.182984876219038</v>
      </c>
      <c r="K172" s="235">
        <f t="shared" si="9"/>
        <v>8.6237099646340116</v>
      </c>
      <c r="L172" s="236">
        <f>I172*PRP!$J$8+J172*PRP!$J$9+K172*PRP!$J$10</f>
        <v>336788.39057829534</v>
      </c>
      <c r="M172" s="171"/>
      <c r="N172" s="171"/>
      <c r="O172" s="59">
        <v>2074</v>
      </c>
      <c r="P172" s="237">
        <v>90000</v>
      </c>
      <c r="Q172" s="237">
        <f t="shared" si="13"/>
        <v>219185.96160111442</v>
      </c>
      <c r="S172" s="123" t="s">
        <v>332</v>
      </c>
    </row>
    <row r="173" spans="2:19">
      <c r="B173" s="1309"/>
      <c r="C173" s="233" t="s">
        <v>393</v>
      </c>
      <c r="D173" s="213">
        <f t="shared" si="14"/>
        <v>175.00185756093586</v>
      </c>
      <c r="E173" s="59" t="s">
        <v>181</v>
      </c>
      <c r="F173" s="59" t="s">
        <v>77</v>
      </c>
      <c r="G173" s="116">
        <v>0.89012999999999998</v>
      </c>
      <c r="H173" s="116">
        <f t="shared" si="12"/>
        <v>10.77</v>
      </c>
      <c r="I173" s="234">
        <f t="shared" si="11"/>
        <v>552305.86246231361</v>
      </c>
      <c r="J173" s="211">
        <f t="shared" si="9"/>
        <v>49.980530519403288</v>
      </c>
      <c r="K173" s="235">
        <f t="shared" si="9"/>
        <v>14.280151576972367</v>
      </c>
      <c r="L173" s="236">
        <f>I173*PRP!$J$8+J173*PRP!$J$9+K173*PRP!$J$10</f>
        <v>557693.76365230524</v>
      </c>
      <c r="M173" s="171"/>
      <c r="N173" s="171"/>
      <c r="O173" s="59">
        <v>922</v>
      </c>
      <c r="P173" s="237">
        <v>64000</v>
      </c>
      <c r="Q173" s="237">
        <f t="shared" si="13"/>
        <v>161351.71267118288</v>
      </c>
      <c r="S173" s="123" t="s">
        <v>332</v>
      </c>
    </row>
    <row r="174" spans="2:19">
      <c r="B174" s="1309"/>
      <c r="C174" s="233" t="s">
        <v>394</v>
      </c>
      <c r="D174" s="213">
        <f t="shared" si="14"/>
        <v>175.00185756093586</v>
      </c>
      <c r="E174" s="59" t="s">
        <v>181</v>
      </c>
      <c r="F174" s="59" t="s">
        <v>77</v>
      </c>
      <c r="G174" s="116">
        <v>0.89012999999999998</v>
      </c>
      <c r="H174" s="116">
        <f t="shared" si="12"/>
        <v>10.77</v>
      </c>
      <c r="I174" s="234">
        <f t="shared" si="11"/>
        <v>552305.86246231361</v>
      </c>
      <c r="J174" s="211">
        <f t="shared" si="9"/>
        <v>49.980530519403288</v>
      </c>
      <c r="K174" s="235">
        <f t="shared" si="9"/>
        <v>14.280151576972367</v>
      </c>
      <c r="L174" s="236">
        <f>I174*PRP!$J$8+J174*PRP!$J$9+K174*PRP!$J$10</f>
        <v>557693.76365230524</v>
      </c>
      <c r="M174" s="171"/>
      <c r="N174" s="171"/>
      <c r="O174" s="59">
        <v>922</v>
      </c>
      <c r="P174" s="237">
        <v>64000</v>
      </c>
      <c r="Q174" s="237">
        <f t="shared" si="13"/>
        <v>161351.71267118288</v>
      </c>
      <c r="S174" s="123" t="s">
        <v>332</v>
      </c>
    </row>
    <row r="175" spans="2:19">
      <c r="B175" s="1309"/>
      <c r="C175" s="233" t="s">
        <v>395</v>
      </c>
      <c r="D175" s="213">
        <f t="shared" si="14"/>
        <v>100.23557246027931</v>
      </c>
      <c r="E175" s="59" t="s">
        <v>181</v>
      </c>
      <c r="F175" s="59" t="s">
        <v>77</v>
      </c>
      <c r="G175" s="116">
        <v>0.89012999999999998</v>
      </c>
      <c r="H175" s="116">
        <f t="shared" si="12"/>
        <v>10.77</v>
      </c>
      <c r="I175" s="234">
        <f t="shared" si="11"/>
        <v>316343.46668464149</v>
      </c>
      <c r="J175" s="211">
        <f t="shared" si="9"/>
        <v>28.627279494655774</v>
      </c>
      <c r="K175" s="235">
        <f t="shared" si="9"/>
        <v>8.1792227127587935</v>
      </c>
      <c r="L175" s="236">
        <f>I175*PRP!$J$8+J175*PRP!$J$9+K175*PRP!$J$10</f>
        <v>319429.48741416534</v>
      </c>
      <c r="M175" s="171"/>
      <c r="N175" s="171"/>
      <c r="O175" s="59">
        <v>2104</v>
      </c>
      <c r="P175" s="237">
        <v>86273</v>
      </c>
      <c r="Q175" s="237">
        <f t="shared" si="13"/>
        <v>210895.64445642769</v>
      </c>
      <c r="S175" s="123" t="s">
        <v>332</v>
      </c>
    </row>
    <row r="176" spans="2:19">
      <c r="B176" s="1309"/>
      <c r="C176" s="233" t="s">
        <v>396</v>
      </c>
      <c r="D176" s="213">
        <f t="shared" si="14"/>
        <v>90.685926944315327</v>
      </c>
      <c r="E176" s="59" t="s">
        <v>181</v>
      </c>
      <c r="F176" s="59" t="s">
        <v>77</v>
      </c>
      <c r="G176" s="116">
        <v>0.89012999999999998</v>
      </c>
      <c r="H176" s="116">
        <f t="shared" si="12"/>
        <v>10.77</v>
      </c>
      <c r="I176" s="234">
        <f t="shared" si="11"/>
        <v>286204.78543625918</v>
      </c>
      <c r="J176" s="211">
        <f t="shared" si="9"/>
        <v>25.899900735296459</v>
      </c>
      <c r="K176" s="235">
        <f t="shared" si="9"/>
        <v>7.3999716386561314</v>
      </c>
      <c r="L176" s="236">
        <f>I176*PRP!$J$8+J176*PRP!$J$9+K176*PRP!$J$10</f>
        <v>288996.7947355241</v>
      </c>
      <c r="M176" s="171"/>
      <c r="N176" s="171"/>
      <c r="O176" s="59">
        <v>2650</v>
      </c>
      <c r="P176" s="237">
        <v>99500</v>
      </c>
      <c r="Q176" s="237">
        <f t="shared" si="13"/>
        <v>240317.70640243561</v>
      </c>
      <c r="S176" s="123" t="s">
        <v>332</v>
      </c>
    </row>
    <row r="177" spans="2:19">
      <c r="B177" s="1309"/>
      <c r="C177" s="233" t="s">
        <v>397</v>
      </c>
      <c r="D177" s="213">
        <f t="shared" si="14"/>
        <v>100.59138688290236</v>
      </c>
      <c r="E177" s="59" t="s">
        <v>181</v>
      </c>
      <c r="F177" s="59" t="s">
        <v>77</v>
      </c>
      <c r="G177" s="116">
        <v>0.89012999999999998</v>
      </c>
      <c r="H177" s="116">
        <f t="shared" si="12"/>
        <v>10.77</v>
      </c>
      <c r="I177" s="234">
        <f t="shared" si="11"/>
        <v>317466.41700243985</v>
      </c>
      <c r="J177" s="211">
        <f t="shared" si="9"/>
        <v>28.728900093756916</v>
      </c>
      <c r="K177" s="235">
        <f t="shared" si="9"/>
        <v>8.208257169644833</v>
      </c>
      <c r="L177" s="236">
        <f>I177*PRP!$J$8+J177*PRP!$J$9+K177*PRP!$J$10</f>
        <v>320563.39243254683</v>
      </c>
      <c r="M177" s="171"/>
      <c r="N177" s="171"/>
      <c r="O177" s="59">
        <v>2106</v>
      </c>
      <c r="P177" s="237">
        <v>86700</v>
      </c>
      <c r="Q177" s="237">
        <f t="shared" si="13"/>
        <v>211845.46077539236</v>
      </c>
      <c r="S177" s="123" t="s">
        <v>332</v>
      </c>
    </row>
    <row r="178" spans="2:19">
      <c r="B178" s="1309"/>
      <c r="C178" s="233" t="s">
        <v>398</v>
      </c>
      <c r="D178" s="213">
        <f t="shared" si="14"/>
        <v>90.141675319743285</v>
      </c>
      <c r="E178" s="59" t="s">
        <v>181</v>
      </c>
      <c r="F178" s="59" t="s">
        <v>77</v>
      </c>
      <c r="G178" s="116">
        <v>0.89012999999999998</v>
      </c>
      <c r="H178" s="116">
        <f t="shared" si="12"/>
        <v>10.77</v>
      </c>
      <c r="I178" s="234">
        <f t="shared" si="11"/>
        <v>284487.12730910978</v>
      </c>
      <c r="J178" s="211">
        <f t="shared" si="9"/>
        <v>25.744462471318684</v>
      </c>
      <c r="K178" s="235">
        <f t="shared" si="9"/>
        <v>7.3555607060910528</v>
      </c>
      <c r="L178" s="236">
        <f>I178*PRP!$J$8+J178*PRP!$J$9+K178*PRP!$J$10</f>
        <v>287262.38036351796</v>
      </c>
      <c r="M178" s="171"/>
      <c r="N178" s="171"/>
      <c r="O178" s="59">
        <v>2666</v>
      </c>
      <c r="P178" s="237">
        <v>99500</v>
      </c>
      <c r="Q178" s="237">
        <f t="shared" si="13"/>
        <v>240317.70640243561</v>
      </c>
      <c r="S178" s="123" t="s">
        <v>332</v>
      </c>
    </row>
    <row r="179" spans="2:19">
      <c r="B179" s="1309"/>
      <c r="C179" s="233" t="s">
        <v>399</v>
      </c>
      <c r="D179" s="213">
        <f t="shared" si="14"/>
        <v>102.48385671222582</v>
      </c>
      <c r="E179" s="59" t="s">
        <v>181</v>
      </c>
      <c r="F179" s="59" t="s">
        <v>77</v>
      </c>
      <c r="G179" s="116">
        <v>0.89012999999999998</v>
      </c>
      <c r="H179" s="116">
        <f t="shared" si="12"/>
        <v>10.77</v>
      </c>
      <c r="I179" s="234">
        <f t="shared" si="11"/>
        <v>323439.0517837847</v>
      </c>
      <c r="J179" s="211">
        <f t="shared" si="9"/>
        <v>29.269389477011696</v>
      </c>
      <c r="K179" s="235">
        <f t="shared" si="9"/>
        <v>8.362682707717628</v>
      </c>
      <c r="L179" s="236">
        <f>I179*PRP!$J$8+J179*PRP!$J$9+K179*PRP!$J$10</f>
        <v>326594.29196940653</v>
      </c>
      <c r="M179" s="171"/>
      <c r="N179" s="171"/>
      <c r="O179" s="59">
        <v>1972</v>
      </c>
      <c r="P179" s="237">
        <v>82318</v>
      </c>
      <c r="Q179" s="237">
        <f t="shared" si="13"/>
        <v>202098.1654365093</v>
      </c>
      <c r="S179" s="123" t="s">
        <v>332</v>
      </c>
    </row>
    <row r="180" spans="2:19">
      <c r="B180" s="1309"/>
      <c r="C180" s="233" t="s">
        <v>400</v>
      </c>
      <c r="D180" s="213">
        <f t="shared" si="14"/>
        <v>99.836585134409248</v>
      </c>
      <c r="E180" s="59" t="s">
        <v>181</v>
      </c>
      <c r="F180" s="59" t="s">
        <v>77</v>
      </c>
      <c r="G180" s="116">
        <v>0.89012999999999998</v>
      </c>
      <c r="H180" s="116">
        <f t="shared" si="12"/>
        <v>10.77</v>
      </c>
      <c r="I180" s="234">
        <f t="shared" si="11"/>
        <v>315084.26268419559</v>
      </c>
      <c r="J180" s="211">
        <f t="shared" si="9"/>
        <v>28.513328714387285</v>
      </c>
      <c r="K180" s="235">
        <f t="shared" si="9"/>
        <v>8.1466653469677954</v>
      </c>
      <c r="L180" s="236">
        <f>I180*PRP!$J$8+J180*PRP!$J$9+K180*PRP!$J$10</f>
        <v>318157.99951960653</v>
      </c>
      <c r="M180" s="171"/>
      <c r="N180" s="171"/>
      <c r="O180" s="59">
        <v>2024</v>
      </c>
      <c r="P180" s="237">
        <v>82305</v>
      </c>
      <c r="Q180" s="237">
        <f t="shared" si="13"/>
        <v>202069.24831204431</v>
      </c>
      <c r="S180" s="123" t="s">
        <v>332</v>
      </c>
    </row>
    <row r="181" spans="2:19">
      <c r="B181" s="1309"/>
      <c r="C181" s="233" t="s">
        <v>401</v>
      </c>
      <c r="D181" s="213">
        <f t="shared" si="14"/>
        <v>90.324222136176687</v>
      </c>
      <c r="E181" s="59" t="s">
        <v>181</v>
      </c>
      <c r="F181" s="59" t="s">
        <v>77</v>
      </c>
      <c r="G181" s="116">
        <v>0.89012999999999998</v>
      </c>
      <c r="H181" s="116">
        <f t="shared" si="12"/>
        <v>10.77</v>
      </c>
      <c r="I181" s="234">
        <f t="shared" si="11"/>
        <v>285063.24506177363</v>
      </c>
      <c r="J181" s="211">
        <f t="shared" si="9"/>
        <v>25.796597842092062</v>
      </c>
      <c r="K181" s="235">
        <f t="shared" si="9"/>
        <v>7.3704565263120179</v>
      </c>
      <c r="L181" s="236">
        <f>I181*PRP!$J$8+J181*PRP!$J$9+K181*PRP!$J$10</f>
        <v>287844.11830915115</v>
      </c>
      <c r="M181" s="171"/>
      <c r="N181" s="171"/>
      <c r="O181" s="59">
        <v>2668</v>
      </c>
      <c r="P181" s="237">
        <v>99800</v>
      </c>
      <c r="Q181" s="237">
        <f t="shared" si="13"/>
        <v>240985.0246593194</v>
      </c>
      <c r="S181" s="123" t="s">
        <v>332</v>
      </c>
    </row>
    <row r="182" spans="2:19">
      <c r="B182" s="1309"/>
      <c r="C182" s="233" t="s">
        <v>402</v>
      </c>
      <c r="D182" s="213">
        <f t="shared" si="14"/>
        <v>108.34814976181686</v>
      </c>
      <c r="E182" s="59" t="s">
        <v>181</v>
      </c>
      <c r="F182" s="59" t="s">
        <v>77</v>
      </c>
      <c r="G182" s="116">
        <v>0.89012999999999998</v>
      </c>
      <c r="H182" s="116">
        <f t="shared" si="12"/>
        <v>10.77</v>
      </c>
      <c r="I182" s="234">
        <f t="shared" si="11"/>
        <v>341946.760648294</v>
      </c>
      <c r="J182" s="211">
        <f t="shared" si="9"/>
        <v>30.944231571974896</v>
      </c>
      <c r="K182" s="235">
        <f t="shared" si="9"/>
        <v>8.8412090205642553</v>
      </c>
      <c r="L182" s="236">
        <f>I182*PRP!$J$8+J182*PRP!$J$9+K182*PRP!$J$10</f>
        <v>345282.54881175293</v>
      </c>
      <c r="M182" s="171"/>
      <c r="N182" s="171"/>
      <c r="O182" s="59">
        <v>1432</v>
      </c>
      <c r="P182" s="237">
        <v>61214</v>
      </c>
      <c r="Q182" s="237">
        <f t="shared" si="13"/>
        <v>155154.55045892173</v>
      </c>
      <c r="S182" s="123" t="s">
        <v>332</v>
      </c>
    </row>
    <row r="183" spans="2:19">
      <c r="B183" s="1309"/>
      <c r="C183" s="233" t="s">
        <v>403</v>
      </c>
      <c r="D183" s="213">
        <f t="shared" si="14"/>
        <v>102.67746357319325</v>
      </c>
      <c r="E183" s="59" t="s">
        <v>181</v>
      </c>
      <c r="F183" s="59" t="s">
        <v>77</v>
      </c>
      <c r="G183" s="116">
        <v>0.89012999999999998</v>
      </c>
      <c r="H183" s="116">
        <f t="shared" si="12"/>
        <v>10.77</v>
      </c>
      <c r="I183" s="234">
        <f t="shared" si="11"/>
        <v>324050.07503699791</v>
      </c>
      <c r="J183" s="211">
        <f t="shared" si="9"/>
        <v>29.324683596503995</v>
      </c>
      <c r="K183" s="235">
        <f t="shared" si="9"/>
        <v>8.378481027572569</v>
      </c>
      <c r="L183" s="236">
        <f>I183*PRP!$J$8+J183*PRP!$J$9+K183*PRP!$J$10</f>
        <v>327211.27592870104</v>
      </c>
      <c r="M183" s="171"/>
      <c r="N183" s="171"/>
      <c r="O183" s="59">
        <v>1968</v>
      </c>
      <c r="P183" s="237">
        <v>82305</v>
      </c>
      <c r="Q183" s="237">
        <f t="shared" si="13"/>
        <v>202069.24831204431</v>
      </c>
      <c r="S183" s="123" t="s">
        <v>332</v>
      </c>
    </row>
    <row r="184" spans="2:19">
      <c r="B184" s="1309"/>
      <c r="C184" s="233" t="s">
        <v>404</v>
      </c>
      <c r="D184" s="213">
        <f t="shared" si="14"/>
        <v>108.63085907921177</v>
      </c>
      <c r="E184" s="59" t="s">
        <v>181</v>
      </c>
      <c r="F184" s="59" t="s">
        <v>77</v>
      </c>
      <c r="G184" s="116">
        <v>0.89012999999999998</v>
      </c>
      <c r="H184" s="116">
        <f t="shared" si="12"/>
        <v>10.77</v>
      </c>
      <c r="I184" s="234">
        <f t="shared" si="11"/>
        <v>342838.99125399237</v>
      </c>
      <c r="J184" s="211">
        <f t="shared" si="9"/>
        <v>31.024973353022887</v>
      </c>
      <c r="K184" s="235">
        <f t="shared" si="9"/>
        <v>8.8642781008636806</v>
      </c>
      <c r="L184" s="236">
        <f>I184*PRP!$J$8+J184*PRP!$J$9+K184*PRP!$J$10</f>
        <v>346183.4833814482</v>
      </c>
      <c r="M184" s="171"/>
      <c r="N184" s="171"/>
      <c r="O184" s="59">
        <v>1432</v>
      </c>
      <c r="P184" s="237">
        <v>61396</v>
      </c>
      <c r="Q184" s="237">
        <f t="shared" si="13"/>
        <v>155559.39020143126</v>
      </c>
      <c r="S184" s="123" t="s">
        <v>332</v>
      </c>
    </row>
    <row r="185" spans="2:19">
      <c r="B185" s="1309"/>
      <c r="C185" s="233" t="s">
        <v>405</v>
      </c>
      <c r="D185" s="213">
        <f t="shared" si="14"/>
        <v>102.5732224934235</v>
      </c>
      <c r="E185" s="59" t="s">
        <v>181</v>
      </c>
      <c r="F185" s="59" t="s">
        <v>77</v>
      </c>
      <c r="G185" s="116">
        <v>0.89012999999999998</v>
      </c>
      <c r="H185" s="116">
        <f t="shared" si="12"/>
        <v>10.77</v>
      </c>
      <c r="I185" s="234">
        <f t="shared" si="11"/>
        <v>323721.09018924454</v>
      </c>
      <c r="J185" s="211">
        <f t="shared" si="9"/>
        <v>29.294912344121755</v>
      </c>
      <c r="K185" s="235">
        <f t="shared" si="9"/>
        <v>8.3699749554633591</v>
      </c>
      <c r="L185" s="236">
        <f>I185*PRP!$J$8+J185*PRP!$J$9+K185*PRP!$J$10</f>
        <v>326879.08173994086</v>
      </c>
      <c r="M185" s="171"/>
      <c r="N185" s="171"/>
      <c r="O185" s="59">
        <v>1970</v>
      </c>
      <c r="P185" s="237">
        <v>82305</v>
      </c>
      <c r="Q185" s="237">
        <f t="shared" si="13"/>
        <v>202069.24831204431</v>
      </c>
      <c r="S185" s="123" t="s">
        <v>332</v>
      </c>
    </row>
    <row r="186" spans="2:19">
      <c r="B186" s="1309"/>
      <c r="C186" s="233" t="s">
        <v>406</v>
      </c>
      <c r="D186" s="213">
        <f t="shared" si="14"/>
        <v>70.41954209895971</v>
      </c>
      <c r="E186" s="59" t="s">
        <v>181</v>
      </c>
      <c r="F186" s="59" t="s">
        <v>77</v>
      </c>
      <c r="G186" s="116">
        <v>0.89012999999999998</v>
      </c>
      <c r="H186" s="116">
        <f t="shared" si="12"/>
        <v>10.77</v>
      </c>
      <c r="I186" s="234">
        <f t="shared" si="11"/>
        <v>222244.07486431685</v>
      </c>
      <c r="J186" s="211">
        <f t="shared" si="9"/>
        <v>20.111821223462893</v>
      </c>
      <c r="K186" s="235">
        <f t="shared" si="9"/>
        <v>5.7462346352751128</v>
      </c>
      <c r="L186" s="236">
        <f>I186*PRP!$J$8+J186*PRP!$J$9+K186*PRP!$J$10</f>
        <v>224412.12919220616</v>
      </c>
      <c r="M186" s="171"/>
      <c r="N186" s="171"/>
      <c r="O186" s="59">
        <v>2340</v>
      </c>
      <c r="P186" s="237">
        <v>65542</v>
      </c>
      <c r="Q186" s="237">
        <f t="shared" si="13"/>
        <v>164781.72851156571</v>
      </c>
      <c r="S186" s="123" t="s">
        <v>332</v>
      </c>
    </row>
    <row r="187" spans="2:19">
      <c r="B187" s="1309"/>
      <c r="C187" s="233" t="s">
        <v>407</v>
      </c>
      <c r="D187" s="213">
        <f t="shared" si="14"/>
        <v>87.299231442750468</v>
      </c>
      <c r="E187" s="59" t="s">
        <v>181</v>
      </c>
      <c r="F187" s="59" t="s">
        <v>77</v>
      </c>
      <c r="G187" s="116">
        <v>0.89012999999999998</v>
      </c>
      <c r="H187" s="116">
        <f t="shared" si="12"/>
        <v>10.77</v>
      </c>
      <c r="I187" s="234">
        <f t="shared" si="11"/>
        <v>275516.37443332048</v>
      </c>
      <c r="J187" s="211">
        <f t="shared" si="9"/>
        <v>24.932660500049536</v>
      </c>
      <c r="K187" s="235">
        <f t="shared" si="9"/>
        <v>7.1236172857284386</v>
      </c>
      <c r="L187" s="236">
        <f>I187*PRP!$J$8+J187*PRP!$J$9+K187*PRP!$J$10</f>
        <v>278204.11523522582</v>
      </c>
      <c r="M187" s="171"/>
      <c r="N187" s="171"/>
      <c r="O187" s="59">
        <v>4488</v>
      </c>
      <c r="P187" s="237">
        <v>167600</v>
      </c>
      <c r="Q187" s="237">
        <f t="shared" si="13"/>
        <v>391798.95071506413</v>
      </c>
      <c r="S187" s="123" t="s">
        <v>332</v>
      </c>
    </row>
    <row r="188" spans="2:19">
      <c r="B188" s="1309"/>
      <c r="C188" s="233" t="s">
        <v>408</v>
      </c>
      <c r="D188" s="213">
        <f t="shared" si="14"/>
        <v>93.75826192855267</v>
      </c>
      <c r="E188" s="59" t="s">
        <v>181</v>
      </c>
      <c r="F188" s="59" t="s">
        <v>77</v>
      </c>
      <c r="G188" s="116">
        <v>0.89012999999999998</v>
      </c>
      <c r="H188" s="116">
        <f t="shared" si="12"/>
        <v>10.77</v>
      </c>
      <c r="I188" s="234">
        <f t="shared" si="11"/>
        <v>295901.07464651222</v>
      </c>
      <c r="J188" s="211">
        <f t="shared" si="9"/>
        <v>26.777359606794644</v>
      </c>
      <c r="K188" s="235">
        <f t="shared" si="9"/>
        <v>7.6506741733698984</v>
      </c>
      <c r="L188" s="236">
        <f>I188*PRP!$J$8+J188*PRP!$J$9+K188*PRP!$J$10</f>
        <v>298787.67401212465</v>
      </c>
      <c r="M188" s="171"/>
      <c r="N188" s="171"/>
      <c r="O188" s="59">
        <v>3502</v>
      </c>
      <c r="P188" s="237">
        <v>139072</v>
      </c>
      <c r="Q188" s="237">
        <f t="shared" si="13"/>
        <v>328341.43327379145</v>
      </c>
      <c r="S188" s="123" t="s">
        <v>332</v>
      </c>
    </row>
    <row r="189" spans="2:19">
      <c r="B189" s="1309"/>
      <c r="C189" s="233" t="s">
        <v>409</v>
      </c>
      <c r="D189" s="213">
        <f t="shared" si="14"/>
        <v>67.514907275155196</v>
      </c>
      <c r="E189" s="59" t="s">
        <v>181</v>
      </c>
      <c r="F189" s="59" t="s">
        <v>77</v>
      </c>
      <c r="G189" s="116">
        <v>0.89012999999999998</v>
      </c>
      <c r="H189" s="116">
        <f t="shared" si="12"/>
        <v>10.77</v>
      </c>
      <c r="I189" s="234">
        <f t="shared" si="11"/>
        <v>213077.04736038978</v>
      </c>
      <c r="J189" s="211">
        <f t="shared" si="9"/>
        <v>19.282257517784327</v>
      </c>
      <c r="K189" s="235">
        <f t="shared" si="9"/>
        <v>5.5092164336526643</v>
      </c>
      <c r="L189" s="236">
        <f>I189*PRP!$J$8+J189*PRP!$J$9+K189*PRP!$J$10</f>
        <v>215155.67472080694</v>
      </c>
      <c r="M189" s="171"/>
      <c r="N189" s="171"/>
      <c r="O189" s="59">
        <v>6327</v>
      </c>
      <c r="P189" s="237">
        <v>183500</v>
      </c>
      <c r="Q189" s="237">
        <f t="shared" si="13"/>
        <v>427166.81832990691</v>
      </c>
      <c r="S189" s="123" t="s">
        <v>332</v>
      </c>
    </row>
    <row r="190" spans="2:19">
      <c r="B190" s="1309"/>
      <c r="C190" s="233" t="s">
        <v>410</v>
      </c>
      <c r="D190" s="213">
        <f t="shared" si="14"/>
        <v>99.515736552960092</v>
      </c>
      <c r="E190" s="59" t="s">
        <v>181</v>
      </c>
      <c r="F190" s="59" t="s">
        <v>77</v>
      </c>
      <c r="G190" s="116">
        <v>0.89012999999999998</v>
      </c>
      <c r="H190" s="116">
        <f t="shared" si="12"/>
        <v>10.77</v>
      </c>
      <c r="I190" s="234">
        <f t="shared" si="11"/>
        <v>314071.66456114204</v>
      </c>
      <c r="J190" s="211">
        <f t="shared" si="9"/>
        <v>28.421694359525404</v>
      </c>
      <c r="K190" s="235">
        <f t="shared" si="9"/>
        <v>8.1204841027215444</v>
      </c>
      <c r="L190" s="236">
        <f>I190*PRP!$J$8+J190*PRP!$J$9+K190*PRP!$J$10</f>
        <v>317135.52321309887</v>
      </c>
      <c r="M190" s="171"/>
      <c r="N190" s="171"/>
      <c r="O190" s="59">
        <v>3274</v>
      </c>
      <c r="P190" s="237">
        <v>137936</v>
      </c>
      <c r="Q190" s="237">
        <f t="shared" si="13"/>
        <v>325814.52147439134</v>
      </c>
      <c r="S190" s="123" t="s">
        <v>332</v>
      </c>
    </row>
    <row r="191" spans="2:19">
      <c r="B191" s="1309"/>
      <c r="C191" s="233" t="s">
        <v>411</v>
      </c>
      <c r="D191" s="213">
        <f t="shared" si="14"/>
        <v>84.478456529538718</v>
      </c>
      <c r="E191" s="59" t="s">
        <v>181</v>
      </c>
      <c r="F191" s="59" t="s">
        <v>77</v>
      </c>
      <c r="G191" s="116">
        <v>0.89012999999999998</v>
      </c>
      <c r="H191" s="116">
        <f t="shared" si="12"/>
        <v>10.77</v>
      </c>
      <c r="I191" s="234">
        <f t="shared" si="11"/>
        <v>266614.00880722422</v>
      </c>
      <c r="J191" s="211">
        <f t="shared" si="9"/>
        <v>24.127047184836261</v>
      </c>
      <c r="K191" s="235">
        <f t="shared" si="9"/>
        <v>6.8934420528103599</v>
      </c>
      <c r="L191" s="236">
        <f>I191*PRP!$J$8+J191*PRP!$J$9+K191*PRP!$J$10</f>
        <v>269214.90449374955</v>
      </c>
      <c r="M191" s="171"/>
      <c r="N191" s="171"/>
      <c r="O191" s="59">
        <v>4888</v>
      </c>
      <c r="P191" s="237">
        <v>177100</v>
      </c>
      <c r="Q191" s="237">
        <f t="shared" si="13"/>
        <v>412930.69551638525</v>
      </c>
      <c r="S191" s="123" t="s">
        <v>332</v>
      </c>
    </row>
    <row r="192" spans="2:19">
      <c r="B192" s="1309"/>
      <c r="C192" s="233" t="s">
        <v>412</v>
      </c>
      <c r="D192" s="213">
        <f t="shared" si="14"/>
        <v>76.092488150868732</v>
      </c>
      <c r="E192" s="59" t="s">
        <v>181</v>
      </c>
      <c r="F192" s="59" t="s">
        <v>77</v>
      </c>
      <c r="G192" s="116">
        <v>0.89012999999999998</v>
      </c>
      <c r="H192" s="116">
        <f t="shared" si="12"/>
        <v>10.77</v>
      </c>
      <c r="I192" s="234">
        <f t="shared" si="11"/>
        <v>240147.89260414173</v>
      </c>
      <c r="J192" s="211">
        <f t="shared" si="9"/>
        <v>21.732014615888112</v>
      </c>
      <c r="K192" s="235">
        <f t="shared" si="9"/>
        <v>6.2091470331108889</v>
      </c>
      <c r="L192" s="236">
        <f>I192*PRP!$J$8+J192*PRP!$J$9+K192*PRP!$J$10</f>
        <v>242490.60377973446</v>
      </c>
      <c r="M192" s="171"/>
      <c r="N192" s="171"/>
      <c r="O192" s="59">
        <v>1976</v>
      </c>
      <c r="P192" s="237">
        <v>59058</v>
      </c>
      <c r="Q192" s="237">
        <f t="shared" si="13"/>
        <v>150358.75658611662</v>
      </c>
      <c r="S192" s="123" t="s">
        <v>332</v>
      </c>
    </row>
    <row r="193" spans="2:19">
      <c r="B193" s="1309"/>
      <c r="C193" s="233" t="s">
        <v>413</v>
      </c>
      <c r="D193" s="213">
        <f t="shared" si="14"/>
        <v>91.577702543863637</v>
      </c>
      <c r="E193" s="59" t="s">
        <v>181</v>
      </c>
      <c r="F193" s="59" t="s">
        <v>77</v>
      </c>
      <c r="G193" s="116">
        <v>0.89012999999999998</v>
      </c>
      <c r="H193" s="116">
        <f t="shared" si="12"/>
        <v>10.77</v>
      </c>
      <c r="I193" s="234">
        <f t="shared" si="11"/>
        <v>289019.22922843363</v>
      </c>
      <c r="J193" s="211">
        <f t="shared" si="9"/>
        <v>26.154591846527456</v>
      </c>
      <c r="K193" s="235">
        <f t="shared" si="9"/>
        <v>7.4727405275792735</v>
      </c>
      <c r="L193" s="236">
        <f>I193*PRP!$J$8+J193*PRP!$J$9+K193*PRP!$J$10</f>
        <v>291838.69422948931</v>
      </c>
      <c r="M193" s="171"/>
      <c r="N193" s="171"/>
      <c r="O193" s="59">
        <v>2518</v>
      </c>
      <c r="P193" s="237">
        <v>95128</v>
      </c>
      <c r="Q193" s="237">
        <f t="shared" si="13"/>
        <v>230592.65500544864</v>
      </c>
      <c r="S193" s="123" t="s">
        <v>332</v>
      </c>
    </row>
    <row r="194" spans="2:19">
      <c r="B194" s="1309"/>
      <c r="C194" s="233" t="s">
        <v>414</v>
      </c>
      <c r="D194" s="213">
        <f t="shared" si="14"/>
        <v>68.334671718812814</v>
      </c>
      <c r="E194" s="59" t="s">
        <v>181</v>
      </c>
      <c r="F194" s="59" t="s">
        <v>77</v>
      </c>
      <c r="G194" s="116">
        <v>0.89012999999999998</v>
      </c>
      <c r="H194" s="116">
        <f t="shared" si="12"/>
        <v>10.77</v>
      </c>
      <c r="I194" s="234">
        <f t="shared" si="11"/>
        <v>215664.22394457323</v>
      </c>
      <c r="J194" s="211">
        <f t="shared" si="9"/>
        <v>19.516382242892941</v>
      </c>
      <c r="K194" s="235">
        <f t="shared" si="9"/>
        <v>5.5761092122551261</v>
      </c>
      <c r="L194" s="236">
        <f>I194*PRP!$J$8+J194*PRP!$J$9+K194*PRP!$J$10</f>
        <v>217768.08995035707</v>
      </c>
      <c r="M194" s="171"/>
      <c r="N194" s="171"/>
      <c r="O194" s="59">
        <v>5714</v>
      </c>
      <c r="P194" s="237">
        <v>167000</v>
      </c>
      <c r="Q194" s="237">
        <f t="shared" si="13"/>
        <v>390464.31420129642</v>
      </c>
      <c r="S194" s="123" t="s">
        <v>332</v>
      </c>
    </row>
    <row r="195" spans="2:19">
      <c r="B195" s="1309"/>
      <c r="C195" s="233" t="s">
        <v>415</v>
      </c>
      <c r="D195" s="213">
        <f t="shared" si="14"/>
        <v>88.056677334859444</v>
      </c>
      <c r="E195" s="59" t="s">
        <v>181</v>
      </c>
      <c r="F195" s="59" t="s">
        <v>77</v>
      </c>
      <c r="G195" s="116">
        <v>0.89012999999999998</v>
      </c>
      <c r="H195" s="116">
        <f t="shared" si="12"/>
        <v>10.77</v>
      </c>
      <c r="I195" s="234">
        <f t="shared" si="11"/>
        <v>277906.87366881641</v>
      </c>
      <c r="J195" s="211">
        <f t="shared" si="9"/>
        <v>25.14898704683586</v>
      </c>
      <c r="K195" s="235">
        <f t="shared" si="9"/>
        <v>7.1854248705245309</v>
      </c>
      <c r="L195" s="236">
        <f>I195*PRP!$J$8+J195*PRP!$J$9+K195*PRP!$J$10</f>
        <v>280617.93447246536</v>
      </c>
      <c r="M195" s="171"/>
      <c r="N195" s="171"/>
      <c r="O195" s="59">
        <v>2550</v>
      </c>
      <c r="P195" s="237">
        <v>92409</v>
      </c>
      <c r="Q195" s="237">
        <f t="shared" si="13"/>
        <v>224544.52720389157</v>
      </c>
      <c r="S195" s="123" t="s">
        <v>332</v>
      </c>
    </row>
    <row r="196" spans="2:19">
      <c r="B196" s="1309"/>
      <c r="C196" s="233" t="s">
        <v>416</v>
      </c>
      <c r="D196" s="213">
        <f t="shared" si="14"/>
        <v>61.549355665120103</v>
      </c>
      <c r="E196" s="59" t="s">
        <v>181</v>
      </c>
      <c r="F196" s="59" t="s">
        <v>77</v>
      </c>
      <c r="G196" s="116">
        <v>0.89012999999999998</v>
      </c>
      <c r="H196" s="116">
        <f t="shared" si="12"/>
        <v>10.77</v>
      </c>
      <c r="I196" s="234">
        <f t="shared" si="11"/>
        <v>194249.76647911905</v>
      </c>
      <c r="J196" s="211">
        <f t="shared" si="9"/>
        <v>17.578495977958301</v>
      </c>
      <c r="K196" s="235">
        <f t="shared" si="9"/>
        <v>5.0224274222738003</v>
      </c>
      <c r="L196" s="236">
        <f>I196*PRP!$J$8+J196*PRP!$J$9+K196*PRP!$J$10</f>
        <v>196144.72834554297</v>
      </c>
      <c r="M196" s="171"/>
      <c r="N196" s="171"/>
      <c r="O196" s="59">
        <v>2679</v>
      </c>
      <c r="P196" s="237">
        <v>65591</v>
      </c>
      <c r="Q196" s="237">
        <f t="shared" si="13"/>
        <v>164890.72382685676</v>
      </c>
      <c r="S196" s="123" t="s">
        <v>332</v>
      </c>
    </row>
    <row r="197" spans="2:19">
      <c r="B197" s="1309"/>
      <c r="C197" s="233" t="s">
        <v>417</v>
      </c>
      <c r="D197" s="213">
        <f t="shared" si="14"/>
        <v>88.056677334859444</v>
      </c>
      <c r="E197" s="59" t="s">
        <v>181</v>
      </c>
      <c r="F197" s="59" t="s">
        <v>77</v>
      </c>
      <c r="G197" s="116">
        <v>0.89012999999999998</v>
      </c>
      <c r="H197" s="116">
        <f t="shared" si="12"/>
        <v>10.77</v>
      </c>
      <c r="I197" s="234">
        <f t="shared" si="11"/>
        <v>277906.87366881641</v>
      </c>
      <c r="J197" s="211">
        <f t="shared" si="9"/>
        <v>25.14898704683586</v>
      </c>
      <c r="K197" s="235">
        <f t="shared" si="9"/>
        <v>7.1854248705245309</v>
      </c>
      <c r="L197" s="236">
        <f>I197*PRP!$J$8+J197*PRP!$J$9+K197*PRP!$J$10</f>
        <v>280617.93447246536</v>
      </c>
      <c r="M197" s="171"/>
      <c r="N197" s="171"/>
      <c r="O197" s="59">
        <v>2550</v>
      </c>
      <c r="P197" s="237">
        <v>92409</v>
      </c>
      <c r="Q197" s="237">
        <f t="shared" si="13"/>
        <v>224544.52720389157</v>
      </c>
      <c r="S197" s="123" t="s">
        <v>332</v>
      </c>
    </row>
    <row r="198" spans="2:19">
      <c r="B198" s="1309"/>
      <c r="C198" s="233" t="s">
        <v>418</v>
      </c>
      <c r="D198" s="213">
        <f t="shared" si="14"/>
        <v>88.246841230285156</v>
      </c>
      <c r="E198" s="59" t="s">
        <v>181</v>
      </c>
      <c r="F198" s="59" t="s">
        <v>77</v>
      </c>
      <c r="G198" s="116">
        <v>0.89012999999999998</v>
      </c>
      <c r="H198" s="116">
        <f t="shared" si="12"/>
        <v>10.77</v>
      </c>
      <c r="I198" s="234">
        <f t="shared" si="11"/>
        <v>278507.03092277993</v>
      </c>
      <c r="J198" s="211">
        <f t="shared" si="9"/>
        <v>25.203297855369442</v>
      </c>
      <c r="K198" s="235">
        <f t="shared" si="9"/>
        <v>7.2009422443912694</v>
      </c>
      <c r="L198" s="236">
        <f>I198*PRP!$J$8+J198*PRP!$J$9+K198*PRP!$J$10</f>
        <v>281223.94643158879</v>
      </c>
      <c r="M198" s="171"/>
      <c r="N198" s="171"/>
      <c r="O198" s="59">
        <v>2550</v>
      </c>
      <c r="P198" s="237">
        <v>92627</v>
      </c>
      <c r="Q198" s="237">
        <f t="shared" si="13"/>
        <v>225029.44513722716</v>
      </c>
      <c r="S198" s="123" t="s">
        <v>332</v>
      </c>
    </row>
    <row r="199" spans="2:19">
      <c r="B199" s="1309"/>
      <c r="C199" s="233" t="s">
        <v>419</v>
      </c>
      <c r="D199" s="213">
        <f t="shared" si="14"/>
        <v>93.75826192855267</v>
      </c>
      <c r="E199" s="59" t="s">
        <v>181</v>
      </c>
      <c r="F199" s="59" t="s">
        <v>77</v>
      </c>
      <c r="G199" s="116">
        <v>0.89012999999999998</v>
      </c>
      <c r="H199" s="116">
        <f t="shared" si="12"/>
        <v>10.77</v>
      </c>
      <c r="I199" s="234">
        <f t="shared" si="11"/>
        <v>295901.07464651222</v>
      </c>
      <c r="J199" s="211">
        <f t="shared" si="9"/>
        <v>26.777359606794644</v>
      </c>
      <c r="K199" s="235">
        <f t="shared" si="9"/>
        <v>7.6506741733698984</v>
      </c>
      <c r="L199" s="236">
        <f>I199*PRP!$J$8+J199*PRP!$J$9+K199*PRP!$J$10</f>
        <v>298787.67401212465</v>
      </c>
      <c r="M199" s="171"/>
      <c r="N199" s="171"/>
      <c r="O199" s="59">
        <v>3502</v>
      </c>
      <c r="P199" s="237">
        <v>139072</v>
      </c>
      <c r="Q199" s="237">
        <f t="shared" si="13"/>
        <v>328341.43327379145</v>
      </c>
      <c r="S199" s="123" t="s">
        <v>332</v>
      </c>
    </row>
    <row r="200" spans="2:19">
      <c r="B200" s="1309"/>
      <c r="C200" s="233" t="s">
        <v>420</v>
      </c>
      <c r="D200" s="213">
        <f t="shared" si="14"/>
        <v>86.847653437571992</v>
      </c>
      <c r="E200" s="59" t="s">
        <v>181</v>
      </c>
      <c r="F200" s="59" t="s">
        <v>77</v>
      </c>
      <c r="G200" s="116">
        <v>0.89012999999999998</v>
      </c>
      <c r="H200" s="116">
        <f t="shared" si="12"/>
        <v>10.77</v>
      </c>
      <c r="I200" s="234">
        <f t="shared" si="11"/>
        <v>274091.19424897723</v>
      </c>
      <c r="J200" s="211">
        <f t="shared" si="9"/>
        <v>24.803689821770561</v>
      </c>
      <c r="K200" s="235">
        <f t="shared" si="9"/>
        <v>7.086768520505875</v>
      </c>
      <c r="L200" s="236">
        <f>I200*PRP!$J$8+J200*PRP!$J$9+K200*PRP!$J$10</f>
        <v>276765.03201176407</v>
      </c>
      <c r="M200" s="171"/>
      <c r="N200" s="171"/>
      <c r="O200" s="59">
        <v>4560</v>
      </c>
      <c r="P200" s="237">
        <v>169500</v>
      </c>
      <c r="Q200" s="237">
        <f t="shared" si="13"/>
        <v>396025.29967532831</v>
      </c>
      <c r="S200" s="123" t="s">
        <v>332</v>
      </c>
    </row>
    <row r="201" spans="2:19">
      <c r="B201" s="1309"/>
      <c r="C201" s="233" t="s">
        <v>421</v>
      </c>
      <c r="D201" s="213">
        <f t="shared" si="14"/>
        <v>70.269597367289549</v>
      </c>
      <c r="E201" s="59" t="s">
        <v>181</v>
      </c>
      <c r="F201" s="59" t="s">
        <v>77</v>
      </c>
      <c r="G201" s="116">
        <v>0.89012999999999998</v>
      </c>
      <c r="H201" s="116">
        <f t="shared" si="12"/>
        <v>10.77</v>
      </c>
      <c r="I201" s="234">
        <f t="shared" si="11"/>
        <v>221770.84929116582</v>
      </c>
      <c r="J201" s="211">
        <f t="shared" si="9"/>
        <v>20.068997008097895</v>
      </c>
      <c r="K201" s="235">
        <f t="shared" si="9"/>
        <v>5.7339991451708272</v>
      </c>
      <c r="L201" s="236">
        <f>I201*PRP!$J$8+J201*PRP!$J$9+K201*PRP!$J$10</f>
        <v>223934.28716863878</v>
      </c>
      <c r="M201" s="171"/>
      <c r="N201" s="171"/>
      <c r="O201" s="59">
        <v>5632</v>
      </c>
      <c r="P201" s="237">
        <v>169380</v>
      </c>
      <c r="Q201" s="237">
        <f t="shared" si="13"/>
        <v>395758.37237257475</v>
      </c>
      <c r="S201" s="123" t="s">
        <v>332</v>
      </c>
    </row>
    <row r="202" spans="2:19">
      <c r="B202" s="1309"/>
      <c r="C202" s="233" t="s">
        <v>422</v>
      </c>
      <c r="D202" s="213">
        <f t="shared" si="14"/>
        <v>72.387247513807139</v>
      </c>
      <c r="E202" s="59" t="s">
        <v>181</v>
      </c>
      <c r="F202" s="59" t="s">
        <v>77</v>
      </c>
      <c r="G202" s="116">
        <v>0.89012999999999998</v>
      </c>
      <c r="H202" s="116">
        <f t="shared" si="12"/>
        <v>10.77</v>
      </c>
      <c r="I202" s="234">
        <f t="shared" si="11"/>
        <v>228454.15315357535</v>
      </c>
      <c r="J202" s="211">
        <f t="shared" si="9"/>
        <v>20.673797889943319</v>
      </c>
      <c r="K202" s="235">
        <f t="shared" si="9"/>
        <v>5.9067993971266626</v>
      </c>
      <c r="L202" s="236">
        <f>I202*PRP!$J$8+J202*PRP!$J$9+K202*PRP!$J$10</f>
        <v>230682.78856611124</v>
      </c>
      <c r="M202" s="171"/>
      <c r="N202" s="171"/>
      <c r="O202" s="59">
        <v>5179</v>
      </c>
      <c r="P202" s="237">
        <v>160000</v>
      </c>
      <c r="Q202" s="237">
        <f t="shared" si="13"/>
        <v>374893.55487400718</v>
      </c>
      <c r="S202" s="123" t="s">
        <v>332</v>
      </c>
    </row>
    <row r="203" spans="2:19">
      <c r="B203" s="1309"/>
      <c r="C203" s="233" t="s">
        <v>423</v>
      </c>
      <c r="D203" s="213">
        <f t="shared" si="14"/>
        <v>72.387247513807139</v>
      </c>
      <c r="E203" s="59" t="s">
        <v>181</v>
      </c>
      <c r="F203" s="59" t="s">
        <v>77</v>
      </c>
      <c r="G203" s="116">
        <v>0.89012999999999998</v>
      </c>
      <c r="H203" s="116">
        <f t="shared" ref="H203:H266" si="15">$H$49</f>
        <v>10.77</v>
      </c>
      <c r="I203" s="234">
        <f t="shared" ref="I203:K218" si="16">$D203*I$49</f>
        <v>228454.15315357535</v>
      </c>
      <c r="J203" s="211">
        <f t="shared" si="16"/>
        <v>20.673797889943319</v>
      </c>
      <c r="K203" s="235">
        <f t="shared" si="16"/>
        <v>5.9067993971266626</v>
      </c>
      <c r="L203" s="236">
        <f>I203*PRP!$J$8+J203*PRP!$J$9+K203*PRP!$J$10</f>
        <v>230682.78856611124</v>
      </c>
      <c r="M203" s="171"/>
      <c r="N203" s="171"/>
      <c r="O203" s="59">
        <v>5179</v>
      </c>
      <c r="P203" s="237">
        <v>160000</v>
      </c>
      <c r="Q203" s="237">
        <f t="shared" si="13"/>
        <v>374893.55487400718</v>
      </c>
      <c r="S203" s="123" t="s">
        <v>332</v>
      </c>
    </row>
    <row r="204" spans="2:19">
      <c r="B204" s="1309"/>
      <c r="C204" s="233" t="s">
        <v>424</v>
      </c>
      <c r="D204" s="213">
        <f t="shared" si="14"/>
        <v>61.508670590356743</v>
      </c>
      <c r="E204" s="59" t="s">
        <v>181</v>
      </c>
      <c r="F204" s="59" t="s">
        <v>77</v>
      </c>
      <c r="G204" s="116">
        <v>0.89012999999999998</v>
      </c>
      <c r="H204" s="116">
        <f t="shared" si="15"/>
        <v>10.77</v>
      </c>
      <c r="I204" s="234">
        <f t="shared" si="16"/>
        <v>194121.36438316587</v>
      </c>
      <c r="J204" s="211">
        <f t="shared" si="16"/>
        <v>17.566876320605886</v>
      </c>
      <c r="K204" s="235">
        <f t="shared" si="16"/>
        <v>5.0191075201731108</v>
      </c>
      <c r="L204" s="236">
        <f>I204*PRP!$J$8+J204*PRP!$J$9+K204*PRP!$J$10</f>
        <v>196015.07365052719</v>
      </c>
      <c r="M204" s="171"/>
      <c r="N204" s="171"/>
      <c r="O204" s="59">
        <v>2679</v>
      </c>
      <c r="P204" s="237">
        <v>65542</v>
      </c>
      <c r="Q204" s="237">
        <f t="shared" si="13"/>
        <v>164781.72851156571</v>
      </c>
      <c r="S204" s="123" t="s">
        <v>332</v>
      </c>
    </row>
    <row r="205" spans="2:19">
      <c r="B205" s="1309"/>
      <c r="C205" s="233" t="s">
        <v>425</v>
      </c>
      <c r="D205" s="213">
        <f t="shared" si="14"/>
        <v>100.34324652737645</v>
      </c>
      <c r="E205" s="59" t="s">
        <v>181</v>
      </c>
      <c r="F205" s="59" t="s">
        <v>77</v>
      </c>
      <c r="G205" s="116">
        <v>0.89012999999999998</v>
      </c>
      <c r="H205" s="116">
        <f t="shared" si="15"/>
        <v>10.77</v>
      </c>
      <c r="I205" s="234">
        <f t="shared" si="16"/>
        <v>316683.2860404001</v>
      </c>
      <c r="J205" s="211">
        <f t="shared" si="16"/>
        <v>28.658031208218716</v>
      </c>
      <c r="K205" s="235">
        <f t="shared" si="16"/>
        <v>8.1880089166339189</v>
      </c>
      <c r="L205" s="236">
        <f>I205*PRP!$J$8+J205*PRP!$J$9+K205*PRP!$J$10</f>
        <v>319772.6218046461</v>
      </c>
      <c r="M205" s="171"/>
      <c r="N205" s="171"/>
      <c r="O205" s="59">
        <v>3247</v>
      </c>
      <c r="P205" s="237">
        <v>137936</v>
      </c>
      <c r="Q205" s="237">
        <f t="shared" si="13"/>
        <v>325814.52147439134</v>
      </c>
      <c r="S205" s="123" t="s">
        <v>332</v>
      </c>
    </row>
    <row r="206" spans="2:19">
      <c r="B206" s="1309"/>
      <c r="C206" s="233" t="s">
        <v>426</v>
      </c>
      <c r="D206" s="213">
        <f t="shared" si="14"/>
        <v>84.478456529538718</v>
      </c>
      <c r="E206" s="59" t="s">
        <v>181</v>
      </c>
      <c r="F206" s="59" t="s">
        <v>77</v>
      </c>
      <c r="G206" s="116">
        <v>0.89012999999999998</v>
      </c>
      <c r="H206" s="116">
        <f t="shared" si="15"/>
        <v>10.77</v>
      </c>
      <c r="I206" s="234">
        <f t="shared" si="16"/>
        <v>266614.00880722422</v>
      </c>
      <c r="J206" s="211">
        <f t="shared" si="16"/>
        <v>24.127047184836261</v>
      </c>
      <c r="K206" s="235">
        <f t="shared" si="16"/>
        <v>6.8934420528103599</v>
      </c>
      <c r="L206" s="236">
        <f>I206*PRP!$J$8+J206*PRP!$J$9+K206*PRP!$J$10</f>
        <v>269214.90449374955</v>
      </c>
      <c r="M206" s="171"/>
      <c r="N206" s="171"/>
      <c r="O206" s="59">
        <v>4888</v>
      </c>
      <c r="P206" s="237">
        <v>177100</v>
      </c>
      <c r="Q206" s="237">
        <f t="shared" ref="Q206:Q269" si="17">(16.904 + 0.00198*P206 )*1000/G206</f>
        <v>412930.69551638525</v>
      </c>
      <c r="S206" s="123" t="s">
        <v>332</v>
      </c>
    </row>
    <row r="207" spans="2:19">
      <c r="B207" s="1309"/>
      <c r="C207" s="233" t="s">
        <v>427</v>
      </c>
      <c r="D207" s="213">
        <f t="shared" si="14"/>
        <v>90.944345293761444</v>
      </c>
      <c r="E207" s="59" t="s">
        <v>181</v>
      </c>
      <c r="F207" s="59" t="s">
        <v>77</v>
      </c>
      <c r="G207" s="116">
        <v>0.89012999999999998</v>
      </c>
      <c r="H207" s="116">
        <f t="shared" si="15"/>
        <v>10.77</v>
      </c>
      <c r="I207" s="234">
        <f t="shared" si="16"/>
        <v>287020.3537471111</v>
      </c>
      <c r="J207" s="211">
        <f t="shared" si="16"/>
        <v>25.973705015898272</v>
      </c>
      <c r="K207" s="235">
        <f t="shared" si="16"/>
        <v>7.4210585759709344</v>
      </c>
      <c r="L207" s="236">
        <f>I207*PRP!$J$8+J207*PRP!$J$9+K207*PRP!$J$10</f>
        <v>289820.31914782495</v>
      </c>
      <c r="M207" s="171"/>
      <c r="N207" s="171"/>
      <c r="O207" s="59">
        <v>5240</v>
      </c>
      <c r="P207" s="237">
        <v>205700</v>
      </c>
      <c r="Q207" s="237">
        <f t="shared" si="17"/>
        <v>476548.36933930998</v>
      </c>
      <c r="S207" s="123" t="s">
        <v>332</v>
      </c>
    </row>
    <row r="208" spans="2:19">
      <c r="B208" s="1309"/>
      <c r="C208" s="233" t="s">
        <v>428</v>
      </c>
      <c r="D208" s="213">
        <f t="shared" si="14"/>
        <v>90.529705421601435</v>
      </c>
      <c r="E208" s="59" t="s">
        <v>181</v>
      </c>
      <c r="F208" s="59" t="s">
        <v>77</v>
      </c>
      <c r="G208" s="116">
        <v>0.89012999999999998</v>
      </c>
      <c r="H208" s="116">
        <f t="shared" si="15"/>
        <v>10.77</v>
      </c>
      <c r="I208" s="234">
        <f t="shared" si="16"/>
        <v>285711.75031057413</v>
      </c>
      <c r="J208" s="211">
        <f t="shared" si="16"/>
        <v>25.855283868409373</v>
      </c>
      <c r="K208" s="235">
        <f t="shared" si="16"/>
        <v>7.3872239624026772</v>
      </c>
      <c r="L208" s="236">
        <f>I208*PRP!$J$8+J208*PRP!$J$9+K208*PRP!$J$10</f>
        <v>288498.94991158869</v>
      </c>
      <c r="M208" s="171"/>
      <c r="N208" s="171"/>
      <c r="O208" s="59">
        <v>5264</v>
      </c>
      <c r="P208" s="237">
        <v>205700</v>
      </c>
      <c r="Q208" s="237">
        <f t="shared" si="17"/>
        <v>476548.36933930998</v>
      </c>
      <c r="S208" s="123" t="s">
        <v>332</v>
      </c>
    </row>
    <row r="209" spans="2:19">
      <c r="B209" s="1309"/>
      <c r="C209" s="233" t="s">
        <v>429</v>
      </c>
      <c r="D209" s="213">
        <f t="shared" si="14"/>
        <v>106.55719162233072</v>
      </c>
      <c r="E209" s="59" t="s">
        <v>181</v>
      </c>
      <c r="F209" s="59" t="s">
        <v>77</v>
      </c>
      <c r="G209" s="116">
        <v>0.89012999999999998</v>
      </c>
      <c r="H209" s="116">
        <f t="shared" si="15"/>
        <v>10.77</v>
      </c>
      <c r="I209" s="234">
        <f t="shared" si="16"/>
        <v>336294.49676007574</v>
      </c>
      <c r="J209" s="211">
        <f t="shared" si="16"/>
        <v>30.432733927337654</v>
      </c>
      <c r="K209" s="235">
        <f t="shared" si="16"/>
        <v>8.6950668363821872</v>
      </c>
      <c r="L209" s="236">
        <f>I209*PRP!$J$8+J209*PRP!$J$9+K209*PRP!$J$10</f>
        <v>339575.14547744277</v>
      </c>
      <c r="M209" s="171"/>
      <c r="N209" s="171"/>
      <c r="O209" s="59">
        <v>3441</v>
      </c>
      <c r="P209" s="237">
        <v>156300</v>
      </c>
      <c r="Q209" s="237">
        <f t="shared" si="17"/>
        <v>366663.29637244</v>
      </c>
      <c r="S209" s="123" t="s">
        <v>332</v>
      </c>
    </row>
    <row r="210" spans="2:19">
      <c r="B210" s="1309"/>
      <c r="C210" s="233" t="s">
        <v>430</v>
      </c>
      <c r="D210" s="213">
        <f t="shared" si="14"/>
        <v>97.962994393852796</v>
      </c>
      <c r="E210" s="59" t="s">
        <v>181</v>
      </c>
      <c r="F210" s="59" t="s">
        <v>77</v>
      </c>
      <c r="G210" s="116">
        <v>0.89012999999999998</v>
      </c>
      <c r="H210" s="116">
        <f t="shared" si="15"/>
        <v>10.77</v>
      </c>
      <c r="I210" s="234">
        <f t="shared" si="16"/>
        <v>309171.21030699945</v>
      </c>
      <c r="J210" s="211">
        <f t="shared" si="16"/>
        <v>27.978231198884359</v>
      </c>
      <c r="K210" s="235">
        <f t="shared" si="16"/>
        <v>7.9937803425383889</v>
      </c>
      <c r="L210" s="236">
        <f>I210*PRP!$J$8+J210*PRP!$J$9+K210*PRP!$J$10</f>
        <v>312187.26363023918</v>
      </c>
      <c r="M210" s="171"/>
      <c r="N210" s="171"/>
      <c r="O210" s="59">
        <v>4004</v>
      </c>
      <c r="P210" s="237">
        <v>167800</v>
      </c>
      <c r="Q210" s="237">
        <f t="shared" si="17"/>
        <v>392243.8295529866</v>
      </c>
      <c r="S210" s="123" t="s">
        <v>332</v>
      </c>
    </row>
    <row r="211" spans="2:19">
      <c r="B211" s="1309"/>
      <c r="C211" s="233" t="s">
        <v>431</v>
      </c>
      <c r="D211" s="213">
        <f t="shared" si="14"/>
        <v>87.209166725599246</v>
      </c>
      <c r="E211" s="59" t="s">
        <v>181</v>
      </c>
      <c r="F211" s="59" t="s">
        <v>77</v>
      </c>
      <c r="G211" s="116">
        <v>0.89012999999999998</v>
      </c>
      <c r="H211" s="116">
        <f t="shared" si="15"/>
        <v>10.77</v>
      </c>
      <c r="I211" s="234">
        <f t="shared" si="16"/>
        <v>275232.13018599123</v>
      </c>
      <c r="J211" s="211">
        <f t="shared" si="16"/>
        <v>24.906938016831148</v>
      </c>
      <c r="K211" s="235">
        <f t="shared" si="16"/>
        <v>7.1162680048088989</v>
      </c>
      <c r="L211" s="236">
        <f>I211*PRP!$J$8+J211*PRP!$J$9+K211*PRP!$J$10</f>
        <v>277917.09810420562</v>
      </c>
      <c r="M211" s="171"/>
      <c r="N211" s="171"/>
      <c r="O211" s="59">
        <v>3957</v>
      </c>
      <c r="P211" s="237">
        <v>146600</v>
      </c>
      <c r="Q211" s="237">
        <f t="shared" si="17"/>
        <v>345086.67273319623</v>
      </c>
      <c r="S211" s="123" t="s">
        <v>332</v>
      </c>
    </row>
    <row r="212" spans="2:19">
      <c r="B212" s="1309"/>
      <c r="C212" s="233" t="s">
        <v>432</v>
      </c>
      <c r="D212" s="213">
        <f t="shared" si="14"/>
        <v>95.80805492638595</v>
      </c>
      <c r="E212" s="59" t="s">
        <v>181</v>
      </c>
      <c r="F212" s="59" t="s">
        <v>77</v>
      </c>
      <c r="G212" s="116">
        <v>0.89012999999999998</v>
      </c>
      <c r="H212" s="116">
        <f t="shared" si="15"/>
        <v>10.77</v>
      </c>
      <c r="I212" s="234">
        <f t="shared" si="16"/>
        <v>302370.22134767403</v>
      </c>
      <c r="J212" s="211">
        <f t="shared" si="16"/>
        <v>27.362780486975829</v>
      </c>
      <c r="K212" s="235">
        <f t="shared" si="16"/>
        <v>7.8179372819930943</v>
      </c>
      <c r="L212" s="236">
        <f>I212*PRP!$J$8+J212*PRP!$J$9+K212*PRP!$J$10</f>
        <v>305319.92908417003</v>
      </c>
      <c r="M212" s="171"/>
      <c r="N212" s="171"/>
      <c r="O212" s="59">
        <v>2340</v>
      </c>
      <c r="P212" s="237">
        <v>92250</v>
      </c>
      <c r="Q212" s="237">
        <f t="shared" si="17"/>
        <v>224190.84852774313</v>
      </c>
      <c r="S212" s="123" t="s">
        <v>332</v>
      </c>
    </row>
    <row r="213" spans="2:19">
      <c r="B213" s="1309"/>
      <c r="C213" s="233" t="s">
        <v>433</v>
      </c>
      <c r="D213" s="213">
        <f t="shared" si="14"/>
        <v>97.962994393852796</v>
      </c>
      <c r="E213" s="59" t="s">
        <v>181</v>
      </c>
      <c r="F213" s="59" t="s">
        <v>77</v>
      </c>
      <c r="G213" s="116">
        <v>0.89012999999999998</v>
      </c>
      <c r="H213" s="116">
        <f t="shared" si="15"/>
        <v>10.77</v>
      </c>
      <c r="I213" s="234">
        <f t="shared" si="16"/>
        <v>309171.21030699945</v>
      </c>
      <c r="J213" s="211">
        <f t="shared" si="16"/>
        <v>27.978231198884359</v>
      </c>
      <c r="K213" s="235">
        <f t="shared" si="16"/>
        <v>7.9937803425383889</v>
      </c>
      <c r="L213" s="236">
        <f>I213*PRP!$J$8+J213*PRP!$J$9+K213*PRP!$J$10</f>
        <v>312187.26363023918</v>
      </c>
      <c r="M213" s="171"/>
      <c r="N213" s="171"/>
      <c r="O213" s="59">
        <v>4004</v>
      </c>
      <c r="P213" s="237">
        <v>167800</v>
      </c>
      <c r="Q213" s="237">
        <f t="shared" si="17"/>
        <v>392243.8295529866</v>
      </c>
      <c r="S213" s="123" t="s">
        <v>332</v>
      </c>
    </row>
    <row r="214" spans="2:19">
      <c r="B214" s="1309"/>
      <c r="C214" s="233" t="s">
        <v>434</v>
      </c>
      <c r="D214" s="213">
        <f t="shared" si="14"/>
        <v>86.497984875467196</v>
      </c>
      <c r="E214" s="59" t="s">
        <v>181</v>
      </c>
      <c r="F214" s="59" t="s">
        <v>77</v>
      </c>
      <c r="G214" s="116">
        <v>0.89012999999999998</v>
      </c>
      <c r="H214" s="116">
        <f t="shared" si="15"/>
        <v>10.77</v>
      </c>
      <c r="I214" s="234">
        <f t="shared" si="16"/>
        <v>272987.64026697446</v>
      </c>
      <c r="J214" s="211">
        <f t="shared" si="16"/>
        <v>24.703824480433433</v>
      </c>
      <c r="K214" s="235">
        <f t="shared" si="16"/>
        <v>7.0582355658381237</v>
      </c>
      <c r="L214" s="236">
        <f>I214*PRP!$J$8+J214*PRP!$J$9+K214*PRP!$J$10</f>
        <v>275650.71254596522</v>
      </c>
      <c r="M214" s="171"/>
      <c r="N214" s="171"/>
      <c r="O214" s="59">
        <v>4228</v>
      </c>
      <c r="P214" s="237">
        <v>155873</v>
      </c>
      <c r="Q214" s="237">
        <f t="shared" si="17"/>
        <v>365713.4800534753</v>
      </c>
      <c r="S214" s="123" t="s">
        <v>332</v>
      </c>
    </row>
    <row r="215" spans="2:19">
      <c r="B215" s="1309"/>
      <c r="C215" s="233" t="s">
        <v>435</v>
      </c>
      <c r="D215" s="213">
        <f t="shared" si="14"/>
        <v>90.277957840184214</v>
      </c>
      <c r="E215" s="59" t="s">
        <v>181</v>
      </c>
      <c r="F215" s="59" t="s">
        <v>77</v>
      </c>
      <c r="G215" s="116">
        <v>0.89012999999999998</v>
      </c>
      <c r="H215" s="116">
        <f t="shared" si="15"/>
        <v>10.77</v>
      </c>
      <c r="I215" s="234">
        <f t="shared" si="16"/>
        <v>284917.23494362138</v>
      </c>
      <c r="J215" s="211">
        <f t="shared" si="16"/>
        <v>25.783384759156615</v>
      </c>
      <c r="K215" s="235">
        <f t="shared" si="16"/>
        <v>7.3666813597590322</v>
      </c>
      <c r="L215" s="236">
        <f>I215*PRP!$J$8+J215*PRP!$J$9+K215*PRP!$J$10</f>
        <v>287696.68382065848</v>
      </c>
      <c r="M215" s="171"/>
      <c r="N215" s="171"/>
      <c r="O215" s="59">
        <v>4266</v>
      </c>
      <c r="P215" s="237">
        <v>164600</v>
      </c>
      <c r="Q215" s="237">
        <f t="shared" si="17"/>
        <v>385125.76814622583</v>
      </c>
      <c r="S215" s="123" t="s">
        <v>332</v>
      </c>
    </row>
    <row r="216" spans="2:19">
      <c r="B216" s="1309"/>
      <c r="C216" s="233" t="s">
        <v>436</v>
      </c>
      <c r="D216" s="213">
        <f t="shared" si="14"/>
        <v>94.836287840621324</v>
      </c>
      <c r="E216" s="59" t="s">
        <v>181</v>
      </c>
      <c r="F216" s="59" t="s">
        <v>77</v>
      </c>
      <c r="G216" s="116">
        <v>0.89012999999999998</v>
      </c>
      <c r="H216" s="116">
        <f t="shared" si="15"/>
        <v>10.77</v>
      </c>
      <c r="I216" s="234">
        <f t="shared" si="16"/>
        <v>299303.32442500087</v>
      </c>
      <c r="J216" s="211">
        <f t="shared" si="16"/>
        <v>27.085243807281451</v>
      </c>
      <c r="K216" s="235">
        <f t="shared" si="16"/>
        <v>7.7386410877947007</v>
      </c>
      <c r="L216" s="236">
        <f>I216*PRP!$J$8+J216*PRP!$J$9+K216*PRP!$J$10</f>
        <v>302223.11370742583</v>
      </c>
      <c r="M216" s="171"/>
      <c r="N216" s="171"/>
      <c r="O216" s="59">
        <v>2394</v>
      </c>
      <c r="P216" s="237">
        <v>93530</v>
      </c>
      <c r="Q216" s="237">
        <f t="shared" si="17"/>
        <v>227038.07309044746</v>
      </c>
      <c r="S216" s="123" t="s">
        <v>332</v>
      </c>
    </row>
    <row r="217" spans="2:19">
      <c r="B217" s="1309"/>
      <c r="C217" s="233" t="s">
        <v>437</v>
      </c>
      <c r="D217" s="213">
        <f t="shared" si="14"/>
        <v>86.546712143328847</v>
      </c>
      <c r="E217" s="59" t="s">
        <v>181</v>
      </c>
      <c r="F217" s="59" t="s">
        <v>77</v>
      </c>
      <c r="G217" s="116">
        <v>0.89012999999999998</v>
      </c>
      <c r="H217" s="116">
        <f t="shared" si="15"/>
        <v>10.77</v>
      </c>
      <c r="I217" s="234">
        <f t="shared" si="16"/>
        <v>273141.42352434585</v>
      </c>
      <c r="J217" s="211">
        <f t="shared" si="16"/>
        <v>24.717740988134722</v>
      </c>
      <c r="K217" s="235">
        <f t="shared" si="16"/>
        <v>7.0622117108956344</v>
      </c>
      <c r="L217" s="236">
        <f>I217*PRP!$J$8+J217*PRP!$J$9+K217*PRP!$J$10</f>
        <v>275805.99600286677</v>
      </c>
      <c r="M217" s="171"/>
      <c r="N217" s="171"/>
      <c r="O217" s="59">
        <v>3963</v>
      </c>
      <c r="P217" s="237">
        <v>145655</v>
      </c>
      <c r="Q217" s="237">
        <f t="shared" si="17"/>
        <v>342984.62022401224</v>
      </c>
      <c r="S217" s="123" t="s">
        <v>332</v>
      </c>
    </row>
    <row r="218" spans="2:19">
      <c r="B218" s="1309"/>
      <c r="C218" s="233" t="s">
        <v>438</v>
      </c>
      <c r="D218" s="213">
        <f t="shared" si="14"/>
        <v>94.5463597534374</v>
      </c>
      <c r="E218" s="59" t="s">
        <v>181</v>
      </c>
      <c r="F218" s="59" t="s">
        <v>77</v>
      </c>
      <c r="G218" s="116">
        <v>0.89012999999999998</v>
      </c>
      <c r="H218" s="116">
        <f t="shared" si="15"/>
        <v>10.77</v>
      </c>
      <c r="I218" s="234">
        <f t="shared" si="16"/>
        <v>298388.31138184841</v>
      </c>
      <c r="J218" s="211">
        <f t="shared" si="16"/>
        <v>27.002440345581725</v>
      </c>
      <c r="K218" s="235">
        <f t="shared" si="16"/>
        <v>7.7149829558804921</v>
      </c>
      <c r="L218" s="236">
        <f>I218*PRP!$J$8+J218*PRP!$J$9+K218*PRP!$J$10</f>
        <v>301299.17445110215</v>
      </c>
      <c r="M218" s="171"/>
      <c r="N218" s="171"/>
      <c r="O218" s="59">
        <v>2402</v>
      </c>
      <c r="P218" s="237">
        <v>93558</v>
      </c>
      <c r="Q218" s="237">
        <f t="shared" si="17"/>
        <v>227100.35612775662</v>
      </c>
      <c r="S218" s="123" t="s">
        <v>332</v>
      </c>
    </row>
    <row r="219" spans="2:19">
      <c r="B219" s="1309"/>
      <c r="C219" s="233" t="s">
        <v>439</v>
      </c>
      <c r="D219" s="213">
        <f t="shared" si="14"/>
        <v>95.048488296959093</v>
      </c>
      <c r="E219" s="59" t="s">
        <v>181</v>
      </c>
      <c r="F219" s="59" t="s">
        <v>77</v>
      </c>
      <c r="G219" s="116">
        <v>0.89012999999999998</v>
      </c>
      <c r="H219" s="116">
        <f t="shared" si="15"/>
        <v>10.77</v>
      </c>
      <c r="I219" s="234">
        <f t="shared" ref="I219:K236" si="18">$D219*I$49</f>
        <v>299973.02906520292</v>
      </c>
      <c r="J219" s="211">
        <f t="shared" si="18"/>
        <v>27.145848257611519</v>
      </c>
      <c r="K219" s="235">
        <f t="shared" si="18"/>
        <v>7.7559566450318629</v>
      </c>
      <c r="L219" s="236">
        <f>I219*PRP!$J$8+J219*PRP!$J$9+K219*PRP!$J$10</f>
        <v>302899.35150737345</v>
      </c>
      <c r="M219" s="171"/>
      <c r="N219" s="171"/>
      <c r="O219" s="59">
        <v>2388</v>
      </c>
      <c r="P219" s="237">
        <v>93502</v>
      </c>
      <c r="Q219" s="237">
        <f t="shared" si="17"/>
        <v>226975.79005313831</v>
      </c>
      <c r="S219" s="123" t="s">
        <v>332</v>
      </c>
    </row>
    <row r="220" spans="2:19">
      <c r="B220" s="1309"/>
      <c r="C220" s="233" t="s">
        <v>440</v>
      </c>
      <c r="D220" s="213">
        <f t="shared" si="14"/>
        <v>100.03266705096775</v>
      </c>
      <c r="E220" s="59" t="s">
        <v>181</v>
      </c>
      <c r="F220" s="59" t="s">
        <v>77</v>
      </c>
      <c r="G220" s="116">
        <v>0.89012999999999998</v>
      </c>
      <c r="H220" s="116">
        <f t="shared" si="15"/>
        <v>10.77</v>
      </c>
      <c r="I220" s="234">
        <f t="shared" si="18"/>
        <v>315703.09721285419</v>
      </c>
      <c r="J220" s="211">
        <f t="shared" si="18"/>
        <v>28.569329709756389</v>
      </c>
      <c r="K220" s="235">
        <f t="shared" si="18"/>
        <v>8.1626656313589692</v>
      </c>
      <c r="L220" s="236">
        <f>I220*PRP!$J$8+J220*PRP!$J$9+K220*PRP!$J$10</f>
        <v>318782.87095556594</v>
      </c>
      <c r="M220" s="171"/>
      <c r="N220" s="171"/>
      <c r="O220" s="59">
        <v>3850</v>
      </c>
      <c r="P220" s="237">
        <v>164600</v>
      </c>
      <c r="Q220" s="237">
        <f t="shared" si="17"/>
        <v>385125.76814622583</v>
      </c>
      <c r="S220" s="123" t="s">
        <v>332</v>
      </c>
    </row>
    <row r="221" spans="2:19">
      <c r="B221" s="1309"/>
      <c r="C221" s="233" t="s">
        <v>441</v>
      </c>
      <c r="D221" s="213">
        <f t="shared" si="14"/>
        <v>94.836287840621324</v>
      </c>
      <c r="E221" s="59" t="s">
        <v>181</v>
      </c>
      <c r="F221" s="59" t="s">
        <v>77</v>
      </c>
      <c r="G221" s="116">
        <v>0.89012999999999998</v>
      </c>
      <c r="H221" s="116">
        <f t="shared" si="15"/>
        <v>10.77</v>
      </c>
      <c r="I221" s="234">
        <f t="shared" si="18"/>
        <v>299303.32442500087</v>
      </c>
      <c r="J221" s="211">
        <f t="shared" si="18"/>
        <v>27.085243807281451</v>
      </c>
      <c r="K221" s="235">
        <f t="shared" si="18"/>
        <v>7.7386410877947007</v>
      </c>
      <c r="L221" s="236">
        <f>I221*PRP!$J$8+J221*PRP!$J$9+K221*PRP!$J$10</f>
        <v>302223.11370742583</v>
      </c>
      <c r="M221" s="171"/>
      <c r="N221" s="171"/>
      <c r="O221" s="59">
        <v>2394</v>
      </c>
      <c r="P221" s="237">
        <v>93530</v>
      </c>
      <c r="Q221" s="237">
        <f t="shared" si="17"/>
        <v>227038.07309044746</v>
      </c>
      <c r="S221" s="123" t="s">
        <v>332</v>
      </c>
    </row>
    <row r="222" spans="2:19">
      <c r="B222" s="1309"/>
      <c r="C222" s="233" t="s">
        <v>442</v>
      </c>
      <c r="D222" s="213">
        <f t="shared" si="14"/>
        <v>102.94300766070148</v>
      </c>
      <c r="E222" s="59" t="s">
        <v>181</v>
      </c>
      <c r="F222" s="59" t="s">
        <v>77</v>
      </c>
      <c r="G222" s="116">
        <v>0.89012999999999998</v>
      </c>
      <c r="H222" s="116">
        <f t="shared" si="15"/>
        <v>10.77</v>
      </c>
      <c r="I222" s="234">
        <f t="shared" si="18"/>
        <v>324888.13217717386</v>
      </c>
      <c r="J222" s="211">
        <f t="shared" si="18"/>
        <v>29.400522987896345</v>
      </c>
      <c r="K222" s="235">
        <f t="shared" si="18"/>
        <v>8.4001494251132414</v>
      </c>
      <c r="L222" s="236">
        <f>I222*PRP!$J$8+J222*PRP!$J$9+K222*PRP!$J$10</f>
        <v>328057.5085552691</v>
      </c>
      <c r="M222" s="171"/>
      <c r="N222" s="171"/>
      <c r="O222" s="59">
        <v>3215</v>
      </c>
      <c r="P222" s="239">
        <v>140250</v>
      </c>
      <c r="Q222" s="237">
        <f t="shared" si="17"/>
        <v>330961.76962915529</v>
      </c>
      <c r="S222" s="123" t="s">
        <v>332</v>
      </c>
    </row>
    <row r="223" spans="2:19">
      <c r="B223" s="1309"/>
      <c r="C223" s="233" t="s">
        <v>443</v>
      </c>
      <c r="D223" s="213">
        <f t="shared" ref="D223:D277" si="19">Q223/O223</f>
        <v>95.059967131670845</v>
      </c>
      <c r="E223" s="59" t="s">
        <v>181</v>
      </c>
      <c r="F223" s="59" t="s">
        <v>77</v>
      </c>
      <c r="G223" s="116">
        <v>0.89012999999999998</v>
      </c>
      <c r="H223" s="116">
        <f t="shared" si="15"/>
        <v>10.77</v>
      </c>
      <c r="I223" s="234">
        <f t="shared" si="18"/>
        <v>300009.2562675532</v>
      </c>
      <c r="J223" s="211">
        <f t="shared" si="18"/>
        <v>27.149126612805194</v>
      </c>
      <c r="K223" s="235">
        <f t="shared" si="18"/>
        <v>7.7568933179443418</v>
      </c>
      <c r="L223" s="236">
        <f>I223*PRP!$J$8+J223*PRP!$J$9+K223*PRP!$J$10</f>
        <v>302935.93211641361</v>
      </c>
      <c r="M223" s="171"/>
      <c r="N223" s="171"/>
      <c r="O223" s="59">
        <v>2004</v>
      </c>
      <c r="P223" s="237">
        <v>77104</v>
      </c>
      <c r="Q223" s="237">
        <f t="shared" si="17"/>
        <v>190500.17413186838</v>
      </c>
      <c r="S223" s="123" t="s">
        <v>332</v>
      </c>
    </row>
    <row r="224" spans="2:19">
      <c r="B224" s="1309"/>
      <c r="C224" s="233" t="s">
        <v>444</v>
      </c>
      <c r="D224" s="213">
        <f t="shared" si="19"/>
        <v>92.729569579031931</v>
      </c>
      <c r="E224" s="59" t="s">
        <v>181</v>
      </c>
      <c r="F224" s="59" t="s">
        <v>77</v>
      </c>
      <c r="G224" s="116">
        <v>0.89012999999999998</v>
      </c>
      <c r="H224" s="116">
        <f t="shared" si="15"/>
        <v>10.77</v>
      </c>
      <c r="I224" s="234">
        <f t="shared" si="18"/>
        <v>292654.52159142477</v>
      </c>
      <c r="J224" s="211">
        <f t="shared" si="18"/>
        <v>26.483565071771523</v>
      </c>
      <c r="K224" s="235">
        <f t="shared" si="18"/>
        <v>7.5667328776490059</v>
      </c>
      <c r="L224" s="236">
        <f>I224*PRP!$J$8+J224*PRP!$J$9+K224*PRP!$J$10</f>
        <v>295509.44990616175</v>
      </c>
      <c r="M224" s="171"/>
      <c r="N224" s="171"/>
      <c r="O224" s="59">
        <v>2012</v>
      </c>
      <c r="P224" s="237">
        <v>75338</v>
      </c>
      <c r="Q224" s="237">
        <f t="shared" si="17"/>
        <v>186571.89399301226</v>
      </c>
      <c r="S224" s="123" t="s">
        <v>332</v>
      </c>
    </row>
    <row r="225" spans="2:19">
      <c r="B225" s="1309"/>
      <c r="C225" s="233" t="s">
        <v>445</v>
      </c>
      <c r="D225" s="213">
        <f t="shared" si="19"/>
        <v>95.07945758356378</v>
      </c>
      <c r="E225" s="59" t="s">
        <v>181</v>
      </c>
      <c r="F225" s="59" t="s">
        <v>77</v>
      </c>
      <c r="G225" s="116">
        <v>0.89012999999999998</v>
      </c>
      <c r="H225" s="116">
        <f t="shared" si="15"/>
        <v>10.77</v>
      </c>
      <c r="I225" s="234">
        <f t="shared" si="18"/>
        <v>300070.76813372731</v>
      </c>
      <c r="J225" s="211">
        <f t="shared" si="18"/>
        <v>27.154693085865819</v>
      </c>
      <c r="K225" s="235">
        <f t="shared" si="18"/>
        <v>7.7584837388188053</v>
      </c>
      <c r="L225" s="236">
        <f>I225*PRP!$J$8+J225*PRP!$J$9+K225*PRP!$J$10</f>
        <v>302998.04404838366</v>
      </c>
      <c r="M225" s="171"/>
      <c r="N225" s="171"/>
      <c r="O225" s="59">
        <v>2346</v>
      </c>
      <c r="P225" s="237">
        <v>91740</v>
      </c>
      <c r="Q225" s="237">
        <f t="shared" si="17"/>
        <v>223056.40749104062</v>
      </c>
      <c r="S225" s="123" t="s">
        <v>332</v>
      </c>
    </row>
    <row r="226" spans="2:19">
      <c r="B226" s="1309"/>
      <c r="C226" s="233" t="s">
        <v>446</v>
      </c>
      <c r="D226" s="213">
        <f t="shared" si="19"/>
        <v>99.78335182352879</v>
      </c>
      <c r="E226" s="59" t="s">
        <v>181</v>
      </c>
      <c r="F226" s="59" t="s">
        <v>77</v>
      </c>
      <c r="G226" s="116">
        <v>0.89012999999999998</v>
      </c>
      <c r="H226" s="116">
        <f t="shared" si="15"/>
        <v>10.77</v>
      </c>
      <c r="I226" s="234">
        <f t="shared" si="18"/>
        <v>314916.25835505687</v>
      </c>
      <c r="J226" s="211">
        <f t="shared" si="18"/>
        <v>28.498125280799826</v>
      </c>
      <c r="K226" s="235">
        <f t="shared" si="18"/>
        <v>8.1423215087999505</v>
      </c>
      <c r="L226" s="236">
        <f>I226*PRP!$J$8+J226*PRP!$J$9+K226*PRP!$J$10</f>
        <v>317988.3562603271</v>
      </c>
      <c r="M226" s="171"/>
      <c r="N226" s="171"/>
      <c r="O226" s="59">
        <v>1936</v>
      </c>
      <c r="P226" s="237">
        <v>78309</v>
      </c>
      <c r="Q226" s="237">
        <f t="shared" si="17"/>
        <v>193180.56913035174</v>
      </c>
      <c r="S226" s="123" t="s">
        <v>332</v>
      </c>
    </row>
    <row r="227" spans="2:19">
      <c r="B227" s="1309"/>
      <c r="C227" s="233" t="s">
        <v>447</v>
      </c>
      <c r="D227" s="213">
        <f t="shared" si="19"/>
        <v>104.36988398750668</v>
      </c>
      <c r="E227" s="59" t="s">
        <v>181</v>
      </c>
      <c r="F227" s="59" t="s">
        <v>77</v>
      </c>
      <c r="G227" s="116">
        <v>0.89012999999999998</v>
      </c>
      <c r="H227" s="116">
        <f t="shared" si="15"/>
        <v>10.77</v>
      </c>
      <c r="I227" s="234">
        <f t="shared" si="18"/>
        <v>329391.35386457108</v>
      </c>
      <c r="J227" s="211">
        <f t="shared" si="18"/>
        <v>29.808038866831911</v>
      </c>
      <c r="K227" s="235">
        <f t="shared" si="18"/>
        <v>8.5165825333805465</v>
      </c>
      <c r="L227" s="236">
        <f>I227*PRP!$J$8+J227*PRP!$J$9+K227*PRP!$J$10</f>
        <v>332604.66045441554</v>
      </c>
      <c r="M227" s="171"/>
      <c r="N227" s="171"/>
      <c r="O227" s="59">
        <v>3219</v>
      </c>
      <c r="P227" s="237">
        <v>142500</v>
      </c>
      <c r="Q227" s="237">
        <f t="shared" si="17"/>
        <v>335966.65655578399</v>
      </c>
      <c r="S227" s="123" t="s">
        <v>332</v>
      </c>
    </row>
    <row r="228" spans="2:19">
      <c r="B228" s="1309"/>
      <c r="C228" s="233" t="s">
        <v>448</v>
      </c>
      <c r="D228" s="213">
        <f t="shared" si="19"/>
        <v>92.57180952021838</v>
      </c>
      <c r="E228" s="59" t="s">
        <v>181</v>
      </c>
      <c r="F228" s="59" t="s">
        <v>77</v>
      </c>
      <c r="G228" s="116">
        <v>0.89012999999999998</v>
      </c>
      <c r="H228" s="116">
        <f t="shared" si="15"/>
        <v>10.77</v>
      </c>
      <c r="I228" s="234">
        <f t="shared" si="18"/>
        <v>292156.63084580918</v>
      </c>
      <c r="J228" s="211">
        <f t="shared" si="18"/>
        <v>26.438508798974372</v>
      </c>
      <c r="K228" s="235">
        <f t="shared" si="18"/>
        <v>7.55385965684982</v>
      </c>
      <c r="L228" s="236">
        <f>I228*PRP!$J$8+J228*PRP!$J$9+K228*PRP!$J$10</f>
        <v>295006.7020943386</v>
      </c>
      <c r="M228" s="171"/>
      <c r="N228" s="171"/>
      <c r="O228" s="59">
        <v>2138</v>
      </c>
      <c r="P228" s="237">
        <v>80439</v>
      </c>
      <c r="Q228" s="237">
        <f t="shared" si="17"/>
        <v>197918.52875422689</v>
      </c>
      <c r="S228" s="123" t="s">
        <v>332</v>
      </c>
    </row>
    <row r="229" spans="2:19">
      <c r="B229" s="1309"/>
      <c r="C229" s="233" t="s">
        <v>449</v>
      </c>
      <c r="D229" s="213">
        <f t="shared" si="19"/>
        <v>123.69407939093406</v>
      </c>
      <c r="E229" s="59" t="s">
        <v>181</v>
      </c>
      <c r="F229" s="59" t="s">
        <v>77</v>
      </c>
      <c r="G229" s="116">
        <v>0.89012999999999998</v>
      </c>
      <c r="H229" s="116">
        <f t="shared" si="15"/>
        <v>10.77</v>
      </c>
      <c r="I229" s="234">
        <f t="shared" si="18"/>
        <v>390378.51455778792</v>
      </c>
      <c r="J229" s="211">
        <f t="shared" si="18"/>
        <v>35.32702907405077</v>
      </c>
      <c r="K229" s="235">
        <f t="shared" si="18"/>
        <v>10.093436878300221</v>
      </c>
      <c r="L229" s="236">
        <f>I229*PRP!$J$8+J229*PRP!$J$9+K229*PRP!$J$10</f>
        <v>394186.76829197054</v>
      </c>
      <c r="M229" s="171"/>
      <c r="N229" s="171"/>
      <c r="O229" s="59">
        <v>698</v>
      </c>
      <c r="P229" s="237">
        <v>30277</v>
      </c>
      <c r="Q229" s="237">
        <f t="shared" si="17"/>
        <v>86338.467414871979</v>
      </c>
      <c r="S229" s="123" t="s">
        <v>332</v>
      </c>
    </row>
    <row r="230" spans="2:19">
      <c r="B230" s="1309"/>
      <c r="C230" s="233" t="s">
        <v>450</v>
      </c>
      <c r="D230" s="213">
        <f t="shared" si="19"/>
        <v>131.94542938182497</v>
      </c>
      <c r="E230" s="59" t="s">
        <v>181</v>
      </c>
      <c r="F230" s="59" t="s">
        <v>77</v>
      </c>
      <c r="G230" s="116">
        <v>0.89012999999999998</v>
      </c>
      <c r="H230" s="116">
        <f t="shared" si="15"/>
        <v>10.77</v>
      </c>
      <c r="I230" s="234">
        <f t="shared" si="18"/>
        <v>416419.7751290396</v>
      </c>
      <c r="J230" s="211">
        <f t="shared" si="18"/>
        <v>37.68361463144921</v>
      </c>
      <c r="K230" s="235">
        <f t="shared" si="18"/>
        <v>10.766747037556918</v>
      </c>
      <c r="L230" s="236">
        <f>I230*PRP!$J$8+J230*PRP!$J$9+K230*PRP!$J$10</f>
        <v>420482.0687863098</v>
      </c>
      <c r="M230" s="171"/>
      <c r="N230" s="171"/>
      <c r="O230" s="59">
        <v>1258</v>
      </c>
      <c r="P230" s="237">
        <v>66084</v>
      </c>
      <c r="Q230" s="237">
        <f t="shared" si="17"/>
        <v>165987.35016233582</v>
      </c>
      <c r="S230" s="123" t="s">
        <v>332</v>
      </c>
    </row>
    <row r="231" spans="2:19">
      <c r="B231" s="1309"/>
      <c r="C231" s="233" t="s">
        <v>451</v>
      </c>
      <c r="D231" s="213">
        <f t="shared" si="19"/>
        <v>123.69407939093406</v>
      </c>
      <c r="E231" s="59" t="s">
        <v>181</v>
      </c>
      <c r="F231" s="59" t="s">
        <v>77</v>
      </c>
      <c r="G231" s="116">
        <v>0.89012999999999998</v>
      </c>
      <c r="H231" s="116">
        <f t="shared" si="15"/>
        <v>10.77</v>
      </c>
      <c r="I231" s="234">
        <f t="shared" si="18"/>
        <v>390378.51455778792</v>
      </c>
      <c r="J231" s="211">
        <f t="shared" si="18"/>
        <v>35.32702907405077</v>
      </c>
      <c r="K231" s="235">
        <f t="shared" si="18"/>
        <v>10.093436878300221</v>
      </c>
      <c r="L231" s="236">
        <f>I231*PRP!$J$8+J231*PRP!$J$9+K231*PRP!$J$10</f>
        <v>394186.76829197054</v>
      </c>
      <c r="M231" s="171"/>
      <c r="N231" s="171"/>
      <c r="O231" s="59">
        <v>698</v>
      </c>
      <c r="P231" s="237">
        <v>30277</v>
      </c>
      <c r="Q231" s="237">
        <f t="shared" si="17"/>
        <v>86338.467414871979</v>
      </c>
      <c r="S231" s="123" t="s">
        <v>332</v>
      </c>
    </row>
    <row r="232" spans="2:19">
      <c r="B232" s="1309"/>
      <c r="C232" s="233" t="s">
        <v>452</v>
      </c>
      <c r="D232" s="213">
        <f t="shared" si="19"/>
        <v>123.69407939093406</v>
      </c>
      <c r="E232" s="59" t="s">
        <v>181</v>
      </c>
      <c r="F232" s="59" t="s">
        <v>77</v>
      </c>
      <c r="G232" s="116">
        <v>0.89012999999999998</v>
      </c>
      <c r="H232" s="116">
        <f t="shared" si="15"/>
        <v>10.77</v>
      </c>
      <c r="I232" s="234">
        <f t="shared" si="18"/>
        <v>390378.51455778792</v>
      </c>
      <c r="J232" s="211">
        <f t="shared" si="18"/>
        <v>35.32702907405077</v>
      </c>
      <c r="K232" s="235">
        <f t="shared" si="18"/>
        <v>10.093436878300221</v>
      </c>
      <c r="L232" s="236">
        <f>I232*PRP!$J$8+J232*PRP!$J$9+K232*PRP!$J$10</f>
        <v>394186.76829197054</v>
      </c>
      <c r="M232" s="171"/>
      <c r="N232" s="171"/>
      <c r="O232" s="59">
        <v>698</v>
      </c>
      <c r="P232" s="237">
        <v>30277</v>
      </c>
      <c r="Q232" s="237">
        <f t="shared" si="17"/>
        <v>86338.467414871979</v>
      </c>
      <c r="S232" s="123" t="s">
        <v>332</v>
      </c>
    </row>
    <row r="233" spans="2:19">
      <c r="B233" s="1309"/>
      <c r="C233" s="233" t="s">
        <v>453</v>
      </c>
      <c r="D233" s="213">
        <f t="shared" si="19"/>
        <v>132.10103088316515</v>
      </c>
      <c r="E233" s="59" t="s">
        <v>181</v>
      </c>
      <c r="F233" s="59" t="s">
        <v>77</v>
      </c>
      <c r="G233" s="116">
        <v>0.89012999999999998</v>
      </c>
      <c r="H233" s="116">
        <f t="shared" si="15"/>
        <v>10.77</v>
      </c>
      <c r="I233" s="234">
        <f t="shared" si="18"/>
        <v>416910.85346726922</v>
      </c>
      <c r="J233" s="211">
        <f t="shared" si="18"/>
        <v>37.72805442023197</v>
      </c>
      <c r="K233" s="235">
        <f t="shared" si="18"/>
        <v>10.779444120066277</v>
      </c>
      <c r="L233" s="236">
        <f>I233*PRP!$J$8+J233*PRP!$J$9+K233*PRP!$J$10</f>
        <v>420977.93773377023</v>
      </c>
      <c r="M233" s="171"/>
      <c r="N233" s="171"/>
      <c r="O233" s="59">
        <v>1258</v>
      </c>
      <c r="P233" s="237">
        <v>66172</v>
      </c>
      <c r="Q233" s="237">
        <f t="shared" si="17"/>
        <v>166183.09685102175</v>
      </c>
      <c r="S233" s="123" t="s">
        <v>332</v>
      </c>
    </row>
    <row r="234" spans="2:19">
      <c r="B234" s="1309"/>
      <c r="C234" s="233" t="s">
        <v>454</v>
      </c>
      <c r="D234" s="213">
        <f t="shared" si="19"/>
        <v>123.69407939093406</v>
      </c>
      <c r="E234" s="59" t="s">
        <v>181</v>
      </c>
      <c r="F234" s="59" t="s">
        <v>77</v>
      </c>
      <c r="G234" s="116">
        <v>0.89012999999999998</v>
      </c>
      <c r="H234" s="116">
        <f t="shared" si="15"/>
        <v>10.77</v>
      </c>
      <c r="I234" s="234">
        <f t="shared" si="18"/>
        <v>390378.51455778792</v>
      </c>
      <c r="J234" s="211">
        <f t="shared" si="18"/>
        <v>35.32702907405077</v>
      </c>
      <c r="K234" s="235">
        <f t="shared" si="18"/>
        <v>10.093436878300221</v>
      </c>
      <c r="L234" s="236">
        <f>I234*PRP!$J$8+J234*PRP!$J$9+K234*PRP!$J$10</f>
        <v>394186.76829197054</v>
      </c>
      <c r="M234" s="171"/>
      <c r="N234" s="171"/>
      <c r="O234" s="59">
        <v>698</v>
      </c>
      <c r="P234" s="237">
        <v>30277</v>
      </c>
      <c r="Q234" s="237">
        <f t="shared" si="17"/>
        <v>86338.467414871979</v>
      </c>
      <c r="S234" s="123" t="s">
        <v>332</v>
      </c>
    </row>
    <row r="235" spans="2:19">
      <c r="B235" s="1309"/>
      <c r="C235" s="233" t="s">
        <v>455</v>
      </c>
      <c r="D235" s="213">
        <f t="shared" si="19"/>
        <v>140.02074603335092</v>
      </c>
      <c r="E235" s="59" t="s">
        <v>181</v>
      </c>
      <c r="F235" s="59" t="s">
        <v>77</v>
      </c>
      <c r="G235" s="116">
        <v>0.89012999999999998</v>
      </c>
      <c r="H235" s="116">
        <f t="shared" si="15"/>
        <v>10.77</v>
      </c>
      <c r="I235" s="234">
        <f t="shared" si="18"/>
        <v>441905.47448125551</v>
      </c>
      <c r="J235" s="211">
        <f t="shared" si="18"/>
        <v>39.989925067125021</v>
      </c>
      <c r="K235" s="235">
        <f t="shared" si="18"/>
        <v>11.425692876321436</v>
      </c>
      <c r="L235" s="236">
        <f>I235*PRP!$J$8+J235*PRP!$J$9+K235*PRP!$J$10</f>
        <v>446216.38840349158</v>
      </c>
      <c r="M235" s="171"/>
      <c r="N235" s="171"/>
      <c r="O235" s="59">
        <v>1200</v>
      </c>
      <c r="P235" s="237">
        <v>67000</v>
      </c>
      <c r="Q235" s="237">
        <f t="shared" si="17"/>
        <v>168024.89524002111</v>
      </c>
      <c r="S235" s="123" t="s">
        <v>332</v>
      </c>
    </row>
    <row r="236" spans="2:19">
      <c r="B236" s="1309"/>
      <c r="C236" s="233" t="s">
        <v>456</v>
      </c>
      <c r="D236" s="213">
        <f t="shared" si="19"/>
        <v>192.60037859638481</v>
      </c>
      <c r="E236" s="59" t="s">
        <v>181</v>
      </c>
      <c r="F236" s="59" t="s">
        <v>77</v>
      </c>
      <c r="G236" s="116">
        <v>0.89012999999999998</v>
      </c>
      <c r="H236" s="116">
        <f t="shared" si="15"/>
        <v>10.77</v>
      </c>
      <c r="I236" s="234">
        <f t="shared" si="18"/>
        <v>607846.79485019052</v>
      </c>
      <c r="J236" s="211">
        <f t="shared" si="18"/>
        <v>55.006668127127504</v>
      </c>
      <c r="K236" s="235">
        <f t="shared" si="18"/>
        <v>15.716190893465003</v>
      </c>
      <c r="L236" s="236">
        <f>I236*PRP!$J$8+J236*PRP!$J$9+K236*PRP!$J$10</f>
        <v>613776.51367429481</v>
      </c>
      <c r="M236" s="171"/>
      <c r="N236" s="171"/>
      <c r="O236" s="59">
        <v>320</v>
      </c>
      <c r="P236" s="237">
        <v>19170</v>
      </c>
      <c r="Q236" s="237">
        <f t="shared" si="17"/>
        <v>61632.121150843144</v>
      </c>
      <c r="S236" s="123" t="s">
        <v>332</v>
      </c>
    </row>
    <row r="237" spans="2:19">
      <c r="B237" s="1309"/>
      <c r="C237" s="233" t="s">
        <v>457</v>
      </c>
      <c r="D237" s="213">
        <f t="shared" si="19"/>
        <v>193.45649351378853</v>
      </c>
      <c r="E237" s="59" t="s">
        <v>181</v>
      </c>
      <c r="F237" s="59" t="s">
        <v>77</v>
      </c>
      <c r="G237" s="116">
        <v>0.89012999999999998</v>
      </c>
      <c r="H237" s="116">
        <f t="shared" si="15"/>
        <v>10.77</v>
      </c>
      <c r="I237" s="234">
        <f t="shared" ref="I237:K253" si="20">$D237*I$49</f>
        <v>610548.69352951657</v>
      </c>
      <c r="J237" s="211">
        <f t="shared" si="20"/>
        <v>55.251174547538007</v>
      </c>
      <c r="K237" s="235">
        <f t="shared" si="20"/>
        <v>15.786049870725146</v>
      </c>
      <c r="L237" s="236">
        <f>I237*PRP!$J$8+J237*PRP!$J$9+K237*PRP!$J$10</f>
        <v>616504.77014574117</v>
      </c>
      <c r="M237" s="171"/>
      <c r="N237" s="171"/>
      <c r="O237" s="59">
        <v>224</v>
      </c>
      <c r="P237" s="237">
        <v>10944</v>
      </c>
      <c r="Q237" s="237">
        <f t="shared" si="17"/>
        <v>43334.254547088633</v>
      </c>
      <c r="S237" s="123" t="s">
        <v>332</v>
      </c>
    </row>
    <row r="238" spans="2:19">
      <c r="B238" s="1309"/>
      <c r="C238" s="233" t="s">
        <v>458</v>
      </c>
      <c r="D238" s="213">
        <f t="shared" si="19"/>
        <v>232.56251285229953</v>
      </c>
      <c r="E238" s="59" t="s">
        <v>181</v>
      </c>
      <c r="F238" s="59" t="s">
        <v>77</v>
      </c>
      <c r="G238" s="116">
        <v>0.89012999999999998</v>
      </c>
      <c r="H238" s="116">
        <f t="shared" si="15"/>
        <v>10.77</v>
      </c>
      <c r="I238" s="234">
        <f t="shared" si="20"/>
        <v>733967.29056185728</v>
      </c>
      <c r="J238" s="211">
        <f t="shared" si="20"/>
        <v>66.419853670616746</v>
      </c>
      <c r="K238" s="235">
        <f t="shared" si="20"/>
        <v>18.977101048747642</v>
      </c>
      <c r="L238" s="236">
        <f>I238*PRP!$J$8+J238*PRP!$J$9+K238*PRP!$J$10</f>
        <v>741127.35078754975</v>
      </c>
      <c r="M238" s="171"/>
      <c r="N238" s="171"/>
      <c r="O238" s="59">
        <v>184</v>
      </c>
      <c r="P238" s="237">
        <v>10700</v>
      </c>
      <c r="Q238" s="237">
        <f t="shared" si="17"/>
        <v>42791.502364823114</v>
      </c>
      <c r="S238" s="123" t="s">
        <v>332</v>
      </c>
    </row>
    <row r="239" spans="2:19">
      <c r="B239" s="1309"/>
      <c r="C239" s="233" t="s">
        <v>459</v>
      </c>
      <c r="D239" s="213">
        <f t="shared" si="19"/>
        <v>193.45649351378853</v>
      </c>
      <c r="E239" s="59" t="s">
        <v>181</v>
      </c>
      <c r="F239" s="59" t="s">
        <v>77</v>
      </c>
      <c r="G239" s="116">
        <v>0.89012999999999998</v>
      </c>
      <c r="H239" s="116">
        <f t="shared" si="15"/>
        <v>10.77</v>
      </c>
      <c r="I239" s="234">
        <f t="shared" si="20"/>
        <v>610548.69352951657</v>
      </c>
      <c r="J239" s="211">
        <f t="shared" si="20"/>
        <v>55.251174547538007</v>
      </c>
      <c r="K239" s="235">
        <f t="shared" si="20"/>
        <v>15.786049870725146</v>
      </c>
      <c r="L239" s="236">
        <f>I239*PRP!$J$8+J239*PRP!$J$9+K239*PRP!$J$10</f>
        <v>616504.77014574117</v>
      </c>
      <c r="M239" s="171"/>
      <c r="N239" s="171"/>
      <c r="O239" s="59">
        <v>224</v>
      </c>
      <c r="P239" s="237">
        <v>10944</v>
      </c>
      <c r="Q239" s="237">
        <f t="shared" si="17"/>
        <v>43334.254547088633</v>
      </c>
      <c r="S239" s="123" t="s">
        <v>332</v>
      </c>
    </row>
    <row r="240" spans="2:19">
      <c r="B240" s="1309"/>
      <c r="C240" s="233" t="s">
        <v>460</v>
      </c>
      <c r="D240" s="213">
        <f t="shared" si="19"/>
        <v>232.56251285229953</v>
      </c>
      <c r="E240" s="59" t="s">
        <v>181</v>
      </c>
      <c r="F240" s="59" t="s">
        <v>77</v>
      </c>
      <c r="G240" s="116">
        <v>0.89012999999999998</v>
      </c>
      <c r="H240" s="116">
        <f t="shared" si="15"/>
        <v>10.77</v>
      </c>
      <c r="I240" s="234">
        <f t="shared" si="20"/>
        <v>733967.29056185728</v>
      </c>
      <c r="J240" s="211">
        <f t="shared" si="20"/>
        <v>66.419853670616746</v>
      </c>
      <c r="K240" s="235">
        <f t="shared" si="20"/>
        <v>18.977101048747642</v>
      </c>
      <c r="L240" s="236">
        <f>I240*PRP!$J$8+J240*PRP!$J$9+K240*PRP!$J$10</f>
        <v>741127.35078754975</v>
      </c>
      <c r="M240" s="171"/>
      <c r="N240" s="171"/>
      <c r="O240" s="59">
        <v>184</v>
      </c>
      <c r="P240" s="237">
        <v>10700</v>
      </c>
      <c r="Q240" s="237">
        <f t="shared" si="17"/>
        <v>42791.502364823114</v>
      </c>
      <c r="S240" s="123" t="s">
        <v>332</v>
      </c>
    </row>
    <row r="241" spans="2:19">
      <c r="B241" s="1309"/>
      <c r="C241" s="233" t="s">
        <v>461</v>
      </c>
      <c r="D241" s="213">
        <f t="shared" si="19"/>
        <v>232.56251285229953</v>
      </c>
      <c r="E241" s="59" t="s">
        <v>181</v>
      </c>
      <c r="F241" s="59" t="s">
        <v>77</v>
      </c>
      <c r="G241" s="116">
        <v>0.89012999999999998</v>
      </c>
      <c r="H241" s="116">
        <f t="shared" si="15"/>
        <v>10.77</v>
      </c>
      <c r="I241" s="234">
        <f t="shared" si="20"/>
        <v>733967.29056185728</v>
      </c>
      <c r="J241" s="211">
        <f t="shared" si="20"/>
        <v>66.419853670616746</v>
      </c>
      <c r="K241" s="235">
        <f t="shared" si="20"/>
        <v>18.977101048747642</v>
      </c>
      <c r="L241" s="236">
        <f>I241*PRP!$J$8+J241*PRP!$J$9+K241*PRP!$J$10</f>
        <v>741127.35078754975</v>
      </c>
      <c r="M241" s="171"/>
      <c r="N241" s="171"/>
      <c r="O241" s="59">
        <v>184</v>
      </c>
      <c r="P241" s="237">
        <v>10700</v>
      </c>
      <c r="Q241" s="237">
        <f t="shared" si="17"/>
        <v>42791.502364823114</v>
      </c>
      <c r="S241" s="123" t="s">
        <v>332</v>
      </c>
    </row>
    <row r="242" spans="2:19">
      <c r="B242" s="1309"/>
      <c r="C242" s="233" t="s">
        <v>462</v>
      </c>
      <c r="D242" s="213">
        <f t="shared" si="19"/>
        <v>365.83906455305663</v>
      </c>
      <c r="E242" s="59" t="s">
        <v>181</v>
      </c>
      <c r="F242" s="59" t="s">
        <v>77</v>
      </c>
      <c r="G242" s="116">
        <v>0.89012999999999998</v>
      </c>
      <c r="H242" s="116">
        <f t="shared" si="15"/>
        <v>10.77</v>
      </c>
      <c r="I242" s="234">
        <f t="shared" si="20"/>
        <v>1154588.0877294468</v>
      </c>
      <c r="J242" s="211">
        <f t="shared" si="20"/>
        <v>104.48363683635299</v>
      </c>
      <c r="K242" s="235">
        <f t="shared" si="20"/>
        <v>29.852467667529424</v>
      </c>
      <c r="L242" s="236">
        <f>I242*PRP!$J$8+J242*PRP!$J$9+K242*PRP!$J$10</f>
        <v>1165851.4237804057</v>
      </c>
      <c r="M242" s="171"/>
      <c r="N242" s="171"/>
      <c r="O242" s="59">
        <v>245</v>
      </c>
      <c r="P242" s="237">
        <v>31757</v>
      </c>
      <c r="Q242" s="237">
        <f t="shared" si="17"/>
        <v>89630.570815498868</v>
      </c>
      <c r="S242" s="123" t="s">
        <v>332</v>
      </c>
    </row>
    <row r="243" spans="2:19">
      <c r="B243" s="1309"/>
      <c r="C243" s="233" t="s">
        <v>463</v>
      </c>
      <c r="D243" s="213">
        <f t="shared" si="19"/>
        <v>232.56251285229953</v>
      </c>
      <c r="E243" s="59" t="s">
        <v>181</v>
      </c>
      <c r="F243" s="59" t="s">
        <v>77</v>
      </c>
      <c r="G243" s="116">
        <v>0.89012999999999998</v>
      </c>
      <c r="H243" s="116">
        <f t="shared" si="15"/>
        <v>10.77</v>
      </c>
      <c r="I243" s="234">
        <f t="shared" si="20"/>
        <v>733967.29056185728</v>
      </c>
      <c r="J243" s="211">
        <f t="shared" si="20"/>
        <v>66.419853670616746</v>
      </c>
      <c r="K243" s="235">
        <f t="shared" si="20"/>
        <v>18.977101048747642</v>
      </c>
      <c r="L243" s="236">
        <f>I243*PRP!$J$8+J243*PRP!$J$9+K243*PRP!$J$10</f>
        <v>741127.35078754975</v>
      </c>
      <c r="M243" s="171"/>
      <c r="N243" s="171"/>
      <c r="O243" s="59">
        <v>184</v>
      </c>
      <c r="P243" s="237">
        <v>10700</v>
      </c>
      <c r="Q243" s="237">
        <f t="shared" si="17"/>
        <v>42791.502364823114</v>
      </c>
      <c r="S243" s="123" t="s">
        <v>332</v>
      </c>
    </row>
    <row r="244" spans="2:19">
      <c r="B244" s="1309"/>
      <c r="C244" s="233" t="s">
        <v>464</v>
      </c>
      <c r="D244" s="213">
        <f t="shared" si="19"/>
        <v>232.56251285229953</v>
      </c>
      <c r="E244" s="59" t="s">
        <v>181</v>
      </c>
      <c r="F244" s="59" t="s">
        <v>77</v>
      </c>
      <c r="G244" s="116">
        <v>0.89012999999999998</v>
      </c>
      <c r="H244" s="116">
        <f t="shared" si="15"/>
        <v>10.77</v>
      </c>
      <c r="I244" s="234">
        <f t="shared" si="20"/>
        <v>733967.29056185728</v>
      </c>
      <c r="J244" s="211">
        <f t="shared" si="20"/>
        <v>66.419853670616746</v>
      </c>
      <c r="K244" s="235">
        <f t="shared" si="20"/>
        <v>18.977101048747642</v>
      </c>
      <c r="L244" s="236">
        <f>I244*PRP!$J$8+J244*PRP!$J$9+K244*PRP!$J$10</f>
        <v>741127.35078754975</v>
      </c>
      <c r="M244" s="171"/>
      <c r="N244" s="171"/>
      <c r="O244" s="59">
        <v>184</v>
      </c>
      <c r="P244" s="237">
        <v>10700</v>
      </c>
      <c r="Q244" s="237">
        <f t="shared" si="17"/>
        <v>42791.502364823114</v>
      </c>
      <c r="S244" s="123" t="s">
        <v>332</v>
      </c>
    </row>
    <row r="245" spans="2:19">
      <c r="B245" s="1309"/>
      <c r="C245" s="233" t="s">
        <v>465</v>
      </c>
      <c r="D245" s="213">
        <f t="shared" si="19"/>
        <v>232.56251285229953</v>
      </c>
      <c r="E245" s="59" t="s">
        <v>181</v>
      </c>
      <c r="F245" s="59" t="s">
        <v>77</v>
      </c>
      <c r="G245" s="116">
        <v>0.89012999999999998</v>
      </c>
      <c r="H245" s="116">
        <f t="shared" si="15"/>
        <v>10.77</v>
      </c>
      <c r="I245" s="234">
        <f t="shared" si="20"/>
        <v>733967.29056185728</v>
      </c>
      <c r="J245" s="211">
        <f t="shared" si="20"/>
        <v>66.419853670616746</v>
      </c>
      <c r="K245" s="235">
        <f t="shared" si="20"/>
        <v>18.977101048747642</v>
      </c>
      <c r="L245" s="236">
        <f>I245*PRP!$J$8+J245*PRP!$J$9+K245*PRP!$J$10</f>
        <v>741127.35078754975</v>
      </c>
      <c r="M245" s="171"/>
      <c r="N245" s="171"/>
      <c r="O245" s="59">
        <v>184</v>
      </c>
      <c r="P245" s="237">
        <v>10700</v>
      </c>
      <c r="Q245" s="237">
        <f t="shared" si="17"/>
        <v>42791.502364823114</v>
      </c>
      <c r="S245" s="123" t="s">
        <v>332</v>
      </c>
    </row>
    <row r="246" spans="2:19">
      <c r="B246" s="1309"/>
      <c r="C246" s="233" t="s">
        <v>466</v>
      </c>
      <c r="D246" s="213">
        <f t="shared" si="19"/>
        <v>177.5994038815108</v>
      </c>
      <c r="E246" s="59" t="s">
        <v>181</v>
      </c>
      <c r="F246" s="59" t="s">
        <v>77</v>
      </c>
      <c r="G246" s="116">
        <v>0.89012999999999998</v>
      </c>
      <c r="H246" s="116">
        <f t="shared" si="15"/>
        <v>10.77</v>
      </c>
      <c r="I246" s="234">
        <f t="shared" si="20"/>
        <v>560503.71865004802</v>
      </c>
      <c r="J246" s="211">
        <f t="shared" si="20"/>
        <v>50.722389748559486</v>
      </c>
      <c r="K246" s="235">
        <f t="shared" si="20"/>
        <v>14.492111356731282</v>
      </c>
      <c r="L246" s="236">
        <f>I246*PRP!$J$8+J246*PRP!$J$9+K246*PRP!$J$10</f>
        <v>565971.59226494271</v>
      </c>
      <c r="M246" s="171"/>
      <c r="N246" s="171"/>
      <c r="O246" s="59">
        <v>244</v>
      </c>
      <c r="P246" s="237">
        <v>10944</v>
      </c>
      <c r="Q246" s="237">
        <f t="shared" si="17"/>
        <v>43334.254547088633</v>
      </c>
      <c r="S246" s="123" t="s">
        <v>332</v>
      </c>
    </row>
    <row r="247" spans="2:19">
      <c r="B247" s="1309"/>
      <c r="C247" s="233" t="s">
        <v>467</v>
      </c>
      <c r="D247" s="213">
        <f t="shared" si="19"/>
        <v>82.650146607798874</v>
      </c>
      <c r="E247" s="59" t="s">
        <v>181</v>
      </c>
      <c r="F247" s="59" t="s">
        <v>77</v>
      </c>
      <c r="G247" s="116">
        <v>0.89012999999999998</v>
      </c>
      <c r="H247" s="116">
        <f t="shared" si="15"/>
        <v>10.77</v>
      </c>
      <c r="I247" s="234">
        <f t="shared" si="20"/>
        <v>260843.86269421325</v>
      </c>
      <c r="J247" s="211">
        <f t="shared" si="20"/>
        <v>23.604881871187359</v>
      </c>
      <c r="K247" s="235">
        <f t="shared" si="20"/>
        <v>6.7442519631963886</v>
      </c>
      <c r="L247" s="236">
        <f>I247*PRP!$J$8+J247*PRP!$J$9+K247*PRP!$J$10</f>
        <v>263388.46895992727</v>
      </c>
      <c r="M247" s="171"/>
      <c r="N247" s="240" t="s">
        <v>468</v>
      </c>
      <c r="O247" s="59">
        <v>32</v>
      </c>
      <c r="P247" s="237">
        <v>1189</v>
      </c>
      <c r="Q247" s="241">
        <f>(0.00198*P247 )*1000/G247</f>
        <v>2644.804691449564</v>
      </c>
      <c r="S247" s="123" t="s">
        <v>332</v>
      </c>
    </row>
    <row r="248" spans="2:19">
      <c r="B248" s="1309"/>
      <c r="C248" s="233" t="s">
        <v>469</v>
      </c>
      <c r="D248" s="213">
        <f t="shared" si="19"/>
        <v>193.93314941156271</v>
      </c>
      <c r="E248" s="59" t="s">
        <v>181</v>
      </c>
      <c r="F248" s="59" t="s">
        <v>77</v>
      </c>
      <c r="G248" s="116">
        <v>0.89012999999999998</v>
      </c>
      <c r="H248" s="116">
        <f t="shared" si="15"/>
        <v>10.77</v>
      </c>
      <c r="I248" s="234">
        <f t="shared" si="20"/>
        <v>612053.01954289188</v>
      </c>
      <c r="J248" s="211">
        <f t="shared" si="20"/>
        <v>55.387307471942314</v>
      </c>
      <c r="K248" s="235">
        <f t="shared" si="20"/>
        <v>15.824944991983518</v>
      </c>
      <c r="L248" s="236">
        <f>I248*PRP!$J$8+J248*PRP!$J$9+K248*PRP!$J$10</f>
        <v>618023.77128836722</v>
      </c>
      <c r="M248" s="171"/>
      <c r="N248" s="171"/>
      <c r="O248" s="59">
        <v>224</v>
      </c>
      <c r="P248" s="237">
        <v>10992</v>
      </c>
      <c r="Q248" s="237">
        <f t="shared" si="17"/>
        <v>43441.025468190048</v>
      </c>
      <c r="S248" s="123" t="s">
        <v>332</v>
      </c>
    </row>
    <row r="249" spans="2:19">
      <c r="B249" s="1309"/>
      <c r="C249" s="233" t="s">
        <v>470</v>
      </c>
      <c r="D249" s="213">
        <f t="shared" si="19"/>
        <v>88.788529016360911</v>
      </c>
      <c r="E249" s="59" t="s">
        <v>181</v>
      </c>
      <c r="F249" s="59" t="s">
        <v>77</v>
      </c>
      <c r="G249" s="116">
        <v>0.89012999999999998</v>
      </c>
      <c r="H249" s="116">
        <f t="shared" si="15"/>
        <v>10.77</v>
      </c>
      <c r="I249" s="234">
        <f t="shared" si="20"/>
        <v>280216.59757563501</v>
      </c>
      <c r="J249" s="211">
        <f t="shared" si="20"/>
        <v>25.358003887072677</v>
      </c>
      <c r="K249" s="235">
        <f t="shared" si="20"/>
        <v>7.2451439677350509</v>
      </c>
      <c r="L249" s="236">
        <f>I249*PRP!$J$8+J249*PRP!$J$9+K249*PRP!$J$10</f>
        <v>282950.19039466145</v>
      </c>
      <c r="M249" s="171"/>
      <c r="N249" s="171"/>
      <c r="O249" s="59">
        <v>3120</v>
      </c>
      <c r="P249" s="237">
        <v>116000</v>
      </c>
      <c r="Q249" s="237">
        <f t="shared" si="17"/>
        <v>277020.21053104603</v>
      </c>
      <c r="S249" s="123" t="s">
        <v>332</v>
      </c>
    </row>
    <row r="250" spans="2:19">
      <c r="B250" s="1309"/>
      <c r="C250" s="233" t="s">
        <v>471</v>
      </c>
      <c r="D250" s="213">
        <f t="shared" si="19"/>
        <v>113.0990106333068</v>
      </c>
      <c r="E250" s="59" t="s">
        <v>181</v>
      </c>
      <c r="F250" s="59" t="s">
        <v>77</v>
      </c>
      <c r="G250" s="116">
        <v>0.89012999999999998</v>
      </c>
      <c r="H250" s="116">
        <f t="shared" si="15"/>
        <v>10.77</v>
      </c>
      <c r="I250" s="234">
        <f t="shared" si="20"/>
        <v>356940.47755871626</v>
      </c>
      <c r="J250" s="211">
        <f t="shared" si="20"/>
        <v>32.301077436872426</v>
      </c>
      <c r="K250" s="235">
        <f t="shared" si="20"/>
        <v>9.2288792676778364</v>
      </c>
      <c r="L250" s="236">
        <f>I250*PRP!$J$8+J250*PRP!$J$9+K250*PRP!$J$10</f>
        <v>360422.53370641108</v>
      </c>
      <c r="M250" s="171"/>
      <c r="N250" s="171"/>
      <c r="O250" s="59">
        <v>1970</v>
      </c>
      <c r="P250" s="237">
        <v>91627</v>
      </c>
      <c r="Q250" s="237">
        <f t="shared" si="17"/>
        <v>222805.05094761439</v>
      </c>
      <c r="S250" s="123" t="s">
        <v>332</v>
      </c>
    </row>
    <row r="251" spans="2:19">
      <c r="B251" s="1309"/>
      <c r="C251" s="233" t="s">
        <v>472</v>
      </c>
      <c r="D251" s="213">
        <f t="shared" si="19"/>
        <v>88.122943900902158</v>
      </c>
      <c r="E251" s="59" t="s">
        <v>181</v>
      </c>
      <c r="F251" s="59" t="s">
        <v>77</v>
      </c>
      <c r="G251" s="116">
        <v>0.89012999999999998</v>
      </c>
      <c r="H251" s="116">
        <f t="shared" si="15"/>
        <v>10.77</v>
      </c>
      <c r="I251" s="234">
        <f t="shared" si="20"/>
        <v>278116.01095124718</v>
      </c>
      <c r="J251" s="211">
        <f t="shared" si="20"/>
        <v>25.167912778097659</v>
      </c>
      <c r="K251" s="235">
        <f t="shared" si="20"/>
        <v>7.1908322223136167</v>
      </c>
      <c r="L251" s="236">
        <f>I251*PRP!$J$8+J251*PRP!$J$9+K251*PRP!$J$10</f>
        <v>280829.11194872612</v>
      </c>
      <c r="M251" s="171"/>
      <c r="N251" s="171"/>
      <c r="O251" s="59">
        <v>3082</v>
      </c>
      <c r="P251" s="237">
        <v>113561</v>
      </c>
      <c r="Q251" s="237">
        <f t="shared" si="17"/>
        <v>271594.91310258047</v>
      </c>
      <c r="S251" s="123" t="s">
        <v>332</v>
      </c>
    </row>
    <row r="252" spans="2:19">
      <c r="B252" s="1309"/>
      <c r="C252" s="233" t="s">
        <v>473</v>
      </c>
      <c r="D252" s="213">
        <f t="shared" si="19"/>
        <v>103.33911921484108</v>
      </c>
      <c r="E252" s="59" t="s">
        <v>181</v>
      </c>
      <c r="F252" s="59" t="s">
        <v>77</v>
      </c>
      <c r="G252" s="116">
        <v>0.89012999999999998</v>
      </c>
      <c r="H252" s="116">
        <f t="shared" si="15"/>
        <v>10.77</v>
      </c>
      <c r="I252" s="234">
        <f t="shared" si="20"/>
        <v>326138.26024203846</v>
      </c>
      <c r="J252" s="211">
        <f t="shared" si="20"/>
        <v>29.513652447758613</v>
      </c>
      <c r="K252" s="235">
        <f t="shared" si="20"/>
        <v>8.4324721279310317</v>
      </c>
      <c r="L252" s="236">
        <f>I252*PRP!$J$8+J252*PRP!$J$9+K252*PRP!$J$10</f>
        <v>329319.83197590685</v>
      </c>
      <c r="M252" s="171"/>
      <c r="N252" s="171"/>
      <c r="O252" s="59">
        <v>2678</v>
      </c>
      <c r="P252" s="237">
        <v>115875</v>
      </c>
      <c r="Q252" s="237">
        <f t="shared" si="17"/>
        <v>276742.16125734441</v>
      </c>
      <c r="S252" s="123" t="s">
        <v>332</v>
      </c>
    </row>
    <row r="253" spans="2:19">
      <c r="B253" s="1309"/>
      <c r="C253" s="233" t="s">
        <v>474</v>
      </c>
      <c r="D253" s="213">
        <f t="shared" si="19"/>
        <v>92.321682001995441</v>
      </c>
      <c r="E253" s="59" t="s">
        <v>181</v>
      </c>
      <c r="F253" s="59" t="s">
        <v>77</v>
      </c>
      <c r="G253" s="116">
        <v>0.89012999999999998</v>
      </c>
      <c r="H253" s="116">
        <f t="shared" si="15"/>
        <v>10.77</v>
      </c>
      <c r="I253" s="234">
        <f t="shared" si="20"/>
        <v>291367.22839829762</v>
      </c>
      <c r="J253" s="211">
        <f t="shared" si="20"/>
        <v>26.367072379769901</v>
      </c>
      <c r="K253" s="235">
        <f t="shared" si="20"/>
        <v>7.5334492513628284</v>
      </c>
      <c r="L253" s="236">
        <f>I253*PRP!$J$8+J253*PRP!$J$9+K253*PRP!$J$10</f>
        <v>294209.59880083683</v>
      </c>
      <c r="M253" s="171"/>
      <c r="N253" s="171"/>
      <c r="O253" s="59">
        <v>3668</v>
      </c>
      <c r="P253" s="237">
        <v>143700</v>
      </c>
      <c r="Q253" s="237">
        <f t="shared" si="17"/>
        <v>338635.92958331929</v>
      </c>
      <c r="S253" s="123" t="s">
        <v>332</v>
      </c>
    </row>
    <row r="254" spans="2:19">
      <c r="B254" s="1309"/>
      <c r="C254" s="233" t="s">
        <v>475</v>
      </c>
      <c r="D254" s="213">
        <f t="shared" si="19"/>
        <v>88.187900252967438</v>
      </c>
      <c r="E254" s="59" t="s">
        <v>181</v>
      </c>
      <c r="F254" s="59" t="s">
        <v>77</v>
      </c>
      <c r="G254" s="116">
        <v>0.89012999999999998</v>
      </c>
      <c r="H254" s="116">
        <f t="shared" si="15"/>
        <v>10.77</v>
      </c>
      <c r="I254" s="234">
        <f t="shared" ref="I254:K269" si="21">$D254*I$49</f>
        <v>278321.01319836522</v>
      </c>
      <c r="J254" s="211">
        <f t="shared" si="21"/>
        <v>25.186464312247502</v>
      </c>
      <c r="K254" s="235">
        <f t="shared" si="21"/>
        <v>7.1961326606421432</v>
      </c>
      <c r="L254" s="236">
        <f>I254*PRP!$J$8+J254*PRP!$J$9+K254*PRP!$J$10</f>
        <v>281036.11405122554</v>
      </c>
      <c r="M254" s="171"/>
      <c r="N254" s="171"/>
      <c r="O254" s="59">
        <v>3082</v>
      </c>
      <c r="P254" s="237">
        <v>113651</v>
      </c>
      <c r="Q254" s="237">
        <f t="shared" si="17"/>
        <v>271795.10857964563</v>
      </c>
      <c r="S254" s="123" t="s">
        <v>332</v>
      </c>
    </row>
    <row r="255" spans="2:19">
      <c r="B255" s="1309"/>
      <c r="C255" s="233" t="s">
        <v>476</v>
      </c>
      <c r="D255" s="213">
        <f t="shared" si="19"/>
        <v>90.684314414221618</v>
      </c>
      <c r="E255" s="59" t="s">
        <v>181</v>
      </c>
      <c r="F255" s="59" t="s">
        <v>77</v>
      </c>
      <c r="G255" s="116">
        <v>0.89012999999999998</v>
      </c>
      <c r="H255" s="116">
        <f t="shared" si="15"/>
        <v>10.77</v>
      </c>
      <c r="I255" s="234">
        <f t="shared" si="21"/>
        <v>286199.69629128341</v>
      </c>
      <c r="J255" s="211">
        <f t="shared" si="21"/>
        <v>25.899440196701697</v>
      </c>
      <c r="K255" s="235">
        <f t="shared" si="21"/>
        <v>7.3998400562004845</v>
      </c>
      <c r="L255" s="236">
        <f>I255*PRP!$J$8+J255*PRP!$J$9+K255*PRP!$J$10</f>
        <v>288991.65594448784</v>
      </c>
      <c r="M255" s="171"/>
      <c r="N255" s="171"/>
      <c r="O255" s="59">
        <v>3668</v>
      </c>
      <c r="P255" s="237">
        <v>141000</v>
      </c>
      <c r="Q255" s="237">
        <f t="shared" si="17"/>
        <v>332630.06527136487</v>
      </c>
      <c r="S255" s="123" t="s">
        <v>332</v>
      </c>
    </row>
    <row r="256" spans="2:19">
      <c r="B256" s="1309"/>
      <c r="C256" s="233" t="s">
        <v>477</v>
      </c>
      <c r="D256" s="213">
        <f t="shared" si="19"/>
        <v>99.28872100790808</v>
      </c>
      <c r="E256" s="59" t="s">
        <v>181</v>
      </c>
      <c r="F256" s="59" t="s">
        <v>77</v>
      </c>
      <c r="G256" s="116">
        <v>0.89012999999999998</v>
      </c>
      <c r="H256" s="116">
        <f t="shared" si="15"/>
        <v>10.77</v>
      </c>
      <c r="I256" s="234">
        <f t="shared" si="21"/>
        <v>313355.20350095793</v>
      </c>
      <c r="J256" s="211">
        <f t="shared" si="21"/>
        <v>28.35685871985855</v>
      </c>
      <c r="K256" s="235">
        <f t="shared" si="21"/>
        <v>8.1019596342453006</v>
      </c>
      <c r="L256" s="236">
        <f>I256*PRP!$J$8+J256*PRP!$J$9+K256*PRP!$J$10</f>
        <v>316412.07287095865</v>
      </c>
      <c r="M256" s="171"/>
      <c r="N256" s="171"/>
      <c r="O256" s="59">
        <v>2600</v>
      </c>
      <c r="P256" s="237">
        <v>107517</v>
      </c>
      <c r="Q256" s="237">
        <f t="shared" si="17"/>
        <v>258150.67462056101</v>
      </c>
      <c r="S256" s="123" t="s">
        <v>332</v>
      </c>
    </row>
    <row r="257" spans="2:19">
      <c r="B257" s="1309"/>
      <c r="C257" s="233" t="s">
        <v>478</v>
      </c>
      <c r="D257" s="213">
        <f t="shared" si="19"/>
        <v>113.29014689986826</v>
      </c>
      <c r="E257" s="59" t="s">
        <v>181</v>
      </c>
      <c r="F257" s="59" t="s">
        <v>77</v>
      </c>
      <c r="G257" s="116">
        <v>0.89012999999999998</v>
      </c>
      <c r="H257" s="116">
        <f t="shared" si="15"/>
        <v>10.77</v>
      </c>
      <c r="I257" s="234">
        <f t="shared" si="21"/>
        <v>357543.70361598424</v>
      </c>
      <c r="J257" s="211">
        <f t="shared" si="21"/>
        <v>32.355665954602379</v>
      </c>
      <c r="K257" s="235">
        <f t="shared" si="21"/>
        <v>9.2444759870292508</v>
      </c>
      <c r="L257" s="236">
        <f>I257*PRP!$J$8+J257*PRP!$J$9+K257*PRP!$J$10</f>
        <v>361031.64440589037</v>
      </c>
      <c r="M257" s="171"/>
      <c r="N257" s="171"/>
      <c r="O257" s="59">
        <v>1974</v>
      </c>
      <c r="P257" s="237">
        <v>92000</v>
      </c>
      <c r="Q257" s="237">
        <f t="shared" si="17"/>
        <v>223634.74998033996</v>
      </c>
      <c r="S257" s="123" t="s">
        <v>332</v>
      </c>
    </row>
    <row r="258" spans="2:19">
      <c r="B258" s="1309"/>
      <c r="C258" s="233" t="s">
        <v>479</v>
      </c>
      <c r="D258" s="213">
        <f t="shared" si="19"/>
        <v>93.435411593080019</v>
      </c>
      <c r="E258" s="59" t="s">
        <v>181</v>
      </c>
      <c r="F258" s="59" t="s">
        <v>77</v>
      </c>
      <c r="G258" s="116">
        <v>0.89012999999999998</v>
      </c>
      <c r="H258" s="116">
        <f t="shared" si="15"/>
        <v>10.77</v>
      </c>
      <c r="I258" s="234">
        <f t="shared" si="21"/>
        <v>294882.15898776054</v>
      </c>
      <c r="J258" s="211">
        <f t="shared" si="21"/>
        <v>26.685153550983657</v>
      </c>
      <c r="K258" s="235">
        <f t="shared" si="21"/>
        <v>7.6243295859953299</v>
      </c>
      <c r="L258" s="236">
        <f>I258*PRP!$J$8+J258*PRP!$J$9+K258*PRP!$J$10</f>
        <v>297758.81854055653</v>
      </c>
      <c r="M258" s="171"/>
      <c r="N258" s="171"/>
      <c r="O258" s="59">
        <v>3560</v>
      </c>
      <c r="P258" s="237">
        <v>141000</v>
      </c>
      <c r="Q258" s="237">
        <f t="shared" si="17"/>
        <v>332630.06527136487</v>
      </c>
      <c r="S258" s="123" t="s">
        <v>332</v>
      </c>
    </row>
    <row r="259" spans="2:19">
      <c r="B259" s="1309"/>
      <c r="C259" s="233" t="s">
        <v>480</v>
      </c>
      <c r="D259" s="213">
        <f t="shared" si="19"/>
        <v>92.397240353156903</v>
      </c>
      <c r="E259" s="59" t="s">
        <v>181</v>
      </c>
      <c r="F259" s="59" t="s">
        <v>77</v>
      </c>
      <c r="G259" s="116">
        <v>0.89012999999999998</v>
      </c>
      <c r="H259" s="116">
        <f t="shared" si="15"/>
        <v>10.77</v>
      </c>
      <c r="I259" s="234">
        <f t="shared" si="21"/>
        <v>291605.69055456319</v>
      </c>
      <c r="J259" s="211">
        <f t="shared" si="21"/>
        <v>26.388651844861613</v>
      </c>
      <c r="K259" s="235">
        <f t="shared" si="21"/>
        <v>7.5396148128176037</v>
      </c>
      <c r="L259" s="236">
        <f>I259*PRP!$J$8+J259*PRP!$J$9+K259*PRP!$J$10</f>
        <v>294450.38722343929</v>
      </c>
      <c r="M259" s="171"/>
      <c r="N259" s="171"/>
      <c r="O259" s="59">
        <v>3600</v>
      </c>
      <c r="P259" s="237">
        <v>141000</v>
      </c>
      <c r="Q259" s="237">
        <f t="shared" si="17"/>
        <v>332630.06527136487</v>
      </c>
      <c r="S259" s="123" t="s">
        <v>332</v>
      </c>
    </row>
    <row r="260" spans="2:19">
      <c r="B260" s="1309"/>
      <c r="C260" s="233" t="s">
        <v>481</v>
      </c>
      <c r="D260" s="213">
        <f t="shared" si="19"/>
        <v>92.397240353156903</v>
      </c>
      <c r="E260" s="59" t="s">
        <v>181</v>
      </c>
      <c r="F260" s="59" t="s">
        <v>77</v>
      </c>
      <c r="G260" s="116">
        <v>0.89012999999999998</v>
      </c>
      <c r="H260" s="116">
        <f t="shared" si="15"/>
        <v>10.77</v>
      </c>
      <c r="I260" s="234">
        <f t="shared" si="21"/>
        <v>291605.69055456319</v>
      </c>
      <c r="J260" s="211">
        <f t="shared" si="21"/>
        <v>26.388651844861613</v>
      </c>
      <c r="K260" s="235">
        <f t="shared" si="21"/>
        <v>7.5396148128176037</v>
      </c>
      <c r="L260" s="236">
        <f>I260*PRP!$J$8+J260*PRP!$J$9+K260*PRP!$J$10</f>
        <v>294450.38722343929</v>
      </c>
      <c r="M260" s="171"/>
      <c r="N260" s="171"/>
      <c r="O260" s="59">
        <v>3600</v>
      </c>
      <c r="P260" s="237">
        <v>141000</v>
      </c>
      <c r="Q260" s="237">
        <f t="shared" si="17"/>
        <v>332630.06527136487</v>
      </c>
      <c r="S260" s="123" t="s">
        <v>332</v>
      </c>
    </row>
    <row r="261" spans="2:19">
      <c r="B261" s="1309"/>
      <c r="C261" s="233" t="s">
        <v>482</v>
      </c>
      <c r="D261" s="213">
        <f t="shared" si="19"/>
        <v>88.122943900902158</v>
      </c>
      <c r="E261" s="59" t="s">
        <v>181</v>
      </c>
      <c r="F261" s="59" t="s">
        <v>77</v>
      </c>
      <c r="G261" s="116">
        <v>0.89012999999999998</v>
      </c>
      <c r="H261" s="116">
        <f t="shared" si="15"/>
        <v>10.77</v>
      </c>
      <c r="I261" s="234">
        <f t="shared" si="21"/>
        <v>278116.01095124718</v>
      </c>
      <c r="J261" s="211">
        <f t="shared" si="21"/>
        <v>25.167912778097659</v>
      </c>
      <c r="K261" s="235">
        <f t="shared" si="21"/>
        <v>7.1908322223136167</v>
      </c>
      <c r="L261" s="236">
        <f>I261*PRP!$J$8+J261*PRP!$J$9+K261*PRP!$J$10</f>
        <v>280829.11194872612</v>
      </c>
      <c r="M261" s="171"/>
      <c r="N261" s="171"/>
      <c r="O261" s="59">
        <v>3082</v>
      </c>
      <c r="P261" s="237">
        <v>113561</v>
      </c>
      <c r="Q261" s="237">
        <f t="shared" si="17"/>
        <v>271594.91310258047</v>
      </c>
      <c r="S261" s="123" t="s">
        <v>332</v>
      </c>
    </row>
    <row r="262" spans="2:19">
      <c r="B262" s="1309"/>
      <c r="C262" s="233" t="s">
        <v>483</v>
      </c>
      <c r="D262" s="213">
        <f t="shared" si="19"/>
        <v>103.64874953458592</v>
      </c>
      <c r="E262" s="59" t="s">
        <v>181</v>
      </c>
      <c r="F262" s="59" t="s">
        <v>77</v>
      </c>
      <c r="G262" s="116">
        <v>0.89012999999999998</v>
      </c>
      <c r="H262" s="116">
        <f t="shared" si="15"/>
        <v>10.77</v>
      </c>
      <c r="I262" s="234">
        <f t="shared" si="21"/>
        <v>327115.45353115315</v>
      </c>
      <c r="J262" s="211">
        <f t="shared" si="21"/>
        <v>29.602082867077741</v>
      </c>
      <c r="K262" s="235">
        <f t="shared" si="21"/>
        <v>8.4577379620222111</v>
      </c>
      <c r="L262" s="236">
        <f>I262*PRP!$J$8+J262*PRP!$J$9+K262*PRP!$J$10</f>
        <v>330306.55806422414</v>
      </c>
      <c r="M262" s="171"/>
      <c r="N262" s="171"/>
      <c r="O262" s="59">
        <v>2670</v>
      </c>
      <c r="P262" s="237">
        <v>115875</v>
      </c>
      <c r="Q262" s="237">
        <f t="shared" si="17"/>
        <v>276742.16125734441</v>
      </c>
      <c r="S262" s="123" t="s">
        <v>332</v>
      </c>
    </row>
    <row r="263" spans="2:19">
      <c r="B263" s="1309"/>
      <c r="C263" s="233" t="s">
        <v>484</v>
      </c>
      <c r="D263" s="213">
        <f t="shared" si="19"/>
        <v>90.684314414221618</v>
      </c>
      <c r="E263" s="59" t="s">
        <v>181</v>
      </c>
      <c r="F263" s="59" t="s">
        <v>77</v>
      </c>
      <c r="G263" s="116">
        <v>0.89012999999999998</v>
      </c>
      <c r="H263" s="116">
        <f t="shared" si="15"/>
        <v>10.77</v>
      </c>
      <c r="I263" s="234">
        <f t="shared" si="21"/>
        <v>286199.69629128341</v>
      </c>
      <c r="J263" s="211">
        <f t="shared" si="21"/>
        <v>25.899440196701697</v>
      </c>
      <c r="K263" s="235">
        <f t="shared" si="21"/>
        <v>7.3998400562004845</v>
      </c>
      <c r="L263" s="236">
        <f>I263*PRP!$J$8+J263*PRP!$J$9+K263*PRP!$J$10</f>
        <v>288991.65594448784</v>
      </c>
      <c r="M263" s="171"/>
      <c r="N263" s="171"/>
      <c r="O263" s="59">
        <v>3668</v>
      </c>
      <c r="P263" s="237">
        <v>141000</v>
      </c>
      <c r="Q263" s="237">
        <f t="shared" si="17"/>
        <v>332630.06527136487</v>
      </c>
      <c r="S263" s="123" t="s">
        <v>332</v>
      </c>
    </row>
    <row r="264" spans="2:19">
      <c r="B264" s="1309"/>
      <c r="C264" s="233" t="s">
        <v>485</v>
      </c>
      <c r="D264" s="213">
        <f t="shared" si="19"/>
        <v>100.53780389899833</v>
      </c>
      <c r="E264" s="59" t="s">
        <v>181</v>
      </c>
      <c r="F264" s="59" t="s">
        <v>77</v>
      </c>
      <c r="G264" s="116">
        <v>0.89012999999999998</v>
      </c>
      <c r="H264" s="116">
        <f t="shared" si="15"/>
        <v>10.77</v>
      </c>
      <c r="I264" s="234">
        <f t="shared" si="21"/>
        <v>317297.30910523876</v>
      </c>
      <c r="J264" s="211">
        <f t="shared" si="21"/>
        <v>28.713596793553926</v>
      </c>
      <c r="K264" s="235">
        <f t="shared" si="21"/>
        <v>8.2038847981582652</v>
      </c>
      <c r="L264" s="236">
        <f>I264*PRP!$J$8+J264*PRP!$J$9+K264*PRP!$J$10</f>
        <v>320392.63483958389</v>
      </c>
      <c r="M264" s="171"/>
      <c r="N264" s="171"/>
      <c r="O264" s="59">
        <v>2600</v>
      </c>
      <c r="P264" s="237">
        <v>108977</v>
      </c>
      <c r="Q264" s="237">
        <f t="shared" si="17"/>
        <v>261398.29013739567</v>
      </c>
      <c r="S264" s="123" t="s">
        <v>332</v>
      </c>
    </row>
    <row r="265" spans="2:19">
      <c r="B265" s="1309"/>
      <c r="C265" s="233" t="s">
        <v>486</v>
      </c>
      <c r="D265" s="213">
        <f t="shared" si="19"/>
        <v>94.761959447454828</v>
      </c>
      <c r="E265" s="59" t="s">
        <v>181</v>
      </c>
      <c r="F265" s="59" t="s">
        <v>77</v>
      </c>
      <c r="G265" s="116">
        <v>0.89012999999999998</v>
      </c>
      <c r="H265" s="116">
        <f t="shared" si="15"/>
        <v>10.77</v>
      </c>
      <c r="I265" s="234">
        <f t="shared" si="21"/>
        <v>299068.74401616742</v>
      </c>
      <c r="J265" s="211">
        <f t="shared" si="21"/>
        <v>27.0640156181931</v>
      </c>
      <c r="K265" s="235">
        <f t="shared" si="21"/>
        <v>7.7325758909123143</v>
      </c>
      <c r="L265" s="236">
        <f>I265*PRP!$J$8+J265*PRP!$J$9+K265*PRP!$J$10</f>
        <v>301986.24489980866</v>
      </c>
      <c r="M265" s="171"/>
      <c r="N265" s="171"/>
      <c r="O265" s="59">
        <v>4320</v>
      </c>
      <c r="P265" s="237">
        <v>175500</v>
      </c>
      <c r="Q265" s="237">
        <f t="shared" si="17"/>
        <v>409371.66481300484</v>
      </c>
      <c r="S265" s="123" t="s">
        <v>332</v>
      </c>
    </row>
    <row r="266" spans="2:19">
      <c r="B266" s="1309"/>
      <c r="C266" s="233" t="s">
        <v>487</v>
      </c>
      <c r="D266" s="213">
        <f t="shared" si="19"/>
        <v>185.47702770007379</v>
      </c>
      <c r="E266" s="59" t="s">
        <v>181</v>
      </c>
      <c r="F266" s="59" t="s">
        <v>77</v>
      </c>
      <c r="G266" s="116">
        <v>0.89012999999999998</v>
      </c>
      <c r="H266" s="116">
        <f t="shared" si="15"/>
        <v>10.77</v>
      </c>
      <c r="I266" s="234">
        <f t="shared" si="21"/>
        <v>585365.49942143285</v>
      </c>
      <c r="J266" s="211">
        <f t="shared" si="21"/>
        <v>52.972239111141079</v>
      </c>
      <c r="K266" s="235">
        <f t="shared" si="21"/>
        <v>15.134925460326022</v>
      </c>
      <c r="L266" s="236">
        <f>I266*PRP!$J$8+J266*PRP!$J$9+K266*PRP!$J$10</f>
        <v>591075.90679761383</v>
      </c>
      <c r="M266" s="171"/>
      <c r="N266" s="171"/>
      <c r="O266" s="59">
        <v>750</v>
      </c>
      <c r="P266" s="237">
        <v>54000</v>
      </c>
      <c r="Q266" s="237">
        <f t="shared" si="17"/>
        <v>139107.77077505534</v>
      </c>
      <c r="S266" s="123" t="s">
        <v>332</v>
      </c>
    </row>
    <row r="267" spans="2:19">
      <c r="B267" s="1309"/>
      <c r="C267" s="233" t="s">
        <v>488</v>
      </c>
      <c r="D267" s="213">
        <f t="shared" si="19"/>
        <v>188.19252133797045</v>
      </c>
      <c r="E267" s="59" t="s">
        <v>181</v>
      </c>
      <c r="F267" s="59" t="s">
        <v>77</v>
      </c>
      <c r="G267" s="116">
        <v>0.89012999999999998</v>
      </c>
      <c r="H267" s="116">
        <f t="shared" ref="H267:H323" si="22">$H$49</f>
        <v>10.77</v>
      </c>
      <c r="I267" s="234">
        <f t="shared" si="21"/>
        <v>593935.59734263469</v>
      </c>
      <c r="J267" s="211">
        <f t="shared" si="21"/>
        <v>53.747784094124363</v>
      </c>
      <c r="K267" s="235">
        <f t="shared" si="21"/>
        <v>15.356509741178389</v>
      </c>
      <c r="L267" s="236">
        <f>I267*PRP!$J$8+J267*PRP!$J$9+K267*PRP!$J$10</f>
        <v>599729.60846798122</v>
      </c>
      <c r="M267" s="171"/>
      <c r="N267" s="171"/>
      <c r="O267" s="59">
        <v>754</v>
      </c>
      <c r="P267" s="237">
        <v>55254</v>
      </c>
      <c r="Q267" s="237">
        <f t="shared" si="17"/>
        <v>141897.16108882971</v>
      </c>
      <c r="S267" s="123" t="s">
        <v>332</v>
      </c>
    </row>
    <row r="268" spans="2:19">
      <c r="B268" s="1309"/>
      <c r="C268" s="233" t="s">
        <v>489</v>
      </c>
      <c r="D268" s="213">
        <f t="shared" si="19"/>
        <v>179.89747885942825</v>
      </c>
      <c r="E268" s="59" t="s">
        <v>181</v>
      </c>
      <c r="F268" s="59" t="s">
        <v>77</v>
      </c>
      <c r="G268" s="116">
        <v>0.89012999999999998</v>
      </c>
      <c r="H268" s="116">
        <f t="shared" si="22"/>
        <v>10.77</v>
      </c>
      <c r="I268" s="234">
        <f t="shared" si="21"/>
        <v>567756.44328035554</v>
      </c>
      <c r="J268" s="211">
        <f t="shared" si="21"/>
        <v>51.37871996225271</v>
      </c>
      <c r="K268" s="235">
        <f t="shared" si="21"/>
        <v>14.679634274929347</v>
      </c>
      <c r="L268" s="236">
        <f>I268*PRP!$J$8+J268*PRP!$J$9+K268*PRP!$J$10</f>
        <v>573295.06929228641</v>
      </c>
      <c r="M268" s="171"/>
      <c r="N268" s="171"/>
      <c r="O268" s="59">
        <v>700</v>
      </c>
      <c r="P268" s="237">
        <v>48075</v>
      </c>
      <c r="Q268" s="237">
        <f t="shared" si="17"/>
        <v>125928.23520159977</v>
      </c>
      <c r="S268" s="123" t="s">
        <v>332</v>
      </c>
    </row>
    <row r="269" spans="2:19">
      <c r="B269" s="1309"/>
      <c r="C269" s="233" t="s">
        <v>490</v>
      </c>
      <c r="D269" s="213">
        <f t="shared" si="19"/>
        <v>169.5096130191485</v>
      </c>
      <c r="E269" s="59" t="s">
        <v>181</v>
      </c>
      <c r="F269" s="59" t="s">
        <v>77</v>
      </c>
      <c r="G269" s="116">
        <v>0.89012999999999998</v>
      </c>
      <c r="H269" s="116">
        <f t="shared" si="22"/>
        <v>10.77</v>
      </c>
      <c r="I269" s="234">
        <f t="shared" si="21"/>
        <v>534972.3386884327</v>
      </c>
      <c r="J269" s="211">
        <f t="shared" si="21"/>
        <v>48.411945478268819</v>
      </c>
      <c r="K269" s="235">
        <f t="shared" si="21"/>
        <v>13.831984422362519</v>
      </c>
      <c r="L269" s="236">
        <f>I269*PRP!$J$8+J269*PRP!$J$9+K269*PRP!$J$10</f>
        <v>540191.14641099004</v>
      </c>
      <c r="M269" s="171"/>
      <c r="N269" s="171"/>
      <c r="O269" s="59">
        <v>490</v>
      </c>
      <c r="P269" s="237">
        <v>28803</v>
      </c>
      <c r="Q269" s="237">
        <f t="shared" si="17"/>
        <v>83059.71037938277</v>
      </c>
      <c r="S269" s="123" t="s">
        <v>332</v>
      </c>
    </row>
    <row r="270" spans="2:19">
      <c r="B270" s="1309"/>
      <c r="C270" s="233" t="s">
        <v>491</v>
      </c>
      <c r="D270" s="213">
        <f t="shared" si="19"/>
        <v>190.3933145282239</v>
      </c>
      <c r="E270" s="59" t="s">
        <v>181</v>
      </c>
      <c r="F270" s="59" t="s">
        <v>77</v>
      </c>
      <c r="G270" s="116">
        <v>0.89012999999999998</v>
      </c>
      <c r="H270" s="116">
        <f t="shared" si="22"/>
        <v>10.77</v>
      </c>
      <c r="I270" s="234">
        <f t="shared" ref="I270:K285" si="23">$D270*I$49</f>
        <v>600881.30065107462</v>
      </c>
      <c r="J270" s="211">
        <f t="shared" si="23"/>
        <v>54.37633062926075</v>
      </c>
      <c r="K270" s="235">
        <f t="shared" si="23"/>
        <v>15.536094465503071</v>
      </c>
      <c r="L270" s="236">
        <f>I270*PRP!$J$8+J270*PRP!$J$9+K270*PRP!$J$10</f>
        <v>606743.06909290899</v>
      </c>
      <c r="M270" s="171"/>
      <c r="N270" s="171"/>
      <c r="O270" s="59">
        <v>754</v>
      </c>
      <c r="P270" s="237">
        <v>56000</v>
      </c>
      <c r="Q270" s="237">
        <f t="shared" ref="Q270:Q320" si="24">(16.904 + 0.00198*P270 )*1000/G270</f>
        <v>143556.55915428081</v>
      </c>
      <c r="S270" s="123" t="s">
        <v>332</v>
      </c>
    </row>
    <row r="271" spans="2:19">
      <c r="B271" s="1309"/>
      <c r="C271" s="233" t="s">
        <v>492</v>
      </c>
      <c r="D271" s="213">
        <f t="shared" si="19"/>
        <v>161.74642227218817</v>
      </c>
      <c r="E271" s="59" t="s">
        <v>181</v>
      </c>
      <c r="F271" s="59" t="s">
        <v>77</v>
      </c>
      <c r="G271" s="116">
        <v>0.89012999999999998</v>
      </c>
      <c r="H271" s="116">
        <f t="shared" si="22"/>
        <v>10.77</v>
      </c>
      <c r="I271" s="234">
        <f t="shared" si="23"/>
        <v>510471.70869102585</v>
      </c>
      <c r="J271" s="211">
        <f t="shared" si="23"/>
        <v>46.194778200936945</v>
      </c>
      <c r="K271" s="235">
        <f t="shared" si="23"/>
        <v>13.198508057410555</v>
      </c>
      <c r="L271" s="236">
        <f>I271*PRP!$J$8+J271*PRP!$J$9+K271*PRP!$J$10</f>
        <v>515451.50578108686</v>
      </c>
      <c r="M271" s="171"/>
      <c r="N271" s="171"/>
      <c r="O271" s="59">
        <v>700</v>
      </c>
      <c r="P271" s="237">
        <v>42363</v>
      </c>
      <c r="Q271" s="237">
        <f t="shared" si="24"/>
        <v>113222.49559053172</v>
      </c>
      <c r="S271" s="123" t="s">
        <v>332</v>
      </c>
    </row>
    <row r="272" spans="2:19">
      <c r="B272" s="1309"/>
      <c r="C272" s="233" t="s">
        <v>493</v>
      </c>
      <c r="D272" s="213">
        <f t="shared" si="19"/>
        <v>230.68227034514686</v>
      </c>
      <c r="E272" s="59" t="s">
        <v>181</v>
      </c>
      <c r="F272" s="59" t="s">
        <v>77</v>
      </c>
      <c r="G272" s="116">
        <v>0.89012999999999998</v>
      </c>
      <c r="H272" s="116">
        <f t="shared" si="22"/>
        <v>10.77</v>
      </c>
      <c r="I272" s="234">
        <f t="shared" si="23"/>
        <v>728033.24520928354</v>
      </c>
      <c r="J272" s="211">
        <f t="shared" si="23"/>
        <v>65.88285641057395</v>
      </c>
      <c r="K272" s="235">
        <f t="shared" si="23"/>
        <v>18.823673260163986</v>
      </c>
      <c r="L272" s="236">
        <f>I272*PRP!$J$8+J272*PRP!$J$9+K272*PRP!$J$10</f>
        <v>735135.4171303435</v>
      </c>
      <c r="M272" s="171"/>
      <c r="N272" s="171"/>
      <c r="O272" s="59">
        <v>172</v>
      </c>
      <c r="P272" s="237">
        <v>9300</v>
      </c>
      <c r="Q272" s="237">
        <f t="shared" si="24"/>
        <v>39677.35049936526</v>
      </c>
      <c r="S272" s="123" t="s">
        <v>332</v>
      </c>
    </row>
    <row r="273" spans="2:19">
      <c r="B273" s="1309"/>
      <c r="C273" s="233" t="s">
        <v>494</v>
      </c>
      <c r="D273" s="213">
        <f t="shared" si="19"/>
        <v>95.90373190693289</v>
      </c>
      <c r="E273" s="59" t="s">
        <v>181</v>
      </c>
      <c r="F273" s="59" t="s">
        <v>77</v>
      </c>
      <c r="G273" s="116">
        <v>0.89012999999999998</v>
      </c>
      <c r="H273" s="116">
        <f t="shared" si="22"/>
        <v>10.77</v>
      </c>
      <c r="I273" s="234">
        <f t="shared" si="23"/>
        <v>302672.17789828021</v>
      </c>
      <c r="J273" s="211">
        <f t="shared" si="23"/>
        <v>27.390105832620037</v>
      </c>
      <c r="K273" s="235">
        <f t="shared" si="23"/>
        <v>7.8257445236057244</v>
      </c>
      <c r="L273" s="236">
        <f>I273*PRP!$J$8+J273*PRP!$J$9+K273*PRP!$J$10</f>
        <v>305624.83130703669</v>
      </c>
      <c r="M273" s="171"/>
      <c r="N273" s="171"/>
      <c r="O273" s="59">
        <v>3382</v>
      </c>
      <c r="P273" s="237">
        <v>137276</v>
      </c>
      <c r="Q273" s="237">
        <f t="shared" si="24"/>
        <v>324346.42130924703</v>
      </c>
      <c r="S273" s="123" t="s">
        <v>332</v>
      </c>
    </row>
    <row r="274" spans="2:19">
      <c r="B274" s="1309"/>
      <c r="C274" s="233" t="s">
        <v>495</v>
      </c>
      <c r="D274" s="213">
        <f t="shared" si="19"/>
        <v>96.199847629414094</v>
      </c>
      <c r="E274" s="59" t="s">
        <v>181</v>
      </c>
      <c r="F274" s="59" t="s">
        <v>77</v>
      </c>
      <c r="G274" s="116">
        <v>0.89012999999999998</v>
      </c>
      <c r="H274" s="116">
        <f t="shared" si="22"/>
        <v>10.77</v>
      </c>
      <c r="I274" s="234">
        <f t="shared" si="23"/>
        <v>303606.71911843086</v>
      </c>
      <c r="J274" s="211">
        <f t="shared" si="23"/>
        <v>27.474676482960668</v>
      </c>
      <c r="K274" s="235">
        <f t="shared" si="23"/>
        <v>7.8499075665601907</v>
      </c>
      <c r="L274" s="236">
        <f>I274*PRP!$J$8+J274*PRP!$J$9+K274*PRP!$J$10</f>
        <v>306568.48924329405</v>
      </c>
      <c r="M274" s="171"/>
      <c r="N274" s="171"/>
      <c r="O274" s="59">
        <v>5400</v>
      </c>
      <c r="P274" s="237">
        <v>225000</v>
      </c>
      <c r="Q274" s="237">
        <f t="shared" si="24"/>
        <v>519479.17719883611</v>
      </c>
      <c r="S274" s="123" t="s">
        <v>332</v>
      </c>
    </row>
    <row r="275" spans="2:19">
      <c r="B275" s="1309"/>
      <c r="C275" s="233" t="s">
        <v>496</v>
      </c>
      <c r="D275" s="213">
        <f t="shared" si="19"/>
        <v>94.10840440330773</v>
      </c>
      <c r="E275" s="59" t="s">
        <v>181</v>
      </c>
      <c r="F275" s="59" t="s">
        <v>77</v>
      </c>
      <c r="G275" s="116">
        <v>0.89012999999999998</v>
      </c>
      <c r="H275" s="116">
        <f t="shared" si="22"/>
        <v>10.77</v>
      </c>
      <c r="I275" s="234">
        <f t="shared" si="23"/>
        <v>297006.12429683917</v>
      </c>
      <c r="J275" s="211">
        <f t="shared" si="23"/>
        <v>26.877360297584691</v>
      </c>
      <c r="K275" s="235">
        <f t="shared" si="23"/>
        <v>7.6792457993099115</v>
      </c>
      <c r="L275" s="236">
        <f>I275*PRP!$J$8+J275*PRP!$J$9+K275*PRP!$J$10</f>
        <v>299903.50373691879</v>
      </c>
      <c r="M275" s="171"/>
      <c r="N275" s="171"/>
      <c r="O275" s="59">
        <v>4168</v>
      </c>
      <c r="P275" s="237">
        <v>167800</v>
      </c>
      <c r="Q275" s="237">
        <f t="shared" si="24"/>
        <v>392243.8295529866</v>
      </c>
      <c r="S275" s="123" t="s">
        <v>332</v>
      </c>
    </row>
    <row r="276" spans="2:19">
      <c r="B276" s="1309"/>
      <c r="C276" s="233" t="s">
        <v>497</v>
      </c>
      <c r="D276" s="213">
        <f t="shared" si="19"/>
        <v>103.87602134383503</v>
      </c>
      <c r="E276" s="59" t="s">
        <v>181</v>
      </c>
      <c r="F276" s="59" t="s">
        <v>77</v>
      </c>
      <c r="G276" s="116">
        <v>0.89012999999999998</v>
      </c>
      <c r="H276" s="116">
        <f t="shared" si="22"/>
        <v>10.77</v>
      </c>
      <c r="I276" s="234">
        <f t="shared" si="23"/>
        <v>327832.72336114338</v>
      </c>
      <c r="J276" s="211">
        <f t="shared" si="23"/>
        <v>29.66699169579929</v>
      </c>
      <c r="K276" s="235">
        <f t="shared" si="23"/>
        <v>8.4762833416569396</v>
      </c>
      <c r="L276" s="236">
        <f>I276*PRP!$J$8+J276*PRP!$J$9+K276*PRP!$J$10</f>
        <v>331030.82506595051</v>
      </c>
      <c r="M276" s="171"/>
      <c r="N276" s="171"/>
      <c r="O276" s="59">
        <v>2112</v>
      </c>
      <c r="P276" s="237">
        <v>90090</v>
      </c>
      <c r="Q276" s="237">
        <f t="shared" si="24"/>
        <v>219386.15707817959</v>
      </c>
      <c r="S276" s="123" t="s">
        <v>332</v>
      </c>
    </row>
    <row r="277" spans="2:19">
      <c r="B277" s="1309"/>
      <c r="C277" s="233" t="s">
        <v>498</v>
      </c>
      <c r="D277" s="213">
        <f t="shared" si="19"/>
        <v>88.933663849647445</v>
      </c>
      <c r="E277" s="59" t="s">
        <v>181</v>
      </c>
      <c r="F277" s="59" t="s">
        <v>77</v>
      </c>
      <c r="G277" s="116">
        <v>0.89012999999999998</v>
      </c>
      <c r="H277" s="116">
        <f t="shared" si="22"/>
        <v>10.77</v>
      </c>
      <c r="I277" s="234">
        <f t="shared" si="23"/>
        <v>280674.64310948731</v>
      </c>
      <c r="J277" s="211">
        <f t="shared" si="23"/>
        <v>25.399454395459312</v>
      </c>
      <c r="K277" s="235">
        <f t="shared" si="23"/>
        <v>7.2569869701312317</v>
      </c>
      <c r="L277" s="236">
        <f>I277*PRP!$J$8+J277*PRP!$J$9+K277*PRP!$J$10</f>
        <v>283412.7042933178</v>
      </c>
      <c r="M277" s="171"/>
      <c r="N277" s="171"/>
      <c r="O277" s="59">
        <v>2252</v>
      </c>
      <c r="P277" s="237">
        <v>81500</v>
      </c>
      <c r="Q277" s="237">
        <f t="shared" si="24"/>
        <v>200278.61098940604</v>
      </c>
      <c r="S277" s="123" t="s">
        <v>332</v>
      </c>
    </row>
    <row r="278" spans="2:19">
      <c r="B278" s="1309"/>
      <c r="C278" s="233" t="s">
        <v>499</v>
      </c>
      <c r="D278" s="213">
        <f>Q278/O278</f>
        <v>104.67465725835793</v>
      </c>
      <c r="E278" s="59" t="s">
        <v>181</v>
      </c>
      <c r="F278" s="59" t="s">
        <v>77</v>
      </c>
      <c r="G278" s="116">
        <v>0.89012999999999998</v>
      </c>
      <c r="H278" s="116">
        <f t="shared" si="22"/>
        <v>10.77</v>
      </c>
      <c r="I278" s="234">
        <f t="shared" si="23"/>
        <v>330353.2183073776</v>
      </c>
      <c r="J278" s="211">
        <f t="shared" si="23"/>
        <v>29.895082112987026</v>
      </c>
      <c r="K278" s="235">
        <f t="shared" si="23"/>
        <v>8.5414520322820078</v>
      </c>
      <c r="L278" s="236">
        <f>I278*PRP!$J$8+J278*PRP!$J$9+K278*PRP!$J$10</f>
        <v>333575.90815915755</v>
      </c>
      <c r="M278" s="171"/>
      <c r="N278" s="171"/>
      <c r="O278" s="59">
        <v>3114</v>
      </c>
      <c r="P278" s="237">
        <v>138000</v>
      </c>
      <c r="Q278" s="237">
        <f t="shared" si="24"/>
        <v>325956.88270252658</v>
      </c>
      <c r="S278" s="123" t="s">
        <v>332</v>
      </c>
    </row>
    <row r="279" spans="2:19">
      <c r="B279" s="1309"/>
      <c r="C279" s="233" t="s">
        <v>500</v>
      </c>
      <c r="D279" s="213">
        <f>Q279/O279</f>
        <v>100.10225204346268</v>
      </c>
      <c r="E279" s="59" t="s">
        <v>181</v>
      </c>
      <c r="F279" s="59" t="s">
        <v>77</v>
      </c>
      <c r="G279" s="116">
        <v>0.89012999999999998</v>
      </c>
      <c r="H279" s="116">
        <f t="shared" si="22"/>
        <v>10.77</v>
      </c>
      <c r="I279" s="234">
        <f t="shared" si="23"/>
        <v>315922.70744916826</v>
      </c>
      <c r="J279" s="211">
        <f t="shared" si="23"/>
        <v>28.589203183612945</v>
      </c>
      <c r="K279" s="235">
        <f t="shared" si="23"/>
        <v>8.1683437667465562</v>
      </c>
      <c r="L279" s="236">
        <f>I279*PRP!$J$8+J279*PRP!$J$9+K279*PRP!$J$10</f>
        <v>319004.62355236174</v>
      </c>
      <c r="M279" s="171"/>
      <c r="N279" s="171"/>
      <c r="O279" s="59">
        <v>3634</v>
      </c>
      <c r="P279" s="237">
        <v>155000</v>
      </c>
      <c r="Q279" s="237">
        <f t="shared" si="24"/>
        <v>363771.58392594341</v>
      </c>
      <c r="S279" s="123" t="s">
        <v>332</v>
      </c>
    </row>
    <row r="280" spans="2:19">
      <c r="B280" s="1309"/>
      <c r="C280" s="233" t="s">
        <v>501</v>
      </c>
      <c r="D280" s="213">
        <f>Q280/O280</f>
        <v>78.125810454174641</v>
      </c>
      <c r="E280" s="59" t="s">
        <v>181</v>
      </c>
      <c r="F280" s="59" t="s">
        <v>77</v>
      </c>
      <c r="G280" s="116">
        <v>0.89012999999999998</v>
      </c>
      <c r="H280" s="116">
        <f t="shared" si="22"/>
        <v>10.77</v>
      </c>
      <c r="I280" s="234">
        <f t="shared" si="23"/>
        <v>246565.05779337516</v>
      </c>
      <c r="J280" s="211">
        <f t="shared" si="23"/>
        <v>22.312731465712279</v>
      </c>
      <c r="K280" s="235">
        <f t="shared" si="23"/>
        <v>6.3750661330606508</v>
      </c>
      <c r="L280" s="236">
        <f>I280*PRP!$J$8+J280*PRP!$J$9+K280*PRP!$J$10</f>
        <v>248970.37024537896</v>
      </c>
      <c r="M280" s="171"/>
      <c r="N280" s="171"/>
      <c r="O280" s="59">
        <v>2350</v>
      </c>
      <c r="P280" s="237">
        <v>74000</v>
      </c>
      <c r="Q280" s="237">
        <f t="shared" si="24"/>
        <v>183595.65456731041</v>
      </c>
      <c r="S280" s="123" t="s">
        <v>332</v>
      </c>
    </row>
    <row r="281" spans="2:19">
      <c r="B281" s="1309"/>
      <c r="C281" s="233" t="s">
        <v>502</v>
      </c>
      <c r="D281" s="213">
        <f>Q281/O281</f>
        <v>95.288323541269207</v>
      </c>
      <c r="E281" s="59" t="s">
        <v>181</v>
      </c>
      <c r="F281" s="59" t="s">
        <v>77</v>
      </c>
      <c r="G281" s="116">
        <v>0.89012999999999998</v>
      </c>
      <c r="H281" s="116">
        <f t="shared" si="22"/>
        <v>10.77</v>
      </c>
      <c r="I281" s="234">
        <f t="shared" si="23"/>
        <v>300729.94909624563</v>
      </c>
      <c r="J281" s="211">
        <f t="shared" si="23"/>
        <v>27.214345203386486</v>
      </c>
      <c r="K281" s="235">
        <f t="shared" si="23"/>
        <v>7.7755272009675682</v>
      </c>
      <c r="L281" s="236">
        <f>I281*PRP!$J$8+J281*PRP!$J$9+K281*PRP!$J$10</f>
        <v>303663.65550917067</v>
      </c>
      <c r="M281" s="171"/>
      <c r="N281" s="171"/>
      <c r="O281" s="59">
        <v>5475</v>
      </c>
      <c r="P281" s="237">
        <v>226000</v>
      </c>
      <c r="Q281" s="237">
        <f t="shared" si="24"/>
        <v>521703.57138844888</v>
      </c>
      <c r="S281" s="123" t="s">
        <v>332</v>
      </c>
    </row>
    <row r="282" spans="2:19">
      <c r="B282" s="1309"/>
      <c r="C282" s="233" t="s">
        <v>503</v>
      </c>
      <c r="D282" s="213">
        <f t="shared" ref="D282:D323" si="25">Q282/O282</f>
        <v>102.82861805540912</v>
      </c>
      <c r="E282" s="59" t="s">
        <v>181</v>
      </c>
      <c r="F282" s="59" t="s">
        <v>77</v>
      </c>
      <c r="G282" s="116">
        <v>0.89012999999999998</v>
      </c>
      <c r="H282" s="116">
        <f t="shared" si="22"/>
        <v>10.77</v>
      </c>
      <c r="I282" s="234">
        <f t="shared" si="23"/>
        <v>324527.11858287122</v>
      </c>
      <c r="J282" s="211">
        <f t="shared" si="23"/>
        <v>29.367853316624849</v>
      </c>
      <c r="K282" s="235">
        <f t="shared" si="23"/>
        <v>8.3908152333213852</v>
      </c>
      <c r="L282" s="236">
        <f>I282*PRP!$J$8+J282*PRP!$J$9+K282*PRP!$J$10</f>
        <v>327692.97317040339</v>
      </c>
      <c r="M282" s="171"/>
      <c r="N282" s="171"/>
      <c r="O282" s="59">
        <v>5610</v>
      </c>
      <c r="P282" s="237">
        <v>250800</v>
      </c>
      <c r="Q282" s="237">
        <f t="shared" si="24"/>
        <v>576868.54729084519</v>
      </c>
      <c r="S282" s="123" t="s">
        <v>332</v>
      </c>
    </row>
    <row r="283" spans="2:19">
      <c r="B283" s="1309"/>
      <c r="C283" s="233" t="s">
        <v>504</v>
      </c>
      <c r="D283" s="213">
        <f t="shared" si="25"/>
        <v>100.10225204346268</v>
      </c>
      <c r="E283" s="59" t="s">
        <v>181</v>
      </c>
      <c r="F283" s="59" t="s">
        <v>77</v>
      </c>
      <c r="G283" s="116">
        <v>0.89012999999999998</v>
      </c>
      <c r="H283" s="116">
        <f t="shared" si="22"/>
        <v>10.77</v>
      </c>
      <c r="I283" s="234">
        <f t="shared" si="23"/>
        <v>315922.70744916826</v>
      </c>
      <c r="J283" s="211">
        <f t="shared" si="23"/>
        <v>28.589203183612945</v>
      </c>
      <c r="K283" s="235">
        <f t="shared" si="23"/>
        <v>8.1683437667465562</v>
      </c>
      <c r="L283" s="236">
        <f>I283*PRP!$J$8+J283*PRP!$J$9+K283*PRP!$J$10</f>
        <v>319004.62355236174</v>
      </c>
      <c r="M283" s="171"/>
      <c r="N283" s="171"/>
      <c r="O283" s="59">
        <v>3634</v>
      </c>
      <c r="P283" s="237">
        <v>155000</v>
      </c>
      <c r="Q283" s="237">
        <f t="shared" si="24"/>
        <v>363771.58392594341</v>
      </c>
      <c r="S283" s="123" t="s">
        <v>332</v>
      </c>
    </row>
    <row r="284" spans="2:19">
      <c r="B284" s="1309"/>
      <c r="C284" s="233" t="s">
        <v>505</v>
      </c>
      <c r="D284" s="213">
        <f t="shared" si="25"/>
        <v>103.87602134383503</v>
      </c>
      <c r="E284" s="59" t="s">
        <v>181</v>
      </c>
      <c r="F284" s="59" t="s">
        <v>77</v>
      </c>
      <c r="G284" s="116">
        <v>0.89012999999999998</v>
      </c>
      <c r="H284" s="116">
        <f t="shared" si="22"/>
        <v>10.77</v>
      </c>
      <c r="I284" s="234">
        <f t="shared" si="23"/>
        <v>327832.72336114338</v>
      </c>
      <c r="J284" s="211">
        <f t="shared" si="23"/>
        <v>29.66699169579929</v>
      </c>
      <c r="K284" s="235">
        <f t="shared" si="23"/>
        <v>8.4762833416569396</v>
      </c>
      <c r="L284" s="236">
        <f>I284*PRP!$J$8+J284*PRP!$J$9+K284*PRP!$J$10</f>
        <v>331030.82506595051</v>
      </c>
      <c r="M284" s="171"/>
      <c r="N284" s="171"/>
      <c r="O284" s="59">
        <v>2112</v>
      </c>
      <c r="P284" s="237">
        <v>90090</v>
      </c>
      <c r="Q284" s="237">
        <f t="shared" si="24"/>
        <v>219386.15707817959</v>
      </c>
      <c r="S284" s="123" t="s">
        <v>332</v>
      </c>
    </row>
    <row r="285" spans="2:19">
      <c r="B285" s="1309"/>
      <c r="C285" s="233" t="s">
        <v>506</v>
      </c>
      <c r="D285" s="213">
        <f t="shared" si="25"/>
        <v>100.10225204346268</v>
      </c>
      <c r="E285" s="59" t="s">
        <v>181</v>
      </c>
      <c r="F285" s="59" t="s">
        <v>77</v>
      </c>
      <c r="G285" s="116">
        <v>0.89012999999999998</v>
      </c>
      <c r="H285" s="116">
        <f t="shared" si="22"/>
        <v>10.77</v>
      </c>
      <c r="I285" s="234">
        <f t="shared" si="23"/>
        <v>315922.70744916826</v>
      </c>
      <c r="J285" s="211">
        <f t="shared" si="23"/>
        <v>28.589203183612945</v>
      </c>
      <c r="K285" s="235">
        <f t="shared" si="23"/>
        <v>8.1683437667465562</v>
      </c>
      <c r="L285" s="236">
        <f>I285*PRP!$J$8+J285*PRP!$J$9+K285*PRP!$J$10</f>
        <v>319004.62355236174</v>
      </c>
      <c r="M285" s="171"/>
      <c r="N285" s="171"/>
      <c r="O285" s="59">
        <v>3634</v>
      </c>
      <c r="P285" s="237">
        <v>155000</v>
      </c>
      <c r="Q285" s="237">
        <f t="shared" si="24"/>
        <v>363771.58392594341</v>
      </c>
      <c r="S285" s="123" t="s">
        <v>332</v>
      </c>
    </row>
    <row r="286" spans="2:19">
      <c r="B286" s="1309"/>
      <c r="C286" s="233" t="s">
        <v>507</v>
      </c>
      <c r="D286" s="213">
        <f t="shared" si="25"/>
        <v>104.67465725835793</v>
      </c>
      <c r="E286" s="59" t="s">
        <v>181</v>
      </c>
      <c r="F286" s="59" t="s">
        <v>77</v>
      </c>
      <c r="G286" s="116">
        <v>0.89012999999999998</v>
      </c>
      <c r="H286" s="116">
        <f t="shared" si="22"/>
        <v>10.77</v>
      </c>
      <c r="I286" s="234">
        <f t="shared" ref="I286:K302" si="26">$D286*I$49</f>
        <v>330353.2183073776</v>
      </c>
      <c r="J286" s="211">
        <f t="shared" si="26"/>
        <v>29.895082112987026</v>
      </c>
      <c r="K286" s="235">
        <f t="shared" si="26"/>
        <v>8.5414520322820078</v>
      </c>
      <c r="L286" s="236">
        <f>I286*PRP!$J$8+J286*PRP!$J$9+K286*PRP!$J$10</f>
        <v>333575.90815915755</v>
      </c>
      <c r="M286" s="171"/>
      <c r="N286" s="171"/>
      <c r="O286" s="59">
        <v>3114</v>
      </c>
      <c r="P286" s="237">
        <v>138000</v>
      </c>
      <c r="Q286" s="237">
        <f t="shared" si="24"/>
        <v>325956.88270252658</v>
      </c>
      <c r="S286" s="123" t="s">
        <v>332</v>
      </c>
    </row>
    <row r="287" spans="2:19">
      <c r="B287" s="1309"/>
      <c r="C287" s="233" t="s">
        <v>508</v>
      </c>
      <c r="D287" s="213">
        <f t="shared" si="25"/>
        <v>101.7760832808831</v>
      </c>
      <c r="E287" s="59" t="s">
        <v>181</v>
      </c>
      <c r="F287" s="59" t="s">
        <v>77</v>
      </c>
      <c r="G287" s="116">
        <v>0.89012999999999998</v>
      </c>
      <c r="H287" s="116">
        <f t="shared" si="22"/>
        <v>10.77</v>
      </c>
      <c r="I287" s="234">
        <f t="shared" si="26"/>
        <v>321205.31883446703</v>
      </c>
      <c r="J287" s="211">
        <f t="shared" si="26"/>
        <v>29.067249385020215</v>
      </c>
      <c r="K287" s="235">
        <f t="shared" si="26"/>
        <v>8.3049283957200615</v>
      </c>
      <c r="L287" s="236">
        <f>I287*PRP!$J$8+J287*PRP!$J$9+K287*PRP!$J$10</f>
        <v>324338.76831817219</v>
      </c>
      <c r="M287" s="171"/>
      <c r="N287" s="171"/>
      <c r="O287" s="59">
        <v>3237</v>
      </c>
      <c r="P287" s="237">
        <v>139570</v>
      </c>
      <c r="Q287" s="237">
        <f t="shared" si="24"/>
        <v>329449.1815802186</v>
      </c>
      <c r="S287" s="123" t="s">
        <v>332</v>
      </c>
    </row>
    <row r="288" spans="2:19">
      <c r="B288" s="1309"/>
      <c r="C288" s="233" t="s">
        <v>509</v>
      </c>
      <c r="D288" s="213">
        <f t="shared" si="25"/>
        <v>94.840710496044295</v>
      </c>
      <c r="E288" s="59" t="s">
        <v>181</v>
      </c>
      <c r="F288" s="59" t="s">
        <v>77</v>
      </c>
      <c r="G288" s="116">
        <v>0.89012999999999998</v>
      </c>
      <c r="H288" s="116">
        <f t="shared" si="22"/>
        <v>10.77</v>
      </c>
      <c r="I288" s="234">
        <f t="shared" si="26"/>
        <v>299317.28232551581</v>
      </c>
      <c r="J288" s="211">
        <f t="shared" si="26"/>
        <v>27.086506917670253</v>
      </c>
      <c r="K288" s="235">
        <f t="shared" si="26"/>
        <v>7.7390019764772147</v>
      </c>
      <c r="L288" s="236">
        <f>I288*PRP!$J$8+J288*PRP!$J$9+K288*PRP!$J$10</f>
        <v>302237.20777124068</v>
      </c>
      <c r="M288" s="171"/>
      <c r="N288" s="171"/>
      <c r="O288" s="59">
        <v>5484</v>
      </c>
      <c r="P288" s="237">
        <v>225282</v>
      </c>
      <c r="Q288" s="237">
        <f t="shared" si="24"/>
        <v>520106.45636030694</v>
      </c>
      <c r="S288" s="123" t="s">
        <v>332</v>
      </c>
    </row>
    <row r="289" spans="2:19">
      <c r="B289" s="1309"/>
      <c r="C289" s="233" t="s">
        <v>510</v>
      </c>
      <c r="D289" s="213">
        <f t="shared" si="25"/>
        <v>92.83329131445862</v>
      </c>
      <c r="E289" s="59" t="s">
        <v>181</v>
      </c>
      <c r="F289" s="59" t="s">
        <v>77</v>
      </c>
      <c r="G289" s="116">
        <v>0.89012999999999998</v>
      </c>
      <c r="H289" s="116">
        <f t="shared" si="22"/>
        <v>10.77</v>
      </c>
      <c r="I289" s="234">
        <f t="shared" si="26"/>
        <v>292981.86738843139</v>
      </c>
      <c r="J289" s="211">
        <f t="shared" si="26"/>
        <v>26.513187999409382</v>
      </c>
      <c r="K289" s="235">
        <f t="shared" si="26"/>
        <v>7.5751965712598244</v>
      </c>
      <c r="L289" s="236">
        <f>I289*PRP!$J$8+J289*PRP!$J$9+K289*PRP!$J$10</f>
        <v>295839.98905476771</v>
      </c>
      <c r="M289" s="171"/>
      <c r="N289" s="171"/>
      <c r="O289" s="59">
        <v>4246</v>
      </c>
      <c r="P289" s="237">
        <v>168666</v>
      </c>
      <c r="Q289" s="237">
        <f t="shared" si="24"/>
        <v>394170.15492119128</v>
      </c>
      <c r="S289" s="123" t="s">
        <v>332</v>
      </c>
    </row>
    <row r="290" spans="2:19">
      <c r="B290" s="1309"/>
      <c r="C290" s="233" t="s">
        <v>511</v>
      </c>
      <c r="D290" s="213">
        <f t="shared" si="25"/>
        <v>94.813799557691937</v>
      </c>
      <c r="E290" s="59" t="s">
        <v>181</v>
      </c>
      <c r="F290" s="59" t="s">
        <v>77</v>
      </c>
      <c r="G290" s="116">
        <v>0.89012999999999998</v>
      </c>
      <c r="H290" s="116">
        <f t="shared" si="22"/>
        <v>10.77</v>
      </c>
      <c r="I290" s="234">
        <f t="shared" si="26"/>
        <v>299232.35140407574</v>
      </c>
      <c r="J290" s="211">
        <f t="shared" si="26"/>
        <v>27.07882115367682</v>
      </c>
      <c r="K290" s="235">
        <f t="shared" si="26"/>
        <v>7.7368060439076629</v>
      </c>
      <c r="L290" s="236">
        <f>I290*PRP!$J$8+J290*PRP!$J$9+K290*PRP!$J$10</f>
        <v>302151.44832444214</v>
      </c>
      <c r="M290" s="171"/>
      <c r="N290" s="171"/>
      <c r="O290" s="59">
        <v>4162</v>
      </c>
      <c r="P290" s="237">
        <v>168866</v>
      </c>
      <c r="Q290" s="237">
        <f t="shared" si="24"/>
        <v>394615.03375911387</v>
      </c>
      <c r="S290" s="123" t="s">
        <v>332</v>
      </c>
    </row>
    <row r="291" spans="2:19">
      <c r="B291" s="1309"/>
      <c r="C291" s="233" t="s">
        <v>512</v>
      </c>
      <c r="D291" s="213">
        <f t="shared" si="25"/>
        <v>94.813799557691937</v>
      </c>
      <c r="E291" s="59" t="s">
        <v>181</v>
      </c>
      <c r="F291" s="59" t="s">
        <v>77</v>
      </c>
      <c r="G291" s="116">
        <v>0.89012999999999998</v>
      </c>
      <c r="H291" s="116">
        <f t="shared" si="22"/>
        <v>10.77</v>
      </c>
      <c r="I291" s="234">
        <f t="shared" si="26"/>
        <v>299232.35140407574</v>
      </c>
      <c r="J291" s="211">
        <f t="shared" si="26"/>
        <v>27.07882115367682</v>
      </c>
      <c r="K291" s="235">
        <f t="shared" si="26"/>
        <v>7.7368060439076629</v>
      </c>
      <c r="L291" s="236">
        <f>I291*PRP!$J$8+J291*PRP!$J$9+K291*PRP!$J$10</f>
        <v>302151.44832444214</v>
      </c>
      <c r="M291" s="171"/>
      <c r="N291" s="171"/>
      <c r="O291" s="59">
        <v>4162</v>
      </c>
      <c r="P291" s="237">
        <v>168866</v>
      </c>
      <c r="Q291" s="237">
        <f t="shared" si="24"/>
        <v>394615.03375911387</v>
      </c>
      <c r="S291" s="123" t="s">
        <v>332</v>
      </c>
    </row>
    <row r="292" spans="2:19">
      <c r="B292" s="1309"/>
      <c r="C292" s="233" t="s">
        <v>513</v>
      </c>
      <c r="D292" s="213">
        <f t="shared" si="25"/>
        <v>103.38650192185655</v>
      </c>
      <c r="E292" s="59" t="s">
        <v>181</v>
      </c>
      <c r="F292" s="59" t="s">
        <v>77</v>
      </c>
      <c r="G292" s="116">
        <v>0.89012999999999998</v>
      </c>
      <c r="H292" s="116">
        <f t="shared" si="22"/>
        <v>10.77</v>
      </c>
      <c r="I292" s="234">
        <f t="shared" si="26"/>
        <v>326287.80006537924</v>
      </c>
      <c r="J292" s="211">
        <f t="shared" si="26"/>
        <v>29.527184948882233</v>
      </c>
      <c r="K292" s="235">
        <f t="shared" si="26"/>
        <v>8.436338556823495</v>
      </c>
      <c r="L292" s="236">
        <f>I292*PRP!$J$8+J292*PRP!$J$9+K292*PRP!$J$10</f>
        <v>329470.83060286869</v>
      </c>
      <c r="M292" s="171"/>
      <c r="N292" s="171"/>
      <c r="O292" s="59">
        <v>2122</v>
      </c>
      <c r="P292" s="237">
        <v>90090</v>
      </c>
      <c r="Q292" s="237">
        <f t="shared" si="24"/>
        <v>219386.15707817959</v>
      </c>
      <c r="S292" s="123" t="s">
        <v>332</v>
      </c>
    </row>
    <row r="293" spans="2:19">
      <c r="B293" s="1309"/>
      <c r="C293" s="233" t="s">
        <v>514</v>
      </c>
      <c r="D293" s="213">
        <f t="shared" si="25"/>
        <v>95.550547321254328</v>
      </c>
      <c r="E293" s="59" t="s">
        <v>181</v>
      </c>
      <c r="F293" s="59" t="s">
        <v>77</v>
      </c>
      <c r="G293" s="116">
        <v>0.89012999999999998</v>
      </c>
      <c r="H293" s="116">
        <f t="shared" si="22"/>
        <v>10.77</v>
      </c>
      <c r="I293" s="234">
        <f t="shared" si="26"/>
        <v>301557.52734587865</v>
      </c>
      <c r="J293" s="211">
        <f t="shared" si="26"/>
        <v>27.289236314950237</v>
      </c>
      <c r="K293" s="235">
        <f t="shared" si="26"/>
        <v>7.7969246614143541</v>
      </c>
      <c r="L293" s="236">
        <f>I293*PRP!$J$8+J293*PRP!$J$9+K293*PRP!$J$10</f>
        <v>304499.30702063028</v>
      </c>
      <c r="M293" s="171"/>
      <c r="N293" s="171"/>
      <c r="O293" s="59">
        <v>2026</v>
      </c>
      <c r="P293" s="237">
        <v>78491</v>
      </c>
      <c r="Q293" s="237">
        <f t="shared" si="24"/>
        <v>193585.40887286127</v>
      </c>
      <c r="S293" s="123" t="s">
        <v>332</v>
      </c>
    </row>
    <row r="294" spans="2:19">
      <c r="B294" s="1309"/>
      <c r="C294" s="233" t="s">
        <v>515</v>
      </c>
      <c r="D294" s="213">
        <f t="shared" si="25"/>
        <v>102.04007305961841</v>
      </c>
      <c r="E294" s="59" t="s">
        <v>181</v>
      </c>
      <c r="F294" s="59" t="s">
        <v>77</v>
      </c>
      <c r="G294" s="116">
        <v>0.89012999999999998</v>
      </c>
      <c r="H294" s="116">
        <f t="shared" si="22"/>
        <v>10.77</v>
      </c>
      <c r="I294" s="234">
        <f t="shared" si="26"/>
        <v>322038.4705761557</v>
      </c>
      <c r="J294" s="211">
        <f t="shared" si="26"/>
        <v>29.14264486582702</v>
      </c>
      <c r="K294" s="235">
        <f t="shared" si="26"/>
        <v>8.3264699616648628</v>
      </c>
      <c r="L294" s="236">
        <f>I294*PRP!$J$8+J294*PRP!$J$9+K294*PRP!$J$10</f>
        <v>325180.04769269185</v>
      </c>
      <c r="M294" s="171"/>
      <c r="N294" s="171"/>
      <c r="O294" s="59">
        <v>2150</v>
      </c>
      <c r="P294" s="237">
        <v>90090</v>
      </c>
      <c r="Q294" s="237">
        <f t="shared" si="24"/>
        <v>219386.15707817959</v>
      </c>
      <c r="S294" s="123" t="s">
        <v>332</v>
      </c>
    </row>
    <row r="295" spans="2:19">
      <c r="B295" s="1309"/>
      <c r="C295" s="233" t="s">
        <v>516</v>
      </c>
      <c r="D295" s="213">
        <f t="shared" si="25"/>
        <v>92.835386834185059</v>
      </c>
      <c r="E295" s="59" t="s">
        <v>181</v>
      </c>
      <c r="F295" s="59" t="s">
        <v>77</v>
      </c>
      <c r="G295" s="116">
        <v>0.89012999999999998</v>
      </c>
      <c r="H295" s="116">
        <f t="shared" si="22"/>
        <v>10.77</v>
      </c>
      <c r="I295" s="234">
        <f t="shared" si="26"/>
        <v>292988.48084868805</v>
      </c>
      <c r="J295" s="211">
        <f t="shared" si="26"/>
        <v>26.513786479843255</v>
      </c>
      <c r="K295" s="235">
        <f t="shared" si="26"/>
        <v>7.5753675656695014</v>
      </c>
      <c r="L295" s="236">
        <f>I295*PRP!$J$8+J295*PRP!$J$9+K295*PRP!$J$10</f>
        <v>295846.66703121515</v>
      </c>
      <c r="M295" s="171"/>
      <c r="N295" s="171"/>
      <c r="O295" s="59">
        <v>4246</v>
      </c>
      <c r="P295" s="237">
        <v>168670</v>
      </c>
      <c r="Q295" s="237">
        <f t="shared" si="24"/>
        <v>394179.05249794974</v>
      </c>
      <c r="S295" s="123" t="s">
        <v>332</v>
      </c>
    </row>
    <row r="296" spans="2:19">
      <c r="B296" s="1309"/>
      <c r="C296" s="233" t="s">
        <v>517</v>
      </c>
      <c r="D296" s="213">
        <f t="shared" si="25"/>
        <v>102.82861805540912</v>
      </c>
      <c r="E296" s="59" t="s">
        <v>181</v>
      </c>
      <c r="F296" s="59" t="s">
        <v>77</v>
      </c>
      <c r="G296" s="116">
        <v>0.89012999999999998</v>
      </c>
      <c r="H296" s="116">
        <f t="shared" si="22"/>
        <v>10.77</v>
      </c>
      <c r="I296" s="234">
        <f t="shared" si="26"/>
        <v>324527.11858287122</v>
      </c>
      <c r="J296" s="211">
        <f t="shared" si="26"/>
        <v>29.367853316624849</v>
      </c>
      <c r="K296" s="235">
        <f t="shared" si="26"/>
        <v>8.3908152333213852</v>
      </c>
      <c r="L296" s="236">
        <f>I296*PRP!$J$8+J296*PRP!$J$9+K296*PRP!$J$10</f>
        <v>327692.97317040339</v>
      </c>
      <c r="M296" s="171"/>
      <c r="N296" s="171"/>
      <c r="O296" s="59">
        <v>5610</v>
      </c>
      <c r="P296" s="237">
        <v>250800</v>
      </c>
      <c r="Q296" s="237">
        <f t="shared" si="24"/>
        <v>576868.54729084519</v>
      </c>
      <c r="S296" s="123" t="s">
        <v>332</v>
      </c>
    </row>
    <row r="297" spans="2:19">
      <c r="B297" s="1309"/>
      <c r="C297" s="233" t="s">
        <v>518</v>
      </c>
      <c r="D297" s="213">
        <f t="shared" si="25"/>
        <v>96.913451716328751</v>
      </c>
      <c r="E297" s="59" t="s">
        <v>181</v>
      </c>
      <c r="F297" s="59" t="s">
        <v>77</v>
      </c>
      <c r="G297" s="116">
        <v>0.89012999999999998</v>
      </c>
      <c r="H297" s="116">
        <f t="shared" si="22"/>
        <v>10.77</v>
      </c>
      <c r="I297" s="234">
        <f t="shared" si="26"/>
        <v>305858.85361673351</v>
      </c>
      <c r="J297" s="211">
        <f t="shared" si="26"/>
        <v>27.678481810183495</v>
      </c>
      <c r="K297" s="235">
        <f t="shared" si="26"/>
        <v>7.9081376600524269</v>
      </c>
      <c r="L297" s="236">
        <f>I297*PRP!$J$8+J297*PRP!$J$9+K297*PRP!$J$10</f>
        <v>308842.5939558713</v>
      </c>
      <c r="M297" s="171"/>
      <c r="N297" s="171"/>
      <c r="O297" s="59">
        <v>5475</v>
      </c>
      <c r="P297" s="237">
        <v>230000</v>
      </c>
      <c r="Q297" s="237">
        <f t="shared" si="24"/>
        <v>530601.14814689988</v>
      </c>
      <c r="S297" s="123" t="s">
        <v>332</v>
      </c>
    </row>
    <row r="298" spans="2:19">
      <c r="B298" s="1309"/>
      <c r="C298" s="233" t="s">
        <v>519</v>
      </c>
      <c r="D298" s="213">
        <f t="shared" si="25"/>
        <v>96.885661892984473</v>
      </c>
      <c r="E298" s="59" t="s">
        <v>181</v>
      </c>
      <c r="F298" s="59" t="s">
        <v>77</v>
      </c>
      <c r="G298" s="116">
        <v>0.89012999999999998</v>
      </c>
      <c r="H298" s="116">
        <f t="shared" si="22"/>
        <v>10.77</v>
      </c>
      <c r="I298" s="234">
        <f t="shared" si="26"/>
        <v>305771.14893425902</v>
      </c>
      <c r="J298" s="211">
        <f t="shared" si="26"/>
        <v>27.670545036636366</v>
      </c>
      <c r="K298" s="235">
        <f t="shared" si="26"/>
        <v>7.9058700104675337</v>
      </c>
      <c r="L298" s="236">
        <f>I298*PRP!$J$8+J298*PRP!$J$9+K298*PRP!$J$10</f>
        <v>308754.03368920845</v>
      </c>
      <c r="M298" s="171"/>
      <c r="N298" s="171"/>
      <c r="O298" s="59">
        <v>5634</v>
      </c>
      <c r="P298" s="237">
        <v>236857</v>
      </c>
      <c r="Q298" s="237">
        <f t="shared" si="24"/>
        <v>545853.81910507451</v>
      </c>
      <c r="S298" s="123" t="s">
        <v>332</v>
      </c>
    </row>
    <row r="299" spans="2:19">
      <c r="B299" s="1309"/>
      <c r="C299" s="233" t="s">
        <v>520</v>
      </c>
      <c r="D299" s="213">
        <f t="shared" si="25"/>
        <v>95.081242079008476</v>
      </c>
      <c r="E299" s="59" t="s">
        <v>181</v>
      </c>
      <c r="F299" s="59" t="s">
        <v>77</v>
      </c>
      <c r="G299" s="116">
        <v>0.89012999999999998</v>
      </c>
      <c r="H299" s="116">
        <f t="shared" si="22"/>
        <v>10.77</v>
      </c>
      <c r="I299" s="234">
        <f t="shared" si="26"/>
        <v>300076.40000135073</v>
      </c>
      <c r="J299" s="211">
        <f t="shared" si="26"/>
        <v>27.155202737764824</v>
      </c>
      <c r="K299" s="235">
        <f t="shared" si="26"/>
        <v>7.7586293536470921</v>
      </c>
      <c r="L299" s="236">
        <f>I299*PRP!$J$8+J299*PRP!$J$9+K299*PRP!$J$10</f>
        <v>303003.73085648176</v>
      </c>
      <c r="M299" s="171"/>
      <c r="N299" s="171"/>
      <c r="O299" s="59">
        <v>2036</v>
      </c>
      <c r="P299" s="237">
        <v>78491</v>
      </c>
      <c r="Q299" s="237">
        <f t="shared" si="24"/>
        <v>193585.40887286127</v>
      </c>
      <c r="S299" s="123" t="s">
        <v>332</v>
      </c>
    </row>
    <row r="300" spans="2:19">
      <c r="B300" s="1309"/>
      <c r="C300" s="233" t="s">
        <v>521</v>
      </c>
      <c r="D300" s="213">
        <f t="shared" si="25"/>
        <v>99.448024124104663</v>
      </c>
      <c r="E300" s="59" t="s">
        <v>181</v>
      </c>
      <c r="F300" s="59" t="s">
        <v>77</v>
      </c>
      <c r="G300" s="116">
        <v>0.89012999999999998</v>
      </c>
      <c r="H300" s="116">
        <f t="shared" si="22"/>
        <v>10.77</v>
      </c>
      <c r="I300" s="234">
        <f t="shared" si="26"/>
        <v>313857.96413567429</v>
      </c>
      <c r="J300" s="211">
        <f t="shared" si="26"/>
        <v>28.402355689844295</v>
      </c>
      <c r="K300" s="235">
        <f t="shared" si="26"/>
        <v>8.1149587685269413</v>
      </c>
      <c r="L300" s="236">
        <f>I300*PRP!$J$8+J300*PRP!$J$9+K300*PRP!$J$10</f>
        <v>316919.7380790395</v>
      </c>
      <c r="M300" s="171"/>
      <c r="N300" s="171"/>
      <c r="O300" s="59">
        <v>3282</v>
      </c>
      <c r="P300" s="237">
        <v>138194</v>
      </c>
      <c r="Q300" s="237">
        <f t="shared" si="24"/>
        <v>326388.4151753115</v>
      </c>
      <c r="S300" s="123" t="s">
        <v>332</v>
      </c>
    </row>
    <row r="301" spans="2:19">
      <c r="B301" s="1309"/>
      <c r="C301" s="233" t="s">
        <v>522</v>
      </c>
      <c r="D301" s="213">
        <f t="shared" si="25"/>
        <v>95.19599217040016</v>
      </c>
      <c r="E301" s="59" t="s">
        <v>181</v>
      </c>
      <c r="F301" s="59" t="s">
        <v>77</v>
      </c>
      <c r="G301" s="116">
        <v>0.89012999999999998</v>
      </c>
      <c r="H301" s="116">
        <f t="shared" si="22"/>
        <v>10.77</v>
      </c>
      <c r="I301" s="234">
        <f t="shared" si="26"/>
        <v>300438.55128978292</v>
      </c>
      <c r="J301" s="211">
        <f t="shared" si="26"/>
        <v>27.187975363866286</v>
      </c>
      <c r="K301" s="235">
        <f t="shared" si="26"/>
        <v>7.7679929611046532</v>
      </c>
      <c r="L301" s="236">
        <f>I301*PRP!$J$8+J301*PRP!$J$9+K301*PRP!$J$10</f>
        <v>303369.41503400769</v>
      </c>
      <c r="M301" s="171"/>
      <c r="N301" s="171"/>
      <c r="O301" s="59">
        <v>5734</v>
      </c>
      <c r="P301" s="237">
        <v>236857</v>
      </c>
      <c r="Q301" s="237">
        <f t="shared" si="24"/>
        <v>545853.81910507451</v>
      </c>
      <c r="S301" s="123" t="s">
        <v>332</v>
      </c>
    </row>
    <row r="302" spans="2:19">
      <c r="B302" s="1309"/>
      <c r="C302" s="233" t="s">
        <v>523</v>
      </c>
      <c r="D302" s="213">
        <f t="shared" si="25"/>
        <v>204.40750016323545</v>
      </c>
      <c r="E302" s="59" t="s">
        <v>181</v>
      </c>
      <c r="F302" s="59" t="s">
        <v>77</v>
      </c>
      <c r="G302" s="116">
        <v>0.89012999999999998</v>
      </c>
      <c r="H302" s="116">
        <f t="shared" si="22"/>
        <v>10.77</v>
      </c>
      <c r="I302" s="234">
        <f t="shared" si="26"/>
        <v>645110.07051517104</v>
      </c>
      <c r="J302" s="211">
        <f t="shared" si="26"/>
        <v>58.378782046620053</v>
      </c>
      <c r="K302" s="235">
        <f t="shared" si="26"/>
        <v>16.679652013320013</v>
      </c>
      <c r="L302" s="236">
        <f>I302*PRP!$J$8+J302*PRP!$J$9+K302*PRP!$J$10</f>
        <v>651403.30321979662</v>
      </c>
      <c r="M302" s="171"/>
      <c r="N302" s="171"/>
      <c r="O302" s="59">
        <v>532</v>
      </c>
      <c r="P302" s="237">
        <v>40350</v>
      </c>
      <c r="Q302" s="237">
        <f t="shared" si="24"/>
        <v>108744.79008684125</v>
      </c>
      <c r="S302" s="123" t="s">
        <v>332</v>
      </c>
    </row>
    <row r="303" spans="2:19">
      <c r="B303" s="1309"/>
      <c r="C303" s="233" t="s">
        <v>524</v>
      </c>
      <c r="D303" s="213">
        <f t="shared" si="25"/>
        <v>202.8517682186247</v>
      </c>
      <c r="E303" s="59" t="s">
        <v>181</v>
      </c>
      <c r="F303" s="59" t="s">
        <v>77</v>
      </c>
      <c r="G303" s="116">
        <v>0.89012999999999998</v>
      </c>
      <c r="H303" s="116">
        <f t="shared" si="22"/>
        <v>10.77</v>
      </c>
      <c r="I303" s="234">
        <f t="shared" ref="I303:K318" si="27">$D303*I$49</f>
        <v>640200.18049797951</v>
      </c>
      <c r="J303" s="211">
        <f t="shared" si="27"/>
        <v>57.934465003239218</v>
      </c>
      <c r="K303" s="235">
        <f t="shared" si="27"/>
        <v>16.552704286639777</v>
      </c>
      <c r="L303" s="236">
        <f>I303*PRP!$J$8+J303*PRP!$J$9+K303*PRP!$J$10</f>
        <v>646445.51582532865</v>
      </c>
      <c r="M303" s="171"/>
      <c r="N303" s="171"/>
      <c r="O303" s="59">
        <v>450</v>
      </c>
      <c r="P303" s="237">
        <v>32500</v>
      </c>
      <c r="Q303" s="237">
        <f t="shared" si="24"/>
        <v>91283.295698381116</v>
      </c>
      <c r="S303" s="123" t="s">
        <v>332</v>
      </c>
    </row>
    <row r="304" spans="2:19">
      <c r="B304" s="1309"/>
      <c r="C304" s="233" t="s">
        <v>525</v>
      </c>
      <c r="D304" s="213">
        <f t="shared" si="25"/>
        <v>204.40750016323545</v>
      </c>
      <c r="E304" s="59" t="s">
        <v>181</v>
      </c>
      <c r="F304" s="59" t="s">
        <v>77</v>
      </c>
      <c r="G304" s="116">
        <v>0.89012999999999998</v>
      </c>
      <c r="H304" s="116">
        <f t="shared" si="22"/>
        <v>10.77</v>
      </c>
      <c r="I304" s="234">
        <f t="shared" si="27"/>
        <v>645110.07051517104</v>
      </c>
      <c r="J304" s="211">
        <f t="shared" si="27"/>
        <v>58.378782046620053</v>
      </c>
      <c r="K304" s="235">
        <f t="shared" si="27"/>
        <v>16.679652013320013</v>
      </c>
      <c r="L304" s="236">
        <f>I304*PRP!$J$8+J304*PRP!$J$9+K304*PRP!$J$10</f>
        <v>651403.30321979662</v>
      </c>
      <c r="M304" s="171"/>
      <c r="N304" s="171"/>
      <c r="O304" s="59">
        <v>532</v>
      </c>
      <c r="P304" s="237">
        <v>40350</v>
      </c>
      <c r="Q304" s="237">
        <f t="shared" si="24"/>
        <v>108744.79008684125</v>
      </c>
      <c r="S304" s="123" t="s">
        <v>332</v>
      </c>
    </row>
    <row r="305" spans="2:19">
      <c r="B305" s="1309"/>
      <c r="C305" s="233" t="s">
        <v>526</v>
      </c>
      <c r="D305" s="213">
        <f t="shared" si="25"/>
        <v>265.72557157977263</v>
      </c>
      <c r="E305" s="59" t="s">
        <v>181</v>
      </c>
      <c r="F305" s="59" t="s">
        <v>77</v>
      </c>
      <c r="G305" s="116">
        <v>0.89012999999999998</v>
      </c>
      <c r="H305" s="116">
        <f t="shared" si="22"/>
        <v>10.77</v>
      </c>
      <c r="I305" s="234">
        <f t="shared" si="27"/>
        <v>838629.90390576248</v>
      </c>
      <c r="J305" s="211">
        <f t="shared" si="27"/>
        <v>75.891223243183063</v>
      </c>
      <c r="K305" s="235">
        <f t="shared" si="27"/>
        <v>21.68320664090945</v>
      </c>
      <c r="L305" s="236">
        <f>I305*PRP!$J$8+J305*PRP!$J$9+K305*PRP!$J$10</f>
        <v>846810.97777137754</v>
      </c>
      <c r="M305" s="171"/>
      <c r="N305" s="171"/>
      <c r="O305" s="59">
        <v>264</v>
      </c>
      <c r="P305" s="237">
        <v>23000</v>
      </c>
      <c r="Q305" s="237">
        <f t="shared" si="24"/>
        <v>70151.550897059977</v>
      </c>
      <c r="S305" s="123" t="s">
        <v>332</v>
      </c>
    </row>
    <row r="306" spans="2:19">
      <c r="B306" s="1309"/>
      <c r="C306" s="233" t="s">
        <v>527</v>
      </c>
      <c r="D306" s="213">
        <f t="shared" si="25"/>
        <v>202.8517682186247</v>
      </c>
      <c r="E306" s="59" t="s">
        <v>181</v>
      </c>
      <c r="F306" s="59" t="s">
        <v>77</v>
      </c>
      <c r="G306" s="116">
        <v>0.89012999999999998</v>
      </c>
      <c r="H306" s="116">
        <f t="shared" si="22"/>
        <v>10.77</v>
      </c>
      <c r="I306" s="234">
        <f t="shared" si="27"/>
        <v>640200.18049797951</v>
      </c>
      <c r="J306" s="211">
        <f t="shared" si="27"/>
        <v>57.934465003239218</v>
      </c>
      <c r="K306" s="235">
        <f t="shared" si="27"/>
        <v>16.552704286639777</v>
      </c>
      <c r="L306" s="236">
        <f>I306*PRP!$J$8+J306*PRP!$J$9+K306*PRP!$J$10</f>
        <v>646445.51582532865</v>
      </c>
      <c r="M306" s="171"/>
      <c r="N306" s="171"/>
      <c r="O306" s="59">
        <v>450</v>
      </c>
      <c r="P306" s="237">
        <v>32500</v>
      </c>
      <c r="Q306" s="237">
        <f t="shared" si="24"/>
        <v>91283.295698381116</v>
      </c>
      <c r="S306" s="123" t="s">
        <v>332</v>
      </c>
    </row>
    <row r="307" spans="2:19">
      <c r="B307" s="1309"/>
      <c r="C307" s="233" t="s">
        <v>528</v>
      </c>
      <c r="D307" s="213">
        <f t="shared" si="25"/>
        <v>202.8517682186247</v>
      </c>
      <c r="E307" s="59" t="s">
        <v>181</v>
      </c>
      <c r="F307" s="59" t="s">
        <v>77</v>
      </c>
      <c r="G307" s="116">
        <v>0.89012999999999998</v>
      </c>
      <c r="H307" s="116">
        <f t="shared" si="22"/>
        <v>10.77</v>
      </c>
      <c r="I307" s="234">
        <f t="shared" si="27"/>
        <v>640200.18049797951</v>
      </c>
      <c r="J307" s="211">
        <f t="shared" si="27"/>
        <v>57.934465003239218</v>
      </c>
      <c r="K307" s="235">
        <f t="shared" si="27"/>
        <v>16.552704286639777</v>
      </c>
      <c r="L307" s="236">
        <f>I307*PRP!$J$8+J307*PRP!$J$9+K307*PRP!$J$10</f>
        <v>646445.51582532865</v>
      </c>
      <c r="M307" s="171"/>
      <c r="N307" s="171"/>
      <c r="O307" s="59">
        <v>450</v>
      </c>
      <c r="P307" s="237">
        <v>32500</v>
      </c>
      <c r="Q307" s="237">
        <f t="shared" si="24"/>
        <v>91283.295698381116</v>
      </c>
      <c r="S307" s="123" t="s">
        <v>332</v>
      </c>
    </row>
    <row r="308" spans="2:19">
      <c r="B308" s="1309"/>
      <c r="C308" s="233" t="s">
        <v>529</v>
      </c>
      <c r="D308" s="213">
        <f t="shared" si="25"/>
        <v>265.72557157977263</v>
      </c>
      <c r="E308" s="59" t="s">
        <v>181</v>
      </c>
      <c r="F308" s="59" t="s">
        <v>77</v>
      </c>
      <c r="G308" s="116">
        <v>0.89012999999999998</v>
      </c>
      <c r="H308" s="116">
        <f t="shared" si="22"/>
        <v>10.77</v>
      </c>
      <c r="I308" s="234">
        <f t="shared" si="27"/>
        <v>838629.90390576248</v>
      </c>
      <c r="J308" s="211">
        <f t="shared" si="27"/>
        <v>75.891223243183063</v>
      </c>
      <c r="K308" s="235">
        <f t="shared" si="27"/>
        <v>21.68320664090945</v>
      </c>
      <c r="L308" s="236">
        <f>I308*PRP!$J$8+J308*PRP!$J$9+K308*PRP!$J$10</f>
        <v>846810.97777137754</v>
      </c>
      <c r="M308" s="171"/>
      <c r="N308" s="171"/>
      <c r="O308" s="59">
        <v>264</v>
      </c>
      <c r="P308" s="237">
        <v>23000</v>
      </c>
      <c r="Q308" s="237">
        <f t="shared" si="24"/>
        <v>70151.550897059977</v>
      </c>
      <c r="S308" s="123" t="s">
        <v>332</v>
      </c>
    </row>
    <row r="309" spans="2:19">
      <c r="B309" s="1309"/>
      <c r="C309" s="233" t="s">
        <v>530</v>
      </c>
      <c r="D309" s="213">
        <f t="shared" si="25"/>
        <v>187.55895689914482</v>
      </c>
      <c r="E309" s="59" t="s">
        <v>181</v>
      </c>
      <c r="F309" s="59" t="s">
        <v>77</v>
      </c>
      <c r="G309" s="116">
        <v>0.89012999999999998</v>
      </c>
      <c r="H309" s="116">
        <f t="shared" si="22"/>
        <v>10.77</v>
      </c>
      <c r="I309" s="234">
        <f t="shared" si="27"/>
        <v>591936.06797370105</v>
      </c>
      <c r="J309" s="211">
        <f t="shared" si="27"/>
        <v>53.566838090395763</v>
      </c>
      <c r="K309" s="235">
        <f t="shared" si="27"/>
        <v>15.304810882970218</v>
      </c>
      <c r="L309" s="236">
        <f>I309*PRP!$J$8+J309*PRP!$J$9+K309*PRP!$J$10</f>
        <v>597710.57311984571</v>
      </c>
      <c r="M309" s="171"/>
      <c r="N309" s="171"/>
      <c r="O309" s="59">
        <v>302</v>
      </c>
      <c r="P309" s="237">
        <v>16927</v>
      </c>
      <c r="Q309" s="237">
        <f t="shared" si="24"/>
        <v>56642.804983541733</v>
      </c>
      <c r="S309" s="123" t="s">
        <v>332</v>
      </c>
    </row>
    <row r="310" spans="2:19">
      <c r="B310" s="1309"/>
      <c r="C310" s="233" t="s">
        <v>531</v>
      </c>
      <c r="D310" s="213">
        <f t="shared" si="25"/>
        <v>183.76397324363376</v>
      </c>
      <c r="E310" s="59" t="s">
        <v>181</v>
      </c>
      <c r="F310" s="59" t="s">
        <v>77</v>
      </c>
      <c r="G310" s="116">
        <v>0.89012999999999998</v>
      </c>
      <c r="H310" s="116">
        <f t="shared" si="22"/>
        <v>10.77</v>
      </c>
      <c r="I310" s="234">
        <f t="shared" si="27"/>
        <v>579959.09955690813</v>
      </c>
      <c r="J310" s="211">
        <f t="shared" si="27"/>
        <v>52.482990758381803</v>
      </c>
      <c r="K310" s="235">
        <f t="shared" si="27"/>
        <v>14.995140216680516</v>
      </c>
      <c r="L310" s="236">
        <f>I310*PRP!$J$8+J310*PRP!$J$9+K310*PRP!$J$10</f>
        <v>585616.76596066169</v>
      </c>
      <c r="M310" s="171"/>
      <c r="N310" s="171"/>
      <c r="O310" s="59">
        <v>596</v>
      </c>
      <c r="P310" s="237">
        <v>40700</v>
      </c>
      <c r="Q310" s="237">
        <f t="shared" si="24"/>
        <v>109523.32805320571</v>
      </c>
      <c r="S310" s="123" t="s">
        <v>332</v>
      </c>
    </row>
    <row r="311" spans="2:19">
      <c r="B311" s="1309"/>
      <c r="C311" s="233" t="s">
        <v>532</v>
      </c>
      <c r="D311" s="213">
        <f t="shared" si="25"/>
        <v>322.38560659678916</v>
      </c>
      <c r="E311" s="59" t="s">
        <v>181</v>
      </c>
      <c r="F311" s="59" t="s">
        <v>77</v>
      </c>
      <c r="G311" s="116">
        <v>0.89012999999999998</v>
      </c>
      <c r="H311" s="116">
        <f t="shared" si="22"/>
        <v>10.77</v>
      </c>
      <c r="I311" s="234">
        <f t="shared" si="27"/>
        <v>1017448.9744194666</v>
      </c>
      <c r="J311" s="211">
        <f t="shared" si="27"/>
        <v>92.073329244042995</v>
      </c>
      <c r="K311" s="235">
        <f t="shared" si="27"/>
        <v>26.306665498297999</v>
      </c>
      <c r="L311" s="236">
        <f>I311*PRP!$J$8+J311*PRP!$J$9+K311*PRP!$J$10</f>
        <v>1027374.4793119745</v>
      </c>
      <c r="M311" s="171"/>
      <c r="N311" s="171"/>
      <c r="O311" s="59">
        <v>200</v>
      </c>
      <c r="P311" s="237">
        <v>20449</v>
      </c>
      <c r="Q311" s="237">
        <f t="shared" si="24"/>
        <v>64477.121319357837</v>
      </c>
      <c r="S311" s="123" t="s">
        <v>332</v>
      </c>
    </row>
    <row r="312" spans="2:19">
      <c r="B312" s="1309"/>
      <c r="C312" s="233" t="s">
        <v>533</v>
      </c>
      <c r="D312" s="213">
        <f t="shared" si="25"/>
        <v>183.76397324363376</v>
      </c>
      <c r="E312" s="59" t="s">
        <v>181</v>
      </c>
      <c r="F312" s="59" t="s">
        <v>77</v>
      </c>
      <c r="G312" s="116">
        <v>0.89012999999999998</v>
      </c>
      <c r="H312" s="116">
        <f t="shared" si="22"/>
        <v>10.77</v>
      </c>
      <c r="I312" s="234">
        <f t="shared" si="27"/>
        <v>579959.09955690813</v>
      </c>
      <c r="J312" s="211">
        <f t="shared" si="27"/>
        <v>52.482990758381803</v>
      </c>
      <c r="K312" s="235">
        <f t="shared" si="27"/>
        <v>14.995140216680516</v>
      </c>
      <c r="L312" s="236">
        <f>I312*PRP!$J$8+J312*PRP!$J$9+K312*PRP!$J$10</f>
        <v>585616.76596066169</v>
      </c>
      <c r="M312" s="171"/>
      <c r="N312" s="171"/>
      <c r="O312" s="59">
        <v>596</v>
      </c>
      <c r="P312" s="237">
        <v>40700</v>
      </c>
      <c r="Q312" s="237">
        <f t="shared" si="24"/>
        <v>109523.32805320571</v>
      </c>
      <c r="S312" s="123" t="s">
        <v>332</v>
      </c>
    </row>
    <row r="313" spans="2:19">
      <c r="B313" s="1309"/>
      <c r="C313" s="233" t="s">
        <v>534</v>
      </c>
      <c r="D313" s="213">
        <f t="shared" si="25"/>
        <v>190.1446667590377</v>
      </c>
      <c r="E313" s="59" t="s">
        <v>181</v>
      </c>
      <c r="F313" s="59" t="s">
        <v>77</v>
      </c>
      <c r="G313" s="116">
        <v>0.89012999999999998</v>
      </c>
      <c r="H313" s="116">
        <f t="shared" si="22"/>
        <v>10.77</v>
      </c>
      <c r="I313" s="234">
        <f t="shared" si="27"/>
        <v>600096.56829152303</v>
      </c>
      <c r="J313" s="211">
        <f t="shared" si="27"/>
        <v>54.305316826381173</v>
      </c>
      <c r="K313" s="235">
        <f t="shared" si="27"/>
        <v>15.515804807537478</v>
      </c>
      <c r="L313" s="236">
        <f>I313*PRP!$J$8+J313*PRP!$J$9+K313*PRP!$J$10</f>
        <v>605950.68144540687</v>
      </c>
      <c r="M313" s="171"/>
      <c r="N313" s="171"/>
      <c r="O313" s="59">
        <v>576</v>
      </c>
      <c r="P313" s="237">
        <v>40700</v>
      </c>
      <c r="Q313" s="237">
        <f t="shared" si="24"/>
        <v>109523.32805320571</v>
      </c>
      <c r="S313" s="123" t="s">
        <v>332</v>
      </c>
    </row>
    <row r="314" spans="2:19">
      <c r="B314" s="1309"/>
      <c r="C314" s="233" t="s">
        <v>535</v>
      </c>
      <c r="D314" s="213">
        <f t="shared" si="25"/>
        <v>193.22094327992343</v>
      </c>
      <c r="E314" s="59" t="s">
        <v>181</v>
      </c>
      <c r="F314" s="59" t="s">
        <v>77</v>
      </c>
      <c r="G314" s="116">
        <v>0.89012999999999998</v>
      </c>
      <c r="H314" s="116">
        <f t="shared" si="22"/>
        <v>10.77</v>
      </c>
      <c r="I314" s="234">
        <f t="shared" si="27"/>
        <v>609805.29699143837</v>
      </c>
      <c r="J314" s="211">
        <f t="shared" si="27"/>
        <v>55.183901400746137</v>
      </c>
      <c r="K314" s="235">
        <f t="shared" si="27"/>
        <v>15.766828971641754</v>
      </c>
      <c r="L314" s="236">
        <f>I314*PRP!$J$8+J314*PRP!$J$9+K314*PRP!$J$10</f>
        <v>615754.12156243878</v>
      </c>
      <c r="M314" s="171"/>
      <c r="N314" s="171"/>
      <c r="O314" s="59">
        <v>728</v>
      </c>
      <c r="P314" s="237">
        <v>54700</v>
      </c>
      <c r="Q314" s="237">
        <f t="shared" si="24"/>
        <v>140664.84670778425</v>
      </c>
      <c r="S314" s="123" t="s">
        <v>332</v>
      </c>
    </row>
    <row r="315" spans="2:19">
      <c r="B315" s="1309"/>
      <c r="C315" s="233" t="s">
        <v>536</v>
      </c>
      <c r="D315" s="213">
        <f t="shared" si="25"/>
        <v>310.48560212509165</v>
      </c>
      <c r="E315" s="59" t="s">
        <v>181</v>
      </c>
      <c r="F315" s="59" t="s">
        <v>77</v>
      </c>
      <c r="G315" s="116">
        <v>0.89012999999999998</v>
      </c>
      <c r="H315" s="116">
        <f t="shared" si="22"/>
        <v>10.77</v>
      </c>
      <c r="I315" s="234">
        <f t="shared" si="27"/>
        <v>979892.56030678924</v>
      </c>
      <c r="J315" s="211">
        <f t="shared" si="27"/>
        <v>88.674687966926186</v>
      </c>
      <c r="K315" s="235">
        <f t="shared" si="27"/>
        <v>25.335625133407479</v>
      </c>
      <c r="L315" s="236">
        <f>I315*PRP!$J$8+J315*PRP!$J$9+K315*PRP!$J$10</f>
        <v>989451.69166962395</v>
      </c>
      <c r="M315" s="171"/>
      <c r="N315" s="171"/>
      <c r="O315" s="59">
        <v>102</v>
      </c>
      <c r="P315" s="237">
        <v>5700</v>
      </c>
      <c r="Q315" s="237">
        <f t="shared" si="24"/>
        <v>31669.531416759346</v>
      </c>
      <c r="S315" s="123" t="s">
        <v>332</v>
      </c>
    </row>
    <row r="316" spans="2:19">
      <c r="B316" s="1309"/>
      <c r="C316" s="233" t="s">
        <v>537</v>
      </c>
      <c r="D316" s="213">
        <f t="shared" si="25"/>
        <v>193.22094327992343</v>
      </c>
      <c r="E316" s="59" t="s">
        <v>181</v>
      </c>
      <c r="F316" s="59" t="s">
        <v>77</v>
      </c>
      <c r="G316" s="116">
        <v>0.89012999999999998</v>
      </c>
      <c r="H316" s="116">
        <f t="shared" si="22"/>
        <v>10.77</v>
      </c>
      <c r="I316" s="234">
        <f t="shared" si="27"/>
        <v>609805.29699143837</v>
      </c>
      <c r="J316" s="211">
        <f t="shared" si="27"/>
        <v>55.183901400746137</v>
      </c>
      <c r="K316" s="235">
        <f t="shared" si="27"/>
        <v>15.766828971641754</v>
      </c>
      <c r="L316" s="236">
        <f>I316*PRP!$J$8+J316*PRP!$J$9+K316*PRP!$J$10</f>
        <v>615754.12156243878</v>
      </c>
      <c r="M316" s="171"/>
      <c r="N316" s="171"/>
      <c r="O316" s="59">
        <v>728</v>
      </c>
      <c r="P316" s="237">
        <v>54700</v>
      </c>
      <c r="Q316" s="237">
        <f t="shared" si="24"/>
        <v>140664.84670778425</v>
      </c>
      <c r="S316" s="123" t="s">
        <v>332</v>
      </c>
    </row>
    <row r="317" spans="2:19">
      <c r="B317" s="1309"/>
      <c r="C317" s="233" t="s">
        <v>538</v>
      </c>
      <c r="D317" s="213">
        <f t="shared" si="25"/>
        <v>212.47765153265576</v>
      </c>
      <c r="E317" s="59" t="s">
        <v>181</v>
      </c>
      <c r="F317" s="59" t="s">
        <v>77</v>
      </c>
      <c r="G317" s="116">
        <v>0.89012999999999998</v>
      </c>
      <c r="H317" s="116">
        <f t="shared" si="22"/>
        <v>10.77</v>
      </c>
      <c r="I317" s="234">
        <f t="shared" si="27"/>
        <v>670579.46823706152</v>
      </c>
      <c r="J317" s="211">
        <f t="shared" si="27"/>
        <v>60.683617277726491</v>
      </c>
      <c r="K317" s="235">
        <f t="shared" si="27"/>
        <v>17.338176365064712</v>
      </c>
      <c r="L317" s="236">
        <f>I317*PRP!$J$8+J317*PRP!$J$9+K317*PRP!$J$10</f>
        <v>677121.16217960045</v>
      </c>
      <c r="M317" s="171"/>
      <c r="N317" s="171"/>
      <c r="O317" s="59">
        <v>388</v>
      </c>
      <c r="P317" s="237">
        <v>28525</v>
      </c>
      <c r="Q317" s="237">
        <f t="shared" si="24"/>
        <v>82441.328794670437</v>
      </c>
      <c r="S317" s="123" t="s">
        <v>332</v>
      </c>
    </row>
    <row r="318" spans="2:19">
      <c r="B318" s="1309"/>
      <c r="C318" s="233" t="s">
        <v>539</v>
      </c>
      <c r="D318" s="213">
        <f t="shared" si="25"/>
        <v>183.46050992967736</v>
      </c>
      <c r="E318" s="59" t="s">
        <v>181</v>
      </c>
      <c r="F318" s="59" t="s">
        <v>77</v>
      </c>
      <c r="G318" s="116">
        <v>0.89012999999999998</v>
      </c>
      <c r="H318" s="116">
        <f t="shared" si="22"/>
        <v>10.77</v>
      </c>
      <c r="I318" s="234">
        <f t="shared" si="27"/>
        <v>579001.36933806178</v>
      </c>
      <c r="J318" s="211">
        <f t="shared" si="27"/>
        <v>52.396321635915854</v>
      </c>
      <c r="K318" s="235">
        <f t="shared" si="27"/>
        <v>14.970377610261673</v>
      </c>
      <c r="L318" s="236">
        <f>I318*PRP!$J$8+J318*PRP!$J$9+K318*PRP!$J$10</f>
        <v>584649.69281041354</v>
      </c>
      <c r="M318" s="171"/>
      <c r="N318" s="171"/>
      <c r="O318" s="59">
        <v>540</v>
      </c>
      <c r="P318" s="237">
        <v>36000</v>
      </c>
      <c r="Q318" s="237">
        <f t="shared" si="24"/>
        <v>99068.67536202578</v>
      </c>
      <c r="S318" s="123" t="s">
        <v>332</v>
      </c>
    </row>
    <row r="319" spans="2:19">
      <c r="B319" s="1309"/>
      <c r="C319" s="233" t="s">
        <v>540</v>
      </c>
      <c r="D319" s="213">
        <f t="shared" si="25"/>
        <v>212.47765153265576</v>
      </c>
      <c r="E319" s="59" t="s">
        <v>181</v>
      </c>
      <c r="F319" s="59" t="s">
        <v>77</v>
      </c>
      <c r="G319" s="116">
        <v>0.89012999999999998</v>
      </c>
      <c r="H319" s="116">
        <f t="shared" si="22"/>
        <v>10.77</v>
      </c>
      <c r="I319" s="234">
        <f t="shared" ref="I319:K323" si="28">$D319*I$49</f>
        <v>670579.46823706152</v>
      </c>
      <c r="J319" s="211">
        <f t="shared" si="28"/>
        <v>60.683617277726491</v>
      </c>
      <c r="K319" s="235">
        <f t="shared" si="28"/>
        <v>17.338176365064712</v>
      </c>
      <c r="L319" s="236">
        <f>I319*PRP!$J$8+J319*PRP!$J$9+K319*PRP!$J$10</f>
        <v>677121.16217960045</v>
      </c>
      <c r="M319" s="171"/>
      <c r="N319" s="171"/>
      <c r="O319" s="59">
        <v>388</v>
      </c>
      <c r="P319" s="237">
        <v>28525</v>
      </c>
      <c r="Q319" s="237">
        <f t="shared" si="24"/>
        <v>82441.328794670437</v>
      </c>
      <c r="S319" s="123" t="s">
        <v>332</v>
      </c>
    </row>
    <row r="320" spans="2:19">
      <c r="B320" s="1309"/>
      <c r="C320" s="233" t="s">
        <v>541</v>
      </c>
      <c r="D320" s="213">
        <f t="shared" si="25"/>
        <v>191.36082764710045</v>
      </c>
      <c r="E320" s="59" t="s">
        <v>181</v>
      </c>
      <c r="F320" s="59" t="s">
        <v>77</v>
      </c>
      <c r="G320" s="116">
        <v>0.89012999999999998</v>
      </c>
      <c r="H320" s="116">
        <f t="shared" si="22"/>
        <v>10.77</v>
      </c>
      <c r="I320" s="234">
        <f t="shared" si="28"/>
        <v>603934.77205424907</v>
      </c>
      <c r="J320" s="211">
        <f t="shared" si="28"/>
        <v>54.652652376011893</v>
      </c>
      <c r="K320" s="235">
        <f t="shared" si="28"/>
        <v>15.615043536003398</v>
      </c>
      <c r="L320" s="236">
        <f>I320*PRP!$J$8+J320*PRP!$J$9+K320*PRP!$J$10</f>
        <v>609826.32798038318</v>
      </c>
      <c r="M320" s="171"/>
      <c r="N320" s="171"/>
      <c r="O320" s="59">
        <v>296</v>
      </c>
      <c r="P320" s="237">
        <v>16927</v>
      </c>
      <c r="Q320" s="237">
        <f t="shared" si="24"/>
        <v>56642.804983541733</v>
      </c>
      <c r="S320" s="123" t="s">
        <v>332</v>
      </c>
    </row>
    <row r="321" spans="1:19">
      <c r="B321" s="1309"/>
      <c r="C321" s="233" t="s">
        <v>542</v>
      </c>
      <c r="D321" s="213">
        <f t="shared" si="25"/>
        <v>49.651656018141814</v>
      </c>
      <c r="E321" s="59" t="s">
        <v>181</v>
      </c>
      <c r="F321" s="59" t="s">
        <v>77</v>
      </c>
      <c r="G321" s="116">
        <v>0.89012999999999998</v>
      </c>
      <c r="H321" s="116">
        <f t="shared" si="22"/>
        <v>10.77</v>
      </c>
      <c r="I321" s="234">
        <f t="shared" si="28"/>
        <v>156700.62639325557</v>
      </c>
      <c r="J321" s="211">
        <f t="shared" si="28"/>
        <v>14.180512958781303</v>
      </c>
      <c r="K321" s="235">
        <f t="shared" si="28"/>
        <v>4.051575131080372</v>
      </c>
      <c r="L321" s="236">
        <f>I321*PRP!$J$8+J321*PRP!$J$9+K321*PRP!$J$10</f>
        <v>158229.28569021219</v>
      </c>
      <c r="M321" s="171"/>
      <c r="N321" s="240" t="s">
        <v>468</v>
      </c>
      <c r="O321" s="59">
        <v>224</v>
      </c>
      <c r="P321" s="237">
        <v>5000</v>
      </c>
      <c r="Q321" s="241">
        <f>(0.00198*P321 )*1000/G321</f>
        <v>11121.970948063767</v>
      </c>
      <c r="S321" s="123" t="s">
        <v>332</v>
      </c>
    </row>
    <row r="322" spans="1:19">
      <c r="B322" s="1309"/>
      <c r="C322" s="233" t="s">
        <v>543</v>
      </c>
      <c r="D322" s="213">
        <f t="shared" si="25"/>
        <v>30.068575574882985</v>
      </c>
      <c r="E322" s="59" t="s">
        <v>181</v>
      </c>
      <c r="F322" s="59" t="s">
        <v>77</v>
      </c>
      <c r="G322" s="116">
        <v>0.89012999999999998</v>
      </c>
      <c r="H322" s="116">
        <f t="shared" si="22"/>
        <v>10.77</v>
      </c>
      <c r="I322" s="234">
        <f t="shared" si="28"/>
        <v>94896.424514330705</v>
      </c>
      <c r="J322" s="211">
        <f t="shared" si="28"/>
        <v>8.5875851841865813</v>
      </c>
      <c r="K322" s="235">
        <f t="shared" si="28"/>
        <v>2.4535957669104516</v>
      </c>
      <c r="L322" s="236">
        <f>I322*PRP!$J$8+J322*PRP!$J$9+K322*PRP!$J$10</f>
        <v>95822.166197186016</v>
      </c>
      <c r="M322" s="171"/>
      <c r="N322" s="240" t="s">
        <v>468</v>
      </c>
      <c r="O322" s="59">
        <v>170</v>
      </c>
      <c r="P322" s="237">
        <v>2298</v>
      </c>
      <c r="Q322" s="241">
        <f>(0.00198*P322 )*1000/G322</f>
        <v>5111.6578477301073</v>
      </c>
      <c r="S322" s="123" t="s">
        <v>332</v>
      </c>
    </row>
    <row r="323" spans="1:19">
      <c r="B323" s="1309"/>
      <c r="C323" s="233" t="s">
        <v>544</v>
      </c>
      <c r="D323" s="213">
        <f t="shared" si="25"/>
        <v>30.068575574882985</v>
      </c>
      <c r="E323" s="59" t="s">
        <v>181</v>
      </c>
      <c r="F323" s="59" t="s">
        <v>77</v>
      </c>
      <c r="G323" s="116">
        <v>0.89012999999999998</v>
      </c>
      <c r="H323" s="116">
        <f t="shared" si="22"/>
        <v>10.77</v>
      </c>
      <c r="I323" s="234">
        <f t="shared" si="28"/>
        <v>94896.424514330705</v>
      </c>
      <c r="J323" s="211">
        <f t="shared" si="28"/>
        <v>8.5875851841865813</v>
      </c>
      <c r="K323" s="235">
        <f t="shared" si="28"/>
        <v>2.4535957669104516</v>
      </c>
      <c r="L323" s="236">
        <f>I323*PRP!$J$8+J323*PRP!$J$9+K323*PRP!$J$10</f>
        <v>95822.166197186016</v>
      </c>
      <c r="M323" s="171"/>
      <c r="N323" s="240" t="s">
        <v>468</v>
      </c>
      <c r="O323" s="59">
        <v>170</v>
      </c>
      <c r="P323" s="237">
        <v>2298</v>
      </c>
      <c r="Q323" s="241">
        <f>(0.00198*P323 )*1000/G323</f>
        <v>5111.6578477301073</v>
      </c>
      <c r="S323" s="123" t="s">
        <v>332</v>
      </c>
    </row>
    <row r="324" spans="1:19" ht="15.75" thickBot="1">
      <c r="B324" s="1310"/>
      <c r="C324" s="242"/>
      <c r="D324" s="215"/>
      <c r="E324" s="215"/>
      <c r="F324" s="215"/>
      <c r="G324" s="139"/>
      <c r="H324" s="203"/>
      <c r="I324" s="216"/>
      <c r="J324" s="136"/>
      <c r="K324" s="142"/>
      <c r="L324" s="205"/>
      <c r="M324" s="171"/>
      <c r="N324" s="171"/>
      <c r="O324" s="62"/>
      <c r="P324" s="243"/>
      <c r="Q324" s="243"/>
      <c r="S324" s="147"/>
    </row>
    <row r="325" spans="1:19" ht="15.75" thickBot="1">
      <c r="A325" s="86"/>
    </row>
    <row r="326" spans="1:19" ht="17.25" hidden="1" thickBot="1">
      <c r="B326" s="244" t="s">
        <v>193</v>
      </c>
      <c r="C326" s="192"/>
      <c r="D326" s="192"/>
      <c r="E326" s="192"/>
      <c r="F326" s="192"/>
      <c r="G326" s="192"/>
      <c r="H326" s="96" t="s">
        <v>158</v>
      </c>
      <c r="I326" s="158" t="s">
        <v>215</v>
      </c>
      <c r="J326" s="192" t="s">
        <v>216</v>
      </c>
      <c r="K326" s="192" t="s">
        <v>217</v>
      </c>
      <c r="L326" s="98"/>
      <c r="M326" s="159"/>
      <c r="N326" s="159"/>
      <c r="O326" s="159"/>
      <c r="P326" s="159"/>
      <c r="Q326" s="159"/>
      <c r="S326" s="193"/>
    </row>
    <row r="327" spans="1:19" ht="18.75" hidden="1" thickBot="1">
      <c r="B327" s="103" t="s">
        <v>266</v>
      </c>
      <c r="C327" s="104"/>
      <c r="D327" s="104" t="s">
        <v>166</v>
      </c>
      <c r="E327" s="104" t="s">
        <v>267</v>
      </c>
      <c r="F327" s="104"/>
      <c r="G327" s="104"/>
      <c r="H327" s="107" t="s">
        <v>169</v>
      </c>
      <c r="I327" s="164" t="s">
        <v>270</v>
      </c>
      <c r="J327" s="104" t="s">
        <v>271</v>
      </c>
      <c r="K327" s="104" t="s">
        <v>272</v>
      </c>
      <c r="L327" s="109" t="s">
        <v>273</v>
      </c>
      <c r="M327" s="159"/>
      <c r="N327" s="159"/>
      <c r="O327" s="159"/>
      <c r="P327" s="159"/>
      <c r="Q327" s="159"/>
      <c r="S327" s="194"/>
    </row>
    <row r="328" spans="1:19" ht="15.75" hidden="1" thickBot="1">
      <c r="B328" s="129" t="s">
        <v>282</v>
      </c>
      <c r="C328" s="59"/>
      <c r="D328" s="59" t="s">
        <v>187</v>
      </c>
      <c r="E328" s="59">
        <f>L328/$L$52</f>
        <v>2.4433018556690441E-2</v>
      </c>
      <c r="F328" s="59"/>
      <c r="G328" s="59"/>
      <c r="H328" s="116">
        <f>$H$14</f>
        <v>10.64</v>
      </c>
      <c r="I328" s="59">
        <f>$E328*I$52</f>
        <v>65.492706241208722</v>
      </c>
      <c r="J328" s="59">
        <f>$E328*J$52</f>
        <v>2.6876320412359484E-3</v>
      </c>
      <c r="K328" s="59">
        <f>$E328*K$52</f>
        <v>3.6893858020602566E-3</v>
      </c>
      <c r="L328" s="127">
        <f>(6.658*(10^-5)) * (10^6)</f>
        <v>66.58</v>
      </c>
      <c r="M328" s="171"/>
      <c r="N328" s="171"/>
      <c r="O328" s="171"/>
      <c r="P328" s="171"/>
      <c r="Q328" s="171"/>
      <c r="S328" s="123" t="s">
        <v>545</v>
      </c>
    </row>
    <row r="329" spans="1:19" ht="15.75" hidden="1" thickBot="1">
      <c r="B329" s="129" t="s">
        <v>546</v>
      </c>
      <c r="C329" s="245" t="s">
        <v>547</v>
      </c>
      <c r="D329" s="59" t="s">
        <v>548</v>
      </c>
      <c r="E329" s="59"/>
      <c r="F329" s="59"/>
      <c r="G329" s="59"/>
      <c r="H329" s="116"/>
      <c r="I329" s="59"/>
      <c r="J329" s="59"/>
      <c r="K329" s="126"/>
      <c r="L329" s="127"/>
      <c r="M329" s="171"/>
      <c r="N329" s="171"/>
      <c r="O329" s="171"/>
      <c r="P329" s="171"/>
      <c r="Q329" s="171"/>
      <c r="S329" s="123"/>
    </row>
    <row r="330" spans="1:19" ht="15.75" hidden="1" thickBot="1">
      <c r="B330" s="129" t="s">
        <v>549</v>
      </c>
      <c r="C330" s="245"/>
      <c r="D330" s="59" t="s">
        <v>187</v>
      </c>
      <c r="E330" s="59">
        <f>L330/$L$52</f>
        <v>0</v>
      </c>
      <c r="F330" s="59"/>
      <c r="G330" s="59"/>
      <c r="H330" s="116">
        <f>$H$14</f>
        <v>10.64</v>
      </c>
      <c r="I330" s="59"/>
      <c r="J330" s="59"/>
      <c r="K330" s="126"/>
      <c r="L330" s="127"/>
      <c r="M330" s="171"/>
      <c r="N330" s="171"/>
      <c r="O330" s="171"/>
      <c r="P330" s="171"/>
      <c r="Q330" s="171"/>
      <c r="S330" s="123"/>
    </row>
    <row r="331" spans="1:19" ht="15.75" hidden="1" thickBot="1">
      <c r="B331" s="129" t="s">
        <v>550</v>
      </c>
      <c r="C331" s="59"/>
      <c r="D331" s="59" t="s">
        <v>187</v>
      </c>
      <c r="E331" s="59">
        <f>L331/$L$52</f>
        <v>3.5999986788995672E-2</v>
      </c>
      <c r="F331" s="59"/>
      <c r="G331" s="59"/>
      <c r="H331" s="116">
        <f>$H$14</f>
        <v>10.64</v>
      </c>
      <c r="I331" s="59">
        <f>$E331*I$52</f>
        <v>96.497964587902899</v>
      </c>
      <c r="J331" s="59">
        <f>$E331*J$52</f>
        <v>3.9599985467895235E-3</v>
      </c>
      <c r="K331" s="59">
        <f>$E331*K$52</f>
        <v>5.4359980051383464E-3</v>
      </c>
      <c r="L331" s="127">
        <v>98.1</v>
      </c>
      <c r="M331" s="171"/>
      <c r="N331" s="171"/>
      <c r="O331" s="171"/>
      <c r="P331" s="171"/>
      <c r="Q331" s="171"/>
      <c r="S331" s="123" t="s">
        <v>551</v>
      </c>
    </row>
    <row r="332" spans="1:19" ht="15.75" hidden="1" thickBot="1"/>
    <row r="333" spans="1:19" ht="15.75" hidden="1" thickBot="1">
      <c r="B333" s="244" t="s">
        <v>193</v>
      </c>
      <c r="C333" s="192"/>
      <c r="D333" s="192" t="s">
        <v>283</v>
      </c>
      <c r="E333" s="192" t="s">
        <v>284</v>
      </c>
      <c r="F333" s="192"/>
      <c r="G333" s="192"/>
      <c r="H333" s="156"/>
      <c r="I333" s="158"/>
      <c r="J333" s="192"/>
      <c r="K333" s="192"/>
      <c r="L333" s="98"/>
      <c r="M333" s="159"/>
      <c r="N333" s="159"/>
      <c r="O333" s="159"/>
      <c r="P333" s="159"/>
      <c r="Q333" s="159"/>
      <c r="S333" s="193"/>
    </row>
    <row r="334" spans="1:19" ht="17.25" hidden="1" thickBot="1">
      <c r="B334" s="103" t="s">
        <v>266</v>
      </c>
      <c r="C334" s="104"/>
      <c r="D334" s="104" t="s">
        <v>285</v>
      </c>
      <c r="E334" s="104" t="s">
        <v>285</v>
      </c>
      <c r="F334" s="104"/>
      <c r="G334" s="104"/>
      <c r="H334" s="212"/>
      <c r="I334" s="164"/>
      <c r="J334" s="104"/>
      <c r="K334" s="104"/>
      <c r="L334" s="109" t="s">
        <v>273</v>
      </c>
      <c r="M334" s="159"/>
      <c r="N334" s="159"/>
      <c r="O334" s="159"/>
      <c r="P334" s="159"/>
      <c r="Q334" s="159"/>
      <c r="S334" s="194"/>
    </row>
    <row r="335" spans="1:19" ht="15.75" hidden="1" thickBot="1">
      <c r="B335" s="1308" t="s">
        <v>286</v>
      </c>
      <c r="C335" s="59"/>
      <c r="D335" s="59">
        <v>0</v>
      </c>
      <c r="E335" s="59">
        <v>1000</v>
      </c>
      <c r="F335" s="59"/>
      <c r="G335" s="59"/>
      <c r="H335" s="196"/>
      <c r="I335" s="210"/>
      <c r="J335" s="59"/>
      <c r="K335" s="126"/>
      <c r="L335" s="119">
        <v>141</v>
      </c>
      <c r="M335" s="171"/>
      <c r="N335" s="171"/>
      <c r="O335" s="171"/>
      <c r="P335" s="171"/>
      <c r="Q335" s="171"/>
      <c r="S335" s="123" t="s">
        <v>552</v>
      </c>
    </row>
    <row r="336" spans="1:19" ht="15.75" hidden="1" thickBot="1">
      <c r="B336" s="1309"/>
      <c r="C336" s="59"/>
      <c r="D336" s="59">
        <v>1000</v>
      </c>
      <c r="E336" s="59">
        <v>2000</v>
      </c>
      <c r="F336" s="59"/>
      <c r="G336" s="59"/>
      <c r="H336" s="196"/>
      <c r="I336" s="210"/>
      <c r="J336" s="59"/>
      <c r="K336" s="126"/>
      <c r="L336" s="127">
        <v>95</v>
      </c>
      <c r="M336" s="171"/>
      <c r="N336" s="171"/>
      <c r="O336" s="171"/>
      <c r="P336" s="171"/>
      <c r="Q336" s="171"/>
      <c r="S336" s="123" t="s">
        <v>552</v>
      </c>
    </row>
    <row r="337" spans="1:25" ht="15.75" hidden="1" thickBot="1">
      <c r="B337" s="1309"/>
      <c r="C337" s="59"/>
      <c r="D337" s="59">
        <v>2000</v>
      </c>
      <c r="E337" s="59">
        <v>3000</v>
      </c>
      <c r="F337" s="59"/>
      <c r="G337" s="59"/>
      <c r="H337" s="196"/>
      <c r="I337" s="210"/>
      <c r="J337" s="59"/>
      <c r="K337" s="126"/>
      <c r="L337" s="127">
        <v>91</v>
      </c>
      <c r="M337" s="171"/>
      <c r="N337" s="171"/>
      <c r="O337" s="171"/>
      <c r="P337" s="171"/>
      <c r="Q337" s="171"/>
      <c r="S337" s="123" t="s">
        <v>552</v>
      </c>
    </row>
    <row r="338" spans="1:25" ht="15.75" hidden="1" thickBot="1">
      <c r="B338" s="1309"/>
      <c r="C338" s="59"/>
      <c r="D338" s="59">
        <v>3000</v>
      </c>
      <c r="E338" s="59">
        <v>4000</v>
      </c>
      <c r="F338" s="59"/>
      <c r="G338" s="59"/>
      <c r="H338" s="196"/>
      <c r="I338" s="210"/>
      <c r="J338" s="59"/>
      <c r="K338" s="126"/>
      <c r="L338" s="127">
        <v>99</v>
      </c>
      <c r="M338" s="171"/>
      <c r="N338" s="171"/>
      <c r="O338" s="171"/>
      <c r="P338" s="171"/>
      <c r="Q338" s="171"/>
      <c r="S338" s="123" t="s">
        <v>552</v>
      </c>
    </row>
    <row r="339" spans="1:25" ht="15.75" hidden="1" thickBot="1">
      <c r="B339" s="1309"/>
      <c r="C339" s="59"/>
      <c r="D339" s="59">
        <v>4000</v>
      </c>
      <c r="E339" s="59">
        <v>5000</v>
      </c>
      <c r="F339" s="59"/>
      <c r="G339" s="59"/>
      <c r="H339" s="196"/>
      <c r="I339" s="210"/>
      <c r="J339" s="59"/>
      <c r="K339" s="126"/>
      <c r="L339" s="127">
        <v>90</v>
      </c>
      <c r="M339" s="171"/>
      <c r="N339" s="171"/>
      <c r="O339" s="171"/>
      <c r="P339" s="171"/>
      <c r="Q339" s="171"/>
      <c r="S339" s="123" t="s">
        <v>552</v>
      </c>
    </row>
    <row r="340" spans="1:25" ht="15.75" hidden="1" thickBot="1">
      <c r="B340" s="1309"/>
      <c r="C340" s="59"/>
      <c r="D340" s="59">
        <v>5000</v>
      </c>
      <c r="E340" s="59">
        <v>6000</v>
      </c>
      <c r="F340" s="59"/>
      <c r="G340" s="59"/>
      <c r="H340" s="196"/>
      <c r="I340" s="210"/>
      <c r="J340" s="59"/>
      <c r="K340" s="126"/>
      <c r="L340" s="127">
        <v>88</v>
      </c>
      <c r="M340" s="171"/>
      <c r="N340" s="171"/>
      <c r="O340" s="171"/>
      <c r="P340" s="171"/>
      <c r="Q340" s="171"/>
      <c r="S340" s="123" t="s">
        <v>552</v>
      </c>
    </row>
    <row r="341" spans="1:25" ht="15.75" hidden="1" thickBot="1">
      <c r="B341" s="1309"/>
      <c r="C341" s="59"/>
      <c r="D341" s="59">
        <v>6000</v>
      </c>
      <c r="E341" s="59">
        <v>7000</v>
      </c>
      <c r="F341" s="59"/>
      <c r="G341" s="59"/>
      <c r="H341" s="196"/>
      <c r="I341" s="210"/>
      <c r="J341" s="59"/>
      <c r="K341" s="126"/>
      <c r="L341" s="127">
        <v>82</v>
      </c>
      <c r="M341" s="171"/>
      <c r="N341" s="171"/>
      <c r="O341" s="171"/>
      <c r="P341" s="171"/>
      <c r="Q341" s="171"/>
      <c r="S341" s="123" t="s">
        <v>552</v>
      </c>
    </row>
    <row r="342" spans="1:25" ht="15.75" hidden="1" thickBot="1">
      <c r="B342" s="1309"/>
      <c r="C342" s="59"/>
      <c r="D342" s="59">
        <v>7000</v>
      </c>
      <c r="E342" s="59">
        <v>8000</v>
      </c>
      <c r="F342" s="59"/>
      <c r="G342" s="59"/>
      <c r="H342" s="196"/>
      <c r="I342" s="210"/>
      <c r="J342" s="59"/>
      <c r="K342" s="126"/>
      <c r="L342" s="127">
        <v>87</v>
      </c>
      <c r="M342" s="171"/>
      <c r="N342" s="171"/>
      <c r="O342" s="171"/>
      <c r="P342" s="171"/>
      <c r="Q342" s="171"/>
      <c r="S342" s="123" t="s">
        <v>552</v>
      </c>
    </row>
    <row r="343" spans="1:25" ht="15.75" hidden="1" thickBot="1">
      <c r="B343" s="1309"/>
      <c r="C343" s="59"/>
      <c r="D343" s="59">
        <v>8000</v>
      </c>
      <c r="E343" s="59">
        <v>9000</v>
      </c>
      <c r="F343" s="59"/>
      <c r="G343" s="59"/>
      <c r="H343" s="196"/>
      <c r="I343" s="210"/>
      <c r="J343" s="59"/>
      <c r="K343" s="126"/>
      <c r="L343" s="127">
        <v>87</v>
      </c>
      <c r="M343" s="171"/>
      <c r="N343" s="171"/>
      <c r="O343" s="171"/>
      <c r="P343" s="171"/>
      <c r="Q343" s="171"/>
      <c r="S343" s="123" t="s">
        <v>552</v>
      </c>
    </row>
    <row r="344" spans="1:25" ht="15.75" hidden="1" thickBot="1">
      <c r="B344" s="1309"/>
      <c r="C344" s="59"/>
      <c r="D344" s="59">
        <v>9000</v>
      </c>
      <c r="E344" s="59">
        <v>10000</v>
      </c>
      <c r="F344" s="59"/>
      <c r="G344" s="59"/>
      <c r="H344" s="196"/>
      <c r="I344" s="210"/>
      <c r="J344" s="59"/>
      <c r="K344" s="126"/>
      <c r="L344" s="127">
        <v>83</v>
      </c>
      <c r="M344" s="171"/>
      <c r="N344" s="171"/>
      <c r="O344" s="171"/>
      <c r="P344" s="171"/>
      <c r="Q344" s="171"/>
      <c r="S344" s="123" t="s">
        <v>552</v>
      </c>
    </row>
    <row r="345" spans="1:25" ht="15.75" hidden="1" thickBot="1">
      <c r="B345" s="1309"/>
      <c r="C345" s="59"/>
      <c r="D345" s="59">
        <v>10000</v>
      </c>
      <c r="E345" s="59">
        <v>11000</v>
      </c>
      <c r="F345" s="59"/>
      <c r="G345" s="59"/>
      <c r="H345" s="196"/>
      <c r="I345" s="210"/>
      <c r="J345" s="59"/>
      <c r="K345" s="126"/>
      <c r="L345" s="127">
        <v>95</v>
      </c>
      <c r="M345" s="171"/>
      <c r="N345" s="171"/>
      <c r="O345" s="171"/>
      <c r="P345" s="171"/>
      <c r="Q345" s="171"/>
      <c r="S345" s="123" t="s">
        <v>552</v>
      </c>
    </row>
    <row r="346" spans="1:25" ht="15.75" hidden="1" thickBot="1">
      <c r="B346" s="1310"/>
      <c r="C346" s="136"/>
      <c r="D346" s="136">
        <v>11000</v>
      </c>
      <c r="E346" s="136" t="s">
        <v>287</v>
      </c>
      <c r="F346" s="136"/>
      <c r="G346" s="136"/>
      <c r="H346" s="203"/>
      <c r="I346" s="216"/>
      <c r="J346" s="136"/>
      <c r="K346" s="142"/>
      <c r="L346" s="205">
        <v>94</v>
      </c>
      <c r="M346" s="171"/>
      <c r="N346" s="171"/>
      <c r="O346" s="171"/>
      <c r="P346" s="171"/>
      <c r="Q346" s="171"/>
      <c r="S346" s="147" t="s">
        <v>552</v>
      </c>
    </row>
    <row r="347" spans="1:25" ht="15.75" hidden="1" thickBot="1"/>
    <row r="348" spans="1:25" ht="19.5" thickBot="1">
      <c r="A348" s="86"/>
      <c r="B348" s="543" t="s">
        <v>553</v>
      </c>
      <c r="C348" s="540"/>
      <c r="D348" s="540"/>
      <c r="E348" s="540" t="s">
        <v>154</v>
      </c>
      <c r="F348" s="540"/>
      <c r="G348" s="541" t="s">
        <v>154</v>
      </c>
      <c r="H348" s="541"/>
      <c r="I348" s="56" t="s">
        <v>154</v>
      </c>
      <c r="J348" s="56" t="s">
        <v>154</v>
      </c>
      <c r="K348" s="56" t="s">
        <v>154</v>
      </c>
      <c r="L348" s="542" t="s">
        <v>155</v>
      </c>
      <c r="M348" s="56"/>
      <c r="N348" s="56"/>
      <c r="O348" s="56"/>
      <c r="P348" s="56"/>
      <c r="Q348" s="56"/>
      <c r="R348" s="90"/>
      <c r="S348" s="539" t="s">
        <v>156</v>
      </c>
      <c r="Y348" s="91"/>
    </row>
    <row r="349" spans="1:25" ht="16.5">
      <c r="B349" s="92" t="s">
        <v>154</v>
      </c>
      <c r="C349" s="93"/>
      <c r="D349" s="93" t="s">
        <v>154</v>
      </c>
      <c r="E349" s="97"/>
      <c r="F349" s="97"/>
      <c r="G349" s="97"/>
      <c r="H349" s="96" t="s">
        <v>158</v>
      </c>
      <c r="I349" s="158" t="s">
        <v>215</v>
      </c>
      <c r="J349" s="192" t="s">
        <v>216</v>
      </c>
      <c r="K349" s="192" t="s">
        <v>217</v>
      </c>
      <c r="L349" s="98" t="s">
        <v>162</v>
      </c>
      <c r="M349" s="159"/>
      <c r="N349" s="159"/>
      <c r="O349" s="159"/>
      <c r="P349" s="159"/>
      <c r="Q349" s="159"/>
      <c r="S349" s="160" t="s">
        <v>154</v>
      </c>
    </row>
    <row r="350" spans="1:25" ht="16.5" customHeight="1">
      <c r="B350" s="161" t="s">
        <v>554</v>
      </c>
      <c r="C350" s="162" t="s">
        <v>555</v>
      </c>
      <c r="D350" s="104" t="s">
        <v>166</v>
      </c>
      <c r="E350" s="104" t="s">
        <v>556</v>
      </c>
      <c r="F350" s="246"/>
      <c r="G350" s="247"/>
      <c r="H350" s="107" t="s">
        <v>169</v>
      </c>
      <c r="I350" s="164" t="s">
        <v>557</v>
      </c>
      <c r="J350" s="104" t="s">
        <v>558</v>
      </c>
      <c r="K350" s="104" t="s">
        <v>559</v>
      </c>
      <c r="L350" s="109" t="s">
        <v>560</v>
      </c>
      <c r="M350" s="159"/>
      <c r="N350" s="159"/>
      <c r="O350" s="159"/>
      <c r="P350" s="159"/>
      <c r="Q350" s="159"/>
      <c r="S350" s="165" t="s">
        <v>154</v>
      </c>
    </row>
    <row r="351" spans="1:25">
      <c r="B351" s="121" t="s">
        <v>286</v>
      </c>
      <c r="C351" s="248" t="s">
        <v>561</v>
      </c>
      <c r="D351" s="117" t="str">
        <f>$E$58</f>
        <v>Kérosène [L]</v>
      </c>
      <c r="E351" s="249">
        <f>L351/$L$58</f>
        <v>0.20814159209713121</v>
      </c>
      <c r="F351" s="249"/>
      <c r="G351" s="249"/>
      <c r="H351" s="116">
        <f>$H$58</f>
        <v>10.47</v>
      </c>
      <c r="I351" s="59">
        <f>$E351*I$58</f>
        <v>532.78003329102671</v>
      </c>
      <c r="J351" s="59">
        <f>$E351*J$58</f>
        <v>6.0361061708168054E-3</v>
      </c>
      <c r="K351" s="59">
        <f>$E351*K$58</f>
        <v>1.4798867198106028E-2</v>
      </c>
      <c r="L351" s="127">
        <v>537</v>
      </c>
      <c r="M351" s="171"/>
      <c r="N351" s="171"/>
      <c r="O351" s="171"/>
      <c r="P351" s="171"/>
      <c r="Q351" s="171"/>
      <c r="S351" s="123" t="s">
        <v>562</v>
      </c>
    </row>
    <row r="352" spans="1:25">
      <c r="B352" s="121" t="s">
        <v>239</v>
      </c>
      <c r="C352" s="248" t="s">
        <v>563</v>
      </c>
      <c r="D352" s="59" t="str">
        <f>$E$49</f>
        <v>Mazout [L]</v>
      </c>
      <c r="E352" s="249">
        <f>L352/$L$49</f>
        <v>3.2007152732559828E-3</v>
      </c>
      <c r="F352" s="249"/>
      <c r="G352" s="249"/>
      <c r="H352" s="116">
        <f>$H$49</f>
        <v>10.77</v>
      </c>
      <c r="I352" s="59">
        <f>$E352*I$52</f>
        <v>8.5795172899626611</v>
      </c>
      <c r="J352" s="59">
        <f t="shared" ref="J352:K355" si="29">$E352*J$52</f>
        <v>3.5207868005815809E-4</v>
      </c>
      <c r="K352" s="59">
        <f t="shared" si="29"/>
        <v>4.8330800626165336E-4</v>
      </c>
      <c r="L352" s="127">
        <v>10.199999999999999</v>
      </c>
      <c r="M352" s="171"/>
      <c r="N352" s="171"/>
      <c r="O352" s="171"/>
      <c r="P352" s="171"/>
      <c r="Q352" s="171"/>
      <c r="S352" s="123" t="s">
        <v>564</v>
      </c>
    </row>
    <row r="353" spans="1:25">
      <c r="B353" s="121" t="s">
        <v>247</v>
      </c>
      <c r="C353" s="248" t="s">
        <v>565</v>
      </c>
      <c r="D353" s="59" t="s">
        <v>187</v>
      </c>
      <c r="E353" s="249">
        <f>L353/$L$53</f>
        <v>9.4744952656520363E-3</v>
      </c>
      <c r="F353" s="249"/>
      <c r="G353" s="249"/>
      <c r="H353" s="116">
        <f>$H$14</f>
        <v>10.64</v>
      </c>
      <c r="I353" s="59">
        <f>$E353*I$52</f>
        <v>25.396384559580284</v>
      </c>
      <c r="J353" s="59">
        <f t="shared" si="29"/>
        <v>1.0421944792217239E-3</v>
      </c>
      <c r="K353" s="59">
        <f t="shared" si="29"/>
        <v>1.4306487851134574E-3</v>
      </c>
      <c r="L353" s="127">
        <v>28.1</v>
      </c>
      <c r="M353" s="171"/>
      <c r="N353" s="171"/>
      <c r="O353" s="171"/>
      <c r="P353" s="171"/>
      <c r="Q353" s="171"/>
      <c r="S353" s="123" t="s">
        <v>566</v>
      </c>
    </row>
    <row r="354" spans="1:25">
      <c r="B354" s="121" t="s">
        <v>228</v>
      </c>
      <c r="C354" s="248" t="s">
        <v>567</v>
      </c>
      <c r="D354" s="59" t="s">
        <v>187</v>
      </c>
      <c r="E354" s="249">
        <f>L354/$L$52</f>
        <v>3.4495400185174246E-2</v>
      </c>
      <c r="F354" s="249"/>
      <c r="G354" s="249"/>
      <c r="H354" s="116">
        <f>$H$14</f>
        <v>10.64</v>
      </c>
      <c r="I354" s="59">
        <f>$E354*I$52</f>
        <v>92.464920196359571</v>
      </c>
      <c r="J354" s="59">
        <f t="shared" si="29"/>
        <v>3.7944940203691671E-3</v>
      </c>
      <c r="K354" s="59">
        <f t="shared" si="29"/>
        <v>5.2088054279613109E-3</v>
      </c>
      <c r="L354" s="127">
        <v>94</v>
      </c>
      <c r="M354" s="171"/>
      <c r="N354" s="171"/>
      <c r="O354" s="171"/>
      <c r="P354" s="171"/>
      <c r="Q354" s="171"/>
      <c r="S354" s="123" t="s">
        <v>568</v>
      </c>
    </row>
    <row r="355" spans="1:25">
      <c r="B355" s="121" t="s">
        <v>569</v>
      </c>
      <c r="C355" s="248"/>
      <c r="D355" s="59" t="s">
        <v>187</v>
      </c>
      <c r="E355" s="249">
        <f>L355/$L$52</f>
        <v>4.8073376853806665E-2</v>
      </c>
      <c r="F355" s="249"/>
      <c r="G355" s="249"/>
      <c r="H355" s="116">
        <f>$H$14</f>
        <v>10.64</v>
      </c>
      <c r="I355" s="59">
        <f>$E355*I$52</f>
        <v>128.86068665662876</v>
      </c>
      <c r="J355" s="59">
        <f t="shared" si="29"/>
        <v>5.2880714539187334E-3</v>
      </c>
      <c r="K355" s="59">
        <f t="shared" si="29"/>
        <v>7.259079904924806E-3</v>
      </c>
      <c r="L355" s="127">
        <v>131</v>
      </c>
      <c r="M355" s="171"/>
      <c r="N355" s="171"/>
      <c r="O355" s="171"/>
      <c r="P355" s="171"/>
      <c r="Q355" s="171"/>
      <c r="S355" s="123" t="s">
        <v>570</v>
      </c>
    </row>
    <row r="356" spans="1:25">
      <c r="B356" s="121"/>
      <c r="C356" s="248"/>
      <c r="D356" s="59"/>
      <c r="E356" s="249"/>
      <c r="F356" s="249"/>
      <c r="G356" s="249"/>
      <c r="H356" s="116"/>
      <c r="I356" s="59"/>
      <c r="J356" s="59"/>
      <c r="K356" s="59"/>
      <c r="L356" s="127"/>
      <c r="M356" s="171"/>
      <c r="N356" s="171"/>
      <c r="O356" s="171"/>
      <c r="P356" s="171"/>
      <c r="Q356" s="171"/>
      <c r="S356" s="123"/>
    </row>
    <row r="357" spans="1:25">
      <c r="B357" s="121" t="s">
        <v>228</v>
      </c>
      <c r="C357" s="59" t="s">
        <v>275</v>
      </c>
      <c r="D357" s="59" t="s">
        <v>187</v>
      </c>
      <c r="E357" s="249">
        <f>L357/$L$52</f>
        <v>6.7657123480619571E-2</v>
      </c>
      <c r="F357" s="249"/>
      <c r="G357" s="249"/>
      <c r="H357" s="116">
        <f>$H$14</f>
        <v>10.64</v>
      </c>
      <c r="I357" s="210">
        <f>296/$C$1070</f>
        <v>183.92587290225083</v>
      </c>
      <c r="J357" s="59">
        <f>0.0036/$C$1070</f>
        <v>2.2369362920544021E-3</v>
      </c>
      <c r="K357" s="126">
        <f>0.0022/$C$1070</f>
        <v>1.3670166229221346E-3</v>
      </c>
      <c r="L357" s="127">
        <f>I357*PRP!$J$8+J357*PRP!$J$9+K357*PRP!$J$10</f>
        <v>184.36572914181178</v>
      </c>
      <c r="M357" s="171"/>
      <c r="N357" s="171"/>
      <c r="O357" s="171"/>
      <c r="P357" s="171"/>
      <c r="Q357" s="171"/>
      <c r="S357" s="123" t="s">
        <v>276</v>
      </c>
    </row>
    <row r="358" spans="1:25">
      <c r="B358" s="121" t="s">
        <v>247</v>
      </c>
      <c r="C358" s="59" t="s">
        <v>275</v>
      </c>
      <c r="D358" s="59" t="s">
        <v>187</v>
      </c>
      <c r="E358" s="249">
        <f>L358/$L$53</f>
        <v>5.4997350364894785E-3</v>
      </c>
      <c r="F358" s="249"/>
      <c r="G358" s="249"/>
      <c r="H358" s="116">
        <f>$H$14</f>
        <v>10.64</v>
      </c>
      <c r="I358" s="210">
        <f>26/$C$1070</f>
        <v>16.155650998170682</v>
      </c>
      <c r="J358" s="59">
        <f>0.002/$C$1070</f>
        <v>1.2427423844746678E-3</v>
      </c>
      <c r="K358" s="126">
        <f>0.0007/$C$1070</f>
        <v>4.3495983456613376E-4</v>
      </c>
      <c r="L358" s="127">
        <f>I358*PRP!$J$8+J358*PRP!$J$9+K358*PRP!$J$10</f>
        <v>16.311428756064583</v>
      </c>
      <c r="M358" s="171"/>
      <c r="N358" s="171"/>
      <c r="O358" s="171"/>
      <c r="P358" s="171"/>
      <c r="Q358" s="171"/>
      <c r="S358" s="123" t="s">
        <v>276</v>
      </c>
    </row>
    <row r="359" spans="1:25">
      <c r="B359" s="121" t="s">
        <v>239</v>
      </c>
      <c r="C359" s="59" t="s">
        <v>275</v>
      </c>
      <c r="D359" s="59" t="str">
        <f>$E$49</f>
        <v>Mazout [L]</v>
      </c>
      <c r="E359" s="249">
        <f>L359/$L$49</f>
        <v>8.335355910619572E-3</v>
      </c>
      <c r="F359" s="249"/>
      <c r="G359" s="249"/>
      <c r="H359" s="116">
        <f>$H$49</f>
        <v>10.77</v>
      </c>
      <c r="I359" s="210">
        <f>42/$C$1070</f>
        <v>26.097590073968025</v>
      </c>
      <c r="J359" s="59">
        <f>0.0004/$C$1070</f>
        <v>2.4854847689493356E-4</v>
      </c>
      <c r="K359" s="126">
        <f>0.0027/$C$1070</f>
        <v>1.6777022190408017E-3</v>
      </c>
      <c r="L359" s="127">
        <f>I359*PRP!$J$8+J359*PRP!$J$9+K359*PRP!$J$10</f>
        <v>26.563009524377634</v>
      </c>
      <c r="M359" s="171"/>
      <c r="N359" s="171"/>
      <c r="O359" s="171"/>
      <c r="P359" s="171"/>
      <c r="Q359" s="171"/>
      <c r="S359" s="123" t="s">
        <v>276</v>
      </c>
    </row>
    <row r="360" spans="1:25" ht="15.75" thickBot="1">
      <c r="B360" s="250" t="s">
        <v>286</v>
      </c>
      <c r="C360" s="62" t="s">
        <v>275</v>
      </c>
      <c r="D360" s="185" t="str">
        <f>$E$58</f>
        <v>Kérosène [L]</v>
      </c>
      <c r="E360" s="251">
        <f>L360/L66</f>
        <v>0.3517570801189927</v>
      </c>
      <c r="F360" s="251"/>
      <c r="G360" s="251"/>
      <c r="H360" s="139">
        <f>$H$58</f>
        <v>10.47</v>
      </c>
      <c r="I360" s="252">
        <f>1301/$C$1070</f>
        <v>808.40392110077141</v>
      </c>
      <c r="J360" s="62">
        <f>0/$C$1070</f>
        <v>0</v>
      </c>
      <c r="K360" s="253">
        <f>0.04/$C$1070</f>
        <v>2.4854847689493358E-2</v>
      </c>
      <c r="L360" s="143">
        <f>I360*PRP!$J$8+J360*PRP!$J$9+K360*PRP!$J$10</f>
        <v>815.18929452000305</v>
      </c>
      <c r="M360" s="171"/>
      <c r="N360" s="171"/>
      <c r="O360" s="171"/>
      <c r="P360" s="171"/>
      <c r="Q360" s="171"/>
      <c r="S360" s="254" t="s">
        <v>276</v>
      </c>
    </row>
    <row r="361" spans="1:25" ht="15.75" thickBot="1">
      <c r="A361" s="86"/>
    </row>
    <row r="362" spans="1:25" ht="19.5" thickBot="1">
      <c r="A362" s="86"/>
      <c r="B362" s="543" t="s">
        <v>571</v>
      </c>
      <c r="C362" s="540"/>
      <c r="D362" s="540"/>
      <c r="E362" s="540" t="s">
        <v>154</v>
      </c>
      <c r="F362" s="540"/>
      <c r="G362" s="541" t="s">
        <v>154</v>
      </c>
      <c r="H362" s="541"/>
      <c r="I362" s="56" t="s">
        <v>154</v>
      </c>
      <c r="J362" s="56" t="s">
        <v>154</v>
      </c>
      <c r="K362" s="56" t="s">
        <v>154</v>
      </c>
      <c r="L362" s="542" t="s">
        <v>155</v>
      </c>
      <c r="M362" s="56"/>
      <c r="N362" s="56"/>
      <c r="O362" s="56"/>
      <c r="P362" s="56"/>
      <c r="Q362" s="56"/>
      <c r="R362" s="90"/>
      <c r="S362" s="539" t="s">
        <v>156</v>
      </c>
      <c r="Y362" s="91"/>
    </row>
    <row r="363" spans="1:25">
      <c r="B363" s="255"/>
      <c r="C363" s="256"/>
      <c r="D363" s="97"/>
      <c r="E363" s="93"/>
      <c r="F363" s="93"/>
      <c r="G363" s="93"/>
      <c r="H363" s="97" t="s">
        <v>572</v>
      </c>
      <c r="I363" s="158"/>
      <c r="J363" s="97"/>
      <c r="K363" s="97"/>
      <c r="L363" s="98"/>
      <c r="M363" s="159"/>
      <c r="N363" s="159"/>
      <c r="O363" s="159"/>
      <c r="P363" s="159"/>
      <c r="Q363" s="159"/>
      <c r="S363" s="160"/>
    </row>
    <row r="364" spans="1:25">
      <c r="B364" s="257" t="s">
        <v>573</v>
      </c>
      <c r="C364" s="164" t="s">
        <v>574</v>
      </c>
      <c r="D364" s="104"/>
      <c r="E364" s="104"/>
      <c r="F364" s="104"/>
      <c r="G364" s="104"/>
      <c r="H364" s="104" t="s">
        <v>575</v>
      </c>
      <c r="I364" s="164"/>
      <c r="J364" s="104"/>
      <c r="K364" s="104"/>
      <c r="L364" s="109"/>
      <c r="M364" s="159"/>
      <c r="N364" s="159"/>
      <c r="O364" s="159"/>
      <c r="P364" s="159"/>
      <c r="Q364" s="159"/>
      <c r="S364" s="165"/>
    </row>
    <row r="365" spans="1:25">
      <c r="B365" s="258" t="str">
        <f>PRP!B19</f>
        <v>CFC-12</v>
      </c>
      <c r="C365" s="259"/>
      <c r="D365" s="260"/>
      <c r="E365" s="117"/>
      <c r="F365" s="117"/>
      <c r="G365" s="117"/>
      <c r="H365" s="261"/>
      <c r="I365" s="210"/>
      <c r="J365" s="167"/>
      <c r="K365" s="167"/>
      <c r="L365" s="127"/>
      <c r="M365" s="171"/>
      <c r="N365" s="171"/>
      <c r="O365" s="171"/>
      <c r="P365" s="171"/>
      <c r="Q365" s="171"/>
      <c r="S365" s="123" t="s">
        <v>576</v>
      </c>
    </row>
    <row r="366" spans="1:25">
      <c r="B366" s="258" t="str">
        <f>PRP!B20</f>
        <v>R-22</v>
      </c>
      <c r="C366" s="259"/>
      <c r="D366" s="260"/>
      <c r="E366" s="117"/>
      <c r="F366" s="117"/>
      <c r="G366" s="117"/>
      <c r="H366" s="261"/>
      <c r="I366" s="210"/>
      <c r="J366" s="167"/>
      <c r="K366" s="167"/>
      <c r="L366" s="127"/>
      <c r="M366" s="171"/>
      <c r="N366" s="171"/>
      <c r="O366" s="171"/>
      <c r="P366" s="171"/>
      <c r="Q366" s="171"/>
      <c r="S366" s="123"/>
    </row>
    <row r="367" spans="1:25">
      <c r="B367" s="258" t="str">
        <f>PRP!B22</f>
        <v>R-32</v>
      </c>
      <c r="C367" s="259" t="s">
        <v>577</v>
      </c>
      <c r="D367" s="260" t="s">
        <v>578</v>
      </c>
      <c r="E367" s="117" t="s">
        <v>579</v>
      </c>
      <c r="F367" s="117"/>
      <c r="G367" s="117"/>
      <c r="H367" s="261">
        <v>4.7E-2</v>
      </c>
      <c r="I367" s="210"/>
      <c r="J367" s="167"/>
      <c r="K367" s="167"/>
      <c r="L367" s="127"/>
      <c r="M367" s="171"/>
      <c r="N367" s="171"/>
      <c r="O367" s="171"/>
      <c r="P367" s="171"/>
      <c r="Q367" s="171"/>
      <c r="S367" s="123"/>
    </row>
    <row r="368" spans="1:25">
      <c r="B368" s="258" t="str">
        <f>PRP!B24</f>
        <v>R-134a</v>
      </c>
      <c r="C368" s="259" t="str">
        <f>_xlfn.CONCAT(E368, " - ", D368)</f>
        <v>Réfrigération - Commerciale / industriel</v>
      </c>
      <c r="D368" s="260" t="s">
        <v>578</v>
      </c>
      <c r="E368" s="117" t="s">
        <v>580</v>
      </c>
      <c r="F368" s="117"/>
      <c r="G368" s="117"/>
      <c r="H368" s="261">
        <v>0.1</v>
      </c>
      <c r="I368" s="210"/>
      <c r="J368" s="167"/>
      <c r="K368" s="167"/>
      <c r="L368" s="127"/>
      <c r="M368" s="171"/>
      <c r="N368" s="171"/>
      <c r="O368" s="171"/>
      <c r="P368" s="171"/>
      <c r="Q368" s="171"/>
      <c r="S368" s="123" t="s">
        <v>576</v>
      </c>
    </row>
    <row r="369" spans="1:25">
      <c r="B369" s="258" t="str">
        <f>PRP!B26</f>
        <v>R-404a</v>
      </c>
      <c r="C369" s="259" t="str">
        <f>_xlfn.CONCAT(E369, " - ", D369)</f>
        <v>Climatisation - Résidentiel</v>
      </c>
      <c r="D369" s="117" t="s">
        <v>581</v>
      </c>
      <c r="E369" s="117" t="s">
        <v>579</v>
      </c>
      <c r="F369" s="117"/>
      <c r="G369" s="117"/>
      <c r="H369" s="262">
        <v>0.04</v>
      </c>
      <c r="I369" s="210"/>
      <c r="J369" s="167"/>
      <c r="K369" s="167"/>
      <c r="L369" s="127"/>
      <c r="M369" s="171"/>
      <c r="N369" s="171"/>
      <c r="O369" s="171"/>
      <c r="P369" s="171"/>
      <c r="Q369" s="171"/>
      <c r="S369" s="123" t="s">
        <v>576</v>
      </c>
    </row>
    <row r="370" spans="1:25">
      <c r="B370" s="258" t="str">
        <f>PRP!B27</f>
        <v>R-407a</v>
      </c>
      <c r="C370" s="259" t="str">
        <f>_xlfn.CONCAT(E370, " - ", D370)</f>
        <v>Réfrigération - Résidentiel</v>
      </c>
      <c r="D370" s="117" t="s">
        <v>581</v>
      </c>
      <c r="E370" s="117" t="s">
        <v>580</v>
      </c>
      <c r="F370" s="117"/>
      <c r="G370" s="117"/>
      <c r="H370" s="262">
        <v>5.0000000000000001E-3</v>
      </c>
      <c r="I370" s="210"/>
      <c r="J370" s="167"/>
      <c r="K370" s="167"/>
      <c r="L370" s="127"/>
      <c r="M370" s="171"/>
      <c r="N370" s="171"/>
      <c r="O370" s="171"/>
      <c r="P370" s="171"/>
      <c r="Q370" s="171"/>
      <c r="S370" s="123"/>
    </row>
    <row r="371" spans="1:25">
      <c r="B371" s="258" t="str">
        <f>PRP!B28</f>
        <v>R-407c</v>
      </c>
      <c r="C371" s="259" t="str">
        <f>_xlfn.CONCAT(E371, " - ", D371)</f>
        <v>Réfrigération - Transport commercial</v>
      </c>
      <c r="D371" s="117" t="s">
        <v>582</v>
      </c>
      <c r="E371" s="117" t="s">
        <v>580</v>
      </c>
      <c r="F371" s="117"/>
      <c r="G371" s="117"/>
      <c r="H371" s="262">
        <v>0.15</v>
      </c>
      <c r="I371" s="210"/>
      <c r="J371" s="167"/>
      <c r="K371" s="167"/>
      <c r="L371" s="127"/>
      <c r="M371" s="171"/>
      <c r="N371" s="171"/>
      <c r="O371" s="171"/>
      <c r="P371" s="171"/>
      <c r="Q371" s="171"/>
      <c r="S371" s="123" t="s">
        <v>576</v>
      </c>
    </row>
    <row r="372" spans="1:25">
      <c r="B372" s="258" t="str">
        <f>PRP!B29</f>
        <v>R-410a</v>
      </c>
      <c r="C372" s="259" t="str">
        <f>_xlfn.CONCAT(E372, " - ", D372)</f>
        <v>Climatisation - Automobile</v>
      </c>
      <c r="D372" s="117" t="s">
        <v>583</v>
      </c>
      <c r="E372" s="117" t="s">
        <v>579</v>
      </c>
      <c r="F372" s="117"/>
      <c r="G372" s="117"/>
      <c r="H372" s="262">
        <v>0.1</v>
      </c>
      <c r="I372" s="210"/>
      <c r="J372" s="167"/>
      <c r="K372" s="167"/>
      <c r="L372" s="127"/>
      <c r="M372" s="171"/>
      <c r="N372" s="171"/>
      <c r="O372" s="171"/>
      <c r="P372" s="171"/>
      <c r="Q372" s="171"/>
      <c r="S372" s="123" t="s">
        <v>576</v>
      </c>
    </row>
    <row r="373" spans="1:25">
      <c r="B373" s="258" t="str">
        <f>PRP!B30</f>
        <v>R-448a</v>
      </c>
      <c r="C373" s="259"/>
      <c r="D373" s="117"/>
      <c r="E373" s="117"/>
      <c r="F373" s="117"/>
      <c r="G373" s="117"/>
      <c r="H373" s="262"/>
      <c r="I373" s="210"/>
      <c r="J373" s="167"/>
      <c r="K373" s="167"/>
      <c r="L373" s="127"/>
      <c r="M373" s="171"/>
      <c r="N373" s="171"/>
      <c r="O373" s="171"/>
      <c r="P373" s="171"/>
      <c r="Q373" s="171"/>
      <c r="S373" s="123" t="s">
        <v>576</v>
      </c>
    </row>
    <row r="374" spans="1:25">
      <c r="B374" s="263" t="str">
        <f>PRP!B31</f>
        <v>R-449a</v>
      </c>
      <c r="C374" s="264"/>
      <c r="D374" s="264"/>
      <c r="E374" s="264"/>
      <c r="F374" s="173"/>
      <c r="G374" s="173"/>
      <c r="H374" s="265"/>
      <c r="I374" s="208"/>
      <c r="J374" s="174"/>
      <c r="K374" s="266"/>
      <c r="L374" s="176"/>
      <c r="M374" s="171"/>
      <c r="N374" s="171"/>
      <c r="O374" s="171"/>
      <c r="P374" s="171"/>
      <c r="Q374" s="171"/>
      <c r="S374" s="267"/>
    </row>
    <row r="375" spans="1:25">
      <c r="B375" s="263" t="str">
        <f>PRP!B32</f>
        <v>R-454B</v>
      </c>
      <c r="C375" s="264"/>
      <c r="D375" s="264"/>
      <c r="E375" s="264"/>
      <c r="F375" s="173"/>
      <c r="G375" s="173"/>
      <c r="H375" s="265"/>
      <c r="I375" s="208"/>
      <c r="J375" s="174"/>
      <c r="K375" s="266"/>
      <c r="L375" s="176"/>
      <c r="M375" s="171"/>
      <c r="N375" s="171"/>
      <c r="O375" s="171"/>
      <c r="P375" s="171"/>
      <c r="Q375" s="171"/>
      <c r="S375" s="267"/>
    </row>
    <row r="376" spans="1:25">
      <c r="B376" s="263" t="str">
        <f>PRP!B33</f>
        <v>R-513a</v>
      </c>
      <c r="C376" s="264"/>
      <c r="D376" s="264"/>
      <c r="E376" s="264"/>
      <c r="F376" s="173"/>
      <c r="G376" s="173"/>
      <c r="H376" s="265"/>
      <c r="I376" s="208"/>
      <c r="J376" s="174"/>
      <c r="K376" s="266"/>
      <c r="L376" s="176"/>
      <c r="M376" s="171"/>
      <c r="N376" s="171"/>
      <c r="O376" s="171"/>
      <c r="P376" s="171"/>
      <c r="Q376" s="171"/>
      <c r="S376" s="267"/>
    </row>
    <row r="377" spans="1:25">
      <c r="B377" s="263" t="str">
        <f>PRP!B34</f>
        <v>R-290</v>
      </c>
      <c r="C377" s="178"/>
      <c r="D377" s="178"/>
      <c r="E377" s="268"/>
      <c r="F377" s="178"/>
      <c r="G377" s="178"/>
      <c r="H377" s="269"/>
      <c r="I377" s="270"/>
      <c r="J377" s="179"/>
      <c r="K377" s="271"/>
      <c r="L377" s="183"/>
      <c r="M377" s="171"/>
      <c r="N377" s="171"/>
      <c r="O377" s="171"/>
      <c r="P377" s="171"/>
      <c r="Q377" s="171"/>
      <c r="S377" s="267"/>
    </row>
    <row r="378" spans="1:25">
      <c r="B378" s="272" t="s">
        <v>584</v>
      </c>
      <c r="C378" s="178"/>
      <c r="D378" s="178"/>
      <c r="E378" s="268"/>
      <c r="F378" s="178"/>
      <c r="G378" s="178"/>
      <c r="H378" s="269"/>
      <c r="I378" s="270"/>
      <c r="J378" s="179"/>
      <c r="K378" s="271"/>
      <c r="L378" s="183"/>
      <c r="M378" s="171"/>
      <c r="N378" s="171"/>
      <c r="O378" s="171"/>
      <c r="P378" s="171"/>
      <c r="Q378" s="171"/>
      <c r="S378" s="267"/>
    </row>
    <row r="379" spans="1:25" ht="18">
      <c r="B379" s="272" t="s">
        <v>585</v>
      </c>
      <c r="C379" s="178"/>
      <c r="D379" s="178"/>
      <c r="E379" s="268"/>
      <c r="F379" s="178"/>
      <c r="G379" s="178"/>
      <c r="H379" s="269"/>
      <c r="I379" s="270"/>
      <c r="J379" s="179"/>
      <c r="K379" s="271"/>
      <c r="L379" s="183"/>
      <c r="M379" s="171"/>
      <c r="N379" s="171"/>
      <c r="O379" s="171"/>
      <c r="P379" s="171"/>
      <c r="Q379" s="171"/>
      <c r="S379" s="267"/>
    </row>
    <row r="380" spans="1:25" ht="18.75" thickBot="1">
      <c r="B380" s="273" t="s">
        <v>586</v>
      </c>
      <c r="C380" s="274"/>
      <c r="D380" s="185"/>
      <c r="E380" s="275"/>
      <c r="F380" s="186"/>
      <c r="G380" s="186"/>
      <c r="H380" s="276"/>
      <c r="I380" s="252"/>
      <c r="J380" s="62"/>
      <c r="K380" s="253"/>
      <c r="L380" s="143"/>
      <c r="M380" s="171"/>
      <c r="N380" s="171"/>
      <c r="O380" s="171"/>
      <c r="P380" s="171"/>
      <c r="Q380" s="171"/>
      <c r="S380" s="254"/>
    </row>
    <row r="381" spans="1:25" ht="15.75" thickBot="1">
      <c r="A381" s="86"/>
      <c r="S381" s="57"/>
    </row>
    <row r="382" spans="1:25" ht="19.5" thickBot="1">
      <c r="A382" s="86"/>
      <c r="B382" s="543" t="s">
        <v>587</v>
      </c>
      <c r="C382" s="540"/>
      <c r="D382" s="540"/>
      <c r="E382" s="540" t="s">
        <v>154</v>
      </c>
      <c r="F382" s="540"/>
      <c r="G382" s="541" t="s">
        <v>154</v>
      </c>
      <c r="H382" s="541"/>
      <c r="I382" s="56" t="s">
        <v>154</v>
      </c>
      <c r="J382" s="56" t="s">
        <v>154</v>
      </c>
      <c r="K382" s="56" t="s">
        <v>154</v>
      </c>
      <c r="L382" s="542" t="s">
        <v>155</v>
      </c>
      <c r="M382" s="56"/>
      <c r="N382" s="56"/>
      <c r="O382" s="56"/>
      <c r="P382" s="56"/>
      <c r="Q382" s="56"/>
      <c r="R382" s="90"/>
      <c r="S382" s="539" t="s">
        <v>156</v>
      </c>
      <c r="Y382" s="91"/>
    </row>
    <row r="383" spans="1:25" ht="18">
      <c r="B383" s="277" t="s">
        <v>588</v>
      </c>
      <c r="C383" s="93"/>
      <c r="D383" s="93" t="s">
        <v>154</v>
      </c>
      <c r="E383" s="93" t="s">
        <v>154</v>
      </c>
      <c r="F383" s="93"/>
      <c r="G383" s="93" t="s">
        <v>154</v>
      </c>
      <c r="H383" s="156"/>
      <c r="I383" s="158" t="s">
        <v>159</v>
      </c>
      <c r="J383" s="97" t="s">
        <v>160</v>
      </c>
      <c r="K383" s="97" t="s">
        <v>161</v>
      </c>
      <c r="L383" s="98" t="s">
        <v>162</v>
      </c>
      <c r="M383" s="159"/>
      <c r="N383" s="159"/>
      <c r="O383" s="159"/>
      <c r="P383" s="159"/>
      <c r="Q383" s="159"/>
      <c r="S383" s="160" t="s">
        <v>154</v>
      </c>
    </row>
    <row r="384" spans="1:25" ht="18">
      <c r="B384" s="161" t="s">
        <v>589</v>
      </c>
      <c r="C384" s="163" t="s">
        <v>590</v>
      </c>
      <c r="D384" s="162"/>
      <c r="E384" s="104" t="s">
        <v>166</v>
      </c>
      <c r="F384" s="104"/>
      <c r="G384" s="104" t="s">
        <v>591</v>
      </c>
      <c r="H384" s="212"/>
      <c r="I384" s="164" t="s">
        <v>592</v>
      </c>
      <c r="J384" s="104" t="s">
        <v>593</v>
      </c>
      <c r="K384" s="104" t="s">
        <v>594</v>
      </c>
      <c r="L384" s="109" t="s">
        <v>595</v>
      </c>
      <c r="M384" s="159"/>
      <c r="N384" s="159"/>
      <c r="O384" s="159"/>
      <c r="P384" s="159"/>
      <c r="Q384" s="159"/>
      <c r="S384" s="278" t="s">
        <v>154</v>
      </c>
    </row>
    <row r="385" spans="2:19">
      <c r="B385" s="121" t="s">
        <v>596</v>
      </c>
      <c r="C385" s="117" t="s">
        <v>597</v>
      </c>
      <c r="D385" s="167"/>
      <c r="E385" s="167"/>
      <c r="F385" s="167"/>
      <c r="G385" s="167"/>
      <c r="H385" s="196"/>
      <c r="I385" s="170">
        <v>1.3</v>
      </c>
      <c r="J385" s="279">
        <v>0</v>
      </c>
      <c r="K385" s="279">
        <v>0</v>
      </c>
      <c r="L385" s="127">
        <f>I385*PRP!$J$8+J385*PRP!$J$9+K385*PRP!$J$10</f>
        <v>1.3</v>
      </c>
      <c r="M385" s="171"/>
      <c r="N385" s="171"/>
      <c r="O385" s="171"/>
      <c r="P385" s="171"/>
      <c r="Q385" s="171"/>
      <c r="S385" s="280" t="s">
        <v>598</v>
      </c>
    </row>
    <row r="386" spans="2:19">
      <c r="B386" s="121" t="s">
        <v>599</v>
      </c>
      <c r="C386" s="117"/>
      <c r="D386" s="167"/>
      <c r="E386" s="59" t="s">
        <v>181</v>
      </c>
      <c r="F386" s="125"/>
      <c r="G386" s="281">
        <f>$L$386/$L$15</f>
        <v>0.26028824923814442</v>
      </c>
      <c r="H386" s="196"/>
      <c r="I386" s="170">
        <f>((1748606*$C$1071/$H$15)*$L$15)/((1748606-(1049168+75672))*$C$1071)</f>
        <v>720.17255577482752</v>
      </c>
      <c r="J386" s="279">
        <v>0</v>
      </c>
      <c r="K386" s="279">
        <v>0</v>
      </c>
      <c r="L386" s="127">
        <f>I386*PRP!$J$8+J386*PRP!$J$9+K386*PRP!$J$10</f>
        <v>720.17255577482752</v>
      </c>
      <c r="M386" s="171"/>
      <c r="N386" s="171"/>
      <c r="O386" s="171"/>
      <c r="P386" s="171"/>
      <c r="Q386" s="171"/>
      <c r="S386" s="123" t="s">
        <v>600</v>
      </c>
    </row>
    <row r="387" spans="2:19">
      <c r="B387" s="121" t="s">
        <v>601</v>
      </c>
      <c r="C387" s="117"/>
      <c r="D387" s="167"/>
      <c r="E387" s="167"/>
      <c r="F387" s="167"/>
      <c r="G387" s="167"/>
      <c r="H387" s="196"/>
      <c r="I387" s="170">
        <v>28</v>
      </c>
      <c r="J387" s="279">
        <v>0</v>
      </c>
      <c r="K387" s="279">
        <v>0</v>
      </c>
      <c r="L387" s="127">
        <f>I387*PRP!$J$8+J387*PRP!$J$9+K387*PRP!$J$10</f>
        <v>28</v>
      </c>
      <c r="M387" s="171"/>
      <c r="N387" s="171"/>
      <c r="O387" s="171"/>
      <c r="P387" s="171"/>
      <c r="Q387" s="171"/>
      <c r="S387" s="282" t="s">
        <v>602</v>
      </c>
    </row>
    <row r="388" spans="2:19">
      <c r="B388" s="121" t="s">
        <v>603</v>
      </c>
      <c r="C388" s="117"/>
      <c r="D388" s="167"/>
      <c r="E388" s="167"/>
      <c r="F388" s="167"/>
      <c r="G388" s="167"/>
      <c r="H388" s="196"/>
      <c r="I388" s="170">
        <v>16</v>
      </c>
      <c r="J388" s="279">
        <v>0</v>
      </c>
      <c r="K388" s="279">
        <v>0</v>
      </c>
      <c r="L388" s="127">
        <f>I388*PRP!$J$8+J388*PRP!$J$9+K388*PRP!$J$10</f>
        <v>16</v>
      </c>
      <c r="M388" s="171"/>
      <c r="N388" s="171"/>
      <c r="O388" s="171"/>
      <c r="P388" s="171"/>
      <c r="Q388" s="171"/>
      <c r="S388" s="282" t="s">
        <v>604</v>
      </c>
    </row>
    <row r="389" spans="2:19">
      <c r="B389" s="121" t="s">
        <v>605</v>
      </c>
      <c r="C389" s="117"/>
      <c r="D389" s="167"/>
      <c r="E389" s="167"/>
      <c r="F389" s="167"/>
      <c r="G389" s="167"/>
      <c r="H389" s="196"/>
      <c r="I389" s="170">
        <v>660</v>
      </c>
      <c r="J389" s="279">
        <v>0</v>
      </c>
      <c r="K389" s="279">
        <v>0</v>
      </c>
      <c r="L389" s="127">
        <f>I389*PRP!$J$8+J389*PRP!$J$9+K389*PRP!$J$10</f>
        <v>660</v>
      </c>
      <c r="M389" s="171"/>
      <c r="N389" s="171"/>
      <c r="O389" s="171"/>
      <c r="P389" s="171"/>
      <c r="Q389" s="171"/>
      <c r="S389" s="282" t="s">
        <v>606</v>
      </c>
    </row>
    <row r="390" spans="2:19">
      <c r="B390" s="121" t="s">
        <v>607</v>
      </c>
      <c r="C390" s="117"/>
      <c r="D390" s="167"/>
      <c r="E390" s="167"/>
      <c r="F390" s="167"/>
      <c r="G390" s="167"/>
      <c r="H390" s="196"/>
      <c r="I390" s="170">
        <v>290</v>
      </c>
      <c r="J390" s="279">
        <v>0</v>
      </c>
      <c r="K390" s="279">
        <v>0</v>
      </c>
      <c r="L390" s="127">
        <f>I390*PRP!$J$8+J390*PRP!$J$9+K390*PRP!$J$10</f>
        <v>290</v>
      </c>
      <c r="M390" s="171"/>
      <c r="N390" s="171"/>
      <c r="O390" s="171"/>
      <c r="P390" s="171"/>
      <c r="Q390" s="171"/>
      <c r="S390" s="282" t="s">
        <v>608</v>
      </c>
    </row>
    <row r="391" spans="2:19">
      <c r="B391" s="121" t="s">
        <v>609</v>
      </c>
      <c r="C391" s="117"/>
      <c r="D391" s="167"/>
      <c r="E391" s="167"/>
      <c r="F391" s="167"/>
      <c r="G391" s="167"/>
      <c r="H391" s="196"/>
      <c r="I391" s="170">
        <f>I390</f>
        <v>290</v>
      </c>
      <c r="J391" s="279">
        <v>0</v>
      </c>
      <c r="K391" s="279">
        <v>0</v>
      </c>
      <c r="L391" s="127">
        <f>I391*PRP!$J$8+J391*PRP!$J$9+K391*PRP!$J$10</f>
        <v>290</v>
      </c>
      <c r="M391" s="171"/>
      <c r="N391" s="171"/>
      <c r="O391" s="171"/>
      <c r="P391" s="171"/>
      <c r="Q391" s="171"/>
      <c r="S391" s="282" t="s">
        <v>610</v>
      </c>
    </row>
    <row r="392" spans="2:19">
      <c r="B392" s="121" t="s">
        <v>611</v>
      </c>
      <c r="C392" s="117"/>
      <c r="D392" s="167"/>
      <c r="E392" s="167"/>
      <c r="F392" s="167"/>
      <c r="G392" s="167"/>
      <c r="H392" s="196"/>
      <c r="I392" s="170">
        <v>1.9</v>
      </c>
      <c r="J392" s="279">
        <v>0</v>
      </c>
      <c r="K392" s="279">
        <v>0</v>
      </c>
      <c r="L392" s="127">
        <f>I392*PRP!$J$8+J392*PRP!$J$9+K392*PRP!$J$10</f>
        <v>1.9</v>
      </c>
      <c r="M392" s="171"/>
      <c r="N392" s="171"/>
      <c r="O392" s="171"/>
      <c r="P392" s="171"/>
      <c r="Q392" s="171"/>
      <c r="S392" s="282" t="s">
        <v>612</v>
      </c>
    </row>
    <row r="393" spans="2:19">
      <c r="B393" s="121" t="s">
        <v>613</v>
      </c>
      <c r="C393" s="117"/>
      <c r="D393" s="167"/>
      <c r="E393" s="167"/>
      <c r="F393" s="167"/>
      <c r="G393" s="167"/>
      <c r="H393" s="196"/>
      <c r="I393" s="170">
        <v>670</v>
      </c>
      <c r="J393" s="279">
        <v>0</v>
      </c>
      <c r="K393" s="279">
        <v>0</v>
      </c>
      <c r="L393" s="127">
        <f>I393*PRP!$J$8+J393*PRP!$J$9+K393*PRP!$J$10</f>
        <v>670</v>
      </c>
      <c r="M393" s="171"/>
      <c r="N393" s="171"/>
      <c r="O393" s="171"/>
      <c r="P393" s="171"/>
      <c r="Q393" s="171"/>
      <c r="S393" s="282" t="s">
        <v>614</v>
      </c>
    </row>
    <row r="394" spans="2:19">
      <c r="B394" s="121" t="s">
        <v>615</v>
      </c>
      <c r="C394" s="117"/>
      <c r="D394" s="167"/>
      <c r="E394" s="167"/>
      <c r="F394" s="167"/>
      <c r="G394" s="167"/>
      <c r="H394" s="196"/>
      <c r="I394" s="170">
        <v>510</v>
      </c>
      <c r="J394" s="279">
        <v>0</v>
      </c>
      <c r="K394" s="279">
        <v>0</v>
      </c>
      <c r="L394" s="127">
        <f>I394*PRP!$J$8+J394*PRP!$J$9+K394*PRP!$J$10</f>
        <v>510</v>
      </c>
      <c r="M394" s="171"/>
      <c r="N394" s="171"/>
      <c r="O394" s="171"/>
      <c r="P394" s="171"/>
      <c r="Q394" s="171"/>
      <c r="S394" s="282" t="s">
        <v>616</v>
      </c>
    </row>
    <row r="395" spans="2:19">
      <c r="B395" s="121" t="s">
        <v>617</v>
      </c>
      <c r="C395" s="117"/>
      <c r="D395" s="167"/>
      <c r="E395" s="167"/>
      <c r="F395" s="167"/>
      <c r="G395" s="167"/>
      <c r="H395" s="196"/>
      <c r="I395" s="170">
        <v>14</v>
      </c>
      <c r="J395" s="279">
        <v>0</v>
      </c>
      <c r="K395" s="279">
        <v>0</v>
      </c>
      <c r="L395" s="127">
        <f>I395*PRP!$J$8+J395*PRP!$J$9+K395*PRP!$J$10</f>
        <v>14</v>
      </c>
      <c r="M395" s="171"/>
      <c r="N395" s="171"/>
      <c r="O395" s="171"/>
      <c r="P395" s="171"/>
      <c r="Q395" s="171"/>
      <c r="S395" s="282" t="s">
        <v>618</v>
      </c>
    </row>
    <row r="396" spans="2:19">
      <c r="B396" s="121" t="s">
        <v>619</v>
      </c>
      <c r="C396" s="117"/>
      <c r="D396" s="167"/>
      <c r="E396" s="167"/>
      <c r="F396" s="167"/>
      <c r="G396" s="167"/>
      <c r="H396" s="196"/>
      <c r="I396" s="170">
        <v>70</v>
      </c>
      <c r="J396" s="279">
        <v>0</v>
      </c>
      <c r="K396" s="279">
        <v>0</v>
      </c>
      <c r="L396" s="127">
        <f>I396*PRP!$J$8+J396*PRP!$J$9+K396*PRP!$J$10</f>
        <v>70</v>
      </c>
      <c r="M396" s="171"/>
      <c r="N396" s="171"/>
      <c r="O396" s="171"/>
      <c r="P396" s="171"/>
      <c r="Q396" s="171"/>
      <c r="S396" s="282" t="s">
        <v>620</v>
      </c>
    </row>
    <row r="397" spans="2:19">
      <c r="B397" s="121" t="s">
        <v>621</v>
      </c>
      <c r="C397" s="117"/>
      <c r="D397" s="167"/>
      <c r="E397" s="167"/>
      <c r="F397" s="167"/>
      <c r="G397" s="167"/>
      <c r="H397" s="196"/>
      <c r="I397" s="170">
        <v>170</v>
      </c>
      <c r="J397" s="279">
        <v>0</v>
      </c>
      <c r="K397" s="279">
        <v>0</v>
      </c>
      <c r="L397" s="127">
        <f>I397*PRP!$J$8+J397*PRP!$J$9+K397*PRP!$J$10</f>
        <v>170</v>
      </c>
      <c r="M397" s="171"/>
      <c r="N397" s="171"/>
      <c r="O397" s="171"/>
      <c r="P397" s="171"/>
      <c r="Q397" s="171"/>
      <c r="S397" s="282" t="s">
        <v>622</v>
      </c>
    </row>
    <row r="398" spans="2:19" ht="15.75" thickBot="1">
      <c r="B398" s="283" t="s">
        <v>623</v>
      </c>
      <c r="C398" s="284"/>
      <c r="D398" s="285"/>
      <c r="E398" s="285"/>
      <c r="F398" s="285"/>
      <c r="G398" s="285"/>
      <c r="H398" s="171"/>
      <c r="I398" s="286">
        <v>800</v>
      </c>
      <c r="J398" s="287">
        <v>0</v>
      </c>
      <c r="K398" s="287">
        <v>0</v>
      </c>
      <c r="L398" s="222">
        <f>I398*PRP!$J$8+J398*PRP!$J$9+K398*PRP!$J$10</f>
        <v>800</v>
      </c>
      <c r="M398" s="171"/>
      <c r="N398" s="171"/>
      <c r="O398" s="171"/>
      <c r="P398" s="171"/>
      <c r="Q398" s="171"/>
      <c r="S398" s="288" t="s">
        <v>624</v>
      </c>
    </row>
    <row r="399" spans="2:19" ht="15.75" thickTop="1">
      <c r="B399" s="289" t="s">
        <v>625</v>
      </c>
      <c r="C399" s="290"/>
      <c r="D399" s="291"/>
      <c r="E399" s="291"/>
      <c r="F399" s="291"/>
      <c r="G399" s="291"/>
      <c r="H399" s="292"/>
      <c r="I399" s="293">
        <f>AVERAGE(I400:I426)</f>
        <v>423.14652774711334</v>
      </c>
      <c r="J399" s="294">
        <f>AVERAGE(J400:J426)</f>
        <v>3.5195407969297196E-2</v>
      </c>
      <c r="K399" s="295">
        <f>AVERAGE(K400:K426)</f>
        <v>5.0231155049259473E-3</v>
      </c>
      <c r="L399" s="296">
        <f>I399*PRP!$J$8+J399*PRP!$J$9+K399*PRP!$J$10</f>
        <v>425.5666614374432</v>
      </c>
      <c r="M399" s="171"/>
      <c r="N399" s="171"/>
      <c r="O399" s="171"/>
      <c r="P399" s="171"/>
      <c r="Q399" s="171"/>
      <c r="S399" s="297" t="s">
        <v>626</v>
      </c>
    </row>
    <row r="400" spans="2:19">
      <c r="B400" s="298" t="s">
        <v>627</v>
      </c>
      <c r="C400" s="173"/>
      <c r="D400" s="174"/>
      <c r="E400" s="174"/>
      <c r="F400" s="174"/>
      <c r="G400" s="174"/>
      <c r="H400" s="299"/>
      <c r="I400" s="175">
        <v>477.22453248755824</v>
      </c>
      <c r="J400" s="300">
        <v>3.991612856088312E-2</v>
      </c>
      <c r="K400" s="301">
        <v>5.4431084401204257E-3</v>
      </c>
      <c r="L400" s="176">
        <f>I400*PRP!$J$8+J400*PRP!$J$9+K400*PRP!$J$10</f>
        <v>479.90000172282544</v>
      </c>
      <c r="M400" s="171"/>
      <c r="N400" s="171"/>
      <c r="O400" s="171"/>
      <c r="P400" s="171"/>
      <c r="Q400" s="171"/>
      <c r="S400" s="123" t="s">
        <v>626</v>
      </c>
    </row>
    <row r="401" spans="2:19">
      <c r="B401" s="298" t="s">
        <v>628</v>
      </c>
      <c r="C401" s="173"/>
      <c r="D401" s="174"/>
      <c r="E401" s="174"/>
      <c r="F401" s="174"/>
      <c r="G401" s="174"/>
      <c r="H401" s="299"/>
      <c r="I401" s="175">
        <v>224.89109705097556</v>
      </c>
      <c r="J401" s="300">
        <v>1.0432624510230816E-2</v>
      </c>
      <c r="K401" s="301">
        <v>1.8143694800401417E-3</v>
      </c>
      <c r="L401" s="176">
        <f>I401*PRP!$J$8+J401*PRP!$J$9+K401*PRP!$J$10</f>
        <v>225.6973121294314</v>
      </c>
      <c r="M401" s="171"/>
      <c r="N401" s="171"/>
      <c r="O401" s="171"/>
      <c r="P401" s="171"/>
      <c r="Q401" s="171"/>
      <c r="S401" s="123" t="s">
        <v>626</v>
      </c>
    </row>
    <row r="402" spans="2:19">
      <c r="B402" s="298" t="s">
        <v>629</v>
      </c>
      <c r="C402" s="173"/>
      <c r="D402" s="174"/>
      <c r="E402" s="174"/>
      <c r="F402" s="174"/>
      <c r="G402" s="174"/>
      <c r="H402" s="299"/>
      <c r="I402" s="175">
        <v>351.98767912778749</v>
      </c>
      <c r="J402" s="300">
        <v>2.313321087051181E-2</v>
      </c>
      <c r="K402" s="301">
        <v>3.1751465900702477E-3</v>
      </c>
      <c r="L402" s="176">
        <f>I402*PRP!$J$8+J402*PRP!$J$9+K402*PRP!$J$10</f>
        <v>353.54386383081794</v>
      </c>
      <c r="M402" s="171"/>
      <c r="N402" s="171"/>
      <c r="O402" s="171"/>
      <c r="P402" s="171"/>
      <c r="Q402" s="171"/>
      <c r="S402" s="123" t="s">
        <v>626</v>
      </c>
    </row>
    <row r="403" spans="2:19">
      <c r="B403" s="298" t="s">
        <v>630</v>
      </c>
      <c r="C403" s="173"/>
      <c r="D403" s="174"/>
      <c r="E403" s="174"/>
      <c r="F403" s="174"/>
      <c r="G403" s="174"/>
      <c r="H403" s="299"/>
      <c r="I403" s="175">
        <v>225.63634931490205</v>
      </c>
      <c r="J403" s="300">
        <v>1.3607771100301062E-2</v>
      </c>
      <c r="K403" s="301">
        <v>1.8143694800401417E-3</v>
      </c>
      <c r="L403" s="176">
        <f>I403*PRP!$J$8+J403*PRP!$J$9+K403*PRP!$J$10</f>
        <v>226.53718376174197</v>
      </c>
      <c r="M403" s="171"/>
      <c r="N403" s="171"/>
      <c r="O403" s="171"/>
      <c r="P403" s="171"/>
      <c r="Q403" s="171"/>
      <c r="S403" s="123" t="s">
        <v>626</v>
      </c>
    </row>
    <row r="404" spans="2:19">
      <c r="B404" s="298" t="s">
        <v>631</v>
      </c>
      <c r="C404" s="173"/>
      <c r="D404" s="174"/>
      <c r="E404" s="174"/>
      <c r="F404" s="174"/>
      <c r="G404" s="174"/>
      <c r="H404" s="299"/>
      <c r="I404" s="175">
        <v>349.75736544444811</v>
      </c>
      <c r="J404" s="300">
        <v>2.2226026130491738E-2</v>
      </c>
      <c r="K404" s="301">
        <v>3.1751465900702477E-3</v>
      </c>
      <c r="L404" s="176">
        <f>I404*PRP!$J$8+J404*PRP!$J$9+K404*PRP!$J$10</f>
        <v>351.28651604222597</v>
      </c>
      <c r="M404" s="171"/>
      <c r="N404" s="171"/>
      <c r="O404" s="171"/>
      <c r="P404" s="171"/>
      <c r="Q404" s="171"/>
      <c r="S404" s="123" t="s">
        <v>626</v>
      </c>
    </row>
    <row r="405" spans="2:19">
      <c r="B405" s="298" t="s">
        <v>632</v>
      </c>
      <c r="C405" s="173"/>
      <c r="D405" s="174"/>
      <c r="E405" s="174"/>
      <c r="F405" s="174"/>
      <c r="G405" s="174"/>
      <c r="H405" s="299"/>
      <c r="I405" s="175">
        <v>369.15433596318729</v>
      </c>
      <c r="J405" s="300">
        <v>2.1772433760481703E-2</v>
      </c>
      <c r="K405" s="301">
        <v>2.7215542200602128E-3</v>
      </c>
      <c r="L405" s="176">
        <f>I405*PRP!$J$8+J405*PRP!$J$9+K405*PRP!$J$10</f>
        <v>370.54613879132609</v>
      </c>
      <c r="M405" s="171"/>
      <c r="N405" s="171"/>
      <c r="O405" s="171"/>
      <c r="P405" s="171"/>
      <c r="Q405" s="171"/>
      <c r="S405" s="123" t="s">
        <v>626</v>
      </c>
    </row>
    <row r="406" spans="2:19">
      <c r="B406" s="298" t="s">
        <v>633</v>
      </c>
      <c r="C406" s="173"/>
      <c r="D406" s="174"/>
      <c r="E406" s="174"/>
      <c r="F406" s="174"/>
      <c r="G406" s="174"/>
      <c r="H406" s="299"/>
      <c r="I406" s="175">
        <v>524.11963325341583</v>
      </c>
      <c r="J406" s="300">
        <v>5.6245453881244391E-2</v>
      </c>
      <c r="K406" s="301">
        <v>8.6182550301906729E-3</v>
      </c>
      <c r="L406" s="176">
        <f>I406*PRP!$J$8+J406*PRP!$J$9+K406*PRP!$J$10</f>
        <v>528.14853140231901</v>
      </c>
      <c r="M406" s="171"/>
      <c r="N406" s="171"/>
      <c r="O406" s="171"/>
      <c r="P406" s="171"/>
      <c r="Q406" s="171"/>
      <c r="S406" s="123" t="s">
        <v>626</v>
      </c>
    </row>
    <row r="407" spans="2:19">
      <c r="B407" s="298" t="s">
        <v>634</v>
      </c>
      <c r="C407" s="173"/>
      <c r="D407" s="174"/>
      <c r="E407" s="174"/>
      <c r="F407" s="174"/>
      <c r="G407" s="174"/>
      <c r="H407" s="299"/>
      <c r="I407" s="175">
        <v>714.5925948603998</v>
      </c>
      <c r="J407" s="300">
        <v>7.3935556311635786E-2</v>
      </c>
      <c r="K407" s="301">
        <v>1.1339809250250887E-2</v>
      </c>
      <c r="L407" s="176">
        <f>I407*PRP!$J$8+J407*PRP!$J$9+K407*PRP!$J$10</f>
        <v>719.89164236380498</v>
      </c>
      <c r="M407" s="171"/>
      <c r="N407" s="171"/>
      <c r="O407" s="171"/>
      <c r="P407" s="171"/>
      <c r="Q407" s="171"/>
      <c r="S407" s="123" t="s">
        <v>626</v>
      </c>
    </row>
    <row r="408" spans="2:19">
      <c r="B408" s="298" t="s">
        <v>635</v>
      </c>
      <c r="C408" s="173"/>
      <c r="D408" s="174"/>
      <c r="E408" s="174"/>
      <c r="F408" s="174"/>
      <c r="G408" s="174"/>
      <c r="H408" s="299"/>
      <c r="I408" s="175">
        <v>671.14479610661863</v>
      </c>
      <c r="J408" s="300">
        <v>6.0327785211334709E-2</v>
      </c>
      <c r="K408" s="301">
        <v>8.6182550301906729E-3</v>
      </c>
      <c r="L408" s="176">
        <f>I408*PRP!$J$8+J408*PRP!$J$9+K408*PRP!$J$10</f>
        <v>675.29534772915849</v>
      </c>
      <c r="M408" s="171"/>
      <c r="N408" s="171"/>
      <c r="O408" s="171"/>
      <c r="P408" s="171"/>
      <c r="Q408" s="171"/>
      <c r="S408" s="123" t="s">
        <v>626</v>
      </c>
    </row>
    <row r="409" spans="2:19">
      <c r="B409" s="298" t="s">
        <v>636</v>
      </c>
      <c r="C409" s="173"/>
      <c r="D409" s="174"/>
      <c r="E409" s="174"/>
      <c r="F409" s="174"/>
      <c r="G409" s="174"/>
      <c r="H409" s="299"/>
      <c r="I409" s="175">
        <v>424.78245062884804</v>
      </c>
      <c r="J409" s="300">
        <v>4.6266421741023619E-2</v>
      </c>
      <c r="K409" s="301">
        <v>6.803885550150531E-3</v>
      </c>
      <c r="L409" s="176">
        <f>I409*PRP!$J$8+J409*PRP!$J$9+K409*PRP!$J$10</f>
        <v>428.01865075192165</v>
      </c>
      <c r="M409" s="171"/>
      <c r="N409" s="171"/>
      <c r="O409" s="171"/>
      <c r="P409" s="171"/>
      <c r="Q409" s="171"/>
      <c r="S409" s="123" t="s">
        <v>626</v>
      </c>
    </row>
    <row r="410" spans="2:19">
      <c r="B410" s="298" t="s">
        <v>637</v>
      </c>
      <c r="C410" s="173"/>
      <c r="D410" s="174"/>
      <c r="E410" s="174"/>
      <c r="F410" s="174"/>
      <c r="G410" s="174"/>
      <c r="H410" s="299"/>
      <c r="I410" s="175">
        <v>243.31964785974327</v>
      </c>
      <c r="J410" s="300">
        <v>2.8576319310632231E-2</v>
      </c>
      <c r="K410" s="301">
        <v>3.6287389600802833E-3</v>
      </c>
      <c r="L410" s="176">
        <f>I410*PRP!$J$8+J410*PRP!$J$9+K410*PRP!$J$10</f>
        <v>245.16186791130204</v>
      </c>
      <c r="M410" s="171"/>
      <c r="N410" s="171"/>
      <c r="O410" s="171"/>
      <c r="P410" s="171"/>
      <c r="Q410" s="171"/>
      <c r="S410" s="123" t="s">
        <v>626</v>
      </c>
    </row>
    <row r="411" spans="2:19">
      <c r="B411" s="298" t="s">
        <v>638</v>
      </c>
      <c r="C411" s="173"/>
      <c r="D411" s="174"/>
      <c r="E411" s="174"/>
      <c r="F411" s="174"/>
      <c r="G411" s="174"/>
      <c r="H411" s="299"/>
      <c r="I411" s="175">
        <v>273.10252287460219</v>
      </c>
      <c r="J411" s="300">
        <v>2.5401172720561981E-2</v>
      </c>
      <c r="K411" s="301">
        <v>3.6287389600802833E-3</v>
      </c>
      <c r="L411" s="176">
        <f>I411*PRP!$J$8+J411*PRP!$J$9+K411*PRP!$J$10</f>
        <v>274.85012355777684</v>
      </c>
      <c r="M411" s="171"/>
      <c r="N411" s="171"/>
      <c r="O411" s="171"/>
      <c r="P411" s="171"/>
      <c r="Q411" s="171"/>
      <c r="S411" s="123" t="s">
        <v>626</v>
      </c>
    </row>
    <row r="412" spans="2:19">
      <c r="B412" s="298" t="s">
        <v>639</v>
      </c>
      <c r="C412" s="173"/>
      <c r="D412" s="174"/>
      <c r="E412" s="174"/>
      <c r="F412" s="174"/>
      <c r="G412" s="174"/>
      <c r="H412" s="299"/>
      <c r="I412" s="175">
        <v>401.53493448109367</v>
      </c>
      <c r="J412" s="300">
        <v>1.0432624510230816E-2</v>
      </c>
      <c r="K412" s="301">
        <v>1.3607771100301064E-3</v>
      </c>
      <c r="L412" s="176">
        <f>I412*PRP!$J$8+J412*PRP!$J$9+K412*PRP!$J$10</f>
        <v>402.21731884253677</v>
      </c>
      <c r="M412" s="171"/>
      <c r="N412" s="171"/>
      <c r="O412" s="171"/>
      <c r="P412" s="171"/>
      <c r="Q412" s="171"/>
      <c r="S412" s="123" t="s">
        <v>626</v>
      </c>
    </row>
    <row r="413" spans="2:19">
      <c r="B413" s="298" t="s">
        <v>640</v>
      </c>
      <c r="C413" s="173"/>
      <c r="D413" s="174"/>
      <c r="E413" s="174"/>
      <c r="F413" s="174"/>
      <c r="G413" s="174"/>
      <c r="H413" s="299"/>
      <c r="I413" s="175">
        <v>544.63198741000963</v>
      </c>
      <c r="J413" s="300">
        <v>6.123496995135478E-2</v>
      </c>
      <c r="K413" s="301">
        <v>8.1646626601806372E-3</v>
      </c>
      <c r="L413" s="176">
        <f>I413*PRP!$J$8+J413*PRP!$J$9+K413*PRP!$J$10</f>
        <v>548.68574242078932</v>
      </c>
      <c r="M413" s="171"/>
      <c r="N413" s="171"/>
      <c r="O413" s="171"/>
      <c r="P413" s="171"/>
      <c r="Q413" s="171"/>
      <c r="S413" s="123" t="s">
        <v>626</v>
      </c>
    </row>
    <row r="414" spans="2:19">
      <c r="B414" s="298" t="s">
        <v>641</v>
      </c>
      <c r="C414" s="173"/>
      <c r="D414" s="174"/>
      <c r="E414" s="174"/>
      <c r="F414" s="174"/>
      <c r="G414" s="174"/>
      <c r="H414" s="299"/>
      <c r="I414" s="175">
        <v>124.53786751758533</v>
      </c>
      <c r="J414" s="300">
        <v>6.803885550150531E-3</v>
      </c>
      <c r="K414" s="301">
        <v>9.0718474002007084E-4</v>
      </c>
      <c r="L414" s="176">
        <f>I414*PRP!$J$8+J414*PRP!$J$9+K414*PRP!$J$10</f>
        <v>124.98828474100529</v>
      </c>
      <c r="M414" s="171"/>
      <c r="N414" s="171"/>
      <c r="O414" s="171"/>
      <c r="P414" s="171"/>
      <c r="Q414" s="171"/>
      <c r="S414" s="123" t="s">
        <v>626</v>
      </c>
    </row>
    <row r="415" spans="2:19">
      <c r="B415" s="298" t="s">
        <v>642</v>
      </c>
      <c r="C415" s="173"/>
      <c r="D415" s="174"/>
      <c r="E415" s="174"/>
      <c r="F415" s="174"/>
      <c r="G415" s="174"/>
      <c r="H415" s="299"/>
      <c r="I415" s="175">
        <v>722.79082335596127</v>
      </c>
      <c r="J415" s="300">
        <v>3.9462536190873081E-2</v>
      </c>
      <c r="K415" s="301">
        <v>6.3502931801404953E-3</v>
      </c>
      <c r="L415" s="176">
        <f>I415*PRP!$J$8+J415*PRP!$J$9+K415*PRP!$J$10</f>
        <v>725.7004369726277</v>
      </c>
      <c r="M415" s="171"/>
      <c r="N415" s="171"/>
      <c r="O415" s="171"/>
      <c r="P415" s="171"/>
      <c r="Q415" s="171"/>
      <c r="S415" s="123" t="s">
        <v>626</v>
      </c>
    </row>
    <row r="416" spans="2:19">
      <c r="B416" s="298" t="s">
        <v>643</v>
      </c>
      <c r="C416" s="173"/>
      <c r="D416" s="174"/>
      <c r="E416" s="174"/>
      <c r="F416" s="174"/>
      <c r="G416" s="174"/>
      <c r="H416" s="299"/>
      <c r="I416" s="175">
        <v>298.18527375141713</v>
      </c>
      <c r="J416" s="300">
        <v>2.0411656650451596E-2</v>
      </c>
      <c r="K416" s="301">
        <v>2.7215542200602128E-3</v>
      </c>
      <c r="L416" s="176">
        <f>I416*PRP!$J$8+J416*PRP!$J$9+K416*PRP!$J$10</f>
        <v>299.53652542167703</v>
      </c>
      <c r="M416" s="171"/>
      <c r="N416" s="171"/>
      <c r="O416" s="171"/>
      <c r="P416" s="171"/>
      <c r="Q416" s="171"/>
      <c r="S416" s="123" t="s">
        <v>626</v>
      </c>
    </row>
    <row r="417" spans="2:19">
      <c r="B417" s="298" t="s">
        <v>644</v>
      </c>
      <c r="C417" s="173"/>
      <c r="D417" s="174"/>
      <c r="E417" s="174"/>
      <c r="F417" s="174"/>
      <c r="G417" s="174"/>
      <c r="H417" s="299"/>
      <c r="I417" s="175">
        <v>551.75157324968711</v>
      </c>
      <c r="J417" s="300">
        <v>5.2616714921164105E-2</v>
      </c>
      <c r="K417" s="301">
        <v>7.2574779201605667E-3</v>
      </c>
      <c r="L417" s="176">
        <f>I417*PRP!$J$8+J417*PRP!$J$9+K417*PRP!$J$10</f>
        <v>555.30084282654161</v>
      </c>
      <c r="M417" s="171"/>
      <c r="N417" s="171"/>
      <c r="O417" s="171"/>
      <c r="P417" s="171"/>
      <c r="Q417" s="171"/>
      <c r="S417" s="123" t="s">
        <v>626</v>
      </c>
    </row>
    <row r="418" spans="2:19">
      <c r="B418" s="298" t="s">
        <v>645</v>
      </c>
      <c r="C418" s="173"/>
      <c r="D418" s="174"/>
      <c r="E418" s="174"/>
      <c r="F418" s="174"/>
      <c r="G418" s="174"/>
      <c r="H418" s="299"/>
      <c r="I418" s="175">
        <v>453.61641040564598</v>
      </c>
      <c r="J418" s="300">
        <v>3.9462536190873081E-2</v>
      </c>
      <c r="K418" s="301">
        <v>5.4431084401204257E-3</v>
      </c>
      <c r="L418" s="176">
        <f>I418*PRP!$J$8+J418*PRP!$J$9+K418*PRP!$J$10</f>
        <v>456.27836258828688</v>
      </c>
      <c r="M418" s="171"/>
      <c r="N418" s="171"/>
      <c r="O418" s="171"/>
      <c r="P418" s="171"/>
      <c r="Q418" s="171"/>
      <c r="S418" s="123" t="s">
        <v>626</v>
      </c>
    </row>
    <row r="419" spans="2:19">
      <c r="B419" s="298" t="s">
        <v>646</v>
      </c>
      <c r="C419" s="173"/>
      <c r="D419" s="174"/>
      <c r="E419" s="174"/>
      <c r="F419" s="174"/>
      <c r="G419" s="174"/>
      <c r="H419" s="299"/>
      <c r="I419" s="175">
        <v>510.24016032347868</v>
      </c>
      <c r="J419" s="300">
        <v>4.5812829371013573E-2</v>
      </c>
      <c r="K419" s="301">
        <v>6.3502931801404953E-3</v>
      </c>
      <c r="L419" s="176">
        <f>I419*PRP!$J$8+J419*PRP!$J$9+K419*PRP!$J$10</f>
        <v>513.33901267691328</v>
      </c>
      <c r="M419" s="171"/>
      <c r="N419" s="171"/>
      <c r="O419" s="171"/>
      <c r="P419" s="171"/>
      <c r="Q419" s="171"/>
      <c r="S419" s="123" t="s">
        <v>626</v>
      </c>
    </row>
    <row r="420" spans="2:19">
      <c r="B420" s="298" t="s">
        <v>647</v>
      </c>
      <c r="C420" s="173"/>
      <c r="D420" s="174"/>
      <c r="E420" s="174"/>
      <c r="F420" s="174"/>
      <c r="G420" s="174"/>
      <c r="H420" s="299"/>
      <c r="I420" s="175">
        <v>432.08075186230951</v>
      </c>
      <c r="J420" s="300">
        <v>4.5359237001003548E-2</v>
      </c>
      <c r="K420" s="301">
        <v>6.3502931801404953E-3</v>
      </c>
      <c r="L420" s="176">
        <f>I420*PRP!$J$8+J420*PRP!$J$9+K420*PRP!$J$10</f>
        <v>435.16608716311777</v>
      </c>
      <c r="M420" s="171"/>
      <c r="N420" s="171"/>
      <c r="O420" s="171"/>
      <c r="P420" s="171"/>
      <c r="Q420" s="171"/>
      <c r="S420" s="123" t="s">
        <v>626</v>
      </c>
    </row>
    <row r="421" spans="2:19">
      <c r="B421" s="298" t="s">
        <v>648</v>
      </c>
      <c r="C421" s="173"/>
      <c r="D421" s="174"/>
      <c r="E421" s="174"/>
      <c r="F421" s="174"/>
      <c r="G421" s="174"/>
      <c r="H421" s="299"/>
      <c r="I421" s="175">
        <v>440.16512867299838</v>
      </c>
      <c r="J421" s="300">
        <v>3.2658650640722549E-2</v>
      </c>
      <c r="K421" s="301">
        <v>4.5359237001003543E-3</v>
      </c>
      <c r="L421" s="176">
        <f>I421*PRP!$J$8+J421*PRP!$J$9+K421*PRP!$J$10</f>
        <v>442.37666363221928</v>
      </c>
      <c r="M421" s="171"/>
      <c r="N421" s="171"/>
      <c r="O421" s="171"/>
      <c r="P421" s="171"/>
      <c r="Q421" s="171"/>
      <c r="S421" s="123" t="s">
        <v>626</v>
      </c>
    </row>
    <row r="422" spans="2:19">
      <c r="B422" s="298" t="s">
        <v>649</v>
      </c>
      <c r="C422" s="173"/>
      <c r="D422" s="174"/>
      <c r="E422" s="174"/>
      <c r="F422" s="174"/>
      <c r="G422" s="174"/>
      <c r="H422" s="299"/>
      <c r="I422" s="175">
        <v>363.33429226358851</v>
      </c>
      <c r="J422" s="300">
        <v>1.8143694800401417E-2</v>
      </c>
      <c r="K422" s="301">
        <v>2.7215542200602128E-3</v>
      </c>
      <c r="L422" s="176">
        <f>I422*PRP!$J$8+J422*PRP!$J$9+K422*PRP!$J$10</f>
        <v>364.61795867071692</v>
      </c>
      <c r="M422" s="171"/>
      <c r="N422" s="171"/>
      <c r="O422" s="171"/>
      <c r="P422" s="171"/>
      <c r="Q422" s="171"/>
      <c r="S422" s="123" t="s">
        <v>626</v>
      </c>
    </row>
    <row r="423" spans="2:19">
      <c r="B423" s="302" t="s">
        <v>650</v>
      </c>
      <c r="C423" s="178"/>
      <c r="D423" s="179"/>
      <c r="E423" s="179"/>
      <c r="F423" s="179"/>
      <c r="G423" s="179"/>
      <c r="H423" s="303"/>
      <c r="I423" s="182">
        <v>621.37029097593734</v>
      </c>
      <c r="J423" s="304">
        <v>6.8492447871515358E-2</v>
      </c>
      <c r="K423" s="305">
        <v>9.97903214022078E-3</v>
      </c>
      <c r="L423" s="176">
        <f>I423*PRP!$J$8+J423*PRP!$J$9+K423*PRP!$J$10</f>
        <v>626.13564169678875</v>
      </c>
      <c r="M423" s="171"/>
      <c r="N423" s="171"/>
      <c r="O423" s="171"/>
      <c r="P423" s="171"/>
      <c r="Q423" s="171"/>
      <c r="S423" s="123" t="s">
        <v>626</v>
      </c>
    </row>
    <row r="424" spans="2:19">
      <c r="B424" s="302" t="s">
        <v>651</v>
      </c>
      <c r="C424" s="178"/>
      <c r="D424" s="179"/>
      <c r="E424" s="179"/>
      <c r="F424" s="179"/>
      <c r="G424" s="179"/>
      <c r="H424" s="303"/>
      <c r="I424" s="182">
        <v>405.18952820626453</v>
      </c>
      <c r="J424" s="304">
        <v>2.9029911680642267E-2</v>
      </c>
      <c r="K424" s="305">
        <v>4.0823313300903186E-3</v>
      </c>
      <c r="L424" s="176">
        <f>I424*PRP!$J$8+J424*PRP!$J$9+K424*PRP!$J$10</f>
        <v>407.16909602746233</v>
      </c>
      <c r="M424" s="171"/>
      <c r="N424" s="171"/>
      <c r="O424" s="171"/>
      <c r="P424" s="171"/>
      <c r="Q424" s="171"/>
      <c r="S424" s="123" t="s">
        <v>626</v>
      </c>
    </row>
    <row r="425" spans="2:19">
      <c r="B425" s="302" t="s">
        <v>652</v>
      </c>
      <c r="C425" s="178"/>
      <c r="D425" s="179"/>
      <c r="E425" s="179"/>
      <c r="F425" s="179"/>
      <c r="G425" s="179"/>
      <c r="H425" s="303"/>
      <c r="I425" s="182">
        <v>423.23207190815373</v>
      </c>
      <c r="J425" s="304">
        <v>3.7194574340822906E-2</v>
      </c>
      <c r="K425" s="305">
        <v>5.4431084401204257E-3</v>
      </c>
      <c r="L425" s="176">
        <f>I425*PRP!$J$8+J425*PRP!$J$9+K425*PRP!$J$10</f>
        <v>425.82643882766314</v>
      </c>
      <c r="M425" s="171"/>
      <c r="N425" s="171"/>
      <c r="O425" s="171"/>
      <c r="P425" s="171"/>
      <c r="Q425" s="171"/>
      <c r="S425" s="123" t="s">
        <v>626</v>
      </c>
    </row>
    <row r="426" spans="2:19" ht="15.75" thickBot="1">
      <c r="B426" s="302" t="s">
        <v>653</v>
      </c>
      <c r="C426" s="178"/>
      <c r="D426" s="179"/>
      <c r="E426" s="179"/>
      <c r="F426" s="179"/>
      <c r="G426" s="179"/>
      <c r="H426" s="303"/>
      <c r="I426" s="182">
        <v>282.58214981544194</v>
      </c>
      <c r="J426" s="304">
        <v>2.1318841390471667E-2</v>
      </c>
      <c r="K426" s="305">
        <v>3.1751465900702477E-3</v>
      </c>
      <c r="L426" s="183">
        <f>I426*PRP!$J$8+J426*PRP!$J$9+K426*PRP!$J$10</f>
        <v>284.0842663079672</v>
      </c>
      <c r="M426" s="171"/>
      <c r="N426" s="171"/>
      <c r="O426" s="171"/>
      <c r="P426" s="171"/>
      <c r="Q426" s="171"/>
      <c r="S426" s="267" t="s">
        <v>626</v>
      </c>
    </row>
    <row r="427" spans="2:19" ht="15.75" thickTop="1">
      <c r="B427" s="289" t="s">
        <v>654</v>
      </c>
      <c r="C427" s="290"/>
      <c r="D427" s="291"/>
      <c r="E427" s="291"/>
      <c r="F427" s="291"/>
      <c r="G427" s="291"/>
      <c r="H427" s="292"/>
      <c r="I427" s="293">
        <v>549</v>
      </c>
      <c r="J427" s="306">
        <v>0</v>
      </c>
      <c r="K427" s="307">
        <v>0</v>
      </c>
      <c r="L427" s="296">
        <f>I427*PRP!$J$8+J427*PRP!$J$9+K427*PRP!$J$10</f>
        <v>549</v>
      </c>
      <c r="M427" s="308"/>
      <c r="N427" s="308"/>
      <c r="O427" s="308"/>
      <c r="P427" s="308"/>
      <c r="Q427" s="308"/>
      <c r="R427" s="309"/>
      <c r="S427" s="310" t="s">
        <v>655</v>
      </c>
    </row>
    <row r="428" spans="2:19">
      <c r="B428" s="121" t="s">
        <v>656</v>
      </c>
      <c r="C428" s="117"/>
      <c r="D428" s="167"/>
      <c r="E428" s="167"/>
      <c r="F428" s="167"/>
      <c r="G428" s="167"/>
      <c r="H428" s="196"/>
      <c r="I428" s="170">
        <v>671</v>
      </c>
      <c r="J428" s="279">
        <v>0</v>
      </c>
      <c r="K428" s="279">
        <v>0</v>
      </c>
      <c r="L428" s="127">
        <f>I428*PRP!$J$8+J428*PRP!$J$9+K428*PRP!$J$10</f>
        <v>671</v>
      </c>
      <c r="M428" s="171"/>
      <c r="N428" s="171"/>
      <c r="O428" s="171"/>
      <c r="P428" s="171"/>
      <c r="Q428" s="171"/>
      <c r="S428" s="123" t="s">
        <v>657</v>
      </c>
    </row>
    <row r="429" spans="2:19">
      <c r="B429" s="121" t="s">
        <v>658</v>
      </c>
      <c r="C429" s="117"/>
      <c r="D429" s="167"/>
      <c r="E429" s="167"/>
      <c r="F429" s="167"/>
      <c r="G429" s="167"/>
      <c r="H429" s="196"/>
      <c r="I429" s="170">
        <v>560</v>
      </c>
      <c r="J429" s="279">
        <v>0</v>
      </c>
      <c r="K429" s="279">
        <v>0</v>
      </c>
      <c r="L429" s="127">
        <f>I429*PRP!$J$8+J429*PRP!$J$9+K429*PRP!$J$10</f>
        <v>560</v>
      </c>
      <c r="M429" s="171"/>
      <c r="N429" s="171"/>
      <c r="O429" s="171"/>
      <c r="P429" s="171"/>
      <c r="Q429" s="171"/>
      <c r="S429" s="123" t="s">
        <v>659</v>
      </c>
    </row>
    <row r="430" spans="2:19">
      <c r="B430" s="121" t="s">
        <v>660</v>
      </c>
      <c r="C430" s="117"/>
      <c r="D430" s="167"/>
      <c r="E430" s="167"/>
      <c r="F430" s="167"/>
      <c r="G430" s="167"/>
      <c r="H430" s="196"/>
      <c r="I430" s="170">
        <v>599</v>
      </c>
      <c r="J430" s="279">
        <v>0</v>
      </c>
      <c r="K430" s="279">
        <v>0</v>
      </c>
      <c r="L430" s="127">
        <f>I430*PRP!$J$8+J430*PRP!$J$9+K430*PRP!$J$10</f>
        <v>599</v>
      </c>
      <c r="M430" s="171"/>
      <c r="N430" s="171"/>
      <c r="O430" s="171"/>
      <c r="P430" s="171"/>
      <c r="Q430" s="171"/>
      <c r="S430" s="123" t="s">
        <v>661</v>
      </c>
    </row>
    <row r="431" spans="2:19">
      <c r="B431" s="121" t="s">
        <v>662</v>
      </c>
      <c r="C431" s="117"/>
      <c r="D431" s="167"/>
      <c r="E431" s="167"/>
      <c r="F431" s="167"/>
      <c r="G431" s="167"/>
      <c r="H431" s="196"/>
      <c r="I431" s="170">
        <v>633</v>
      </c>
      <c r="J431" s="279">
        <v>0</v>
      </c>
      <c r="K431" s="279">
        <v>0</v>
      </c>
      <c r="L431" s="127">
        <f>I431*PRP!$J$8+J431*PRP!$J$9+K431*PRP!$J$10</f>
        <v>633</v>
      </c>
      <c r="M431" s="171"/>
      <c r="N431" s="171"/>
      <c r="O431" s="171"/>
      <c r="P431" s="171"/>
      <c r="Q431" s="171"/>
      <c r="S431" s="123" t="s">
        <v>659</v>
      </c>
    </row>
    <row r="432" spans="2:19">
      <c r="B432" s="121" t="s">
        <v>663</v>
      </c>
      <c r="C432" s="117"/>
      <c r="D432" s="167"/>
      <c r="E432" s="167"/>
      <c r="F432" s="167"/>
      <c r="G432" s="167"/>
      <c r="H432" s="196"/>
      <c r="I432" s="170">
        <v>676</v>
      </c>
      <c r="J432" s="279">
        <v>0</v>
      </c>
      <c r="K432" s="279">
        <v>0</v>
      </c>
      <c r="L432" s="127">
        <f>I432*PRP!$J$8+J432*PRP!$J$9+K432*PRP!$J$10</f>
        <v>676</v>
      </c>
      <c r="M432" s="171"/>
      <c r="N432" s="171"/>
      <c r="O432" s="171"/>
      <c r="P432" s="171"/>
      <c r="Q432" s="171"/>
      <c r="S432" s="123" t="s">
        <v>657</v>
      </c>
    </row>
    <row r="433" spans="2:19">
      <c r="B433" s="121" t="s">
        <v>664</v>
      </c>
      <c r="C433" s="117"/>
      <c r="D433" s="167"/>
      <c r="E433" s="167"/>
      <c r="F433" s="167"/>
      <c r="G433" s="167"/>
      <c r="H433" s="196"/>
      <c r="I433" s="170">
        <v>433.23</v>
      </c>
      <c r="J433" s="279">
        <v>0</v>
      </c>
      <c r="K433" s="279">
        <v>0</v>
      </c>
      <c r="L433" s="127">
        <f>I433*PRP!$J$8+J433*PRP!$J$9+K433*PRP!$J$10</f>
        <v>433.23</v>
      </c>
      <c r="M433" s="171"/>
      <c r="N433" s="171"/>
      <c r="O433" s="171"/>
      <c r="P433" s="171"/>
      <c r="Q433" s="171"/>
      <c r="S433" s="123" t="s">
        <v>665</v>
      </c>
    </row>
    <row r="434" spans="2:19">
      <c r="B434" s="121" t="s">
        <v>666</v>
      </c>
      <c r="C434" s="117"/>
      <c r="D434" s="167"/>
      <c r="E434" s="167"/>
      <c r="F434" s="167"/>
      <c r="G434" s="167"/>
      <c r="H434" s="196"/>
      <c r="I434" s="170">
        <v>363</v>
      </c>
      <c r="J434" s="279">
        <v>0</v>
      </c>
      <c r="K434" s="279">
        <v>0</v>
      </c>
      <c r="L434" s="127">
        <f>I434*PRP!$J$8+J434*PRP!$J$9+K434*PRP!$J$10</f>
        <v>363</v>
      </c>
      <c r="M434" s="171"/>
      <c r="N434" s="171"/>
      <c r="O434" s="171"/>
      <c r="P434" s="171"/>
      <c r="Q434" s="171"/>
      <c r="S434" s="123" t="s">
        <v>659</v>
      </c>
    </row>
    <row r="435" spans="2:19">
      <c r="B435" s="121" t="s">
        <v>667</v>
      </c>
      <c r="C435" s="117"/>
      <c r="D435" s="167"/>
      <c r="E435" s="167"/>
      <c r="F435" s="167"/>
      <c r="G435" s="167"/>
      <c r="H435" s="196"/>
      <c r="I435" s="170">
        <v>479.37</v>
      </c>
      <c r="J435" s="279">
        <v>0</v>
      </c>
      <c r="K435" s="279">
        <v>0</v>
      </c>
      <c r="L435" s="127">
        <f>I435*PRP!$J$8+J435*PRP!$J$9+K435*PRP!$J$10</f>
        <v>479.37</v>
      </c>
      <c r="M435" s="171"/>
      <c r="N435" s="171"/>
      <c r="O435" s="171"/>
      <c r="P435" s="171"/>
      <c r="Q435" s="171"/>
      <c r="S435" s="123" t="s">
        <v>668</v>
      </c>
    </row>
    <row r="436" spans="2:19">
      <c r="B436" s="121" t="s">
        <v>669</v>
      </c>
      <c r="C436" s="117"/>
      <c r="D436" s="167"/>
      <c r="E436" s="167"/>
      <c r="F436" s="167"/>
      <c r="G436" s="167"/>
      <c r="H436" s="196"/>
      <c r="I436" s="170">
        <v>231</v>
      </c>
      <c r="J436" s="279">
        <v>0</v>
      </c>
      <c r="K436" s="279">
        <v>0</v>
      </c>
      <c r="L436" s="127">
        <f>I436*PRP!$J$8+J436*PRP!$J$9+K436*PRP!$J$10</f>
        <v>231</v>
      </c>
      <c r="M436" s="171"/>
      <c r="N436" s="171"/>
      <c r="O436" s="171"/>
      <c r="P436" s="171"/>
      <c r="Q436" s="171"/>
      <c r="S436" s="123" t="s">
        <v>655</v>
      </c>
    </row>
    <row r="437" spans="2:19" ht="15.75" thickBot="1">
      <c r="B437" s="121" t="s">
        <v>670</v>
      </c>
      <c r="C437" s="117"/>
      <c r="D437" s="167"/>
      <c r="E437" s="167"/>
      <c r="F437" s="167"/>
      <c r="G437" s="167"/>
      <c r="H437" s="196"/>
      <c r="I437" s="170">
        <v>612</v>
      </c>
      <c r="J437" s="279">
        <v>0</v>
      </c>
      <c r="K437" s="279">
        <v>0</v>
      </c>
      <c r="L437" s="127">
        <f>I437*PRP!$J$8+J437*PRP!$J$9+K437*PRP!$J$10</f>
        <v>612</v>
      </c>
      <c r="M437" s="171"/>
      <c r="N437" s="171"/>
      <c r="O437" s="171"/>
      <c r="P437" s="171"/>
      <c r="Q437" s="171"/>
      <c r="S437" s="123" t="s">
        <v>671</v>
      </c>
    </row>
    <row r="438" spans="2:19" ht="18.75" thickTop="1">
      <c r="B438" s="311" t="s">
        <v>672</v>
      </c>
      <c r="C438" s="312"/>
      <c r="D438" s="312"/>
      <c r="E438" s="312" t="s">
        <v>154</v>
      </c>
      <c r="F438" s="312"/>
      <c r="G438" s="312" t="s">
        <v>154</v>
      </c>
      <c r="H438" s="313"/>
      <c r="I438" s="314" t="s">
        <v>159</v>
      </c>
      <c r="J438" s="315" t="s">
        <v>160</v>
      </c>
      <c r="K438" s="315" t="s">
        <v>161</v>
      </c>
      <c r="L438" s="316" t="s">
        <v>162</v>
      </c>
      <c r="M438" s="317"/>
      <c r="N438" s="317"/>
      <c r="O438" s="317"/>
      <c r="P438" s="317"/>
      <c r="Q438" s="317"/>
      <c r="R438" s="309"/>
      <c r="S438" s="310" t="s">
        <v>154</v>
      </c>
    </row>
    <row r="439" spans="2:19" ht="18">
      <c r="B439" s="161" t="s">
        <v>589</v>
      </c>
      <c r="C439" s="163" t="s">
        <v>673</v>
      </c>
      <c r="D439" s="162"/>
      <c r="E439" s="162" t="s">
        <v>154</v>
      </c>
      <c r="F439" s="162"/>
      <c r="G439" s="162" t="s">
        <v>154</v>
      </c>
      <c r="H439" s="212"/>
      <c r="I439" s="164" t="s">
        <v>592</v>
      </c>
      <c r="J439" s="104" t="s">
        <v>593</v>
      </c>
      <c r="K439" s="104" t="s">
        <v>594</v>
      </c>
      <c r="L439" s="109" t="s">
        <v>595</v>
      </c>
      <c r="M439" s="159"/>
      <c r="N439" s="159"/>
      <c r="O439" s="159"/>
      <c r="P439" s="159"/>
      <c r="Q439" s="159"/>
      <c r="S439" s="278" t="s">
        <v>154</v>
      </c>
    </row>
    <row r="440" spans="2:19">
      <c r="B440" s="121" t="s">
        <v>596</v>
      </c>
      <c r="C440" s="117" t="s">
        <v>597</v>
      </c>
      <c r="D440" s="167"/>
      <c r="E440" s="167"/>
      <c r="F440" s="167"/>
      <c r="G440" s="167"/>
      <c r="H440" s="196"/>
      <c r="I440" s="170">
        <v>0.4</v>
      </c>
      <c r="J440" s="279">
        <v>0</v>
      </c>
      <c r="K440" s="279">
        <v>0</v>
      </c>
      <c r="L440" s="127">
        <f>I440*PRP!$J$8+J440*PRP!$J$9+K440*PRP!$J$10</f>
        <v>0.4</v>
      </c>
      <c r="M440" s="171"/>
      <c r="N440" s="171"/>
      <c r="O440" s="171"/>
      <c r="P440" s="171"/>
      <c r="Q440" s="171"/>
      <c r="S440" s="280" t="s">
        <v>598</v>
      </c>
    </row>
    <row r="441" spans="2:19">
      <c r="B441" s="121" t="s">
        <v>599</v>
      </c>
      <c r="C441" s="117"/>
      <c r="D441" s="167"/>
      <c r="E441" s="167"/>
      <c r="F441" s="167"/>
      <c r="G441" s="167"/>
      <c r="H441" s="196"/>
      <c r="I441" s="170"/>
      <c r="J441" s="279"/>
      <c r="K441" s="279"/>
      <c r="L441" s="127"/>
      <c r="M441" s="171"/>
      <c r="N441" s="171"/>
      <c r="O441" s="171"/>
      <c r="P441" s="171"/>
      <c r="Q441" s="171"/>
      <c r="S441" s="123"/>
    </row>
    <row r="442" spans="2:19">
      <c r="B442" s="121" t="s">
        <v>601</v>
      </c>
      <c r="C442" s="117"/>
      <c r="D442" s="167"/>
      <c r="E442" s="167"/>
      <c r="F442" s="167"/>
      <c r="G442" s="167"/>
      <c r="H442" s="196"/>
      <c r="I442" s="170">
        <v>2</v>
      </c>
      <c r="J442" s="279">
        <v>0</v>
      </c>
      <c r="K442" s="279">
        <v>0</v>
      </c>
      <c r="L442" s="127">
        <f>I442*PRP!$J$8+J442*PRP!$J$9+K442*PRP!$J$10</f>
        <v>2</v>
      </c>
      <c r="M442" s="171"/>
      <c r="N442" s="171"/>
      <c r="O442" s="171"/>
      <c r="P442" s="171"/>
      <c r="Q442" s="171"/>
      <c r="S442" s="282" t="s">
        <v>602</v>
      </c>
    </row>
    <row r="443" spans="2:19">
      <c r="B443" s="121" t="s">
        <v>603</v>
      </c>
      <c r="C443" s="117"/>
      <c r="D443" s="167"/>
      <c r="E443" s="167"/>
      <c r="F443" s="167"/>
      <c r="G443" s="167"/>
      <c r="H443" s="196"/>
      <c r="I443" s="170">
        <v>1</v>
      </c>
      <c r="J443" s="279">
        <v>0</v>
      </c>
      <c r="K443" s="279">
        <v>0</v>
      </c>
      <c r="L443" s="127">
        <f>I443*PRP!$J$8+J443*PRP!$J$9+K443*PRP!$J$10</f>
        <v>1</v>
      </c>
      <c r="M443" s="171"/>
      <c r="N443" s="171"/>
      <c r="O443" s="171"/>
      <c r="P443" s="171"/>
      <c r="Q443" s="171"/>
      <c r="S443" s="282" t="s">
        <v>604</v>
      </c>
    </row>
    <row r="444" spans="2:19">
      <c r="B444" s="121" t="s">
        <v>605</v>
      </c>
      <c r="C444" s="117"/>
      <c r="D444" s="167"/>
      <c r="E444" s="167"/>
      <c r="F444" s="167"/>
      <c r="G444" s="167"/>
      <c r="H444" s="196"/>
      <c r="I444" s="170">
        <v>30</v>
      </c>
      <c r="J444" s="279">
        <v>0</v>
      </c>
      <c r="K444" s="279">
        <v>0</v>
      </c>
      <c r="L444" s="127">
        <f>I444*PRP!$J$8+J444*PRP!$J$9+K444*PRP!$J$10</f>
        <v>30</v>
      </c>
      <c r="M444" s="171"/>
      <c r="N444" s="171"/>
      <c r="O444" s="171"/>
      <c r="P444" s="171"/>
      <c r="Q444" s="171"/>
      <c r="S444" s="282" t="s">
        <v>606</v>
      </c>
    </row>
    <row r="445" spans="2:19">
      <c r="B445" s="121" t="s">
        <v>607</v>
      </c>
      <c r="C445" s="117"/>
      <c r="D445" s="167"/>
      <c r="E445" s="167"/>
      <c r="F445" s="167"/>
      <c r="G445" s="167"/>
      <c r="H445" s="196"/>
      <c r="I445" s="170">
        <v>10</v>
      </c>
      <c r="J445" s="279">
        <v>0</v>
      </c>
      <c r="K445" s="279">
        <v>0</v>
      </c>
      <c r="L445" s="127">
        <f>I445*PRP!$J$8+J445*PRP!$J$9+K445*PRP!$J$10</f>
        <v>10</v>
      </c>
      <c r="M445" s="171"/>
      <c r="N445" s="171"/>
      <c r="O445" s="171"/>
      <c r="P445" s="171"/>
      <c r="Q445" s="171"/>
      <c r="S445" s="282" t="s">
        <v>608</v>
      </c>
    </row>
    <row r="446" spans="2:19">
      <c r="B446" s="121" t="s">
        <v>609</v>
      </c>
      <c r="C446" s="117"/>
      <c r="D446" s="167"/>
      <c r="E446" s="167"/>
      <c r="F446" s="167"/>
      <c r="G446" s="167"/>
      <c r="H446" s="196"/>
      <c r="I446" s="170">
        <f>I445</f>
        <v>10</v>
      </c>
      <c r="J446" s="279">
        <v>0</v>
      </c>
      <c r="K446" s="279">
        <v>0</v>
      </c>
      <c r="L446" s="127">
        <f>I446*PRP!$J$8+J446*PRP!$J$9+K446*PRP!$J$10</f>
        <v>10</v>
      </c>
      <c r="M446" s="171"/>
      <c r="N446" s="171"/>
      <c r="O446" s="171"/>
      <c r="P446" s="171"/>
      <c r="Q446" s="171"/>
      <c r="S446" s="282" t="s">
        <v>610</v>
      </c>
    </row>
    <row r="447" spans="2:19">
      <c r="B447" s="121" t="s">
        <v>611</v>
      </c>
      <c r="C447" s="117"/>
      <c r="D447" s="167"/>
      <c r="E447" s="167"/>
      <c r="F447" s="167"/>
      <c r="G447" s="167"/>
      <c r="H447" s="196"/>
      <c r="I447" s="170">
        <v>0.1</v>
      </c>
      <c r="J447" s="279">
        <v>0</v>
      </c>
      <c r="K447" s="279">
        <v>0</v>
      </c>
      <c r="L447" s="127">
        <f>I447*PRP!$J$8+J447*PRP!$J$9+K447*PRP!$J$10</f>
        <v>0.1</v>
      </c>
      <c r="M447" s="171"/>
      <c r="N447" s="171"/>
      <c r="O447" s="171"/>
      <c r="P447" s="171"/>
      <c r="Q447" s="171"/>
      <c r="S447" s="282" t="s">
        <v>612</v>
      </c>
    </row>
    <row r="448" spans="2:19">
      <c r="B448" s="121" t="s">
        <v>613</v>
      </c>
      <c r="C448" s="117"/>
      <c r="D448" s="167"/>
      <c r="E448" s="167"/>
      <c r="F448" s="167"/>
      <c r="G448" s="167"/>
      <c r="H448" s="196"/>
      <c r="I448" s="170">
        <v>60</v>
      </c>
      <c r="J448" s="279">
        <v>0</v>
      </c>
      <c r="K448" s="279">
        <v>0</v>
      </c>
      <c r="L448" s="127">
        <f>I448*PRP!$J$8+J448*PRP!$J$9+K448*PRP!$J$10</f>
        <v>60</v>
      </c>
      <c r="M448" s="171"/>
      <c r="N448" s="171"/>
      <c r="O448" s="171"/>
      <c r="P448" s="171"/>
      <c r="Q448" s="171"/>
      <c r="S448" s="282" t="s">
        <v>614</v>
      </c>
    </row>
    <row r="449" spans="2:19">
      <c r="B449" s="121" t="s">
        <v>615</v>
      </c>
      <c r="C449" s="117"/>
      <c r="D449" s="167"/>
      <c r="E449" s="167"/>
      <c r="F449" s="167"/>
      <c r="G449" s="167"/>
      <c r="H449" s="196"/>
      <c r="I449" s="170">
        <v>30</v>
      </c>
      <c r="J449" s="279">
        <v>0</v>
      </c>
      <c r="K449" s="279">
        <v>0</v>
      </c>
      <c r="L449" s="127">
        <f>I449*PRP!$J$8+J449*PRP!$J$9+K449*PRP!$J$10</f>
        <v>30</v>
      </c>
      <c r="M449" s="171"/>
      <c r="N449" s="171"/>
      <c r="O449" s="171"/>
      <c r="P449" s="171"/>
      <c r="Q449" s="171"/>
      <c r="S449" s="282" t="s">
        <v>616</v>
      </c>
    </row>
    <row r="450" spans="2:19">
      <c r="B450" s="121" t="s">
        <v>617</v>
      </c>
      <c r="C450" s="117"/>
      <c r="D450" s="167"/>
      <c r="E450" s="167"/>
      <c r="F450" s="167"/>
      <c r="G450" s="167"/>
      <c r="H450" s="196"/>
      <c r="I450" s="170">
        <v>1</v>
      </c>
      <c r="J450" s="279">
        <v>0</v>
      </c>
      <c r="K450" s="279">
        <v>0</v>
      </c>
      <c r="L450" s="127">
        <f>I450*PRP!$J$8+J450*PRP!$J$9+K450*PRP!$J$10</f>
        <v>1</v>
      </c>
      <c r="M450" s="171"/>
      <c r="N450" s="171"/>
      <c r="O450" s="171"/>
      <c r="P450" s="171"/>
      <c r="Q450" s="171"/>
      <c r="S450" s="282" t="s">
        <v>618</v>
      </c>
    </row>
    <row r="451" spans="2:19">
      <c r="B451" s="121" t="s">
        <v>619</v>
      </c>
      <c r="C451" s="117"/>
      <c r="D451" s="167"/>
      <c r="E451" s="167"/>
      <c r="F451" s="167"/>
      <c r="G451" s="167"/>
      <c r="H451" s="196"/>
      <c r="I451" s="170">
        <v>10</v>
      </c>
      <c r="J451" s="279">
        <v>0</v>
      </c>
      <c r="K451" s="279">
        <v>0</v>
      </c>
      <c r="L451" s="127">
        <f>I451*PRP!$J$8+J451*PRP!$J$9+K451*PRP!$J$10</f>
        <v>10</v>
      </c>
      <c r="M451" s="171"/>
      <c r="N451" s="171"/>
      <c r="O451" s="171"/>
      <c r="P451" s="171"/>
      <c r="Q451" s="171"/>
      <c r="S451" s="282" t="s">
        <v>620</v>
      </c>
    </row>
    <row r="452" spans="2:19">
      <c r="B452" s="121" t="s">
        <v>674</v>
      </c>
      <c r="C452" s="117"/>
      <c r="D452" s="167"/>
      <c r="E452" s="167"/>
      <c r="F452" s="167"/>
      <c r="G452" s="167"/>
      <c r="H452" s="196"/>
      <c r="I452" s="170">
        <v>0</v>
      </c>
      <c r="J452" s="279">
        <v>0</v>
      </c>
      <c r="K452" s="279">
        <v>0</v>
      </c>
      <c r="L452" s="127">
        <f>I452*PRP!$J$8+J452*PRP!$J$9+K452*PRP!$J$10</f>
        <v>0</v>
      </c>
      <c r="M452" s="171"/>
      <c r="N452" s="171"/>
      <c r="O452" s="171"/>
      <c r="P452" s="171"/>
      <c r="Q452" s="171"/>
      <c r="S452" s="282" t="s">
        <v>622</v>
      </c>
    </row>
    <row r="453" spans="2:19" ht="15.75" thickBot="1">
      <c r="B453" s="283" t="s">
        <v>623</v>
      </c>
      <c r="C453" s="284"/>
      <c r="D453" s="285"/>
      <c r="E453" s="285"/>
      <c r="F453" s="285"/>
      <c r="G453" s="285"/>
      <c r="H453" s="171"/>
      <c r="I453" s="286">
        <v>40</v>
      </c>
      <c r="J453" s="287">
        <v>0</v>
      </c>
      <c r="K453" s="287">
        <v>0</v>
      </c>
      <c r="L453" s="127">
        <f>I453*PRP!$J$8+J453*PRP!$J$9+K453*PRP!$J$10</f>
        <v>40</v>
      </c>
      <c r="M453" s="171"/>
      <c r="N453" s="171"/>
      <c r="O453" s="171"/>
      <c r="P453" s="171"/>
      <c r="Q453" s="171"/>
      <c r="S453" s="111" t="s">
        <v>624</v>
      </c>
    </row>
    <row r="454" spans="2:19" ht="15.75" thickTop="1">
      <c r="B454" s="289" t="s">
        <v>625</v>
      </c>
      <c r="C454" s="290"/>
      <c r="D454" s="291"/>
      <c r="E454" s="291"/>
      <c r="F454" s="291"/>
      <c r="G454" s="291"/>
      <c r="H454" s="292"/>
      <c r="I454" s="293"/>
      <c r="J454" s="294"/>
      <c r="K454" s="295"/>
      <c r="L454" s="296">
        <f>I454*PRP!$J$8+J454*PRP!$J$9+K454*PRP!$J$10</f>
        <v>0</v>
      </c>
      <c r="M454" s="171"/>
      <c r="N454" s="171"/>
      <c r="O454" s="171"/>
      <c r="P454" s="171"/>
      <c r="Q454" s="171"/>
      <c r="S454" s="297"/>
    </row>
    <row r="455" spans="2:19">
      <c r="B455" s="298" t="s">
        <v>627</v>
      </c>
      <c r="C455" s="173"/>
      <c r="D455" s="174"/>
      <c r="E455" s="174"/>
      <c r="F455" s="174"/>
      <c r="G455" s="174"/>
      <c r="H455" s="299"/>
      <c r="I455" s="175"/>
      <c r="J455" s="300"/>
      <c r="K455" s="301"/>
      <c r="L455" s="176">
        <f>I455*PRP!$J$8+J455*PRP!$J$9+K455*PRP!$J$10</f>
        <v>0</v>
      </c>
      <c r="M455" s="171"/>
      <c r="N455" s="171"/>
      <c r="O455" s="171"/>
      <c r="P455" s="171"/>
      <c r="Q455" s="171"/>
      <c r="S455" s="123"/>
    </row>
    <row r="456" spans="2:19">
      <c r="B456" s="298" t="s">
        <v>628</v>
      </c>
      <c r="C456" s="173"/>
      <c r="D456" s="174"/>
      <c r="E456" s="174"/>
      <c r="F456" s="174"/>
      <c r="G456" s="174"/>
      <c r="H456" s="299"/>
      <c r="I456" s="175"/>
      <c r="J456" s="300"/>
      <c r="K456" s="301"/>
      <c r="L456" s="176">
        <f>I456*PRP!$J$8+J456*PRP!$J$9+K456*PRP!$J$10</f>
        <v>0</v>
      </c>
      <c r="M456" s="171"/>
      <c r="N456" s="171"/>
      <c r="O456" s="171"/>
      <c r="P456" s="171"/>
      <c r="Q456" s="171"/>
      <c r="S456" s="123"/>
    </row>
    <row r="457" spans="2:19">
      <c r="B457" s="298" t="s">
        <v>629</v>
      </c>
      <c r="C457" s="173"/>
      <c r="D457" s="174"/>
      <c r="E457" s="174"/>
      <c r="F457" s="174"/>
      <c r="G457" s="174"/>
      <c r="H457" s="299"/>
      <c r="I457" s="175"/>
      <c r="J457" s="300"/>
      <c r="K457" s="301"/>
      <c r="L457" s="176">
        <f>I457*PRP!$J$8+J457*PRP!$J$9+K457*PRP!$J$10</f>
        <v>0</v>
      </c>
      <c r="M457" s="171"/>
      <c r="N457" s="171"/>
      <c r="O457" s="171"/>
      <c r="P457" s="171"/>
      <c r="Q457" s="171"/>
      <c r="S457" s="123"/>
    </row>
    <row r="458" spans="2:19">
      <c r="B458" s="298" t="s">
        <v>630</v>
      </c>
      <c r="C458" s="173"/>
      <c r="D458" s="174"/>
      <c r="E458" s="174"/>
      <c r="F458" s="174"/>
      <c r="G458" s="174"/>
      <c r="H458" s="299"/>
      <c r="I458" s="175"/>
      <c r="J458" s="300"/>
      <c r="K458" s="301"/>
      <c r="L458" s="176">
        <f>I458*PRP!$J$8+J458*PRP!$J$9+K458*PRP!$J$10</f>
        <v>0</v>
      </c>
      <c r="M458" s="171"/>
      <c r="N458" s="171"/>
      <c r="O458" s="171"/>
      <c r="P458" s="171"/>
      <c r="Q458" s="171"/>
      <c r="S458" s="123"/>
    </row>
    <row r="459" spans="2:19">
      <c r="B459" s="298" t="s">
        <v>631</v>
      </c>
      <c r="C459" s="173"/>
      <c r="D459" s="174"/>
      <c r="E459" s="174"/>
      <c r="F459" s="174"/>
      <c r="G459" s="174"/>
      <c r="H459" s="299"/>
      <c r="I459" s="175"/>
      <c r="J459" s="300"/>
      <c r="K459" s="301"/>
      <c r="L459" s="176">
        <f>I459*PRP!$J$8+J459*PRP!$J$9+K459*PRP!$J$10</f>
        <v>0</v>
      </c>
      <c r="M459" s="171"/>
      <c r="N459" s="171"/>
      <c r="O459" s="171"/>
      <c r="P459" s="171"/>
      <c r="Q459" s="171"/>
      <c r="S459" s="123"/>
    </row>
    <row r="460" spans="2:19">
      <c r="B460" s="298" t="s">
        <v>632</v>
      </c>
      <c r="C460" s="173"/>
      <c r="D460" s="174"/>
      <c r="E460" s="174"/>
      <c r="F460" s="174"/>
      <c r="G460" s="174"/>
      <c r="H460" s="299"/>
      <c r="I460" s="175"/>
      <c r="J460" s="300"/>
      <c r="K460" s="301"/>
      <c r="L460" s="176">
        <f>I460*PRP!$J$8+J460*PRP!$J$9+K460*PRP!$J$10</f>
        <v>0</v>
      </c>
      <c r="M460" s="171"/>
      <c r="N460" s="171"/>
      <c r="O460" s="171"/>
      <c r="P460" s="171"/>
      <c r="Q460" s="171"/>
      <c r="S460" s="123"/>
    </row>
    <row r="461" spans="2:19">
      <c r="B461" s="298" t="s">
        <v>633</v>
      </c>
      <c r="C461" s="173"/>
      <c r="D461" s="174"/>
      <c r="E461" s="174"/>
      <c r="F461" s="174"/>
      <c r="G461" s="174"/>
      <c r="H461" s="299"/>
      <c r="I461" s="175"/>
      <c r="J461" s="300"/>
      <c r="K461" s="301"/>
      <c r="L461" s="176">
        <f>I461*PRP!$J$8+J461*PRP!$J$9+K461*PRP!$J$10</f>
        <v>0</v>
      </c>
      <c r="M461" s="171"/>
      <c r="N461" s="171"/>
      <c r="O461" s="171"/>
      <c r="P461" s="171"/>
      <c r="Q461" s="171"/>
      <c r="S461" s="123"/>
    </row>
    <row r="462" spans="2:19">
      <c r="B462" s="298" t="s">
        <v>634</v>
      </c>
      <c r="C462" s="173"/>
      <c r="D462" s="174"/>
      <c r="E462" s="174"/>
      <c r="F462" s="174"/>
      <c r="G462" s="174"/>
      <c r="H462" s="299"/>
      <c r="I462" s="175"/>
      <c r="J462" s="300"/>
      <c r="K462" s="301"/>
      <c r="L462" s="176">
        <f>I462*PRP!$J$8+J462*PRP!$J$9+K462*PRP!$J$10</f>
        <v>0</v>
      </c>
      <c r="M462" s="171"/>
      <c r="N462" s="171"/>
      <c r="O462" s="171"/>
      <c r="P462" s="171"/>
      <c r="Q462" s="171"/>
      <c r="S462" s="123"/>
    </row>
    <row r="463" spans="2:19">
      <c r="B463" s="298" t="s">
        <v>635</v>
      </c>
      <c r="C463" s="173"/>
      <c r="D463" s="174"/>
      <c r="E463" s="174"/>
      <c r="F463" s="174"/>
      <c r="G463" s="174"/>
      <c r="H463" s="299"/>
      <c r="I463" s="175"/>
      <c r="J463" s="300"/>
      <c r="K463" s="301"/>
      <c r="L463" s="176">
        <f>I463*PRP!$J$8+J463*PRP!$J$9+K463*PRP!$J$10</f>
        <v>0</v>
      </c>
      <c r="M463" s="171"/>
      <c r="N463" s="171"/>
      <c r="O463" s="171"/>
      <c r="P463" s="171"/>
      <c r="Q463" s="171"/>
      <c r="S463" s="123"/>
    </row>
    <row r="464" spans="2:19">
      <c r="B464" s="298" t="s">
        <v>636</v>
      </c>
      <c r="C464" s="173"/>
      <c r="D464" s="174"/>
      <c r="E464" s="174"/>
      <c r="F464" s="174"/>
      <c r="G464" s="174"/>
      <c r="H464" s="299"/>
      <c r="I464" s="175"/>
      <c r="J464" s="300"/>
      <c r="K464" s="301"/>
      <c r="L464" s="176">
        <f>I464*PRP!$J$8+J464*PRP!$J$9+K464*PRP!$J$10</f>
        <v>0</v>
      </c>
      <c r="M464" s="171"/>
      <c r="N464" s="171"/>
      <c r="O464" s="171"/>
      <c r="P464" s="171"/>
      <c r="Q464" s="171"/>
      <c r="S464" s="123"/>
    </row>
    <row r="465" spans="2:19">
      <c r="B465" s="298" t="s">
        <v>637</v>
      </c>
      <c r="C465" s="173"/>
      <c r="D465" s="174"/>
      <c r="E465" s="174"/>
      <c r="F465" s="174"/>
      <c r="G465" s="174"/>
      <c r="H465" s="299"/>
      <c r="I465" s="175"/>
      <c r="J465" s="300"/>
      <c r="K465" s="301"/>
      <c r="L465" s="176">
        <f>I465*PRP!$J$8+J465*PRP!$J$9+K465*PRP!$J$10</f>
        <v>0</v>
      </c>
      <c r="M465" s="171"/>
      <c r="N465" s="171"/>
      <c r="O465" s="171"/>
      <c r="P465" s="171"/>
      <c r="Q465" s="171"/>
      <c r="S465" s="123"/>
    </row>
    <row r="466" spans="2:19">
      <c r="B466" s="298" t="s">
        <v>638</v>
      </c>
      <c r="C466" s="173"/>
      <c r="D466" s="174"/>
      <c r="E466" s="174"/>
      <c r="F466" s="174"/>
      <c r="G466" s="174"/>
      <c r="H466" s="299"/>
      <c r="I466" s="175"/>
      <c r="J466" s="300"/>
      <c r="K466" s="301"/>
      <c r="L466" s="176">
        <f>I466*PRP!$J$8+J466*PRP!$J$9+K466*PRP!$J$10</f>
        <v>0</v>
      </c>
      <c r="M466" s="171"/>
      <c r="N466" s="171"/>
      <c r="O466" s="171"/>
      <c r="P466" s="171"/>
      <c r="Q466" s="171"/>
      <c r="S466" s="123"/>
    </row>
    <row r="467" spans="2:19">
      <c r="B467" s="298" t="s">
        <v>639</v>
      </c>
      <c r="C467" s="173"/>
      <c r="D467" s="174"/>
      <c r="E467" s="174"/>
      <c r="F467" s="174"/>
      <c r="G467" s="174"/>
      <c r="H467" s="299"/>
      <c r="I467" s="175"/>
      <c r="J467" s="300"/>
      <c r="K467" s="301"/>
      <c r="L467" s="176">
        <f>I467*PRP!$J$8+J467*PRP!$J$9+K467*PRP!$J$10</f>
        <v>0</v>
      </c>
      <c r="M467" s="171"/>
      <c r="N467" s="171"/>
      <c r="O467" s="171"/>
      <c r="P467" s="171"/>
      <c r="Q467" s="171"/>
      <c r="S467" s="123"/>
    </row>
    <row r="468" spans="2:19">
      <c r="B468" s="298" t="s">
        <v>640</v>
      </c>
      <c r="C468" s="173"/>
      <c r="D468" s="174"/>
      <c r="E468" s="174"/>
      <c r="F468" s="174"/>
      <c r="G468" s="174"/>
      <c r="H468" s="299"/>
      <c r="I468" s="175"/>
      <c r="J468" s="300"/>
      <c r="K468" s="301"/>
      <c r="L468" s="176">
        <f>I468*PRP!$J$8+J468*PRP!$J$9+K468*PRP!$J$10</f>
        <v>0</v>
      </c>
      <c r="M468" s="171"/>
      <c r="N468" s="171"/>
      <c r="O468" s="171"/>
      <c r="P468" s="171"/>
      <c r="Q468" s="171"/>
      <c r="S468" s="123"/>
    </row>
    <row r="469" spans="2:19">
      <c r="B469" s="298" t="s">
        <v>641</v>
      </c>
      <c r="C469" s="173"/>
      <c r="D469" s="174"/>
      <c r="E469" s="174"/>
      <c r="F469" s="174"/>
      <c r="G469" s="174"/>
      <c r="H469" s="299"/>
      <c r="I469" s="175"/>
      <c r="J469" s="300"/>
      <c r="K469" s="301"/>
      <c r="L469" s="176">
        <f>I469*PRP!$J$8+J469*PRP!$J$9+K469*PRP!$J$10</f>
        <v>0</v>
      </c>
      <c r="M469" s="171"/>
      <c r="N469" s="171"/>
      <c r="O469" s="171"/>
      <c r="P469" s="171"/>
      <c r="Q469" s="171"/>
      <c r="S469" s="123"/>
    </row>
    <row r="470" spans="2:19">
      <c r="B470" s="298" t="s">
        <v>642</v>
      </c>
      <c r="C470" s="173"/>
      <c r="D470" s="174"/>
      <c r="E470" s="174"/>
      <c r="F470" s="174"/>
      <c r="G470" s="174"/>
      <c r="H470" s="299"/>
      <c r="I470" s="175"/>
      <c r="J470" s="300"/>
      <c r="K470" s="301"/>
      <c r="L470" s="176">
        <f>I470*PRP!$J$8+J470*PRP!$J$9+K470*PRP!$J$10</f>
        <v>0</v>
      </c>
      <c r="M470" s="171"/>
      <c r="N470" s="171"/>
      <c r="O470" s="171"/>
      <c r="P470" s="171"/>
      <c r="Q470" s="171"/>
      <c r="S470" s="123"/>
    </row>
    <row r="471" spans="2:19">
      <c r="B471" s="298" t="s">
        <v>643</v>
      </c>
      <c r="C471" s="173"/>
      <c r="D471" s="174"/>
      <c r="E471" s="174"/>
      <c r="F471" s="174"/>
      <c r="G471" s="174"/>
      <c r="H471" s="299"/>
      <c r="I471" s="175"/>
      <c r="J471" s="300"/>
      <c r="K471" s="301"/>
      <c r="L471" s="176">
        <f>I471*PRP!$J$8+J471*PRP!$J$9+K471*PRP!$J$10</f>
        <v>0</v>
      </c>
      <c r="M471" s="171"/>
      <c r="N471" s="171"/>
      <c r="O471" s="171"/>
      <c r="P471" s="171"/>
      <c r="Q471" s="171"/>
      <c r="S471" s="123"/>
    </row>
    <row r="472" spans="2:19">
      <c r="B472" s="298" t="s">
        <v>644</v>
      </c>
      <c r="C472" s="173"/>
      <c r="D472" s="174"/>
      <c r="E472" s="174"/>
      <c r="F472" s="174"/>
      <c r="G472" s="174"/>
      <c r="H472" s="299"/>
      <c r="I472" s="175"/>
      <c r="J472" s="300"/>
      <c r="K472" s="301"/>
      <c r="L472" s="176">
        <f>I472*PRP!$J$8+J472*PRP!$J$9+K472*PRP!$J$10</f>
        <v>0</v>
      </c>
      <c r="M472" s="171"/>
      <c r="N472" s="171"/>
      <c r="O472" s="171"/>
      <c r="P472" s="171"/>
      <c r="Q472" s="171"/>
      <c r="S472" s="123"/>
    </row>
    <row r="473" spans="2:19">
      <c r="B473" s="298" t="s">
        <v>645</v>
      </c>
      <c r="C473" s="173"/>
      <c r="D473" s="174"/>
      <c r="E473" s="174"/>
      <c r="F473" s="174"/>
      <c r="G473" s="174"/>
      <c r="H473" s="299"/>
      <c r="I473" s="175"/>
      <c r="J473" s="300"/>
      <c r="K473" s="301"/>
      <c r="L473" s="176">
        <f>I473*PRP!$J$8+J473*PRP!$J$9+K473*PRP!$J$10</f>
        <v>0</v>
      </c>
      <c r="M473" s="171"/>
      <c r="N473" s="171"/>
      <c r="O473" s="171"/>
      <c r="P473" s="171"/>
      <c r="Q473" s="171"/>
      <c r="S473" s="123"/>
    </row>
    <row r="474" spans="2:19">
      <c r="B474" s="298" t="s">
        <v>646</v>
      </c>
      <c r="C474" s="173"/>
      <c r="D474" s="174"/>
      <c r="E474" s="174"/>
      <c r="F474" s="174"/>
      <c r="G474" s="174"/>
      <c r="H474" s="299"/>
      <c r="I474" s="175"/>
      <c r="J474" s="300"/>
      <c r="K474" s="301"/>
      <c r="L474" s="176">
        <f>I474*PRP!$J$8+J474*PRP!$J$9+K474*PRP!$J$10</f>
        <v>0</v>
      </c>
      <c r="M474" s="171"/>
      <c r="N474" s="171"/>
      <c r="O474" s="171"/>
      <c r="P474" s="171"/>
      <c r="Q474" s="171"/>
      <c r="S474" s="123"/>
    </row>
    <row r="475" spans="2:19">
      <c r="B475" s="298" t="s">
        <v>647</v>
      </c>
      <c r="C475" s="173"/>
      <c r="D475" s="174"/>
      <c r="E475" s="174"/>
      <c r="F475" s="174"/>
      <c r="G475" s="174"/>
      <c r="H475" s="299"/>
      <c r="I475" s="175"/>
      <c r="J475" s="300"/>
      <c r="K475" s="301"/>
      <c r="L475" s="176">
        <f>I475*PRP!$J$8+J475*PRP!$J$9+K475*PRP!$J$10</f>
        <v>0</v>
      </c>
      <c r="M475" s="171"/>
      <c r="N475" s="171"/>
      <c r="O475" s="171"/>
      <c r="P475" s="171"/>
      <c r="Q475" s="171"/>
      <c r="S475" s="123"/>
    </row>
    <row r="476" spans="2:19">
      <c r="B476" s="298" t="s">
        <v>648</v>
      </c>
      <c r="C476" s="173"/>
      <c r="D476" s="174"/>
      <c r="E476" s="174"/>
      <c r="F476" s="174"/>
      <c r="G476" s="174"/>
      <c r="H476" s="299"/>
      <c r="I476" s="175"/>
      <c r="J476" s="300"/>
      <c r="K476" s="301"/>
      <c r="L476" s="176">
        <f>I476*PRP!$J$8+J476*PRP!$J$9+K476*PRP!$J$10</f>
        <v>0</v>
      </c>
      <c r="M476" s="171"/>
      <c r="N476" s="171"/>
      <c r="O476" s="171"/>
      <c r="P476" s="171"/>
      <c r="Q476" s="171"/>
      <c r="S476" s="123"/>
    </row>
    <row r="477" spans="2:19">
      <c r="B477" s="298" t="s">
        <v>649</v>
      </c>
      <c r="C477" s="173"/>
      <c r="D477" s="174"/>
      <c r="E477" s="174"/>
      <c r="F477" s="174"/>
      <c r="G477" s="174"/>
      <c r="H477" s="299"/>
      <c r="I477" s="175"/>
      <c r="J477" s="300"/>
      <c r="K477" s="301"/>
      <c r="L477" s="176">
        <f>I477*PRP!$J$8+J477*PRP!$J$9+K477*PRP!$J$10</f>
        <v>0</v>
      </c>
      <c r="M477" s="171"/>
      <c r="N477" s="171"/>
      <c r="O477" s="171"/>
      <c r="P477" s="171"/>
      <c r="Q477" s="171"/>
      <c r="S477" s="123"/>
    </row>
    <row r="478" spans="2:19">
      <c r="B478" s="302" t="s">
        <v>650</v>
      </c>
      <c r="C478" s="178"/>
      <c r="D478" s="179"/>
      <c r="E478" s="179"/>
      <c r="F478" s="179"/>
      <c r="G478" s="179"/>
      <c r="H478" s="303"/>
      <c r="I478" s="182"/>
      <c r="J478" s="304"/>
      <c r="K478" s="305"/>
      <c r="L478" s="176">
        <f>I478*PRP!$J$8+J478*PRP!$J$9+K478*PRP!$J$10</f>
        <v>0</v>
      </c>
      <c r="M478" s="171"/>
      <c r="N478" s="171"/>
      <c r="O478" s="171"/>
      <c r="P478" s="171"/>
      <c r="Q478" s="171"/>
      <c r="S478" s="123"/>
    </row>
    <row r="479" spans="2:19">
      <c r="B479" s="302" t="s">
        <v>651</v>
      </c>
      <c r="C479" s="178"/>
      <c r="D479" s="179"/>
      <c r="E479" s="179"/>
      <c r="F479" s="179"/>
      <c r="G479" s="179"/>
      <c r="H479" s="303"/>
      <c r="I479" s="182"/>
      <c r="J479" s="304"/>
      <c r="K479" s="305"/>
      <c r="L479" s="176">
        <f>I479*PRP!$J$8+J479*PRP!$J$9+K479*PRP!$J$10</f>
        <v>0</v>
      </c>
      <c r="M479" s="171"/>
      <c r="N479" s="171"/>
      <c r="O479" s="171"/>
      <c r="P479" s="171"/>
      <c r="Q479" s="171"/>
      <c r="S479" s="123"/>
    </row>
    <row r="480" spans="2:19">
      <c r="B480" s="302" t="s">
        <v>652</v>
      </c>
      <c r="C480" s="178"/>
      <c r="D480" s="179"/>
      <c r="E480" s="179"/>
      <c r="F480" s="179"/>
      <c r="G480" s="179"/>
      <c r="H480" s="303"/>
      <c r="I480" s="182"/>
      <c r="J480" s="304"/>
      <c r="K480" s="305"/>
      <c r="L480" s="176">
        <f>I480*PRP!$J$8+J480*PRP!$J$9+K480*PRP!$J$10</f>
        <v>0</v>
      </c>
      <c r="M480" s="171"/>
      <c r="N480" s="171"/>
      <c r="O480" s="171"/>
      <c r="P480" s="171"/>
      <c r="Q480" s="171"/>
      <c r="S480" s="123"/>
    </row>
    <row r="481" spans="1:19" ht="15.75" thickBot="1">
      <c r="B481" s="302" t="s">
        <v>653</v>
      </c>
      <c r="C481" s="178"/>
      <c r="D481" s="179"/>
      <c r="E481" s="179"/>
      <c r="F481" s="179"/>
      <c r="G481" s="179"/>
      <c r="H481" s="303"/>
      <c r="I481" s="182"/>
      <c r="J481" s="304"/>
      <c r="K481" s="305"/>
      <c r="L481" s="183">
        <f>I481*PRP!$J$8+J481*PRP!$J$9+K481*PRP!$J$10</f>
        <v>0</v>
      </c>
      <c r="M481" s="171"/>
      <c r="N481" s="171"/>
      <c r="O481" s="171"/>
      <c r="P481" s="171"/>
      <c r="Q481" s="171"/>
      <c r="S481" s="123"/>
    </row>
    <row r="482" spans="1:19" ht="15.75" thickTop="1">
      <c r="B482" s="289" t="s">
        <v>654</v>
      </c>
      <c r="C482" s="318"/>
      <c r="D482" s="319"/>
      <c r="E482" s="319"/>
      <c r="F482" s="319"/>
      <c r="G482" s="319"/>
      <c r="H482" s="320"/>
      <c r="I482" s="321"/>
      <c r="J482" s="322"/>
      <c r="K482" s="323"/>
      <c r="L482" s="119">
        <v>0</v>
      </c>
      <c r="M482" s="308"/>
      <c r="N482" s="308"/>
      <c r="O482" s="308"/>
      <c r="P482" s="308"/>
      <c r="Q482" s="308"/>
      <c r="R482" s="309"/>
      <c r="S482" s="324"/>
    </row>
    <row r="483" spans="1:19">
      <c r="B483" s="121" t="s">
        <v>656</v>
      </c>
      <c r="C483" s="117"/>
      <c r="D483" s="167"/>
      <c r="E483" s="167"/>
      <c r="F483" s="167"/>
      <c r="G483" s="167"/>
      <c r="H483" s="196"/>
      <c r="I483" s="170"/>
      <c r="J483" s="279"/>
      <c r="K483" s="325"/>
      <c r="L483" s="127">
        <v>0</v>
      </c>
      <c r="M483" s="171"/>
      <c r="N483" s="171"/>
      <c r="O483" s="171"/>
      <c r="P483" s="171"/>
      <c r="Q483" s="171"/>
      <c r="S483" s="123"/>
    </row>
    <row r="484" spans="1:19">
      <c r="B484" s="121" t="s">
        <v>658</v>
      </c>
      <c r="C484" s="117"/>
      <c r="D484" s="167"/>
      <c r="E484" s="167"/>
      <c r="F484" s="167"/>
      <c r="G484" s="167"/>
      <c r="H484" s="196"/>
      <c r="I484" s="170"/>
      <c r="J484" s="279"/>
      <c r="K484" s="325"/>
      <c r="L484" s="127">
        <v>0</v>
      </c>
      <c r="M484" s="171"/>
      <c r="N484" s="171"/>
      <c r="O484" s="171"/>
      <c r="P484" s="171"/>
      <c r="Q484" s="171"/>
      <c r="S484" s="123"/>
    </row>
    <row r="485" spans="1:19">
      <c r="B485" s="121" t="s">
        <v>660</v>
      </c>
      <c r="C485" s="117"/>
      <c r="D485" s="167"/>
      <c r="E485" s="167"/>
      <c r="F485" s="167"/>
      <c r="G485" s="167"/>
      <c r="H485" s="196"/>
      <c r="I485" s="170"/>
      <c r="J485" s="279"/>
      <c r="K485" s="279"/>
      <c r="L485" s="127">
        <v>0</v>
      </c>
      <c r="M485" s="171"/>
      <c r="N485" s="171"/>
      <c r="O485" s="171"/>
      <c r="P485" s="171"/>
      <c r="Q485" s="171"/>
      <c r="S485" s="123"/>
    </row>
    <row r="486" spans="1:19">
      <c r="B486" s="121" t="s">
        <v>662</v>
      </c>
      <c r="C486" s="117"/>
      <c r="D486" s="167"/>
      <c r="E486" s="167"/>
      <c r="F486" s="167"/>
      <c r="G486" s="167"/>
      <c r="H486" s="196"/>
      <c r="I486" s="170"/>
      <c r="J486" s="279"/>
      <c r="K486" s="279"/>
      <c r="L486" s="127">
        <v>0</v>
      </c>
      <c r="M486" s="171"/>
      <c r="N486" s="171"/>
      <c r="O486" s="171"/>
      <c r="P486" s="171"/>
      <c r="Q486" s="171"/>
      <c r="S486" s="123"/>
    </row>
    <row r="487" spans="1:19">
      <c r="B487" s="121" t="s">
        <v>663</v>
      </c>
      <c r="C487" s="117"/>
      <c r="D487" s="167"/>
      <c r="E487" s="167"/>
      <c r="F487" s="167"/>
      <c r="G487" s="167"/>
      <c r="H487" s="196"/>
      <c r="I487" s="170"/>
      <c r="J487" s="279"/>
      <c r="K487" s="279"/>
      <c r="L487" s="127">
        <v>0</v>
      </c>
      <c r="M487" s="171"/>
      <c r="N487" s="171"/>
      <c r="O487" s="171"/>
      <c r="P487" s="171"/>
      <c r="Q487" s="171"/>
      <c r="S487" s="123"/>
    </row>
    <row r="488" spans="1:19">
      <c r="B488" s="121" t="s">
        <v>664</v>
      </c>
      <c r="C488" s="117"/>
      <c r="D488" s="167"/>
      <c r="E488" s="167"/>
      <c r="F488" s="167"/>
      <c r="G488" s="167"/>
      <c r="H488" s="196"/>
      <c r="I488" s="170"/>
      <c r="J488" s="279"/>
      <c r="K488" s="279"/>
      <c r="L488" s="127">
        <v>0</v>
      </c>
      <c r="M488" s="171"/>
      <c r="N488" s="171"/>
      <c r="O488" s="171"/>
      <c r="P488" s="171"/>
      <c r="Q488" s="171"/>
      <c r="S488" s="123"/>
    </row>
    <row r="489" spans="1:19">
      <c r="B489" s="121" t="s">
        <v>666</v>
      </c>
      <c r="C489" s="117"/>
      <c r="D489" s="167"/>
      <c r="E489" s="167"/>
      <c r="F489" s="167"/>
      <c r="G489" s="167"/>
      <c r="H489" s="196"/>
      <c r="I489" s="170"/>
      <c r="J489" s="279"/>
      <c r="K489" s="279"/>
      <c r="L489" s="127">
        <v>0</v>
      </c>
      <c r="M489" s="171"/>
      <c r="N489" s="171"/>
      <c r="O489" s="171"/>
      <c r="P489" s="171"/>
      <c r="Q489" s="171"/>
      <c r="S489" s="123"/>
    </row>
    <row r="490" spans="1:19">
      <c r="B490" s="121" t="s">
        <v>667</v>
      </c>
      <c r="C490" s="117"/>
      <c r="D490" s="167"/>
      <c r="E490" s="167"/>
      <c r="F490" s="167"/>
      <c r="G490" s="167"/>
      <c r="H490" s="196"/>
      <c r="I490" s="170"/>
      <c r="J490" s="279"/>
      <c r="K490" s="279"/>
      <c r="L490" s="127">
        <v>0</v>
      </c>
      <c r="M490" s="171"/>
      <c r="N490" s="171"/>
      <c r="O490" s="171"/>
      <c r="P490" s="171"/>
      <c r="Q490" s="171"/>
      <c r="S490" s="123"/>
    </row>
    <row r="491" spans="1:19">
      <c r="B491" s="121" t="s">
        <v>669</v>
      </c>
      <c r="C491" s="117"/>
      <c r="D491" s="167"/>
      <c r="E491" s="167"/>
      <c r="F491" s="167"/>
      <c r="G491" s="167"/>
      <c r="H491" s="196"/>
      <c r="I491" s="170"/>
      <c r="J491" s="279"/>
      <c r="K491" s="279"/>
      <c r="L491" s="127">
        <v>0</v>
      </c>
      <c r="M491" s="171"/>
      <c r="N491" s="171"/>
      <c r="O491" s="171"/>
      <c r="P491" s="171"/>
      <c r="Q491" s="171"/>
      <c r="S491" s="123"/>
    </row>
    <row r="492" spans="1:19" ht="15.75" thickBot="1">
      <c r="B492" s="121" t="s">
        <v>670</v>
      </c>
      <c r="C492" s="326"/>
      <c r="D492" s="327"/>
      <c r="E492" s="327"/>
      <c r="F492" s="327"/>
      <c r="G492" s="327"/>
      <c r="H492" s="203"/>
      <c r="I492" s="328"/>
      <c r="J492" s="329"/>
      <c r="K492" s="329"/>
      <c r="L492" s="205">
        <v>0</v>
      </c>
      <c r="M492" s="171"/>
      <c r="N492" s="171"/>
      <c r="O492" s="171"/>
      <c r="P492" s="171"/>
      <c r="Q492" s="171"/>
      <c r="S492" s="147"/>
    </row>
    <row r="493" spans="1:19" ht="15.75" thickBot="1">
      <c r="A493" s="86"/>
      <c r="S493" s="57"/>
    </row>
    <row r="494" spans="1:19" ht="19.5" thickBot="1">
      <c r="A494" s="86"/>
      <c r="B494" s="148" t="s">
        <v>675</v>
      </c>
      <c r="C494" s="149"/>
      <c r="D494" s="149"/>
      <c r="E494" s="149"/>
      <c r="F494" s="149"/>
      <c r="G494" s="149"/>
      <c r="H494" s="150"/>
      <c r="I494" s="151"/>
      <c r="J494" s="330" t="s">
        <v>676</v>
      </c>
      <c r="K494" s="151"/>
      <c r="L494" s="152" t="s">
        <v>155</v>
      </c>
      <c r="M494" s="153"/>
      <c r="N494" s="153"/>
      <c r="O494" s="153"/>
      <c r="P494" s="153"/>
      <c r="Q494" s="153"/>
      <c r="R494" s="90"/>
      <c r="S494" s="154" t="s">
        <v>156</v>
      </c>
    </row>
    <row r="495" spans="1:19" ht="16.5">
      <c r="B495" s="191"/>
      <c r="C495" s="192"/>
      <c r="D495" s="192"/>
      <c r="E495" s="192"/>
      <c r="F495" s="192"/>
      <c r="G495" s="192"/>
      <c r="H495" s="156"/>
      <c r="I495" s="158" t="s">
        <v>677</v>
      </c>
      <c r="J495" s="97" t="s">
        <v>678</v>
      </c>
      <c r="K495" s="97"/>
      <c r="L495" s="98" t="s">
        <v>162</v>
      </c>
      <c r="M495" s="159"/>
      <c r="N495" s="159"/>
      <c r="O495" s="159"/>
      <c r="P495" s="159"/>
      <c r="Q495" s="159"/>
      <c r="S495" s="193"/>
    </row>
    <row r="496" spans="1:19" ht="16.5">
      <c r="B496" s="103"/>
      <c r="C496" s="104" t="s">
        <v>166</v>
      </c>
      <c r="D496" s="104"/>
      <c r="E496" s="104"/>
      <c r="F496" s="206" t="s">
        <v>167</v>
      </c>
      <c r="G496" s="104"/>
      <c r="H496" s="212"/>
      <c r="I496" s="164" t="s">
        <v>679</v>
      </c>
      <c r="J496" s="104" t="s">
        <v>680</v>
      </c>
      <c r="K496" s="104"/>
      <c r="L496" s="109" t="s">
        <v>173</v>
      </c>
      <c r="M496" s="159"/>
      <c r="N496" s="159"/>
      <c r="O496" s="159"/>
      <c r="P496" s="159"/>
      <c r="Q496" s="159"/>
      <c r="S496" s="194"/>
    </row>
    <row r="497" spans="1:19">
      <c r="B497" s="129"/>
      <c r="C497" s="59" t="s">
        <v>186</v>
      </c>
      <c r="D497" s="59"/>
      <c r="E497" s="59"/>
      <c r="F497" s="59" t="s">
        <v>77</v>
      </c>
      <c r="G497" s="59"/>
      <c r="H497" s="196"/>
      <c r="I497" s="170">
        <v>21917</v>
      </c>
      <c r="J497" s="59">
        <v>34.869999999999997</v>
      </c>
      <c r="K497" s="59"/>
      <c r="L497" s="331">
        <f t="shared" ref="L497:L506" si="30">I497*J497 / 1000</f>
        <v>764.24578999999994</v>
      </c>
      <c r="M497" s="332"/>
      <c r="N497" s="332"/>
      <c r="O497" s="332"/>
      <c r="P497" s="332"/>
      <c r="Q497" s="332"/>
      <c r="S497" s="123" t="s">
        <v>681</v>
      </c>
    </row>
    <row r="498" spans="1:19">
      <c r="B498" s="129"/>
      <c r="C498" s="59" t="s">
        <v>187</v>
      </c>
      <c r="D498" s="59"/>
      <c r="E498" s="59"/>
      <c r="F498" s="59" t="s">
        <v>77</v>
      </c>
      <c r="G498" s="59"/>
      <c r="H498" s="196"/>
      <c r="I498" s="170">
        <v>21603</v>
      </c>
      <c r="J498" s="59">
        <v>38.299999999999997</v>
      </c>
      <c r="K498" s="59"/>
      <c r="L498" s="331">
        <f t="shared" si="30"/>
        <v>827.39489999999989</v>
      </c>
      <c r="M498" s="332"/>
      <c r="N498" s="332"/>
      <c r="O498" s="332"/>
      <c r="P498" s="332"/>
      <c r="Q498" s="332"/>
      <c r="S498" s="123" t="s">
        <v>681</v>
      </c>
    </row>
    <row r="499" spans="1:19">
      <c r="B499" s="129"/>
      <c r="C499" s="59" t="s">
        <v>179</v>
      </c>
      <c r="D499" s="59"/>
      <c r="E499" s="59"/>
      <c r="F499" s="59" t="s">
        <v>77</v>
      </c>
      <c r="G499" s="59"/>
      <c r="H499" s="196"/>
      <c r="I499" s="170">
        <v>13957</v>
      </c>
      <c r="J499" s="59">
        <v>25.31</v>
      </c>
      <c r="K499" s="59"/>
      <c r="L499" s="331">
        <f t="shared" si="30"/>
        <v>353.25166999999999</v>
      </c>
      <c r="M499" s="332"/>
      <c r="N499" s="332"/>
      <c r="O499" s="332"/>
      <c r="P499" s="332"/>
      <c r="Q499" s="332"/>
      <c r="S499" s="123" t="s">
        <v>681</v>
      </c>
    </row>
    <row r="500" spans="1:19">
      <c r="B500" s="129"/>
      <c r="C500" s="59" t="s">
        <v>194</v>
      </c>
      <c r="D500" s="59"/>
      <c r="E500" s="59"/>
      <c r="F500" s="59" t="s">
        <v>184</v>
      </c>
      <c r="G500" s="59"/>
      <c r="H500" s="196"/>
      <c r="I500" s="170">
        <v>13957</v>
      </c>
      <c r="J500" s="59">
        <f>J499/$G$55</f>
        <v>50.62</v>
      </c>
      <c r="K500" s="59"/>
      <c r="L500" s="331">
        <f>I500*J500 / 1000</f>
        <v>706.50333999999998</v>
      </c>
      <c r="M500" s="332"/>
      <c r="N500" s="332"/>
      <c r="O500" s="332"/>
      <c r="P500" s="332"/>
      <c r="Q500" s="332"/>
      <c r="S500" s="123" t="s">
        <v>681</v>
      </c>
    </row>
    <row r="501" spans="1:19">
      <c r="B501" s="129"/>
      <c r="C501" s="59" t="s">
        <v>195</v>
      </c>
      <c r="D501" s="59"/>
      <c r="E501" s="59"/>
      <c r="F501" s="59" t="s">
        <v>682</v>
      </c>
      <c r="G501" s="59"/>
      <c r="H501" s="196"/>
      <c r="I501" s="170">
        <v>13957</v>
      </c>
      <c r="J501" s="59">
        <f>J499/$G$56</f>
        <v>22.960873075632083</v>
      </c>
      <c r="K501" s="59"/>
      <c r="L501" s="331">
        <f>I501*J501 / 1000</f>
        <v>320.46490551659696</v>
      </c>
      <c r="M501" s="332"/>
      <c r="N501" s="332"/>
      <c r="O501" s="332"/>
      <c r="P501" s="332"/>
      <c r="Q501" s="332"/>
      <c r="S501" s="123" t="s">
        <v>681</v>
      </c>
    </row>
    <row r="502" spans="1:19" ht="17.25">
      <c r="B502" s="129"/>
      <c r="C502" s="113" t="s">
        <v>176</v>
      </c>
      <c r="D502" s="59"/>
      <c r="E502" s="59"/>
      <c r="F502" s="59" t="s">
        <v>683</v>
      </c>
      <c r="G502" s="59"/>
      <c r="H502" s="196"/>
      <c r="I502" s="170">
        <f>12815</f>
        <v>12815</v>
      </c>
      <c r="J502" s="59">
        <f>37.89</f>
        <v>37.89</v>
      </c>
      <c r="K502" s="59"/>
      <c r="L502" s="331">
        <f t="shared" si="30"/>
        <v>485.56035000000003</v>
      </c>
      <c r="M502" s="332"/>
      <c r="N502" s="332"/>
      <c r="O502" s="332"/>
      <c r="P502" s="332"/>
      <c r="Q502" s="332"/>
      <c r="S502" s="123" t="s">
        <v>681</v>
      </c>
    </row>
    <row r="503" spans="1:19">
      <c r="B503" s="129"/>
      <c r="C503" s="59" t="s">
        <v>181</v>
      </c>
      <c r="D503" s="59"/>
      <c r="E503" s="59"/>
      <c r="F503" s="59" t="s">
        <v>77</v>
      </c>
      <c r="G503" s="59"/>
      <c r="H503" s="196"/>
      <c r="I503" s="170">
        <v>14309</v>
      </c>
      <c r="J503" s="59">
        <v>38.78</v>
      </c>
      <c r="K503" s="59"/>
      <c r="L503" s="331">
        <f t="shared" si="30"/>
        <v>554.90301999999997</v>
      </c>
      <c r="M503" s="332"/>
      <c r="N503" s="332"/>
      <c r="O503" s="332"/>
      <c r="P503" s="332"/>
      <c r="Q503" s="332"/>
      <c r="S503" s="123" t="s">
        <v>681</v>
      </c>
    </row>
    <row r="504" spans="1:19">
      <c r="B504" s="129"/>
      <c r="C504" s="59" t="s">
        <v>253</v>
      </c>
      <c r="D504" s="59"/>
      <c r="E504" s="59"/>
      <c r="F504" s="59" t="s">
        <v>77</v>
      </c>
      <c r="G504" s="59"/>
      <c r="H504" s="196"/>
      <c r="I504" s="170">
        <v>18560</v>
      </c>
      <c r="J504" s="59">
        <v>37.68</v>
      </c>
      <c r="K504" s="59"/>
      <c r="L504" s="331">
        <f t="shared" si="30"/>
        <v>699.34080000000006</v>
      </c>
      <c r="M504" s="332"/>
      <c r="N504" s="332"/>
      <c r="O504" s="332"/>
      <c r="P504" s="332"/>
      <c r="Q504" s="332"/>
      <c r="S504" s="123" t="s">
        <v>681</v>
      </c>
    </row>
    <row r="505" spans="1:19">
      <c r="B505" s="129"/>
      <c r="C505" s="59" t="s">
        <v>183</v>
      </c>
      <c r="D505" s="59"/>
      <c r="E505" s="59"/>
      <c r="F505" s="59" t="s">
        <v>184</v>
      </c>
      <c r="G505" s="59"/>
      <c r="H505" s="196"/>
      <c r="I505" s="170">
        <v>5166</v>
      </c>
      <c r="J505" s="59">
        <v>19.2</v>
      </c>
      <c r="K505" s="59"/>
      <c r="L505" s="331">
        <f t="shared" si="30"/>
        <v>99.18719999999999</v>
      </c>
      <c r="M505" s="332"/>
      <c r="N505" s="332"/>
      <c r="O505" s="332"/>
      <c r="P505" s="332"/>
      <c r="Q505" s="332"/>
      <c r="S505" s="123" t="s">
        <v>681</v>
      </c>
    </row>
    <row r="506" spans="1:19">
      <c r="B506" s="112"/>
      <c r="C506" s="113" t="s">
        <v>189</v>
      </c>
      <c r="D506" s="61"/>
      <c r="E506" s="61"/>
      <c r="F506" s="61" t="s">
        <v>184</v>
      </c>
      <c r="G506" s="61"/>
      <c r="H506" s="299"/>
      <c r="I506" s="170">
        <v>0</v>
      </c>
      <c r="J506" s="333">
        <f>1.3011/(C1082)*1000</f>
        <v>49.969275674014909</v>
      </c>
      <c r="K506" s="61"/>
      <c r="L506" s="331">
        <f t="shared" si="30"/>
        <v>0</v>
      </c>
      <c r="M506" s="332"/>
      <c r="N506" s="332"/>
      <c r="O506" s="332"/>
      <c r="P506" s="332"/>
      <c r="Q506" s="332"/>
      <c r="S506" s="123"/>
    </row>
    <row r="507" spans="1:19">
      <c r="B507" s="112"/>
      <c r="C507" s="113" t="s">
        <v>191</v>
      </c>
      <c r="D507" s="61"/>
      <c r="E507" s="61"/>
      <c r="F507" s="61" t="s">
        <v>184</v>
      </c>
      <c r="G507" s="61"/>
      <c r="H507" s="299"/>
      <c r="I507" s="170">
        <v>0</v>
      </c>
      <c r="J507" s="59">
        <v>0</v>
      </c>
      <c r="K507" s="61"/>
      <c r="L507" s="334">
        <f>I507*J507 / 1000</f>
        <v>0</v>
      </c>
      <c r="M507" s="332"/>
      <c r="N507" s="332"/>
      <c r="O507" s="332"/>
      <c r="P507" s="332"/>
      <c r="Q507" s="332"/>
      <c r="S507" s="267"/>
    </row>
    <row r="508" spans="1:19" ht="15.75" thickBot="1">
      <c r="B508" s="135"/>
      <c r="C508" s="62" t="s">
        <v>250</v>
      </c>
      <c r="D508" s="62"/>
      <c r="E508" s="62"/>
      <c r="F508" s="62" t="s">
        <v>251</v>
      </c>
      <c r="G508" s="62"/>
      <c r="H508" s="60"/>
      <c r="I508" s="189">
        <f>L508/(J508/1000)</f>
        <v>111.11199999999999</v>
      </c>
      <c r="J508" s="62">
        <f>1000/C1071</f>
        <v>3.5999712002303985</v>
      </c>
      <c r="K508" s="62"/>
      <c r="L508" s="335">
        <f>I440</f>
        <v>0.4</v>
      </c>
      <c r="M508" s="332"/>
      <c r="N508" s="332"/>
      <c r="O508" s="332"/>
      <c r="P508" s="332"/>
      <c r="Q508" s="332"/>
      <c r="S508" s="254"/>
    </row>
    <row r="509" spans="1:19" ht="15.75" thickBot="1">
      <c r="A509" s="86"/>
      <c r="S509" s="57"/>
    </row>
    <row r="510" spans="1:19" ht="19.5" thickBot="1">
      <c r="A510" s="86"/>
      <c r="B510" s="148" t="s">
        <v>684</v>
      </c>
      <c r="C510" s="149"/>
      <c r="D510" s="149"/>
      <c r="E510" s="149"/>
      <c r="F510" s="149"/>
      <c r="G510" s="149"/>
      <c r="H510" s="150"/>
      <c r="I510" s="151"/>
      <c r="J510" s="151"/>
      <c r="K510" s="151"/>
      <c r="L510" s="152" t="s">
        <v>155</v>
      </c>
      <c r="M510" s="153"/>
      <c r="N510" s="153"/>
      <c r="O510" s="153"/>
      <c r="P510" s="153"/>
      <c r="Q510" s="153"/>
      <c r="R510" s="90"/>
      <c r="S510" s="154" t="s">
        <v>156</v>
      </c>
    </row>
    <row r="511" spans="1:19">
      <c r="B511" s="92"/>
      <c r="C511" s="93"/>
      <c r="D511" s="93"/>
      <c r="E511" s="97"/>
      <c r="F511" s="97"/>
      <c r="G511" s="97"/>
      <c r="H511" s="156"/>
      <c r="I511" s="158" t="s">
        <v>685</v>
      </c>
      <c r="J511" s="336" t="s">
        <v>686</v>
      </c>
      <c r="K511" s="337"/>
      <c r="L511" s="98" t="s">
        <v>687</v>
      </c>
      <c r="M511" s="159"/>
      <c r="N511" s="159"/>
      <c r="O511" s="159"/>
      <c r="P511" s="159"/>
      <c r="Q511" s="159"/>
      <c r="S511" s="160"/>
    </row>
    <row r="512" spans="1:19" ht="16.5" customHeight="1">
      <c r="B512" s="161" t="s">
        <v>688</v>
      </c>
      <c r="C512" s="162"/>
      <c r="D512" s="162"/>
      <c r="E512" s="163"/>
      <c r="F512" s="163"/>
      <c r="G512" s="163"/>
      <c r="H512" s="212"/>
      <c r="I512" s="164" t="s">
        <v>689</v>
      </c>
      <c r="J512" s="338" t="s">
        <v>690</v>
      </c>
      <c r="K512" s="338"/>
      <c r="L512" s="109" t="s">
        <v>691</v>
      </c>
      <c r="M512" s="159"/>
      <c r="N512" s="159"/>
      <c r="O512" s="159"/>
      <c r="P512" s="159"/>
      <c r="Q512" s="159"/>
      <c r="S512" s="165"/>
    </row>
    <row r="513" spans="1:19">
      <c r="B513" s="121" t="s">
        <v>692</v>
      </c>
      <c r="C513" s="59"/>
      <c r="D513" s="59"/>
      <c r="E513" s="59"/>
      <c r="F513" s="59"/>
      <c r="G513" s="59"/>
      <c r="H513" s="196"/>
      <c r="I513" s="170"/>
      <c r="J513" s="339">
        <v>160</v>
      </c>
      <c r="K513" s="339"/>
      <c r="L513" s="340">
        <v>1015</v>
      </c>
      <c r="M513" s="181"/>
      <c r="N513" s="181"/>
      <c r="O513" s="181"/>
      <c r="P513" s="181"/>
      <c r="Q513" s="181"/>
      <c r="S513" s="123" t="s">
        <v>693</v>
      </c>
    </row>
    <row r="514" spans="1:19">
      <c r="B514" s="121" t="s">
        <v>694</v>
      </c>
      <c r="C514" s="117"/>
      <c r="D514" s="167"/>
      <c r="E514" s="167"/>
      <c r="F514" s="167"/>
      <c r="G514" s="167"/>
      <c r="H514" s="196"/>
      <c r="I514" s="170">
        <v>3</v>
      </c>
      <c r="J514" s="117">
        <v>5</v>
      </c>
      <c r="K514" s="339"/>
      <c r="L514" s="127">
        <v>98.3</v>
      </c>
      <c r="M514" s="171"/>
      <c r="N514" s="171"/>
      <c r="O514" s="171"/>
      <c r="P514" s="171"/>
      <c r="Q514" s="171"/>
      <c r="S514" s="123" t="s">
        <v>695</v>
      </c>
    </row>
    <row r="515" spans="1:19">
      <c r="B515" s="121" t="s">
        <v>696</v>
      </c>
      <c r="C515" s="117"/>
      <c r="D515" s="167"/>
      <c r="E515" s="167"/>
      <c r="F515" s="167"/>
      <c r="G515" s="167"/>
      <c r="H515" s="196"/>
      <c r="I515" s="170">
        <v>5</v>
      </c>
      <c r="J515" s="117">
        <v>48</v>
      </c>
      <c r="K515" s="339"/>
      <c r="L515" s="127">
        <v>160</v>
      </c>
      <c r="M515" s="171"/>
      <c r="N515" s="171"/>
      <c r="O515" s="171"/>
      <c r="P515" s="171"/>
      <c r="Q515" s="171"/>
      <c r="S515" s="123" t="s">
        <v>695</v>
      </c>
    </row>
    <row r="516" spans="1:19">
      <c r="B516" s="121" t="s">
        <v>697</v>
      </c>
      <c r="C516" s="117"/>
      <c r="D516" s="167"/>
      <c r="E516" s="167"/>
      <c r="F516" s="167"/>
      <c r="G516" s="167"/>
      <c r="H516" s="196"/>
      <c r="I516" s="170">
        <v>6</v>
      </c>
      <c r="J516" s="117">
        <v>1.28</v>
      </c>
      <c r="K516" s="339"/>
      <c r="L516" s="127">
        <v>24.6</v>
      </c>
      <c r="M516" s="171"/>
      <c r="N516" s="171"/>
      <c r="O516" s="171"/>
      <c r="P516" s="171"/>
      <c r="Q516" s="171"/>
      <c r="S516" s="123" t="s">
        <v>695</v>
      </c>
    </row>
    <row r="517" spans="1:19">
      <c r="B517" s="121" t="s">
        <v>698</v>
      </c>
      <c r="C517" s="117"/>
      <c r="D517" s="167"/>
      <c r="E517" s="167"/>
      <c r="F517" s="167"/>
      <c r="G517" s="167"/>
      <c r="H517" s="196"/>
      <c r="I517" s="170">
        <v>6</v>
      </c>
      <c r="J517" s="117">
        <v>151</v>
      </c>
      <c r="K517" s="339"/>
      <c r="L517" s="127">
        <v>195</v>
      </c>
      <c r="M517" s="171"/>
      <c r="N517" s="171"/>
      <c r="O517" s="171"/>
      <c r="P517" s="171"/>
      <c r="Q517" s="171"/>
      <c r="S517" s="123" t="s">
        <v>695</v>
      </c>
    </row>
    <row r="518" spans="1:19">
      <c r="B518" s="121" t="s">
        <v>699</v>
      </c>
      <c r="C518" s="117"/>
      <c r="D518" s="167"/>
      <c r="E518" s="167"/>
      <c r="F518" s="167"/>
      <c r="G518" s="167"/>
      <c r="H518" s="196"/>
      <c r="I518" s="170">
        <v>6</v>
      </c>
      <c r="J518" s="117">
        <v>70</v>
      </c>
      <c r="K518" s="339"/>
      <c r="L518" s="127">
        <v>65.5</v>
      </c>
      <c r="M518" s="171"/>
      <c r="N518" s="171"/>
      <c r="O518" s="171"/>
      <c r="P518" s="171"/>
      <c r="Q518" s="171"/>
      <c r="S518" s="123" t="s">
        <v>695</v>
      </c>
    </row>
    <row r="519" spans="1:19">
      <c r="B519" s="121" t="s">
        <v>700</v>
      </c>
      <c r="C519" s="117"/>
      <c r="D519" s="167"/>
      <c r="E519" s="167"/>
      <c r="F519" s="167"/>
      <c r="G519" s="167"/>
      <c r="H519" s="196"/>
      <c r="I519" s="170">
        <v>8</v>
      </c>
      <c r="J519" s="117">
        <v>179</v>
      </c>
      <c r="K519" s="339"/>
      <c r="L519" s="127">
        <v>163</v>
      </c>
      <c r="M519" s="171"/>
      <c r="N519" s="171"/>
      <c r="O519" s="171"/>
      <c r="P519" s="171"/>
      <c r="Q519" s="171"/>
      <c r="S519" s="123" t="s">
        <v>695</v>
      </c>
    </row>
    <row r="520" spans="1:19">
      <c r="B520" s="121" t="s">
        <v>701</v>
      </c>
      <c r="C520" s="117"/>
      <c r="D520" s="167"/>
      <c r="E520" s="167"/>
      <c r="F520" s="167"/>
      <c r="G520" s="167"/>
      <c r="H520" s="196"/>
      <c r="I520" s="341">
        <f>I519</f>
        <v>8</v>
      </c>
      <c r="J520" s="342">
        <f>4*J519</f>
        <v>716</v>
      </c>
      <c r="K520" s="339"/>
      <c r="L520" s="343">
        <f>4*L519</f>
        <v>652</v>
      </c>
      <c r="M520" s="171"/>
      <c r="N520" s="171"/>
      <c r="O520" s="171"/>
      <c r="P520" s="171"/>
      <c r="Q520" s="171"/>
      <c r="S520" s="123" t="s">
        <v>702</v>
      </c>
    </row>
    <row r="521" spans="1:19">
      <c r="B521" s="121" t="s">
        <v>703</v>
      </c>
      <c r="C521" s="117"/>
      <c r="D521" s="167"/>
      <c r="E521" s="167"/>
      <c r="F521" s="167"/>
      <c r="G521" s="167"/>
      <c r="H521" s="196"/>
      <c r="I521" s="170">
        <v>5</v>
      </c>
      <c r="J521" s="117">
        <v>200</v>
      </c>
      <c r="K521" s="339"/>
      <c r="L521" s="127">
        <v>61.9</v>
      </c>
      <c r="M521" s="171"/>
      <c r="N521" s="171"/>
      <c r="O521" s="171"/>
      <c r="P521" s="171"/>
      <c r="Q521" s="171"/>
      <c r="S521" s="123" t="s">
        <v>695</v>
      </c>
    </row>
    <row r="522" spans="1:19">
      <c r="B522" s="121" t="s">
        <v>704</v>
      </c>
      <c r="C522" s="117"/>
      <c r="D522" s="167"/>
      <c r="E522" s="167"/>
      <c r="F522" s="167"/>
      <c r="G522" s="167"/>
      <c r="H522" s="196"/>
      <c r="I522" s="170">
        <v>5</v>
      </c>
      <c r="J522" s="117">
        <v>71</v>
      </c>
      <c r="K522" s="339"/>
      <c r="L522" s="127">
        <v>113</v>
      </c>
      <c r="M522" s="171"/>
      <c r="N522" s="171"/>
      <c r="O522" s="171"/>
      <c r="P522" s="171"/>
      <c r="Q522" s="171"/>
      <c r="S522" s="123" t="s">
        <v>695</v>
      </c>
    </row>
    <row r="523" spans="1:19">
      <c r="B523" s="121" t="s">
        <v>705</v>
      </c>
      <c r="C523" s="117"/>
      <c r="D523" s="167"/>
      <c r="E523" s="167"/>
      <c r="F523" s="167"/>
      <c r="G523" s="167"/>
      <c r="H523" s="196"/>
      <c r="I523" s="170">
        <v>2.5</v>
      </c>
      <c r="J523" s="117">
        <v>2</v>
      </c>
      <c r="K523" s="339"/>
      <c r="L523" s="127">
        <v>88.5</v>
      </c>
      <c r="M523" s="171"/>
      <c r="N523" s="171"/>
      <c r="O523" s="171"/>
      <c r="P523" s="171"/>
      <c r="Q523" s="171"/>
      <c r="S523" s="123" t="s">
        <v>695</v>
      </c>
    </row>
    <row r="524" spans="1:19">
      <c r="B524" s="121" t="s">
        <v>706</v>
      </c>
      <c r="C524" s="117"/>
      <c r="D524" s="167"/>
      <c r="E524" s="167"/>
      <c r="F524" s="167"/>
      <c r="G524" s="167"/>
      <c r="H524" s="196"/>
      <c r="I524" s="170">
        <v>8</v>
      </c>
      <c r="J524" s="117">
        <v>40</v>
      </c>
      <c r="K524" s="339"/>
      <c r="L524" s="127">
        <v>12.8</v>
      </c>
      <c r="M524" s="171"/>
      <c r="N524" s="171"/>
      <c r="O524" s="171"/>
      <c r="P524" s="171"/>
      <c r="Q524" s="171"/>
      <c r="S524" s="123" t="s">
        <v>695</v>
      </c>
    </row>
    <row r="525" spans="1:19">
      <c r="B525" s="121"/>
      <c r="C525" s="117"/>
      <c r="D525" s="167"/>
      <c r="E525" s="167"/>
      <c r="F525" s="167"/>
      <c r="G525" s="167"/>
      <c r="H525" s="196"/>
      <c r="I525" s="170"/>
      <c r="J525" s="117"/>
      <c r="K525" s="279"/>
      <c r="L525" s="127"/>
      <c r="M525" s="171"/>
      <c r="N525" s="171"/>
      <c r="O525" s="171"/>
      <c r="P525" s="171"/>
      <c r="Q525" s="171"/>
      <c r="S525" s="123"/>
    </row>
    <row r="526" spans="1:19">
      <c r="B526" s="121"/>
      <c r="C526" s="117"/>
      <c r="D526" s="167"/>
      <c r="E526" s="167"/>
      <c r="F526" s="167"/>
      <c r="G526" s="167"/>
      <c r="H526" s="196"/>
      <c r="I526" s="170"/>
      <c r="J526" s="117"/>
      <c r="K526" s="279"/>
      <c r="L526" s="127"/>
      <c r="M526" s="171"/>
      <c r="N526" s="171"/>
      <c r="O526" s="171"/>
      <c r="P526" s="171"/>
      <c r="Q526" s="171"/>
      <c r="S526" s="123"/>
    </row>
    <row r="527" spans="1:19" ht="15.75" thickBot="1">
      <c r="B527" s="344"/>
      <c r="C527" s="326"/>
      <c r="D527" s="327"/>
      <c r="E527" s="327"/>
      <c r="F527" s="327"/>
      <c r="G527" s="327"/>
      <c r="H527" s="203"/>
      <c r="I527" s="328"/>
      <c r="J527" s="326"/>
      <c r="K527" s="329"/>
      <c r="L527" s="205"/>
      <c r="M527" s="171"/>
      <c r="N527" s="171"/>
      <c r="O527" s="171"/>
      <c r="P527" s="171"/>
      <c r="Q527" s="171"/>
      <c r="S527" s="147"/>
    </row>
    <row r="528" spans="1:19" ht="15.75" thickBot="1">
      <c r="A528" s="86"/>
      <c r="S528" s="57"/>
    </row>
    <row r="529" spans="1:19" ht="19.5" thickBot="1">
      <c r="A529" s="86"/>
      <c r="B529" s="148" t="s">
        <v>707</v>
      </c>
      <c r="C529" s="149"/>
      <c r="D529" s="149"/>
      <c r="E529" s="149"/>
      <c r="F529" s="149"/>
      <c r="G529" s="149"/>
      <c r="H529" s="150"/>
      <c r="I529" s="151"/>
      <c r="J529" s="151"/>
      <c r="K529" s="151"/>
      <c r="L529" s="152" t="s">
        <v>155</v>
      </c>
      <c r="M529" s="153"/>
      <c r="N529" s="153"/>
      <c r="O529" s="153"/>
      <c r="P529" s="153"/>
      <c r="Q529" s="153"/>
      <c r="R529" s="90"/>
      <c r="S529" s="154" t="s">
        <v>156</v>
      </c>
    </row>
    <row r="530" spans="1:19" ht="16.5">
      <c r="B530" s="92"/>
      <c r="C530" s="93"/>
      <c r="D530" s="93"/>
      <c r="E530" s="97"/>
      <c r="F530" s="97"/>
      <c r="G530" s="97"/>
      <c r="H530" s="156"/>
      <c r="I530" s="158"/>
      <c r="J530" s="336"/>
      <c r="K530" s="337"/>
      <c r="L530" s="98" t="s">
        <v>162</v>
      </c>
      <c r="M530" s="159"/>
      <c r="N530" s="159"/>
      <c r="O530" s="159"/>
      <c r="P530" s="159"/>
      <c r="Q530" s="159"/>
      <c r="S530" s="160"/>
    </row>
    <row r="531" spans="1:19" ht="16.5" customHeight="1">
      <c r="B531" s="161" t="s">
        <v>708</v>
      </c>
      <c r="C531" s="162"/>
      <c r="D531" s="162"/>
      <c r="E531" s="163"/>
      <c r="F531" s="163"/>
      <c r="G531" s="163"/>
      <c r="H531" s="212"/>
      <c r="I531" s="164"/>
      <c r="J531" s="338"/>
      <c r="K531" s="338"/>
      <c r="L531" s="109" t="s">
        <v>709</v>
      </c>
      <c r="M531" s="159"/>
      <c r="N531" s="159"/>
      <c r="O531" s="159"/>
      <c r="P531" s="159"/>
      <c r="Q531" s="159"/>
      <c r="S531" s="165"/>
    </row>
    <row r="532" spans="1:19">
      <c r="B532" s="121" t="s">
        <v>710</v>
      </c>
      <c r="C532" s="59"/>
      <c r="D532" s="59"/>
      <c r="E532" s="59"/>
      <c r="F532" s="59"/>
      <c r="G532" s="59"/>
      <c r="H532" s="196"/>
      <c r="I532" s="170"/>
      <c r="J532" s="339"/>
      <c r="K532" s="339"/>
      <c r="L532" s="132">
        <f>9.27</f>
        <v>9.27</v>
      </c>
      <c r="M532" s="345"/>
      <c r="N532" s="345"/>
      <c r="O532" s="345"/>
      <c r="P532" s="345"/>
      <c r="Q532" s="345"/>
      <c r="S532" s="123" t="s">
        <v>695</v>
      </c>
    </row>
    <row r="533" spans="1:19">
      <c r="B533" s="121" t="s">
        <v>711</v>
      </c>
      <c r="C533" s="117"/>
      <c r="D533" s="167"/>
      <c r="E533" s="167"/>
      <c r="F533" s="167"/>
      <c r="G533" s="167"/>
      <c r="H533" s="196"/>
      <c r="I533" s="170"/>
      <c r="J533" s="117"/>
      <c r="K533" s="279"/>
      <c r="L533" s="127">
        <v>24.7</v>
      </c>
      <c r="M533" s="171"/>
      <c r="N533" s="171"/>
      <c r="O533" s="171"/>
      <c r="P533" s="171"/>
      <c r="Q533" s="171"/>
      <c r="S533" s="123" t="s">
        <v>695</v>
      </c>
    </row>
    <row r="534" spans="1:19" ht="15.75" thickBot="1">
      <c r="B534" s="344"/>
      <c r="C534" s="326"/>
      <c r="D534" s="327"/>
      <c r="E534" s="327"/>
      <c r="F534" s="327"/>
      <c r="G534" s="327"/>
      <c r="H534" s="203"/>
      <c r="I534" s="328"/>
      <c r="J534" s="326"/>
      <c r="K534" s="329"/>
      <c r="L534" s="205"/>
      <c r="M534" s="171"/>
      <c r="N534" s="171"/>
      <c r="O534" s="171"/>
      <c r="P534" s="171"/>
      <c r="Q534" s="171"/>
      <c r="S534" s="147"/>
    </row>
    <row r="535" spans="1:19" ht="15.75" thickBot="1">
      <c r="A535" s="86"/>
      <c r="S535" s="57"/>
    </row>
    <row r="536" spans="1:19" ht="19.5" thickBot="1">
      <c r="A536" s="86"/>
      <c r="B536" s="148" t="s">
        <v>712</v>
      </c>
      <c r="C536" s="149"/>
      <c r="D536" s="149"/>
      <c r="E536" s="149"/>
      <c r="F536" s="149"/>
      <c r="G536" s="149"/>
      <c r="H536" s="150"/>
      <c r="I536" s="151"/>
      <c r="J536" s="151"/>
      <c r="K536" s="151"/>
      <c r="L536" s="152" t="s">
        <v>155</v>
      </c>
      <c r="M536" s="153"/>
      <c r="N536" s="153"/>
      <c r="O536" s="153"/>
      <c r="P536" s="153"/>
      <c r="Q536" s="153"/>
      <c r="R536" s="90"/>
      <c r="S536" s="154" t="s">
        <v>156</v>
      </c>
    </row>
    <row r="537" spans="1:19" ht="30.75">
      <c r="B537" s="92"/>
      <c r="C537" s="93"/>
      <c r="D537" s="97" t="s">
        <v>6627</v>
      </c>
      <c r="E537" s="486" t="s">
        <v>6628</v>
      </c>
      <c r="F537" s="97"/>
      <c r="G537" s="97"/>
      <c r="H537" s="156"/>
      <c r="I537" s="158"/>
      <c r="J537" s="336"/>
      <c r="K537" s="337"/>
      <c r="L537" s="98" t="s">
        <v>162</v>
      </c>
      <c r="M537" s="159"/>
      <c r="N537" s="159"/>
      <c r="O537" s="159"/>
      <c r="P537" s="159"/>
      <c r="Q537" s="159"/>
      <c r="S537" s="160"/>
    </row>
    <row r="538" spans="1:19" ht="16.5" customHeight="1">
      <c r="B538" s="346" t="s">
        <v>713</v>
      </c>
      <c r="C538" s="162"/>
      <c r="D538" s="104" t="s">
        <v>714</v>
      </c>
      <c r="E538" s="420" t="s">
        <v>1187</v>
      </c>
      <c r="F538" s="420"/>
      <c r="G538" s="104"/>
      <c r="H538" s="212"/>
      <c r="I538" s="164"/>
      <c r="J538" s="338"/>
      <c r="K538" s="338"/>
      <c r="L538" s="109" t="s">
        <v>714</v>
      </c>
      <c r="M538" s="159"/>
      <c r="N538" s="159"/>
      <c r="O538" s="159"/>
      <c r="P538" s="159"/>
      <c r="Q538" s="159"/>
      <c r="S538" s="165"/>
    </row>
    <row r="539" spans="1:19">
      <c r="B539" s="121" t="s">
        <v>715</v>
      </c>
      <c r="C539" s="59"/>
      <c r="D539" s="1044">
        <v>1710</v>
      </c>
      <c r="E539" s="560">
        <f>0.482+0.207+0.009+0.056</f>
        <v>0.754</v>
      </c>
      <c r="F539" s="59"/>
      <c r="G539" s="1044"/>
      <c r="H539" s="196"/>
      <c r="I539" s="170"/>
      <c r="J539" s="339"/>
      <c r="K539" s="339"/>
      <c r="L539" s="340">
        <f>D539*E539</f>
        <v>1289.3399999999999</v>
      </c>
      <c r="M539" s="181"/>
      <c r="N539" s="181"/>
      <c r="O539" s="181"/>
      <c r="P539" s="181"/>
      <c r="Q539" s="181"/>
      <c r="S539" s="123" t="s">
        <v>695</v>
      </c>
    </row>
    <row r="540" spans="1:19">
      <c r="B540" s="121" t="s">
        <v>716</v>
      </c>
      <c r="C540" s="125"/>
      <c r="D540" s="1044">
        <v>2270</v>
      </c>
      <c r="E540" s="734">
        <f>0.482+0.207+0.009+0.056</f>
        <v>0.754</v>
      </c>
      <c r="F540" s="59"/>
      <c r="G540" s="1044"/>
      <c r="H540" s="196"/>
      <c r="I540" s="170"/>
      <c r="J540" s="347"/>
      <c r="K540" s="347"/>
      <c r="L540" s="340">
        <f>D540*E540</f>
        <v>1711.58</v>
      </c>
      <c r="M540" s="181"/>
      <c r="N540" s="181"/>
      <c r="O540" s="181"/>
      <c r="P540" s="181"/>
      <c r="Q540" s="181"/>
      <c r="S540" s="123" t="s">
        <v>695</v>
      </c>
    </row>
    <row r="541" spans="1:19">
      <c r="B541" s="121" t="s">
        <v>717</v>
      </c>
      <c r="C541" s="125"/>
      <c r="D541" s="1044">
        <v>2810</v>
      </c>
      <c r="E541" s="734">
        <f>0.482+0.207+0.009+0.056</f>
        <v>0.754</v>
      </c>
      <c r="F541" s="59"/>
      <c r="G541" s="1044"/>
      <c r="H541" s="196"/>
      <c r="I541" s="170"/>
      <c r="J541" s="347"/>
      <c r="K541" s="347"/>
      <c r="L541" s="340">
        <f>D541*E541</f>
        <v>2118.7400000000002</v>
      </c>
      <c r="M541" s="181"/>
      <c r="N541" s="181"/>
      <c r="O541" s="181"/>
      <c r="P541" s="181"/>
      <c r="Q541" s="181"/>
      <c r="S541" s="123" t="s">
        <v>695</v>
      </c>
    </row>
    <row r="542" spans="1:19">
      <c r="B542" s="121" t="s">
        <v>718</v>
      </c>
      <c r="C542" s="117"/>
      <c r="D542" s="1044">
        <v>3540</v>
      </c>
      <c r="E542" s="1045">
        <f>0.482+0.207+0.009+0.056</f>
        <v>0.754</v>
      </c>
      <c r="F542" s="1046"/>
      <c r="G542" s="1044"/>
      <c r="H542" s="196"/>
      <c r="I542" s="170"/>
      <c r="J542" s="117"/>
      <c r="K542" s="279"/>
      <c r="L542" s="340">
        <f>D542*E542</f>
        <v>2669.16</v>
      </c>
      <c r="M542" s="181"/>
      <c r="N542" s="181"/>
      <c r="O542" s="181"/>
      <c r="P542" s="181"/>
      <c r="Q542" s="181"/>
      <c r="S542" s="123" t="s">
        <v>695</v>
      </c>
    </row>
    <row r="543" spans="1:19" ht="15.75" thickBot="1">
      <c r="B543" s="344" t="s">
        <v>719</v>
      </c>
      <c r="C543" s="326"/>
      <c r="D543" s="1047">
        <v>10400</v>
      </c>
      <c r="E543" s="1048">
        <f>0.482+0.207+0.009+0.056</f>
        <v>0.754</v>
      </c>
      <c r="F543" s="1049"/>
      <c r="G543" s="1047"/>
      <c r="H543" s="203"/>
      <c r="I543" s="328"/>
      <c r="J543" s="326"/>
      <c r="K543" s="329"/>
      <c r="L543" s="340">
        <f>D543*E543</f>
        <v>7841.6</v>
      </c>
      <c r="M543" s="181"/>
      <c r="N543" s="181"/>
      <c r="O543" s="181"/>
      <c r="P543" s="181"/>
      <c r="Q543" s="181"/>
      <c r="S543" s="123" t="s">
        <v>695</v>
      </c>
    </row>
    <row r="544" spans="1:19" ht="15.75" thickBot="1">
      <c r="A544" s="86"/>
      <c r="S544" s="57"/>
    </row>
    <row r="545" spans="1:21" ht="19.5" thickBot="1">
      <c r="A545" s="86"/>
      <c r="B545" s="148" t="s">
        <v>720</v>
      </c>
      <c r="C545" s="149"/>
      <c r="D545" s="149"/>
      <c r="E545" s="149"/>
      <c r="F545" s="149"/>
      <c r="G545" s="149" t="s">
        <v>154</v>
      </c>
      <c r="H545" s="150"/>
      <c r="I545" s="348" t="s">
        <v>154</v>
      </c>
      <c r="J545" s="349" t="s">
        <v>154</v>
      </c>
      <c r="K545" s="348" t="s">
        <v>154</v>
      </c>
      <c r="L545" s="152" t="s">
        <v>155</v>
      </c>
      <c r="M545" s="153"/>
      <c r="N545" s="153"/>
      <c r="O545" s="153"/>
      <c r="P545" s="153"/>
      <c r="Q545" s="153"/>
      <c r="R545" s="90"/>
      <c r="S545" s="154" t="s">
        <v>156</v>
      </c>
    </row>
    <row r="546" spans="1:21">
      <c r="B546" s="92"/>
      <c r="C546" s="93"/>
      <c r="D546" s="93"/>
      <c r="E546" s="93"/>
      <c r="F546" s="93"/>
      <c r="G546" s="93"/>
      <c r="H546" s="156"/>
      <c r="I546" s="158"/>
      <c r="J546" s="97"/>
      <c r="K546" s="93"/>
      <c r="L546" s="98" t="s">
        <v>721</v>
      </c>
      <c r="M546" s="159"/>
      <c r="N546" s="159"/>
      <c r="O546" s="159"/>
      <c r="P546" s="159"/>
      <c r="Q546" s="159"/>
      <c r="S546" s="160"/>
    </row>
    <row r="547" spans="1:21" ht="16.5" customHeight="1">
      <c r="B547" s="161" t="s">
        <v>722</v>
      </c>
      <c r="C547" s="163" t="s">
        <v>723</v>
      </c>
      <c r="D547" s="162"/>
      <c r="E547" s="162"/>
      <c r="F547" s="162"/>
      <c r="G547" s="162"/>
      <c r="H547" s="212"/>
      <c r="I547" s="164"/>
      <c r="J547" s="163"/>
      <c r="K547" s="162"/>
      <c r="L547" s="109" t="s">
        <v>724</v>
      </c>
      <c r="M547" s="159"/>
      <c r="N547" s="159"/>
      <c r="O547" s="159"/>
      <c r="P547" s="159"/>
      <c r="Q547" s="159"/>
      <c r="S547" s="165"/>
      <c r="U547" s="350" t="s">
        <v>164</v>
      </c>
    </row>
    <row r="548" spans="1:21">
      <c r="B548" s="121" t="s">
        <v>725</v>
      </c>
      <c r="C548" s="351" t="s">
        <v>726</v>
      </c>
      <c r="D548" s="167"/>
      <c r="E548" s="167"/>
      <c r="F548" s="167"/>
      <c r="G548" s="167"/>
      <c r="H548" s="196"/>
      <c r="I548" s="170"/>
      <c r="J548" s="167"/>
      <c r="K548" s="167"/>
      <c r="L548" s="127">
        <v>6.36</v>
      </c>
      <c r="M548" s="171"/>
      <c r="N548" s="171"/>
      <c r="O548" s="171"/>
      <c r="P548" s="171"/>
      <c r="Q548" s="171"/>
      <c r="S548" s="133" t="s">
        <v>727</v>
      </c>
      <c r="U548" s="350" t="str">
        <f>B548</f>
        <v>8"½x11"</v>
      </c>
    </row>
    <row r="549" spans="1:21" ht="14.65" customHeight="1">
      <c r="B549" s="121" t="s">
        <v>725</v>
      </c>
      <c r="C549" s="260">
        <v>0.1</v>
      </c>
      <c r="D549" s="167"/>
      <c r="E549" s="167"/>
      <c r="F549" s="167"/>
      <c r="G549" s="167"/>
      <c r="H549" s="196"/>
      <c r="I549" s="170"/>
      <c r="J549" s="167"/>
      <c r="K549" s="167"/>
      <c r="L549" s="127">
        <v>6.12</v>
      </c>
      <c r="M549" s="171"/>
      <c r="N549" s="171"/>
      <c r="O549" s="171"/>
      <c r="P549" s="171"/>
      <c r="Q549" s="171"/>
      <c r="S549" s="133" t="s">
        <v>727</v>
      </c>
      <c r="U549" s="352" t="str">
        <f>B554</f>
        <v>8"½x14"</v>
      </c>
    </row>
    <row r="550" spans="1:21" ht="14.65" customHeight="1">
      <c r="B550" s="121" t="s">
        <v>725</v>
      </c>
      <c r="C550" s="260">
        <v>0.3</v>
      </c>
      <c r="D550" s="167"/>
      <c r="E550" s="167"/>
      <c r="F550" s="167"/>
      <c r="G550" s="167"/>
      <c r="H550" s="196"/>
      <c r="I550" s="170"/>
      <c r="J550" s="167"/>
      <c r="K550" s="167"/>
      <c r="L550" s="127">
        <v>5.65</v>
      </c>
      <c r="M550" s="171"/>
      <c r="N550" s="171"/>
      <c r="O550" s="171"/>
      <c r="P550" s="171"/>
      <c r="Q550" s="171"/>
      <c r="S550" s="133" t="s">
        <v>727</v>
      </c>
      <c r="U550" s="353" t="str">
        <f>B560</f>
        <v>11"x17"</v>
      </c>
    </row>
    <row r="551" spans="1:21" ht="14.65" customHeight="1">
      <c r="B551" s="121" t="s">
        <v>725</v>
      </c>
      <c r="C551" s="260">
        <v>0.5</v>
      </c>
      <c r="D551" s="167"/>
      <c r="E551" s="167"/>
      <c r="F551" s="167"/>
      <c r="G551" s="167"/>
      <c r="H551" s="196"/>
      <c r="I551" s="170"/>
      <c r="J551" s="167"/>
      <c r="K551" s="167"/>
      <c r="L551" s="127">
        <v>5.18</v>
      </c>
      <c r="M551" s="171"/>
      <c r="N551" s="171"/>
      <c r="O551" s="171"/>
      <c r="P551" s="171"/>
      <c r="Q551" s="171"/>
      <c r="S551" s="133" t="s">
        <v>727</v>
      </c>
    </row>
    <row r="552" spans="1:21" ht="14.65" customHeight="1">
      <c r="B552" s="121" t="s">
        <v>725</v>
      </c>
      <c r="C552" s="260">
        <v>0.7</v>
      </c>
      <c r="D552" s="167"/>
      <c r="E552" s="167"/>
      <c r="F552" s="167"/>
      <c r="G552" s="167"/>
      <c r="H552" s="196"/>
      <c r="I552" s="170"/>
      <c r="J552" s="167"/>
      <c r="K552" s="167"/>
      <c r="L552" s="127">
        <v>4.71</v>
      </c>
      <c r="M552" s="171"/>
      <c r="N552" s="171"/>
      <c r="O552" s="171"/>
      <c r="P552" s="171"/>
      <c r="Q552" s="171"/>
      <c r="S552" s="133" t="s">
        <v>727</v>
      </c>
    </row>
    <row r="553" spans="1:21" ht="14.65" customHeight="1">
      <c r="B553" s="354" t="s">
        <v>725</v>
      </c>
      <c r="C553" s="355">
        <v>1</v>
      </c>
      <c r="D553" s="356"/>
      <c r="E553" s="356"/>
      <c r="F553" s="356"/>
      <c r="G553" s="356"/>
      <c r="H553" s="212"/>
      <c r="I553" s="164"/>
      <c r="J553" s="356"/>
      <c r="K553" s="356"/>
      <c r="L553" s="202">
        <v>4.01</v>
      </c>
      <c r="M553" s="171"/>
      <c r="N553" s="171"/>
      <c r="O553" s="171"/>
      <c r="P553" s="171"/>
      <c r="Q553" s="171"/>
      <c r="S553" s="133" t="s">
        <v>727</v>
      </c>
    </row>
    <row r="554" spans="1:21">
      <c r="B554" s="121" t="s">
        <v>728</v>
      </c>
      <c r="C554" s="351" t="s">
        <v>726</v>
      </c>
      <c r="D554" s="167"/>
      <c r="E554" s="167"/>
      <c r="F554" s="167"/>
      <c r="G554" s="167"/>
      <c r="H554" s="196"/>
      <c r="I554" s="170"/>
      <c r="J554" s="167"/>
      <c r="K554" s="167"/>
      <c r="L554" s="127">
        <v>8.09</v>
      </c>
      <c r="M554" s="171"/>
      <c r="N554" s="171"/>
      <c r="O554" s="171"/>
      <c r="P554" s="171"/>
      <c r="Q554" s="171"/>
      <c r="S554" s="133" t="s">
        <v>727</v>
      </c>
    </row>
    <row r="555" spans="1:21" ht="14.65" customHeight="1">
      <c r="B555" s="121" t="s">
        <v>728</v>
      </c>
      <c r="C555" s="260">
        <v>0.1</v>
      </c>
      <c r="D555" s="167"/>
      <c r="E555" s="167"/>
      <c r="F555" s="167"/>
      <c r="G555" s="167"/>
      <c r="H555" s="196"/>
      <c r="I555" s="170"/>
      <c r="J555" s="167"/>
      <c r="K555" s="167"/>
      <c r="L555" s="127">
        <v>7.8</v>
      </c>
      <c r="M555" s="171"/>
      <c r="N555" s="171"/>
      <c r="O555" s="171"/>
      <c r="P555" s="171"/>
      <c r="Q555" s="171"/>
      <c r="S555" s="133" t="s">
        <v>727</v>
      </c>
    </row>
    <row r="556" spans="1:21" ht="14.65" customHeight="1">
      <c r="B556" s="121" t="s">
        <v>728</v>
      </c>
      <c r="C556" s="260">
        <v>0.3</v>
      </c>
      <c r="D556" s="167"/>
      <c r="E556" s="167"/>
      <c r="F556" s="167"/>
      <c r="G556" s="167"/>
      <c r="H556" s="196"/>
      <c r="I556" s="170"/>
      <c r="J556" s="167"/>
      <c r="K556" s="167"/>
      <c r="L556" s="127">
        <v>7.2</v>
      </c>
      <c r="M556" s="171"/>
      <c r="N556" s="171"/>
      <c r="O556" s="171"/>
      <c r="P556" s="171"/>
      <c r="Q556" s="171"/>
      <c r="S556" s="133" t="s">
        <v>727</v>
      </c>
    </row>
    <row r="557" spans="1:21" ht="14.65" customHeight="1">
      <c r="B557" s="121" t="s">
        <v>728</v>
      </c>
      <c r="C557" s="260">
        <v>0.5</v>
      </c>
      <c r="D557" s="167"/>
      <c r="E557" s="167"/>
      <c r="F557" s="167"/>
      <c r="G557" s="167"/>
      <c r="H557" s="196"/>
      <c r="I557" s="170"/>
      <c r="J557" s="167"/>
      <c r="K557" s="167"/>
      <c r="L557" s="127">
        <v>6.6</v>
      </c>
      <c r="M557" s="171"/>
      <c r="N557" s="171"/>
      <c r="O557" s="171"/>
      <c r="P557" s="171"/>
      <c r="Q557" s="171"/>
      <c r="S557" s="133" t="s">
        <v>727</v>
      </c>
    </row>
    <row r="558" spans="1:21" ht="14.65" customHeight="1">
      <c r="B558" s="121" t="s">
        <v>728</v>
      </c>
      <c r="C558" s="260">
        <v>0.7</v>
      </c>
      <c r="D558" s="167"/>
      <c r="E558" s="167"/>
      <c r="F558" s="167"/>
      <c r="G558" s="167"/>
      <c r="H558" s="196"/>
      <c r="I558" s="170"/>
      <c r="J558" s="167"/>
      <c r="K558" s="167"/>
      <c r="L558" s="127">
        <v>6</v>
      </c>
      <c r="M558" s="171"/>
      <c r="N558" s="171"/>
      <c r="O558" s="171"/>
      <c r="P558" s="171"/>
      <c r="Q558" s="171"/>
      <c r="S558" s="133" t="s">
        <v>727</v>
      </c>
    </row>
    <row r="559" spans="1:21" ht="14.65" customHeight="1">
      <c r="B559" s="354" t="s">
        <v>728</v>
      </c>
      <c r="C559" s="355">
        <v>1</v>
      </c>
      <c r="D559" s="356"/>
      <c r="E559" s="356"/>
      <c r="F559" s="356"/>
      <c r="G559" s="356"/>
      <c r="H559" s="212"/>
      <c r="I559" s="164"/>
      <c r="J559" s="356"/>
      <c r="K559" s="356"/>
      <c r="L559" s="202">
        <v>5.1100000000000003</v>
      </c>
      <c r="M559" s="171"/>
      <c r="N559" s="171"/>
      <c r="O559" s="171"/>
      <c r="P559" s="171"/>
      <c r="Q559" s="171"/>
      <c r="S559" s="133" t="s">
        <v>727</v>
      </c>
    </row>
    <row r="560" spans="1:21">
      <c r="B560" s="121" t="s">
        <v>729</v>
      </c>
      <c r="C560" s="351" t="s">
        <v>726</v>
      </c>
      <c r="D560" s="167"/>
      <c r="E560" s="167"/>
      <c r="F560" s="167"/>
      <c r="G560" s="167"/>
      <c r="H560" s="196"/>
      <c r="I560" s="170"/>
      <c r="J560" s="167"/>
      <c r="K560" s="167"/>
      <c r="L560" s="127">
        <v>12.74</v>
      </c>
      <c r="M560" s="171"/>
      <c r="N560" s="171"/>
      <c r="O560" s="171"/>
      <c r="P560" s="171"/>
      <c r="Q560" s="171"/>
      <c r="S560" s="133" t="s">
        <v>727</v>
      </c>
    </row>
    <row r="561" spans="1:19" ht="14.65" customHeight="1">
      <c r="B561" s="121" t="s">
        <v>729</v>
      </c>
      <c r="C561" s="260">
        <v>0.1</v>
      </c>
      <c r="D561" s="167"/>
      <c r="E561" s="167"/>
      <c r="F561" s="167"/>
      <c r="G561" s="167"/>
      <c r="H561" s="196"/>
      <c r="I561" s="170"/>
      <c r="J561" s="167"/>
      <c r="K561" s="167"/>
      <c r="L561" s="127">
        <v>12.27</v>
      </c>
      <c r="M561" s="171"/>
      <c r="N561" s="171"/>
      <c r="O561" s="171"/>
      <c r="P561" s="171"/>
      <c r="Q561" s="171"/>
      <c r="S561" s="133" t="s">
        <v>727</v>
      </c>
    </row>
    <row r="562" spans="1:19" ht="14.65" customHeight="1">
      <c r="B562" s="121" t="s">
        <v>729</v>
      </c>
      <c r="C562" s="260">
        <v>0.3</v>
      </c>
      <c r="D562" s="167"/>
      <c r="E562" s="167"/>
      <c r="F562" s="167"/>
      <c r="G562" s="167"/>
      <c r="H562" s="196"/>
      <c r="I562" s="170"/>
      <c r="J562" s="167"/>
      <c r="K562" s="167"/>
      <c r="L562" s="127">
        <v>11.33</v>
      </c>
      <c r="M562" s="171"/>
      <c r="N562" s="171"/>
      <c r="O562" s="171"/>
      <c r="P562" s="171"/>
      <c r="Q562" s="171"/>
      <c r="S562" s="133" t="s">
        <v>727</v>
      </c>
    </row>
    <row r="563" spans="1:19" ht="14.65" customHeight="1">
      <c r="B563" s="121" t="s">
        <v>729</v>
      </c>
      <c r="C563" s="260">
        <v>0.5</v>
      </c>
      <c r="D563" s="167"/>
      <c r="E563" s="167"/>
      <c r="F563" s="167"/>
      <c r="G563" s="167"/>
      <c r="H563" s="196"/>
      <c r="I563" s="170"/>
      <c r="J563" s="167"/>
      <c r="K563" s="167"/>
      <c r="L563" s="127">
        <v>10.39</v>
      </c>
      <c r="M563" s="171"/>
      <c r="N563" s="171"/>
      <c r="O563" s="171"/>
      <c r="P563" s="171"/>
      <c r="Q563" s="171"/>
      <c r="S563" s="133" t="s">
        <v>727</v>
      </c>
    </row>
    <row r="564" spans="1:19" ht="14.65" customHeight="1">
      <c r="B564" s="121" t="s">
        <v>729</v>
      </c>
      <c r="C564" s="260">
        <v>0.7</v>
      </c>
      <c r="D564" s="167"/>
      <c r="E564" s="167"/>
      <c r="F564" s="167"/>
      <c r="G564" s="167"/>
      <c r="H564" s="196"/>
      <c r="I564" s="170"/>
      <c r="J564" s="167"/>
      <c r="K564" s="167"/>
      <c r="L564" s="127">
        <v>9.4499999999999993</v>
      </c>
      <c r="M564" s="171"/>
      <c r="N564" s="171"/>
      <c r="O564" s="171"/>
      <c r="P564" s="171"/>
      <c r="Q564" s="171"/>
      <c r="S564" s="133" t="s">
        <v>727</v>
      </c>
    </row>
    <row r="565" spans="1:19" ht="14.65" customHeight="1" thickBot="1">
      <c r="B565" s="344" t="s">
        <v>729</v>
      </c>
      <c r="C565" s="357">
        <v>1</v>
      </c>
      <c r="D565" s="327"/>
      <c r="E565" s="327"/>
      <c r="F565" s="327"/>
      <c r="G565" s="327"/>
      <c r="H565" s="203"/>
      <c r="I565" s="328"/>
      <c r="J565" s="327"/>
      <c r="K565" s="327"/>
      <c r="L565" s="205">
        <v>8.0399999999999991</v>
      </c>
      <c r="M565" s="171"/>
      <c r="N565" s="171"/>
      <c r="O565" s="171"/>
      <c r="P565" s="171"/>
      <c r="Q565" s="171"/>
      <c r="S565" s="358" t="s">
        <v>727</v>
      </c>
    </row>
    <row r="566" spans="1:19" ht="15.75" thickBot="1">
      <c r="A566" s="86"/>
    </row>
    <row r="567" spans="1:19" ht="19.5" thickBot="1">
      <c r="A567" s="86"/>
      <c r="B567" s="148" t="s">
        <v>730</v>
      </c>
      <c r="C567" s="149"/>
      <c r="D567" s="149"/>
      <c r="E567" s="149"/>
      <c r="F567" s="149"/>
      <c r="G567" s="149" t="s">
        <v>154</v>
      </c>
      <c r="H567" s="150"/>
      <c r="I567" s="348" t="s">
        <v>154</v>
      </c>
      <c r="J567" s="349" t="s">
        <v>154</v>
      </c>
      <c r="K567" s="348" t="s">
        <v>154</v>
      </c>
      <c r="L567" s="152" t="s">
        <v>155</v>
      </c>
      <c r="M567" s="153"/>
      <c r="N567" s="153"/>
      <c r="O567" s="153"/>
      <c r="P567" s="153"/>
      <c r="Q567" s="153"/>
      <c r="R567" s="90"/>
      <c r="S567" s="154" t="s">
        <v>156</v>
      </c>
    </row>
    <row r="568" spans="1:19">
      <c r="B568" s="92"/>
      <c r="C568" s="93"/>
      <c r="D568" s="93"/>
      <c r="E568" s="93"/>
      <c r="F568" s="93"/>
      <c r="G568" s="93"/>
      <c r="H568" s="156"/>
      <c r="I568" s="158"/>
      <c r="J568" s="97"/>
      <c r="K568" s="93"/>
      <c r="L568" s="98" t="s">
        <v>721</v>
      </c>
      <c r="M568" s="159"/>
      <c r="N568" s="159"/>
      <c r="O568" s="159"/>
      <c r="P568" s="159"/>
      <c r="Q568" s="159"/>
      <c r="S568" s="160"/>
    </row>
    <row r="569" spans="1:19" ht="16.5" customHeight="1">
      <c r="B569" s="161" t="s">
        <v>731</v>
      </c>
      <c r="C569" s="163"/>
      <c r="D569" s="162"/>
      <c r="E569" s="162"/>
      <c r="F569" s="162"/>
      <c r="G569" s="162"/>
      <c r="H569" s="212"/>
      <c r="I569" s="164"/>
      <c r="J569" s="163"/>
      <c r="K569" s="162"/>
      <c r="L569" s="109" t="s">
        <v>732</v>
      </c>
      <c r="M569" s="159"/>
      <c r="N569" s="159"/>
      <c r="O569" s="159"/>
      <c r="P569" s="159"/>
      <c r="Q569" s="159"/>
      <c r="S569" s="165"/>
    </row>
    <row r="570" spans="1:19">
      <c r="B570" s="121" t="s">
        <v>733</v>
      </c>
      <c r="C570" s="351"/>
      <c r="D570" s="167"/>
      <c r="E570" s="167"/>
      <c r="F570" s="167"/>
      <c r="G570" s="167"/>
      <c r="H570" s="196"/>
      <c r="I570" s="170"/>
      <c r="J570" s="167"/>
      <c r="K570" s="167"/>
      <c r="L570" s="127">
        <v>580</v>
      </c>
      <c r="M570" s="171"/>
      <c r="N570" s="171"/>
      <c r="O570" s="171"/>
      <c r="P570" s="171"/>
      <c r="Q570" s="171"/>
      <c r="S570" s="133" t="s">
        <v>734</v>
      </c>
    </row>
    <row r="571" spans="1:19" ht="14.65" customHeight="1">
      <c r="B571" s="121"/>
      <c r="C571" s="359"/>
      <c r="D571" s="174"/>
      <c r="E571" s="174"/>
      <c r="F571" s="174"/>
      <c r="G571" s="174"/>
      <c r="H571" s="299"/>
      <c r="I571" s="175"/>
      <c r="J571" s="174"/>
      <c r="K571" s="174"/>
      <c r="L571" s="176"/>
      <c r="M571" s="171"/>
      <c r="N571" s="171"/>
      <c r="O571" s="171"/>
      <c r="P571" s="171"/>
      <c r="Q571" s="171"/>
      <c r="S571" s="133"/>
    </row>
    <row r="572" spans="1:19" ht="14.65" customHeight="1" thickBot="1">
      <c r="B572" s="344"/>
      <c r="C572" s="357"/>
      <c r="D572" s="327"/>
      <c r="E572" s="327"/>
      <c r="F572" s="327"/>
      <c r="G572" s="327"/>
      <c r="H572" s="203"/>
      <c r="I572" s="328"/>
      <c r="J572" s="327"/>
      <c r="K572" s="327"/>
      <c r="L572" s="205"/>
      <c r="M572" s="171"/>
      <c r="N572" s="171"/>
      <c r="O572" s="171"/>
      <c r="P572" s="171"/>
      <c r="Q572" s="171"/>
      <c r="S572" s="358"/>
    </row>
    <row r="573" spans="1:19" ht="15.75" thickBot="1">
      <c r="A573" s="86"/>
    </row>
    <row r="574" spans="1:19" ht="19.5" thickBot="1">
      <c r="A574" s="86"/>
      <c r="B574" s="148" t="s">
        <v>735</v>
      </c>
      <c r="C574" s="149"/>
      <c r="D574" s="149"/>
      <c r="E574" s="149" t="s">
        <v>154</v>
      </c>
      <c r="F574" s="149"/>
      <c r="G574" s="149" t="s">
        <v>154</v>
      </c>
      <c r="H574" s="150"/>
      <c r="I574" s="151" t="s">
        <v>154</v>
      </c>
      <c r="J574" s="151" t="s">
        <v>154</v>
      </c>
      <c r="K574" s="151" t="s">
        <v>154</v>
      </c>
      <c r="L574" s="152" t="s">
        <v>155</v>
      </c>
      <c r="M574" s="153"/>
      <c r="N574" s="153"/>
      <c r="O574" s="153"/>
      <c r="P574" s="153"/>
      <c r="Q574" s="153"/>
      <c r="R574" s="90"/>
      <c r="S574" s="154" t="s">
        <v>156</v>
      </c>
    </row>
    <row r="575" spans="1:19">
      <c r="B575" s="92" t="s">
        <v>154</v>
      </c>
      <c r="C575" s="97" t="s">
        <v>736</v>
      </c>
      <c r="D575" s="97" t="s">
        <v>588</v>
      </c>
      <c r="E575" s="97" t="s">
        <v>737</v>
      </c>
      <c r="F575" s="97"/>
      <c r="G575" s="97"/>
      <c r="H575" s="156"/>
      <c r="I575" s="158"/>
      <c r="J575" s="97" t="s">
        <v>588</v>
      </c>
      <c r="K575" s="97" t="s">
        <v>737</v>
      </c>
      <c r="L575" s="98" t="s">
        <v>738</v>
      </c>
      <c r="M575" s="159"/>
      <c r="N575" s="159"/>
      <c r="O575" s="159"/>
      <c r="P575" s="159"/>
      <c r="Q575" s="159"/>
      <c r="S575" s="160" t="s">
        <v>154</v>
      </c>
    </row>
    <row r="576" spans="1:19" ht="16.5" customHeight="1">
      <c r="B576" s="161" t="s">
        <v>739</v>
      </c>
      <c r="C576" s="163" t="s">
        <v>740</v>
      </c>
      <c r="D576" s="163" t="s">
        <v>741</v>
      </c>
      <c r="E576" s="163" t="s">
        <v>741</v>
      </c>
      <c r="F576" s="163"/>
      <c r="G576" s="163"/>
      <c r="H576" s="212"/>
      <c r="I576" s="360"/>
      <c r="J576" s="104" t="s">
        <v>742</v>
      </c>
      <c r="K576" s="247" t="s">
        <v>742</v>
      </c>
      <c r="L576" s="361" t="s">
        <v>742</v>
      </c>
      <c r="M576" s="159"/>
      <c r="N576" s="159"/>
      <c r="O576" s="159"/>
      <c r="P576" s="159"/>
      <c r="Q576" s="159"/>
      <c r="S576" s="165" t="s">
        <v>154</v>
      </c>
    </row>
    <row r="577" spans="1:19">
      <c r="B577" s="121" t="s">
        <v>743</v>
      </c>
      <c r="C577" s="117">
        <v>1200</v>
      </c>
      <c r="D577" s="362">
        <f>J577/$C577</f>
        <v>6.6377166666666669</v>
      </c>
      <c r="E577" s="362">
        <f>K577/$C577</f>
        <v>0</v>
      </c>
      <c r="F577" s="167"/>
      <c r="G577" s="167"/>
      <c r="H577" s="196"/>
      <c r="I577" s="170"/>
      <c r="J577" s="167">
        <v>7965.26</v>
      </c>
      <c r="K577" s="167">
        <v>0</v>
      </c>
      <c r="L577" s="127">
        <f>J577+K577</f>
        <v>7965.26</v>
      </c>
      <c r="M577" s="171"/>
      <c r="N577" s="171"/>
      <c r="O577" s="171"/>
      <c r="P577" s="171"/>
      <c r="Q577" s="171"/>
      <c r="S577" s="123" t="s">
        <v>744</v>
      </c>
    </row>
    <row r="578" spans="1:19" ht="15.75" thickBot="1">
      <c r="B578" s="344" t="s">
        <v>745</v>
      </c>
      <c r="C578" s="326">
        <v>1450</v>
      </c>
      <c r="D578" s="363">
        <f>J578/$C578</f>
        <v>7.6666758620689661</v>
      </c>
      <c r="E578" s="363">
        <f>K578/$C578</f>
        <v>0.26368806896551722</v>
      </c>
      <c r="F578" s="327"/>
      <c r="G578" s="327"/>
      <c r="H578" s="203"/>
      <c r="I578" s="328"/>
      <c r="J578" s="327">
        <v>11116.68</v>
      </c>
      <c r="K578" s="327">
        <v>382.34769999999997</v>
      </c>
      <c r="L578" s="205">
        <f>J578+K578</f>
        <v>11499.027700000001</v>
      </c>
      <c r="M578" s="171"/>
      <c r="N578" s="171"/>
      <c r="O578" s="171"/>
      <c r="P578" s="171"/>
      <c r="Q578" s="171"/>
      <c r="S578" s="358" t="s">
        <v>746</v>
      </c>
    </row>
    <row r="579" spans="1:19" ht="15.75" thickBot="1">
      <c r="A579" s="86"/>
      <c r="S579" s="57"/>
    </row>
    <row r="580" spans="1:19" ht="19.5" thickBot="1">
      <c r="A580" s="86"/>
      <c r="B580" s="148" t="s">
        <v>747</v>
      </c>
      <c r="C580" s="149"/>
      <c r="D580" s="149"/>
      <c r="E580" s="149" t="s">
        <v>154</v>
      </c>
      <c r="F580" s="149"/>
      <c r="G580" s="149" t="s">
        <v>154</v>
      </c>
      <c r="H580" s="150"/>
      <c r="I580" s="151" t="s">
        <v>154</v>
      </c>
      <c r="J580" s="151" t="s">
        <v>154</v>
      </c>
      <c r="K580" s="151" t="s">
        <v>154</v>
      </c>
      <c r="L580" s="152" t="s">
        <v>155</v>
      </c>
      <c r="M580" s="153"/>
      <c r="N580" s="153"/>
      <c r="O580" s="153"/>
      <c r="P580" s="153"/>
      <c r="Q580" s="153"/>
      <c r="R580" s="90"/>
      <c r="S580" s="154" t="s">
        <v>156</v>
      </c>
    </row>
    <row r="581" spans="1:19" ht="16.5">
      <c r="B581" s="364" t="s">
        <v>748</v>
      </c>
      <c r="C581" s="365" t="s">
        <v>1</v>
      </c>
      <c r="D581" s="366"/>
      <c r="E581" s="366"/>
      <c r="F581" s="366"/>
      <c r="G581" s="366"/>
      <c r="H581" s="156"/>
      <c r="I581" s="158" t="s">
        <v>215</v>
      </c>
      <c r="J581" s="192" t="s">
        <v>216</v>
      </c>
      <c r="K581" s="192" t="s">
        <v>217</v>
      </c>
      <c r="L581" s="98" t="s">
        <v>162</v>
      </c>
      <c r="M581" s="159"/>
      <c r="N581" s="159"/>
      <c r="O581" s="159"/>
      <c r="P581" s="159"/>
      <c r="Q581" s="159"/>
      <c r="S581" s="160" t="s">
        <v>154</v>
      </c>
    </row>
    <row r="582" spans="1:19" ht="16.5" customHeight="1">
      <c r="B582" s="161"/>
      <c r="C582" s="162" t="s">
        <v>154</v>
      </c>
      <c r="D582" s="163"/>
      <c r="E582" s="163"/>
      <c r="F582" s="163"/>
      <c r="G582" s="163"/>
      <c r="H582" s="212" t="s">
        <v>167</v>
      </c>
      <c r="I582" s="164" t="s">
        <v>749</v>
      </c>
      <c r="J582" s="104" t="s">
        <v>750</v>
      </c>
      <c r="K582" s="104" t="s">
        <v>751</v>
      </c>
      <c r="L582" s="109" t="s">
        <v>174</v>
      </c>
      <c r="M582" s="159"/>
      <c r="N582" s="159"/>
      <c r="O582" s="159"/>
      <c r="P582" s="159"/>
      <c r="Q582" s="159"/>
      <c r="S582" s="165" t="s">
        <v>154</v>
      </c>
    </row>
    <row r="583" spans="1:19">
      <c r="B583" s="121" t="s">
        <v>752</v>
      </c>
      <c r="C583" s="117" t="s">
        <v>753</v>
      </c>
      <c r="D583" s="279"/>
      <c r="E583" s="279"/>
      <c r="F583" s="279"/>
      <c r="G583" s="167"/>
      <c r="H583" s="196" t="s">
        <v>184</v>
      </c>
      <c r="I583" s="170"/>
      <c r="J583" s="167"/>
      <c r="K583" s="167"/>
      <c r="L583" s="127">
        <v>1800</v>
      </c>
      <c r="M583" s="171"/>
      <c r="N583" s="171"/>
      <c r="O583" s="171"/>
      <c r="P583" s="171"/>
      <c r="Q583" s="171"/>
      <c r="S583" s="123" t="s">
        <v>754</v>
      </c>
    </row>
    <row r="584" spans="1:19" ht="14.65" customHeight="1">
      <c r="B584" s="121" t="s">
        <v>755</v>
      </c>
      <c r="C584" s="260" t="s">
        <v>753</v>
      </c>
      <c r="D584" s="279"/>
      <c r="E584" s="279"/>
      <c r="F584" s="279"/>
      <c r="G584" s="167"/>
      <c r="H584" s="196" t="s">
        <v>184</v>
      </c>
      <c r="I584" s="170"/>
      <c r="J584" s="167"/>
      <c r="K584" s="167"/>
      <c r="L584" s="127">
        <v>2000</v>
      </c>
      <c r="M584" s="171"/>
      <c r="N584" s="171"/>
      <c r="O584" s="171"/>
      <c r="P584" s="171"/>
      <c r="Q584" s="171"/>
      <c r="S584" s="123" t="s">
        <v>754</v>
      </c>
    </row>
    <row r="585" spans="1:19" ht="14.65" customHeight="1">
      <c r="B585" s="121" t="s">
        <v>756</v>
      </c>
      <c r="C585" s="260" t="s">
        <v>753</v>
      </c>
      <c r="D585" s="279"/>
      <c r="E585" s="279"/>
      <c r="F585" s="367"/>
      <c r="G585" s="167"/>
      <c r="H585" s="196" t="s">
        <v>184</v>
      </c>
      <c r="I585" s="170"/>
      <c r="J585" s="167"/>
      <c r="K585" s="167"/>
      <c r="L585" s="127">
        <v>5500</v>
      </c>
      <c r="M585" s="171"/>
      <c r="N585" s="171"/>
      <c r="O585" s="171"/>
      <c r="P585" s="171"/>
      <c r="Q585" s="171"/>
      <c r="S585" s="123" t="s">
        <v>757</v>
      </c>
    </row>
    <row r="586" spans="1:19" ht="14.65" customHeight="1">
      <c r="B586" s="121" t="s">
        <v>758</v>
      </c>
      <c r="C586" s="260" t="s">
        <v>753</v>
      </c>
      <c r="D586" s="279"/>
      <c r="E586" s="279"/>
      <c r="F586" s="367"/>
      <c r="G586" s="167"/>
      <c r="H586" s="196" t="s">
        <v>184</v>
      </c>
      <c r="I586" s="170"/>
      <c r="J586" s="167"/>
      <c r="K586" s="167"/>
      <c r="L586" s="368">
        <f>L649</f>
        <v>5223.8000000000011</v>
      </c>
      <c r="M586" s="171"/>
      <c r="N586" s="171"/>
      <c r="O586" s="171"/>
      <c r="P586" s="171"/>
      <c r="Q586" s="171"/>
      <c r="S586" s="123"/>
    </row>
    <row r="587" spans="1:19" ht="14.65" customHeight="1">
      <c r="B587" s="369" t="s">
        <v>759</v>
      </c>
      <c r="C587" s="260" t="s">
        <v>753</v>
      </c>
      <c r="D587" s="279"/>
      <c r="E587" s="279"/>
      <c r="F587" s="367"/>
      <c r="G587" s="167"/>
      <c r="H587" s="196" t="s">
        <v>184</v>
      </c>
      <c r="I587" s="170"/>
      <c r="J587" s="167"/>
      <c r="K587" s="167"/>
      <c r="L587" s="127"/>
      <c r="M587" s="171"/>
      <c r="N587" s="171"/>
      <c r="O587" s="171"/>
      <c r="P587" s="171"/>
      <c r="Q587" s="171"/>
      <c r="S587" s="123"/>
    </row>
    <row r="588" spans="1:19" ht="14.65" customHeight="1">
      <c r="B588" s="121" t="s">
        <v>760</v>
      </c>
      <c r="C588" s="260" t="s">
        <v>73</v>
      </c>
      <c r="D588" s="279"/>
      <c r="E588" s="279"/>
      <c r="F588" s="367"/>
      <c r="G588" s="167"/>
      <c r="H588" s="196" t="s">
        <v>184</v>
      </c>
      <c r="I588" s="170"/>
      <c r="J588" s="167"/>
      <c r="K588" s="167"/>
      <c r="L588" s="127">
        <v>1740</v>
      </c>
      <c r="M588" s="171"/>
      <c r="N588" s="171"/>
      <c r="O588" s="171"/>
      <c r="P588" s="171"/>
      <c r="Q588" s="171"/>
      <c r="S588" s="123" t="s">
        <v>761</v>
      </c>
    </row>
    <row r="589" spans="1:19" ht="14.65" customHeight="1">
      <c r="B589" s="260" t="s">
        <v>762</v>
      </c>
      <c r="C589" s="260" t="s">
        <v>73</v>
      </c>
      <c r="D589" s="279"/>
      <c r="E589" s="279"/>
      <c r="F589" s="279"/>
      <c r="G589" s="167"/>
      <c r="H589" s="196" t="s">
        <v>184</v>
      </c>
      <c r="I589" s="170"/>
      <c r="J589" s="167"/>
      <c r="K589" s="167"/>
      <c r="L589" s="127">
        <v>3500</v>
      </c>
      <c r="M589" s="171"/>
      <c r="N589" s="171"/>
      <c r="O589" s="171"/>
      <c r="P589" s="171"/>
      <c r="Q589" s="171"/>
      <c r="S589" s="370" t="s">
        <v>763</v>
      </c>
    </row>
    <row r="590" spans="1:19" ht="14.65" customHeight="1">
      <c r="B590" s="369" t="s">
        <v>764</v>
      </c>
      <c r="C590" s="260" t="s">
        <v>73</v>
      </c>
      <c r="D590" s="279"/>
      <c r="E590" s="279"/>
      <c r="F590" s="279"/>
      <c r="G590" s="167"/>
      <c r="H590" s="196" t="s">
        <v>184</v>
      </c>
      <c r="I590" s="170"/>
      <c r="J590" s="167"/>
      <c r="K590" s="167"/>
      <c r="L590" s="127"/>
      <c r="M590" s="171"/>
      <c r="N590" s="171"/>
      <c r="O590" s="171"/>
      <c r="P590" s="171"/>
      <c r="Q590" s="171"/>
      <c r="S590" s="123"/>
    </row>
    <row r="591" spans="1:19" ht="14.65" customHeight="1">
      <c r="B591" s="369" t="s">
        <v>765</v>
      </c>
      <c r="C591" s="260" t="s">
        <v>73</v>
      </c>
      <c r="D591" s="279"/>
      <c r="E591" s="279"/>
      <c r="F591" s="367"/>
      <c r="G591" s="167"/>
      <c r="H591" s="196" t="s">
        <v>184</v>
      </c>
      <c r="I591" s="170"/>
      <c r="J591" s="167"/>
      <c r="K591" s="167"/>
      <c r="L591" s="127"/>
      <c r="M591" s="171"/>
      <c r="N591" s="171"/>
      <c r="O591" s="171"/>
      <c r="P591" s="171"/>
      <c r="Q591" s="171"/>
      <c r="S591" s="123"/>
    </row>
    <row r="592" spans="1:19" ht="14.65" customHeight="1">
      <c r="B592" s="121"/>
      <c r="C592" s="260" t="s">
        <v>73</v>
      </c>
      <c r="D592" s="279"/>
      <c r="E592" s="279"/>
      <c r="F592" s="367"/>
      <c r="G592" s="167"/>
      <c r="H592" s="196"/>
      <c r="I592" s="170"/>
      <c r="J592" s="167"/>
      <c r="K592" s="167"/>
      <c r="L592" s="127"/>
      <c r="M592" s="171"/>
      <c r="N592" s="171"/>
      <c r="O592" s="171"/>
      <c r="P592" s="171"/>
      <c r="Q592" s="171"/>
      <c r="S592" s="123"/>
    </row>
    <row r="593" spans="2:19" ht="14.65" customHeight="1">
      <c r="B593" s="371" t="s">
        <v>154</v>
      </c>
      <c r="C593" s="371" t="s">
        <v>766</v>
      </c>
      <c r="D593" s="372" t="s">
        <v>767</v>
      </c>
      <c r="E593" s="372" t="s">
        <v>768</v>
      </c>
      <c r="F593" s="372" t="s">
        <v>769</v>
      </c>
      <c r="G593" s="372"/>
      <c r="H593" s="373"/>
      <c r="I593" s="227" t="s">
        <v>749</v>
      </c>
      <c r="J593" s="228" t="s">
        <v>750</v>
      </c>
      <c r="K593" s="228" t="s">
        <v>751</v>
      </c>
      <c r="L593" s="229" t="s">
        <v>173</v>
      </c>
      <c r="M593" s="171"/>
      <c r="N593" s="171"/>
      <c r="O593" s="171"/>
      <c r="P593" s="171"/>
      <c r="Q593" s="171"/>
      <c r="S593" s="123"/>
    </row>
    <row r="594" spans="2:19" ht="14.65" customHeight="1">
      <c r="B594" s="121" t="s">
        <v>766</v>
      </c>
      <c r="C594" s="260" t="s">
        <v>766</v>
      </c>
      <c r="D594" s="279"/>
      <c r="E594" s="279"/>
      <c r="F594" s="367"/>
      <c r="G594" s="167"/>
      <c r="H594" s="196" t="s">
        <v>184</v>
      </c>
      <c r="I594" s="170"/>
      <c r="J594" s="167"/>
      <c r="K594" s="167"/>
      <c r="L594" s="127">
        <v>783</v>
      </c>
      <c r="M594" s="171"/>
      <c r="N594" s="171"/>
      <c r="O594" s="171"/>
      <c r="P594" s="171"/>
      <c r="Q594" s="171"/>
      <c r="S594" s="123" t="s">
        <v>770</v>
      </c>
    </row>
    <row r="595" spans="2:19" ht="14.65" customHeight="1">
      <c r="B595" s="121"/>
      <c r="C595" s="260" t="s">
        <v>766</v>
      </c>
      <c r="D595" s="279"/>
      <c r="E595" s="279"/>
      <c r="F595" s="367"/>
      <c r="G595" s="167"/>
      <c r="H595" s="196"/>
      <c r="I595" s="170"/>
      <c r="J595" s="167"/>
      <c r="K595" s="167"/>
      <c r="L595" s="127"/>
      <c r="M595" s="171"/>
      <c r="N595" s="171"/>
      <c r="O595" s="171"/>
      <c r="P595" s="171"/>
      <c r="Q595" s="171"/>
      <c r="S595" s="123"/>
    </row>
    <row r="596" spans="2:19" ht="14.65" customHeight="1">
      <c r="B596" s="371" t="s">
        <v>154</v>
      </c>
      <c r="C596" s="371" t="s">
        <v>771</v>
      </c>
      <c r="D596" s="372" t="s">
        <v>767</v>
      </c>
      <c r="E596" s="372" t="s">
        <v>768</v>
      </c>
      <c r="F596" s="372" t="s">
        <v>769</v>
      </c>
      <c r="G596" s="372" t="s">
        <v>772</v>
      </c>
      <c r="H596" s="373"/>
      <c r="I596" s="227" t="s">
        <v>749</v>
      </c>
      <c r="J596" s="228" t="s">
        <v>750</v>
      </c>
      <c r="K596" s="228" t="s">
        <v>751</v>
      </c>
      <c r="L596" s="229" t="s">
        <v>173</v>
      </c>
      <c r="M596" s="171"/>
      <c r="N596" s="171"/>
      <c r="O596" s="171"/>
      <c r="P596" s="171"/>
      <c r="Q596" s="171"/>
      <c r="S596" s="123"/>
    </row>
    <row r="597" spans="2:19" ht="14.65" customHeight="1">
      <c r="B597" s="121" t="s">
        <v>773</v>
      </c>
      <c r="C597" s="260" t="s">
        <v>771</v>
      </c>
      <c r="D597" s="374">
        <f>4*8*(1/4)/12</f>
        <v>0.66666666666666663</v>
      </c>
      <c r="E597" s="279">
        <f>D597*0.028316846592</f>
        <v>1.8877897727999998E-2</v>
      </c>
      <c r="F597" s="367">
        <f>292+34.2+65.2</f>
        <v>391.4</v>
      </c>
      <c r="G597" s="375">
        <f t="shared" ref="G597:G610" si="31">500*E597</f>
        <v>9.4389488639999986</v>
      </c>
      <c r="H597" s="196" t="s">
        <v>167</v>
      </c>
      <c r="I597" s="170"/>
      <c r="J597" s="167"/>
      <c r="K597" s="167"/>
      <c r="L597" s="368">
        <f>F597*E597*10^3</f>
        <v>7388.8091707391986</v>
      </c>
      <c r="M597" s="171"/>
      <c r="N597" s="171"/>
      <c r="O597" s="171"/>
      <c r="P597" s="171"/>
      <c r="Q597" s="171"/>
      <c r="S597" s="123" t="s">
        <v>774</v>
      </c>
    </row>
    <row r="598" spans="2:19" ht="14.65" customHeight="1">
      <c r="B598" s="121" t="s">
        <v>775</v>
      </c>
      <c r="C598" s="260" t="s">
        <v>771</v>
      </c>
      <c r="D598" s="374">
        <f>4*8*(3/8)/12</f>
        <v>1</v>
      </c>
      <c r="E598" s="279">
        <f t="shared" ref="E598:E611" si="32">D598*0.028316846592</f>
        <v>2.8316846592000001E-2</v>
      </c>
      <c r="F598" s="367">
        <f>292+34.2+65.2</f>
        <v>391.4</v>
      </c>
      <c r="G598" s="375">
        <f t="shared" si="31"/>
        <v>14.158423296</v>
      </c>
      <c r="H598" s="196" t="s">
        <v>167</v>
      </c>
      <c r="I598" s="170"/>
      <c r="J598" s="167"/>
      <c r="K598" s="167"/>
      <c r="L598" s="368">
        <f t="shared" ref="L598:L611" si="33">F598*E598*10^3</f>
        <v>11083.2137561088</v>
      </c>
      <c r="M598" s="171"/>
      <c r="N598" s="171"/>
      <c r="O598" s="171"/>
      <c r="P598" s="171"/>
      <c r="Q598" s="171"/>
      <c r="S598" s="123" t="s">
        <v>774</v>
      </c>
    </row>
    <row r="599" spans="2:19" ht="14.65" customHeight="1">
      <c r="B599" s="121" t="s">
        <v>776</v>
      </c>
      <c r="C599" s="260" t="s">
        <v>771</v>
      </c>
      <c r="D599" s="374">
        <f>4*8*(1/2)/12</f>
        <v>1.3333333333333333</v>
      </c>
      <c r="E599" s="279">
        <f t="shared" si="32"/>
        <v>3.7755795455999996E-2</v>
      </c>
      <c r="F599" s="367">
        <f>292+34.2+65.2</f>
        <v>391.4</v>
      </c>
      <c r="G599" s="375">
        <f t="shared" si="31"/>
        <v>18.877897727999997</v>
      </c>
      <c r="H599" s="196" t="s">
        <v>167</v>
      </c>
      <c r="I599" s="170"/>
      <c r="J599" s="167"/>
      <c r="K599" s="167"/>
      <c r="L599" s="368">
        <f t="shared" si="33"/>
        <v>14777.618341478397</v>
      </c>
      <c r="M599" s="171"/>
      <c r="N599" s="171"/>
      <c r="O599" s="171"/>
      <c r="P599" s="171"/>
      <c r="Q599" s="171"/>
      <c r="S599" s="123" t="s">
        <v>774</v>
      </c>
    </row>
    <row r="600" spans="2:19" ht="14.65" customHeight="1">
      <c r="B600" s="121" t="s">
        <v>777</v>
      </c>
      <c r="C600" s="260" t="s">
        <v>771</v>
      </c>
      <c r="D600" s="374">
        <f>4*8*(5/8)/12</f>
        <v>1.6666666666666667</v>
      </c>
      <c r="E600" s="279">
        <f t="shared" si="32"/>
        <v>4.7194744320000002E-2</v>
      </c>
      <c r="F600" s="367">
        <f>292+34.2+65.2</f>
        <v>391.4</v>
      </c>
      <c r="G600" s="375">
        <f t="shared" si="31"/>
        <v>23.597372160000003</v>
      </c>
      <c r="H600" s="196" t="s">
        <v>167</v>
      </c>
      <c r="I600" s="170"/>
      <c r="J600" s="167"/>
      <c r="K600" s="167"/>
      <c r="L600" s="368">
        <f t="shared" si="33"/>
        <v>18472.022926848</v>
      </c>
      <c r="M600" s="171"/>
      <c r="N600" s="171"/>
      <c r="O600" s="171"/>
      <c r="P600" s="171"/>
      <c r="Q600" s="171"/>
      <c r="S600" s="123" t="s">
        <v>774</v>
      </c>
    </row>
    <row r="601" spans="2:19" ht="14.65" customHeight="1">
      <c r="B601" s="121" t="s">
        <v>778</v>
      </c>
      <c r="C601" s="260" t="s">
        <v>771</v>
      </c>
      <c r="D601" s="374">
        <f>4*8*(3/4)/12</f>
        <v>2</v>
      </c>
      <c r="E601" s="279">
        <f t="shared" si="32"/>
        <v>5.6633693184000002E-2</v>
      </c>
      <c r="F601" s="367">
        <f>292+34.2+65.2</f>
        <v>391.4</v>
      </c>
      <c r="G601" s="375">
        <f t="shared" si="31"/>
        <v>28.316846592000001</v>
      </c>
      <c r="H601" s="196" t="s">
        <v>167</v>
      </c>
      <c r="I601" s="170"/>
      <c r="J601" s="167"/>
      <c r="K601" s="167"/>
      <c r="L601" s="368">
        <f t="shared" si="33"/>
        <v>22166.4275122176</v>
      </c>
      <c r="M601" s="171"/>
      <c r="N601" s="171"/>
      <c r="O601" s="171"/>
      <c r="P601" s="171"/>
      <c r="Q601" s="171"/>
      <c r="S601" s="123" t="s">
        <v>774</v>
      </c>
    </row>
    <row r="602" spans="2:19" ht="14.65" customHeight="1">
      <c r="B602" s="121" t="s">
        <v>779</v>
      </c>
      <c r="C602" s="260" t="s">
        <v>771</v>
      </c>
      <c r="D602" s="374">
        <f>4*8*(1/4)/12</f>
        <v>0.66666666666666663</v>
      </c>
      <c r="E602" s="279">
        <f>D602*0.028316846592</f>
        <v>1.8877897727999998E-2</v>
      </c>
      <c r="F602" s="367">
        <f>212+31.9+25.1</f>
        <v>269</v>
      </c>
      <c r="G602" s="375">
        <f t="shared" si="31"/>
        <v>9.4389488639999986</v>
      </c>
      <c r="H602" s="196" t="s">
        <v>167</v>
      </c>
      <c r="I602" s="170"/>
      <c r="J602" s="167"/>
      <c r="K602" s="167"/>
      <c r="L602" s="368">
        <f t="shared" si="33"/>
        <v>5078.1544888319995</v>
      </c>
      <c r="M602" s="171"/>
      <c r="N602" s="171"/>
      <c r="O602" s="171"/>
      <c r="P602" s="171"/>
      <c r="Q602" s="171"/>
      <c r="S602" s="123" t="s">
        <v>774</v>
      </c>
    </row>
    <row r="603" spans="2:19" ht="14.65" customHeight="1">
      <c r="B603" s="121" t="s">
        <v>780</v>
      </c>
      <c r="C603" s="260" t="s">
        <v>771</v>
      </c>
      <c r="D603" s="374">
        <f>4*8*(3/8)/12</f>
        <v>1</v>
      </c>
      <c r="E603" s="279">
        <f t="shared" si="32"/>
        <v>2.8316846592000001E-2</v>
      </c>
      <c r="F603" s="367">
        <f>212+31.9+25.1</f>
        <v>269</v>
      </c>
      <c r="G603" s="375">
        <f t="shared" si="31"/>
        <v>14.158423296</v>
      </c>
      <c r="H603" s="196" t="s">
        <v>167</v>
      </c>
      <c r="I603" s="170"/>
      <c r="J603" s="167"/>
      <c r="K603" s="167"/>
      <c r="L603" s="368">
        <f t="shared" si="33"/>
        <v>7617.2317332480006</v>
      </c>
      <c r="M603" s="171"/>
      <c r="N603" s="171"/>
      <c r="O603" s="171"/>
      <c r="P603" s="171"/>
      <c r="Q603" s="171"/>
      <c r="S603" s="123" t="s">
        <v>774</v>
      </c>
    </row>
    <row r="604" spans="2:19" ht="14.65" customHeight="1">
      <c r="B604" s="121" t="s">
        <v>781</v>
      </c>
      <c r="C604" s="260" t="s">
        <v>771</v>
      </c>
      <c r="D604" s="374">
        <f>4*8*(1/2)/12</f>
        <v>1.3333333333333333</v>
      </c>
      <c r="E604" s="279">
        <f t="shared" si="32"/>
        <v>3.7755795455999996E-2</v>
      </c>
      <c r="F604" s="367">
        <f>212+31.9+25.1</f>
        <v>269</v>
      </c>
      <c r="G604" s="375">
        <f t="shared" si="31"/>
        <v>18.877897727999997</v>
      </c>
      <c r="H604" s="196" t="s">
        <v>167</v>
      </c>
      <c r="I604" s="170"/>
      <c r="J604" s="167"/>
      <c r="K604" s="167"/>
      <c r="L604" s="368">
        <f t="shared" si="33"/>
        <v>10156.308977663999</v>
      </c>
      <c r="M604" s="171"/>
      <c r="N604" s="171"/>
      <c r="O604" s="171"/>
      <c r="P604" s="171"/>
      <c r="Q604" s="171"/>
      <c r="S604" s="123" t="s">
        <v>774</v>
      </c>
    </row>
    <row r="605" spans="2:19" ht="14.65" customHeight="1">
      <c r="B605" s="121" t="s">
        <v>782</v>
      </c>
      <c r="C605" s="260" t="s">
        <v>771</v>
      </c>
      <c r="D605" s="374">
        <f>4*8*(5/8)/12</f>
        <v>1.6666666666666667</v>
      </c>
      <c r="E605" s="279">
        <f t="shared" si="32"/>
        <v>4.7194744320000002E-2</v>
      </c>
      <c r="F605" s="367">
        <f>212+31.9+25.1</f>
        <v>269</v>
      </c>
      <c r="G605" s="375">
        <f t="shared" si="31"/>
        <v>23.597372160000003</v>
      </c>
      <c r="H605" s="196" t="s">
        <v>167</v>
      </c>
      <c r="I605" s="170"/>
      <c r="J605" s="167"/>
      <c r="K605" s="167"/>
      <c r="L605" s="368">
        <f t="shared" si="33"/>
        <v>12695.38622208</v>
      </c>
      <c r="M605" s="171"/>
      <c r="N605" s="171"/>
      <c r="O605" s="171"/>
      <c r="P605" s="171"/>
      <c r="Q605" s="171"/>
      <c r="S605" s="123" t="s">
        <v>774</v>
      </c>
    </row>
    <row r="606" spans="2:19" ht="14.65" customHeight="1">
      <c r="B606" s="121" t="s">
        <v>783</v>
      </c>
      <c r="C606" s="260" t="s">
        <v>771</v>
      </c>
      <c r="D606" s="374">
        <f>4*8*(3/4)/12</f>
        <v>2</v>
      </c>
      <c r="E606" s="279">
        <f t="shared" si="32"/>
        <v>5.6633693184000002E-2</v>
      </c>
      <c r="F606" s="367">
        <f>212+31.9+25.1</f>
        <v>269</v>
      </c>
      <c r="G606" s="375">
        <f t="shared" si="31"/>
        <v>28.316846592000001</v>
      </c>
      <c r="H606" s="196" t="s">
        <v>167</v>
      </c>
      <c r="I606" s="170"/>
      <c r="J606" s="167"/>
      <c r="K606" s="167"/>
      <c r="L606" s="368">
        <f t="shared" si="33"/>
        <v>15234.463466496001</v>
      </c>
      <c r="M606" s="171"/>
      <c r="N606" s="171"/>
      <c r="O606" s="171"/>
      <c r="P606" s="171"/>
      <c r="Q606" s="171"/>
      <c r="S606" s="123" t="s">
        <v>774</v>
      </c>
    </row>
    <row r="607" spans="2:19" ht="14.65" customHeight="1">
      <c r="B607" s="121" t="s">
        <v>784</v>
      </c>
      <c r="C607" s="260" t="s">
        <v>771</v>
      </c>
      <c r="D607" s="374">
        <f>4*8*(1/4)/12</f>
        <v>0.66666666666666663</v>
      </c>
      <c r="E607" s="279">
        <f>D607*0.028316846592</f>
        <v>1.8877897727999998E-2</v>
      </c>
      <c r="F607" s="367">
        <v>500</v>
      </c>
      <c r="G607" s="375">
        <f t="shared" si="31"/>
        <v>9.4389488639999986</v>
      </c>
      <c r="H607" s="196" t="s">
        <v>167</v>
      </c>
      <c r="I607" s="170"/>
      <c r="J607" s="167"/>
      <c r="K607" s="167"/>
      <c r="L607" s="368">
        <f t="shared" si="33"/>
        <v>9438.9488639999981</v>
      </c>
      <c r="M607" s="171"/>
      <c r="N607" s="171"/>
      <c r="O607" s="171"/>
      <c r="P607" s="171"/>
      <c r="Q607" s="171"/>
      <c r="S607" s="123" t="s">
        <v>785</v>
      </c>
    </row>
    <row r="608" spans="2:19" ht="14.65" customHeight="1">
      <c r="B608" s="121" t="s">
        <v>786</v>
      </c>
      <c r="C608" s="260" t="s">
        <v>771</v>
      </c>
      <c r="D608" s="374">
        <f>4*8*(3/8)/12</f>
        <v>1</v>
      </c>
      <c r="E608" s="279">
        <f t="shared" si="32"/>
        <v>2.8316846592000001E-2</v>
      </c>
      <c r="F608" s="367">
        <v>500</v>
      </c>
      <c r="G608" s="375">
        <f t="shared" si="31"/>
        <v>14.158423296</v>
      </c>
      <c r="H608" s="196" t="s">
        <v>167</v>
      </c>
      <c r="I608" s="170"/>
      <c r="J608" s="167"/>
      <c r="K608" s="167"/>
      <c r="L608" s="368">
        <f t="shared" si="33"/>
        <v>14158.423296000001</v>
      </c>
      <c r="M608" s="171"/>
      <c r="N608" s="171"/>
      <c r="O608" s="171"/>
      <c r="P608" s="171"/>
      <c r="Q608" s="171"/>
      <c r="S608" s="123" t="s">
        <v>785</v>
      </c>
    </row>
    <row r="609" spans="2:19" ht="14.65" customHeight="1">
      <c r="B609" s="121" t="s">
        <v>787</v>
      </c>
      <c r="C609" s="260" t="s">
        <v>771</v>
      </c>
      <c r="D609" s="374">
        <f>4*8*(1/2)/12</f>
        <v>1.3333333333333333</v>
      </c>
      <c r="E609" s="279">
        <f t="shared" si="32"/>
        <v>3.7755795455999996E-2</v>
      </c>
      <c r="F609" s="367">
        <v>500</v>
      </c>
      <c r="G609" s="375">
        <f t="shared" si="31"/>
        <v>18.877897727999997</v>
      </c>
      <c r="H609" s="196" t="s">
        <v>167</v>
      </c>
      <c r="I609" s="170"/>
      <c r="J609" s="167"/>
      <c r="K609" s="167"/>
      <c r="L609" s="368">
        <f t="shared" si="33"/>
        <v>18877.897727999996</v>
      </c>
      <c r="M609" s="171"/>
      <c r="N609" s="171"/>
      <c r="O609" s="171"/>
      <c r="P609" s="171"/>
      <c r="Q609" s="171"/>
      <c r="S609" s="123" t="s">
        <v>785</v>
      </c>
    </row>
    <row r="610" spans="2:19" ht="14.65" customHeight="1">
      <c r="B610" s="121" t="s">
        <v>788</v>
      </c>
      <c r="C610" s="260" t="s">
        <v>771</v>
      </c>
      <c r="D610" s="374">
        <f>4*8*(5/8)/12</f>
        <v>1.6666666666666667</v>
      </c>
      <c r="E610" s="279">
        <f t="shared" si="32"/>
        <v>4.7194744320000002E-2</v>
      </c>
      <c r="F610" s="367">
        <v>500</v>
      </c>
      <c r="G610" s="375">
        <f t="shared" si="31"/>
        <v>23.597372160000003</v>
      </c>
      <c r="H610" s="196" t="s">
        <v>167</v>
      </c>
      <c r="I610" s="170"/>
      <c r="J610" s="167"/>
      <c r="K610" s="167"/>
      <c r="L610" s="368">
        <f t="shared" si="33"/>
        <v>23597.372160000003</v>
      </c>
      <c r="M610" s="171"/>
      <c r="N610" s="171"/>
      <c r="O610" s="171"/>
      <c r="P610" s="171"/>
      <c r="Q610" s="171"/>
      <c r="S610" s="123" t="s">
        <v>785</v>
      </c>
    </row>
    <row r="611" spans="2:19" ht="14.65" customHeight="1">
      <c r="B611" s="121" t="s">
        <v>789</v>
      </c>
      <c r="C611" s="260" t="s">
        <v>771</v>
      </c>
      <c r="D611" s="374">
        <f>4*8*(3/4)/12</f>
        <v>2</v>
      </c>
      <c r="E611" s="279">
        <f t="shared" si="32"/>
        <v>5.6633693184000002E-2</v>
      </c>
      <c r="F611" s="367">
        <v>500</v>
      </c>
      <c r="G611" s="375">
        <f>500*E611</f>
        <v>28.316846592000001</v>
      </c>
      <c r="H611" s="196" t="s">
        <v>167</v>
      </c>
      <c r="I611" s="170"/>
      <c r="J611" s="167"/>
      <c r="K611" s="167"/>
      <c r="L611" s="368">
        <f t="shared" si="33"/>
        <v>28316.846592000002</v>
      </c>
      <c r="M611" s="171"/>
      <c r="N611" s="171"/>
      <c r="O611" s="171"/>
      <c r="P611" s="171"/>
      <c r="Q611" s="171"/>
      <c r="S611" s="123" t="s">
        <v>785</v>
      </c>
    </row>
    <row r="612" spans="2:19" ht="14.65" customHeight="1">
      <c r="B612" s="371" t="s">
        <v>154</v>
      </c>
      <c r="C612" s="371" t="s">
        <v>790</v>
      </c>
      <c r="D612" s="372"/>
      <c r="E612" s="372"/>
      <c r="F612" s="372"/>
      <c r="G612" s="372"/>
      <c r="H612" s="373"/>
      <c r="I612" s="227" t="s">
        <v>749</v>
      </c>
      <c r="J612" s="228" t="s">
        <v>750</v>
      </c>
      <c r="K612" s="228" t="s">
        <v>751</v>
      </c>
      <c r="L612" s="229" t="s">
        <v>174</v>
      </c>
      <c r="M612" s="171"/>
      <c r="N612" s="171"/>
      <c r="O612" s="171"/>
      <c r="P612" s="171"/>
      <c r="Q612" s="171"/>
      <c r="S612" s="123"/>
    </row>
    <row r="613" spans="2:19" ht="14.65" customHeight="1">
      <c r="B613" s="121" t="s">
        <v>791</v>
      </c>
      <c r="C613" s="260" t="s">
        <v>790</v>
      </c>
      <c r="D613" s="279"/>
      <c r="E613" s="279"/>
      <c r="F613" s="279"/>
      <c r="G613" s="167"/>
      <c r="H613" s="196" t="s">
        <v>184</v>
      </c>
      <c r="I613" s="170"/>
      <c r="J613" s="167"/>
      <c r="K613" s="167"/>
      <c r="L613" s="127">
        <v>24000</v>
      </c>
      <c r="M613" s="171"/>
      <c r="N613" s="171"/>
      <c r="O613" s="171"/>
      <c r="P613" s="171"/>
      <c r="Q613" s="171"/>
      <c r="S613" s="123" t="s">
        <v>792</v>
      </c>
    </row>
    <row r="614" spans="2:19" ht="14.65" customHeight="1">
      <c r="B614" s="260" t="s">
        <v>793</v>
      </c>
      <c r="C614" s="260" t="s">
        <v>790</v>
      </c>
      <c r="D614" s="279"/>
      <c r="E614" s="279"/>
      <c r="F614" s="279"/>
      <c r="G614" s="167"/>
      <c r="H614" s="196" t="s">
        <v>184</v>
      </c>
      <c r="I614" s="170"/>
      <c r="J614" s="167"/>
      <c r="K614" s="167"/>
      <c r="L614" s="127">
        <v>3000</v>
      </c>
      <c r="M614" s="171"/>
      <c r="N614" s="171"/>
      <c r="O614" s="171"/>
      <c r="P614" s="171"/>
      <c r="Q614" s="171"/>
      <c r="S614" s="370" t="s">
        <v>763</v>
      </c>
    </row>
    <row r="615" spans="2:19" ht="14.65" customHeight="1">
      <c r="B615" s="121"/>
      <c r="C615" s="260" t="s">
        <v>790</v>
      </c>
      <c r="D615" s="279"/>
      <c r="E615" s="279"/>
      <c r="F615" s="367"/>
      <c r="G615" s="167"/>
      <c r="H615" s="196"/>
      <c r="I615" s="170"/>
      <c r="J615" s="167"/>
      <c r="K615" s="167"/>
      <c r="L615" s="127"/>
      <c r="M615" s="171"/>
      <c r="N615" s="171"/>
      <c r="O615" s="171"/>
      <c r="P615" s="171"/>
      <c r="Q615" s="171"/>
      <c r="S615" s="123"/>
    </row>
    <row r="616" spans="2:19" s="383" customFormat="1" ht="14.65" customHeight="1">
      <c r="B616" s="376" t="s">
        <v>154</v>
      </c>
      <c r="C616" s="377" t="s">
        <v>794</v>
      </c>
      <c r="D616" s="376" t="s">
        <v>795</v>
      </c>
      <c r="E616" s="376"/>
      <c r="F616" s="376"/>
      <c r="G616" s="376"/>
      <c r="H616" s="378"/>
      <c r="I616" s="379" t="s">
        <v>749</v>
      </c>
      <c r="J616" s="380" t="s">
        <v>750</v>
      </c>
      <c r="K616" s="380" t="s">
        <v>751</v>
      </c>
      <c r="L616" s="381" t="s">
        <v>174</v>
      </c>
      <c r="M616" s="382"/>
      <c r="N616" s="382"/>
      <c r="O616" s="382"/>
      <c r="P616" s="382"/>
      <c r="Q616" s="382"/>
      <c r="S616" s="384"/>
    </row>
    <row r="617" spans="2:19" ht="14.65" customHeight="1">
      <c r="B617" s="166" t="s">
        <v>796</v>
      </c>
      <c r="C617" s="260" t="s">
        <v>794</v>
      </c>
      <c r="D617" s="385">
        <v>0.2</v>
      </c>
      <c r="E617" s="279"/>
      <c r="F617" s="279"/>
      <c r="G617" s="167"/>
      <c r="H617" s="196" t="s">
        <v>184</v>
      </c>
      <c r="I617" s="170"/>
      <c r="J617" s="167"/>
      <c r="K617" s="167"/>
      <c r="L617" s="127">
        <v>2824</v>
      </c>
      <c r="M617" s="171"/>
      <c r="N617" s="171"/>
      <c r="O617" s="171"/>
      <c r="P617" s="171"/>
      <c r="Q617" s="171"/>
      <c r="S617" s="123" t="s">
        <v>797</v>
      </c>
    </row>
    <row r="618" spans="2:19" ht="14.65" customHeight="1">
      <c r="B618" s="166" t="s">
        <v>798</v>
      </c>
      <c r="C618" s="260" t="s">
        <v>794</v>
      </c>
      <c r="D618" s="385">
        <v>0.2</v>
      </c>
      <c r="E618" s="279"/>
      <c r="F618" s="279"/>
      <c r="G618" s="167"/>
      <c r="H618" s="196" t="s">
        <v>184</v>
      </c>
      <c r="I618" s="170"/>
      <c r="J618" s="167"/>
      <c r="K618" s="167"/>
      <c r="L618" s="127">
        <v>3600</v>
      </c>
      <c r="M618" s="171"/>
      <c r="N618" s="171"/>
      <c r="O618" s="171"/>
      <c r="P618" s="171"/>
      <c r="Q618" s="171"/>
      <c r="S618" s="123" t="s">
        <v>797</v>
      </c>
    </row>
    <row r="619" spans="2:19" ht="14.65" customHeight="1">
      <c r="B619" s="166" t="s">
        <v>799</v>
      </c>
      <c r="C619" s="260" t="s">
        <v>794</v>
      </c>
      <c r="D619" s="385">
        <v>0.2</v>
      </c>
      <c r="E619" s="279"/>
      <c r="F619" s="279"/>
      <c r="G619" s="167"/>
      <c r="H619" s="196" t="s">
        <v>184</v>
      </c>
      <c r="I619" s="170"/>
      <c r="J619" s="167"/>
      <c r="K619" s="167"/>
      <c r="L619" s="127">
        <f>L618-L617</f>
        <v>776</v>
      </c>
      <c r="M619" s="171"/>
      <c r="N619" s="171"/>
      <c r="O619" s="171"/>
      <c r="P619" s="171"/>
      <c r="Q619" s="171"/>
      <c r="S619" s="123" t="s">
        <v>800</v>
      </c>
    </row>
    <row r="620" spans="2:19" ht="14.65" customHeight="1">
      <c r="B620" s="166" t="s">
        <v>801</v>
      </c>
      <c r="C620" s="260" t="s">
        <v>794</v>
      </c>
      <c r="D620" s="385">
        <v>0.2</v>
      </c>
      <c r="E620" s="279"/>
      <c r="F620" s="279"/>
      <c r="G620" s="167"/>
      <c r="H620" s="196" t="s">
        <v>184</v>
      </c>
      <c r="I620" s="170"/>
      <c r="J620" s="167"/>
      <c r="K620" s="167"/>
      <c r="L620" s="127">
        <v>2160</v>
      </c>
      <c r="M620" s="171"/>
      <c r="N620" s="171"/>
      <c r="O620" s="171"/>
      <c r="P620" s="171"/>
      <c r="Q620" s="171"/>
      <c r="S620" s="123" t="s">
        <v>797</v>
      </c>
    </row>
    <row r="621" spans="2:19" ht="14.65" customHeight="1">
      <c r="B621" s="166" t="s">
        <v>802</v>
      </c>
      <c r="C621" s="260" t="s">
        <v>794</v>
      </c>
      <c r="D621" s="385">
        <v>0.2</v>
      </c>
      <c r="E621" s="279"/>
      <c r="F621" s="279"/>
      <c r="G621" s="167"/>
      <c r="H621" s="196" t="s">
        <v>184</v>
      </c>
      <c r="I621" s="170"/>
      <c r="J621" s="167"/>
      <c r="K621" s="167"/>
      <c r="L621" s="127">
        <v>2732</v>
      </c>
      <c r="M621" s="171"/>
      <c r="N621" s="171"/>
      <c r="O621" s="171"/>
      <c r="P621" s="171"/>
      <c r="Q621" s="171"/>
      <c r="S621" s="123" t="s">
        <v>797</v>
      </c>
    </row>
    <row r="622" spans="2:19" ht="14.65" customHeight="1">
      <c r="B622" s="166" t="s">
        <v>803</v>
      </c>
      <c r="C622" s="260" t="s">
        <v>794</v>
      </c>
      <c r="D622" s="385">
        <v>0.2</v>
      </c>
      <c r="E622" s="279"/>
      <c r="F622" s="279"/>
      <c r="G622" s="167"/>
      <c r="H622" s="196" t="s">
        <v>184</v>
      </c>
      <c r="I622" s="170"/>
      <c r="J622" s="167"/>
      <c r="K622" s="167"/>
      <c r="L622" s="127">
        <v>1932</v>
      </c>
      <c r="M622" s="171"/>
      <c r="N622" s="171"/>
      <c r="O622" s="171"/>
      <c r="P622" s="171"/>
      <c r="Q622" s="171"/>
      <c r="S622" s="123" t="s">
        <v>797</v>
      </c>
    </row>
    <row r="623" spans="2:19" ht="14.65" customHeight="1">
      <c r="B623" s="166" t="s">
        <v>804</v>
      </c>
      <c r="C623" s="260" t="s">
        <v>794</v>
      </c>
      <c r="D623" s="385">
        <v>0.2</v>
      </c>
      <c r="E623" s="279"/>
      <c r="F623" s="279"/>
      <c r="G623" s="167"/>
      <c r="H623" s="196" t="s">
        <v>184</v>
      </c>
      <c r="I623" s="170"/>
      <c r="J623" s="167"/>
      <c r="K623" s="167"/>
      <c r="L623" s="127">
        <v>2115</v>
      </c>
      <c r="M623" s="171"/>
      <c r="N623" s="171"/>
      <c r="O623" s="171"/>
      <c r="P623" s="171"/>
      <c r="Q623" s="171"/>
      <c r="S623" s="123" t="s">
        <v>797</v>
      </c>
    </row>
    <row r="624" spans="2:19" ht="14.65" customHeight="1">
      <c r="B624" s="166" t="s">
        <v>805</v>
      </c>
      <c r="C624" s="260" t="s">
        <v>794</v>
      </c>
      <c r="D624" s="385">
        <v>0.2</v>
      </c>
      <c r="E624" s="279"/>
      <c r="F624" s="279"/>
      <c r="G624" s="167"/>
      <c r="H624" s="196" t="s">
        <v>184</v>
      </c>
      <c r="I624" s="170"/>
      <c r="J624" s="167"/>
      <c r="K624" s="167"/>
      <c r="L624" s="127">
        <v>2651</v>
      </c>
      <c r="M624" s="171"/>
      <c r="N624" s="171"/>
      <c r="O624" s="171"/>
      <c r="P624" s="171"/>
      <c r="Q624" s="171"/>
      <c r="S624" s="123" t="s">
        <v>797</v>
      </c>
    </row>
    <row r="625" spans="2:19" ht="14.65" customHeight="1">
      <c r="B625" s="166" t="s">
        <v>806</v>
      </c>
      <c r="C625" s="260" t="s">
        <v>794</v>
      </c>
      <c r="D625" s="385">
        <v>0.2</v>
      </c>
      <c r="E625" s="279"/>
      <c r="F625" s="279"/>
      <c r="G625" s="167"/>
      <c r="H625" s="196" t="s">
        <v>184</v>
      </c>
      <c r="I625" s="170"/>
      <c r="J625" s="167"/>
      <c r="K625" s="167"/>
      <c r="L625" s="127">
        <v>2611</v>
      </c>
      <c r="M625" s="171"/>
      <c r="N625" s="171"/>
      <c r="O625" s="171"/>
      <c r="P625" s="171"/>
      <c r="Q625" s="171"/>
      <c r="S625" s="123" t="s">
        <v>797</v>
      </c>
    </row>
    <row r="626" spans="2:19" ht="14.65" customHeight="1">
      <c r="B626" s="166" t="s">
        <v>807</v>
      </c>
      <c r="C626" s="260" t="s">
        <v>794</v>
      </c>
      <c r="D626" s="385">
        <v>0.2</v>
      </c>
      <c r="E626" s="279"/>
      <c r="F626" s="279"/>
      <c r="G626" s="167"/>
      <c r="H626" s="196" t="s">
        <v>184</v>
      </c>
      <c r="I626" s="170"/>
      <c r="J626" s="167"/>
      <c r="K626" s="167"/>
      <c r="L626" s="127">
        <v>2618</v>
      </c>
      <c r="M626" s="171"/>
      <c r="N626" s="171"/>
      <c r="O626" s="171"/>
      <c r="P626" s="171"/>
      <c r="Q626" s="171"/>
      <c r="S626" s="123" t="s">
        <v>797</v>
      </c>
    </row>
    <row r="627" spans="2:19" ht="14.65" customHeight="1">
      <c r="B627" s="166" t="s">
        <v>808</v>
      </c>
      <c r="C627" s="260" t="s">
        <v>794</v>
      </c>
      <c r="D627" s="385">
        <v>0.2</v>
      </c>
      <c r="E627" s="279"/>
      <c r="F627" s="279"/>
      <c r="G627" s="167"/>
      <c r="H627" s="196" t="s">
        <v>184</v>
      </c>
      <c r="I627" s="170"/>
      <c r="J627" s="167"/>
      <c r="K627" s="167"/>
      <c r="L627" s="127">
        <v>1914</v>
      </c>
      <c r="M627" s="171"/>
      <c r="N627" s="171"/>
      <c r="O627" s="171"/>
      <c r="P627" s="171"/>
      <c r="Q627" s="171"/>
      <c r="S627" s="123" t="s">
        <v>797</v>
      </c>
    </row>
    <row r="628" spans="2:19" ht="14.65" customHeight="1">
      <c r="B628" s="166" t="s">
        <v>809</v>
      </c>
      <c r="C628" s="260" t="s">
        <v>794</v>
      </c>
      <c r="D628" s="385">
        <v>0.2</v>
      </c>
      <c r="E628" s="279"/>
      <c r="F628" s="279"/>
      <c r="G628" s="167"/>
      <c r="H628" s="196" t="s">
        <v>184</v>
      </c>
      <c r="I628" s="170"/>
      <c r="J628" s="167"/>
      <c r="K628" s="167"/>
      <c r="L628" s="127">
        <v>2094</v>
      </c>
      <c r="M628" s="171"/>
      <c r="N628" s="171"/>
      <c r="O628" s="171"/>
      <c r="P628" s="171"/>
      <c r="Q628" s="171"/>
      <c r="S628" s="123" t="s">
        <v>797</v>
      </c>
    </row>
    <row r="629" spans="2:19" ht="14.65" customHeight="1">
      <c r="B629" s="166" t="s">
        <v>810</v>
      </c>
      <c r="C629" s="260" t="s">
        <v>794</v>
      </c>
      <c r="D629" s="385">
        <v>0.2</v>
      </c>
      <c r="E629" s="279"/>
      <c r="F629" s="279"/>
      <c r="G629" s="167"/>
      <c r="H629" s="196" t="s">
        <v>184</v>
      </c>
      <c r="I629" s="170"/>
      <c r="J629" s="167"/>
      <c r="K629" s="167"/>
      <c r="L629" s="127">
        <v>202</v>
      </c>
      <c r="M629" s="171"/>
      <c r="N629" s="171"/>
      <c r="O629" s="171"/>
      <c r="P629" s="171"/>
      <c r="Q629" s="171"/>
      <c r="S629" s="123" t="s">
        <v>797</v>
      </c>
    </row>
    <row r="630" spans="2:19" ht="14.65" customHeight="1">
      <c r="B630" s="166" t="s">
        <v>811</v>
      </c>
      <c r="C630" s="260" t="s">
        <v>794</v>
      </c>
      <c r="D630" s="385">
        <v>0.2</v>
      </c>
      <c r="E630" s="279"/>
      <c r="F630" s="279"/>
      <c r="G630" s="167"/>
      <c r="H630" s="196" t="s">
        <v>184</v>
      </c>
      <c r="I630" s="170"/>
      <c r="J630" s="167"/>
      <c r="K630" s="167"/>
      <c r="L630" s="127">
        <v>3271</v>
      </c>
      <c r="M630" s="171"/>
      <c r="N630" s="171"/>
      <c r="O630" s="171"/>
      <c r="P630" s="171"/>
      <c r="Q630" s="171"/>
      <c r="S630" s="123" t="s">
        <v>797</v>
      </c>
    </row>
    <row r="631" spans="2:19" ht="14.65" customHeight="1">
      <c r="B631" s="166" t="s">
        <v>812</v>
      </c>
      <c r="C631" s="260" t="s">
        <v>794</v>
      </c>
      <c r="D631" s="385">
        <v>0.2</v>
      </c>
      <c r="E631" s="279"/>
      <c r="F631" s="279"/>
      <c r="G631" s="167"/>
      <c r="H631" s="196" t="s">
        <v>184</v>
      </c>
      <c r="I631" s="170"/>
      <c r="J631" s="167"/>
      <c r="K631" s="167"/>
      <c r="L631" s="127">
        <v>4305</v>
      </c>
      <c r="M631" s="171"/>
      <c r="N631" s="171"/>
      <c r="O631" s="171"/>
      <c r="P631" s="171"/>
      <c r="Q631" s="171"/>
      <c r="S631" s="123" t="s">
        <v>797</v>
      </c>
    </row>
    <row r="632" spans="2:19" ht="14.65" customHeight="1">
      <c r="B632" s="166" t="s">
        <v>813</v>
      </c>
      <c r="C632" s="260" t="s">
        <v>794</v>
      </c>
      <c r="D632" s="385">
        <v>0.2</v>
      </c>
      <c r="E632" s="279"/>
      <c r="F632" s="279"/>
      <c r="G632" s="167"/>
      <c r="H632" s="196" t="s">
        <v>184</v>
      </c>
      <c r="I632" s="170"/>
      <c r="J632" s="167"/>
      <c r="K632" s="167"/>
      <c r="L632" s="127">
        <v>3410</v>
      </c>
      <c r="M632" s="171"/>
      <c r="N632" s="171"/>
      <c r="O632" s="171"/>
      <c r="P632" s="171"/>
      <c r="Q632" s="171"/>
      <c r="S632" s="123" t="s">
        <v>797</v>
      </c>
    </row>
    <row r="633" spans="2:19" ht="14.65" customHeight="1">
      <c r="B633" s="166" t="s">
        <v>814</v>
      </c>
      <c r="C633" s="260" t="s">
        <v>794</v>
      </c>
      <c r="D633" s="385">
        <v>0.2</v>
      </c>
      <c r="E633" s="279"/>
      <c r="F633" s="279"/>
      <c r="G633" s="167"/>
      <c r="H633" s="196" t="s">
        <v>184</v>
      </c>
      <c r="I633" s="170"/>
      <c r="J633" s="167"/>
      <c r="K633" s="167"/>
      <c r="L633" s="127">
        <v>5500</v>
      </c>
      <c r="M633" s="171"/>
      <c r="N633" s="171"/>
      <c r="O633" s="171"/>
      <c r="P633" s="171"/>
      <c r="Q633" s="171"/>
      <c r="S633" s="123" t="s">
        <v>797</v>
      </c>
    </row>
    <row r="634" spans="2:19" ht="14.65" customHeight="1">
      <c r="B634" s="166" t="s">
        <v>815</v>
      </c>
      <c r="C634" s="260" t="s">
        <v>794</v>
      </c>
      <c r="D634" s="385">
        <v>0.2</v>
      </c>
      <c r="E634" s="279"/>
      <c r="F634" s="279"/>
      <c r="G634" s="167"/>
      <c r="H634" s="196" t="s">
        <v>184</v>
      </c>
      <c r="I634" s="170"/>
      <c r="J634" s="167"/>
      <c r="K634" s="167"/>
      <c r="L634" s="127">
        <v>348</v>
      </c>
      <c r="M634" s="171"/>
      <c r="N634" s="171"/>
      <c r="O634" s="171"/>
      <c r="P634" s="171"/>
      <c r="Q634" s="171"/>
      <c r="S634" s="123" t="s">
        <v>797</v>
      </c>
    </row>
    <row r="635" spans="2:19" ht="14.65" customHeight="1">
      <c r="B635" s="166" t="s">
        <v>816</v>
      </c>
      <c r="C635" s="260" t="s">
        <v>794</v>
      </c>
      <c r="D635" s="385">
        <v>0.2</v>
      </c>
      <c r="E635" s="279"/>
      <c r="F635" s="279"/>
      <c r="G635" s="167"/>
      <c r="H635" s="196" t="s">
        <v>184</v>
      </c>
      <c r="I635" s="170"/>
      <c r="J635" s="167"/>
      <c r="K635" s="167"/>
      <c r="L635" s="127">
        <v>2460</v>
      </c>
      <c r="M635" s="171"/>
      <c r="N635" s="171"/>
      <c r="O635" s="171"/>
      <c r="P635" s="171"/>
      <c r="Q635" s="171"/>
      <c r="S635" s="123" t="s">
        <v>797</v>
      </c>
    </row>
    <row r="636" spans="2:19" ht="14.65" customHeight="1">
      <c r="B636" s="166" t="s">
        <v>817</v>
      </c>
      <c r="C636" s="260" t="s">
        <v>794</v>
      </c>
      <c r="D636" s="385">
        <v>0.2</v>
      </c>
      <c r="E636" s="279"/>
      <c r="F636" s="279"/>
      <c r="G636" s="167"/>
      <c r="H636" s="196" t="s">
        <v>184</v>
      </c>
      <c r="I636" s="170"/>
      <c r="J636" s="167"/>
      <c r="K636" s="167"/>
      <c r="L636" s="127">
        <v>7720.5</v>
      </c>
      <c r="M636" s="171"/>
      <c r="N636" s="171"/>
      <c r="O636" s="171"/>
      <c r="P636" s="171"/>
      <c r="Q636" s="171"/>
      <c r="S636" s="123" t="s">
        <v>797</v>
      </c>
    </row>
    <row r="637" spans="2:19" s="383" customFormat="1" ht="14.65" customHeight="1">
      <c r="B637" s="376" t="s">
        <v>154</v>
      </c>
      <c r="C637" s="377" t="s">
        <v>818</v>
      </c>
      <c r="D637" s="376" t="s">
        <v>795</v>
      </c>
      <c r="E637" s="376"/>
      <c r="F637" s="376"/>
      <c r="G637" s="376"/>
      <c r="H637" s="378"/>
      <c r="I637" s="379" t="s">
        <v>749</v>
      </c>
      <c r="J637" s="380" t="s">
        <v>750</v>
      </c>
      <c r="K637" s="380" t="s">
        <v>751</v>
      </c>
      <c r="L637" s="381" t="s">
        <v>174</v>
      </c>
      <c r="M637" s="382"/>
      <c r="N637" s="382"/>
      <c r="O637" s="382"/>
      <c r="P637" s="382"/>
      <c r="Q637" s="382"/>
      <c r="S637" s="384"/>
    </row>
    <row r="638" spans="2:19" ht="14.65" customHeight="1">
      <c r="B638" s="166" t="s">
        <v>819</v>
      </c>
      <c r="C638" s="260" t="s">
        <v>818</v>
      </c>
      <c r="D638" s="385"/>
      <c r="E638" s="279"/>
      <c r="F638" s="279"/>
      <c r="G638" s="167"/>
      <c r="H638" s="196" t="s">
        <v>184</v>
      </c>
      <c r="I638" s="170"/>
      <c r="J638" s="167"/>
      <c r="K638" s="167"/>
      <c r="L638" s="127">
        <v>1401</v>
      </c>
      <c r="M638" s="171"/>
      <c r="N638" s="171"/>
      <c r="O638" s="171"/>
      <c r="P638" s="171"/>
      <c r="Q638" s="171"/>
      <c r="S638" s="123" t="s">
        <v>820</v>
      </c>
    </row>
    <row r="639" spans="2:19" ht="14.65" customHeight="1">
      <c r="B639" s="166"/>
      <c r="C639" s="260" t="s">
        <v>818</v>
      </c>
      <c r="D639" s="385"/>
      <c r="E639" s="279"/>
      <c r="F639" s="279"/>
      <c r="G639" s="167"/>
      <c r="H639" s="196" t="s">
        <v>184</v>
      </c>
      <c r="I639" s="170"/>
      <c r="J639" s="167"/>
      <c r="K639" s="167"/>
      <c r="L639" s="127"/>
      <c r="M639" s="171"/>
      <c r="N639" s="171"/>
      <c r="O639" s="171"/>
      <c r="P639" s="171"/>
      <c r="Q639" s="171"/>
      <c r="S639" s="123"/>
    </row>
    <row r="640" spans="2:19" ht="14.65" customHeight="1">
      <c r="B640" s="166"/>
      <c r="C640" s="260" t="s">
        <v>818</v>
      </c>
      <c r="D640" s="385"/>
      <c r="E640" s="279"/>
      <c r="F640" s="279"/>
      <c r="G640" s="167"/>
      <c r="H640" s="196" t="s">
        <v>184</v>
      </c>
      <c r="I640" s="170"/>
      <c r="J640" s="167"/>
      <c r="K640" s="167"/>
      <c r="L640" s="127"/>
      <c r="M640" s="171"/>
      <c r="N640" s="171"/>
      <c r="O640" s="171"/>
      <c r="P640" s="171"/>
      <c r="Q640" s="171"/>
      <c r="S640" s="123"/>
    </row>
    <row r="641" spans="1:19" ht="14.65" customHeight="1">
      <c r="B641" s="166"/>
      <c r="C641" s="260"/>
      <c r="D641" s="385"/>
      <c r="E641" s="279"/>
      <c r="F641" s="279"/>
      <c r="G641" s="167"/>
      <c r="H641" s="196"/>
      <c r="I641" s="170"/>
      <c r="J641" s="167"/>
      <c r="K641" s="167"/>
      <c r="L641" s="127"/>
      <c r="M641" s="171"/>
      <c r="N641" s="171"/>
      <c r="O641" s="171"/>
      <c r="P641" s="171"/>
      <c r="Q641" s="171"/>
      <c r="S641" s="123"/>
    </row>
    <row r="642" spans="1:19" ht="15.75" thickBot="1">
      <c r="B642" s="386"/>
      <c r="C642" s="387"/>
      <c r="D642" s="329"/>
      <c r="E642" s="329"/>
      <c r="F642" s="329"/>
      <c r="G642" s="327"/>
      <c r="H642" s="203"/>
      <c r="I642" s="328"/>
      <c r="J642" s="327"/>
      <c r="K642" s="327"/>
      <c r="L642" s="205"/>
      <c r="M642" s="171"/>
      <c r="N642" s="171"/>
      <c r="O642" s="171"/>
      <c r="P642" s="171"/>
      <c r="Q642" s="171"/>
      <c r="S642" s="358"/>
    </row>
    <row r="643" spans="1:19" ht="15.75" thickBot="1">
      <c r="A643" s="86"/>
      <c r="S643" s="57"/>
    </row>
    <row r="644" spans="1:19" ht="19.5" thickBot="1">
      <c r="A644" s="86"/>
      <c r="B644" s="1302" t="s">
        <v>821</v>
      </c>
      <c r="C644" s="1303"/>
      <c r="D644" s="1303"/>
      <c r="E644" s="1303" t="s">
        <v>154</v>
      </c>
      <c r="F644" s="1303"/>
      <c r="G644" s="1303" t="s">
        <v>154</v>
      </c>
      <c r="H644" s="150"/>
      <c r="I644" s="151" t="s">
        <v>154</v>
      </c>
      <c r="J644" s="151" t="s">
        <v>154</v>
      </c>
      <c r="K644" s="151" t="s">
        <v>154</v>
      </c>
      <c r="L644" s="152" t="s">
        <v>155</v>
      </c>
      <c r="M644" s="153"/>
      <c r="N644" s="153"/>
      <c r="O644" s="153"/>
      <c r="P644" s="153"/>
      <c r="Q644" s="153"/>
      <c r="R644" s="90"/>
      <c r="S644" s="154" t="s">
        <v>156</v>
      </c>
    </row>
    <row r="645" spans="1:19" ht="45">
      <c r="B645" s="92" t="s">
        <v>154</v>
      </c>
      <c r="C645" s="93"/>
      <c r="D645" s="366" t="s">
        <v>822</v>
      </c>
      <c r="E645" s="366" t="s">
        <v>823</v>
      </c>
      <c r="F645" s="366" t="s">
        <v>824</v>
      </c>
      <c r="G645" s="366" t="s">
        <v>825</v>
      </c>
      <c r="H645" s="156"/>
      <c r="I645" s="158" t="s">
        <v>215</v>
      </c>
      <c r="J645" s="192" t="s">
        <v>216</v>
      </c>
      <c r="K645" s="192" t="s">
        <v>217</v>
      </c>
      <c r="L645" s="98" t="s">
        <v>162</v>
      </c>
      <c r="M645" s="159"/>
      <c r="N645" s="159"/>
      <c r="O645" s="159"/>
      <c r="P645" s="159"/>
      <c r="Q645" s="159"/>
      <c r="S645" s="160" t="s">
        <v>154</v>
      </c>
    </row>
    <row r="646" spans="1:19" ht="18">
      <c r="B646" s="161" t="s">
        <v>73</v>
      </c>
      <c r="C646" s="162" t="s">
        <v>154</v>
      </c>
      <c r="D646" s="163" t="s">
        <v>826</v>
      </c>
      <c r="E646" s="163" t="s">
        <v>826</v>
      </c>
      <c r="F646" s="163" t="s">
        <v>827</v>
      </c>
      <c r="G646" s="163" t="s">
        <v>828</v>
      </c>
      <c r="H646" s="212" t="s">
        <v>167</v>
      </c>
      <c r="I646" s="164" t="s">
        <v>749</v>
      </c>
      <c r="J646" s="104" t="s">
        <v>750</v>
      </c>
      <c r="K646" s="104" t="s">
        <v>751</v>
      </c>
      <c r="L646" s="109" t="s">
        <v>174</v>
      </c>
      <c r="M646" s="159"/>
      <c r="N646" s="159"/>
      <c r="O646" s="159"/>
      <c r="P646" s="159"/>
      <c r="Q646" s="159"/>
      <c r="S646" s="165" t="s">
        <v>154</v>
      </c>
    </row>
    <row r="647" spans="1:19">
      <c r="B647" s="121" t="s">
        <v>74</v>
      </c>
      <c r="C647" s="260"/>
      <c r="D647" s="388">
        <v>2.7</v>
      </c>
      <c r="E647" s="388">
        <v>1</v>
      </c>
      <c r="F647" s="388">
        <v>14</v>
      </c>
      <c r="G647" s="375">
        <v>1.5</v>
      </c>
      <c r="H647" s="196" t="s">
        <v>184</v>
      </c>
      <c r="I647" s="170"/>
      <c r="J647" s="167"/>
      <c r="K647" s="167"/>
      <c r="L647" s="132"/>
      <c r="M647" s="171"/>
      <c r="N647" s="171"/>
      <c r="O647" s="171"/>
      <c r="P647" s="171"/>
      <c r="Q647" s="171"/>
      <c r="S647" s="123" t="s">
        <v>829</v>
      </c>
    </row>
    <row r="648" spans="1:19" ht="14.65" customHeight="1">
      <c r="B648" s="121"/>
      <c r="C648" s="260"/>
      <c r="D648" s="279"/>
      <c r="E648" s="279"/>
      <c r="F648" s="279"/>
      <c r="G648" s="167"/>
      <c r="H648" s="196"/>
      <c r="I648" s="170"/>
      <c r="J648" s="167"/>
      <c r="K648" s="167"/>
      <c r="L648" s="127"/>
      <c r="M648" s="171"/>
      <c r="N648" s="171"/>
      <c r="O648" s="171"/>
      <c r="P648" s="171"/>
      <c r="Q648" s="171"/>
      <c r="S648" s="123"/>
    </row>
    <row r="649" spans="1:19" ht="14.65" customHeight="1">
      <c r="B649" s="1311" t="s">
        <v>149</v>
      </c>
      <c r="C649" s="260" t="s">
        <v>596</v>
      </c>
      <c r="D649" s="279"/>
      <c r="E649" s="279"/>
      <c r="F649" s="279"/>
      <c r="G649" s="167"/>
      <c r="H649" s="196"/>
      <c r="I649" s="170"/>
      <c r="J649" s="167"/>
      <c r="K649" s="167"/>
      <c r="L649" s="368">
        <f>($D$647+$E$647+($F$647*(10^3)*(VLOOKUP(C649,$B$385:$L$437,11,FALSE)+VLOOKUP(C649,$B$440:$L$492,11,FALSE)))/(10^6)+$G$647)*(10^3)</f>
        <v>5223.8000000000011</v>
      </c>
      <c r="M649" s="171"/>
      <c r="N649" s="171"/>
      <c r="O649" s="171"/>
      <c r="P649" s="171"/>
      <c r="Q649" s="171"/>
      <c r="S649" s="123" t="s">
        <v>829</v>
      </c>
    </row>
    <row r="650" spans="1:19" ht="14.65" customHeight="1">
      <c r="B650" s="1312"/>
      <c r="C650" s="260" t="s">
        <v>617</v>
      </c>
      <c r="D650" s="279"/>
      <c r="E650" s="279"/>
      <c r="F650" s="279"/>
      <c r="G650" s="167"/>
      <c r="H650" s="196"/>
      <c r="I650" s="170"/>
      <c r="J650" s="167"/>
      <c r="K650" s="167"/>
      <c r="L650" s="368">
        <f>($D$647+$E$647+($F$647*(10^3)*(VLOOKUP(C650,$B$385:$L$437,11,FALSE)+VLOOKUP(C650,$B$440:$L$492,11,FALSE)))/(10^6)+$G$647)*(10^3)</f>
        <v>5410</v>
      </c>
      <c r="M650" s="171"/>
      <c r="N650" s="171"/>
      <c r="O650" s="171"/>
      <c r="P650" s="171"/>
      <c r="Q650" s="171"/>
      <c r="S650" s="123" t="s">
        <v>829</v>
      </c>
    </row>
    <row r="651" spans="1:19" ht="14.65" customHeight="1">
      <c r="B651" s="1312"/>
      <c r="C651" s="260" t="str">
        <f>B428</f>
        <v>Azerbaïdjan</v>
      </c>
      <c r="D651" s="279"/>
      <c r="E651" s="279"/>
      <c r="F651" s="279"/>
      <c r="G651" s="167"/>
      <c r="H651" s="196"/>
      <c r="I651" s="170"/>
      <c r="J651" s="167"/>
      <c r="K651" s="167"/>
      <c r="L651" s="368">
        <f>($D$647+$E$647+($F$647*(10^3)*(VLOOKUP(C651,$B$385:$L$437,11,FALSE)+VLOOKUP(C651,$B$440:$L$492,11,FALSE)))/(10^6)+$G$647)*(10^3)</f>
        <v>14594.000000000002</v>
      </c>
      <c r="M651" s="171"/>
      <c r="N651" s="171"/>
      <c r="O651" s="171"/>
      <c r="P651" s="171"/>
      <c r="Q651" s="171"/>
      <c r="S651" s="123"/>
    </row>
    <row r="652" spans="1:19" ht="14.65" customHeight="1">
      <c r="B652" s="1312"/>
      <c r="C652" s="260" t="str">
        <f>B432</f>
        <v>Indonésie</v>
      </c>
      <c r="D652" s="279"/>
      <c r="E652" s="279"/>
      <c r="F652" s="279"/>
      <c r="G652" s="167"/>
      <c r="H652" s="196"/>
      <c r="I652" s="170"/>
      <c r="J652" s="167"/>
      <c r="K652" s="167"/>
      <c r="L652" s="368">
        <f>($D$647+$E$647+($F$647*(10^3)*(VLOOKUP(C652,$B$385:$L$437,11,FALSE)+VLOOKUP(C652,$B$440:$L$492,11,FALSE)))/(10^6)+$G$647)*(10^3)</f>
        <v>14664.000000000002</v>
      </c>
      <c r="M652" s="171"/>
      <c r="N652" s="171"/>
      <c r="O652" s="171"/>
      <c r="P652" s="171"/>
      <c r="Q652" s="171"/>
      <c r="S652" s="123"/>
    </row>
    <row r="653" spans="1:19" ht="14.65" customHeight="1">
      <c r="B653" s="1313"/>
      <c r="C653" s="260" t="str">
        <f>B414</f>
        <v>États-Unis - NPCC Upstate NY</v>
      </c>
      <c r="D653" s="279"/>
      <c r="E653" s="279"/>
      <c r="F653" s="279"/>
      <c r="G653" s="167"/>
      <c r="H653" s="196"/>
      <c r="I653" s="170"/>
      <c r="J653" s="167"/>
      <c r="K653" s="167"/>
      <c r="L653" s="368">
        <f>($D$647+$E$647+($F$647*(10^3)*(VLOOKUP(C653,$B$385:$L$437,11,FALSE)+VLOOKUP(C653,$B$440:$L$492,11,FALSE)))/(10^6)+$G$647)*(10^3)</f>
        <v>6949.8359863740743</v>
      </c>
      <c r="M653" s="171"/>
      <c r="N653" s="171"/>
      <c r="O653" s="171"/>
      <c r="P653" s="171"/>
      <c r="Q653" s="171"/>
      <c r="S653" s="123"/>
    </row>
    <row r="654" spans="1:19" ht="15.75" thickBot="1">
      <c r="B654" s="344"/>
      <c r="C654" s="326"/>
      <c r="D654" s="329"/>
      <c r="E654" s="329"/>
      <c r="F654" s="329"/>
      <c r="G654" s="327"/>
      <c r="H654" s="203"/>
      <c r="I654" s="328"/>
      <c r="J654" s="327"/>
      <c r="K654" s="327"/>
      <c r="L654" s="205"/>
      <c r="M654" s="171"/>
      <c r="N654" s="171"/>
      <c r="O654" s="171"/>
      <c r="P654" s="171"/>
      <c r="Q654" s="171"/>
      <c r="S654" s="358"/>
    </row>
    <row r="655" spans="1:19" ht="15.75" thickBot="1">
      <c r="A655" s="86"/>
      <c r="S655" s="57"/>
    </row>
    <row r="656" spans="1:19" ht="19.5" thickBot="1">
      <c r="A656" s="86"/>
      <c r="B656" s="1302" t="s">
        <v>830</v>
      </c>
      <c r="C656" s="1303"/>
      <c r="D656" s="1303"/>
      <c r="E656" s="1303" t="s">
        <v>154</v>
      </c>
      <c r="F656" s="1303"/>
      <c r="G656" s="1303" t="s">
        <v>154</v>
      </c>
      <c r="H656" s="150"/>
      <c r="I656" s="151" t="s">
        <v>154</v>
      </c>
      <c r="J656" s="151" t="s">
        <v>154</v>
      </c>
      <c r="K656" s="151" t="s">
        <v>154</v>
      </c>
      <c r="L656" s="152" t="s">
        <v>155</v>
      </c>
      <c r="M656" s="153"/>
      <c r="N656" s="153"/>
      <c r="O656" s="153"/>
      <c r="P656" s="153"/>
      <c r="Q656" s="153"/>
      <c r="R656" s="90"/>
      <c r="S656" s="154" t="s">
        <v>156</v>
      </c>
    </row>
    <row r="657" spans="2:19" ht="16.5">
      <c r="B657" s="92" t="s">
        <v>154</v>
      </c>
      <c r="C657" s="93"/>
      <c r="D657" s="93" t="s">
        <v>154</v>
      </c>
      <c r="E657" s="97"/>
      <c r="F657" s="389"/>
      <c r="G657" s="389"/>
      <c r="H657" s="156"/>
      <c r="I657" s="158"/>
      <c r="J657" s="97"/>
      <c r="K657" s="93"/>
      <c r="L657" s="98" t="s">
        <v>162</v>
      </c>
      <c r="M657" s="159"/>
      <c r="N657" s="159"/>
      <c r="O657" s="159"/>
      <c r="P657" s="159"/>
      <c r="Q657" s="159"/>
      <c r="S657" s="160" t="s">
        <v>154</v>
      </c>
    </row>
    <row r="658" spans="2:19" ht="16.5">
      <c r="B658" s="161" t="s">
        <v>831</v>
      </c>
      <c r="C658" s="338" t="s">
        <v>832</v>
      </c>
      <c r="D658" s="162" t="s">
        <v>154</v>
      </c>
      <c r="E658" s="163"/>
      <c r="F658" s="390"/>
      <c r="G658" s="390"/>
      <c r="H658" s="212" t="s">
        <v>167</v>
      </c>
      <c r="I658" s="164"/>
      <c r="J658" s="163" t="s">
        <v>833</v>
      </c>
      <c r="K658" s="162"/>
      <c r="L658" s="109" t="s">
        <v>174</v>
      </c>
      <c r="M658" s="159"/>
      <c r="N658" s="159"/>
      <c r="O658" s="159"/>
      <c r="P658" s="159"/>
      <c r="Q658" s="159"/>
      <c r="S658" s="165" t="s">
        <v>154</v>
      </c>
    </row>
    <row r="659" spans="2:19">
      <c r="B659" s="121" t="s">
        <v>834</v>
      </c>
      <c r="C659" s="117" t="s">
        <v>835</v>
      </c>
      <c r="D659" s="167"/>
      <c r="E659" s="167"/>
      <c r="F659" s="279"/>
      <c r="G659" s="167"/>
      <c r="H659" s="196" t="s">
        <v>184</v>
      </c>
      <c r="I659" s="170"/>
      <c r="J659" s="391">
        <v>0</v>
      </c>
      <c r="K659" s="167"/>
      <c r="L659" s="127">
        <f>L660/(1-J660)</f>
        <v>1150.5882352941176</v>
      </c>
      <c r="M659" s="171"/>
      <c r="N659" s="171"/>
      <c r="O659" s="171"/>
      <c r="P659" s="171"/>
      <c r="Q659" s="171"/>
      <c r="S659" s="123" t="s">
        <v>836</v>
      </c>
    </row>
    <row r="660" spans="2:19" ht="14.65" customHeight="1">
      <c r="B660" s="121" t="s">
        <v>837</v>
      </c>
      <c r="C660" s="117" t="s">
        <v>835</v>
      </c>
      <c r="D660" s="279"/>
      <c r="E660" s="279"/>
      <c r="F660" s="279"/>
      <c r="G660" s="167"/>
      <c r="H660" s="196" t="s">
        <v>184</v>
      </c>
      <c r="I660" s="170"/>
      <c r="J660" s="391">
        <v>0.15</v>
      </c>
      <c r="K660" s="167"/>
      <c r="L660" s="127">
        <v>978</v>
      </c>
      <c r="M660" s="171"/>
      <c r="N660" s="171"/>
      <c r="O660" s="171"/>
      <c r="P660" s="171"/>
      <c r="Q660" s="171"/>
      <c r="S660" s="123" t="s">
        <v>836</v>
      </c>
    </row>
    <row r="661" spans="2:19" ht="14.65" customHeight="1">
      <c r="B661" s="121" t="s">
        <v>838</v>
      </c>
      <c r="C661" s="117" t="s">
        <v>835</v>
      </c>
      <c r="D661" s="279"/>
      <c r="E661" s="279"/>
      <c r="F661" s="279"/>
      <c r="G661" s="167"/>
      <c r="H661" s="196" t="s">
        <v>184</v>
      </c>
      <c r="I661" s="170"/>
      <c r="J661" s="391"/>
      <c r="K661" s="167"/>
      <c r="L661" s="392">
        <f t="shared" ref="L661:L667" si="34">$L$659</f>
        <v>1150.5882352941176</v>
      </c>
      <c r="M661" s="171"/>
      <c r="N661" s="171"/>
      <c r="O661" s="171"/>
      <c r="P661" s="171"/>
      <c r="Q661" s="171"/>
      <c r="S661" s="393" t="s">
        <v>839</v>
      </c>
    </row>
    <row r="662" spans="2:19" ht="14.65" customHeight="1">
      <c r="B662" s="121" t="s">
        <v>840</v>
      </c>
      <c r="C662" s="117" t="s">
        <v>835</v>
      </c>
      <c r="D662" s="279"/>
      <c r="E662" s="279"/>
      <c r="F662" s="279"/>
      <c r="G662" s="167"/>
      <c r="H662" s="196" t="s">
        <v>184</v>
      </c>
      <c r="I662" s="170"/>
      <c r="J662" s="391"/>
      <c r="K662" s="167"/>
      <c r="L662" s="392">
        <f t="shared" si="34"/>
        <v>1150.5882352941176</v>
      </c>
      <c r="M662" s="171"/>
      <c r="N662" s="171"/>
      <c r="O662" s="171"/>
      <c r="P662" s="171"/>
      <c r="Q662" s="171"/>
      <c r="S662" s="393" t="s">
        <v>839</v>
      </c>
    </row>
    <row r="663" spans="2:19" ht="14.65" customHeight="1">
      <c r="B663" s="121" t="s">
        <v>841</v>
      </c>
      <c r="C663" s="117" t="s">
        <v>835</v>
      </c>
      <c r="D663" s="279"/>
      <c r="E663" s="279"/>
      <c r="F663" s="279"/>
      <c r="G663" s="167"/>
      <c r="H663" s="196" t="s">
        <v>184</v>
      </c>
      <c r="I663" s="170"/>
      <c r="J663" s="391"/>
      <c r="K663" s="167"/>
      <c r="L663" s="392">
        <f t="shared" si="34"/>
        <v>1150.5882352941176</v>
      </c>
      <c r="M663" s="171"/>
      <c r="N663" s="171"/>
      <c r="O663" s="171"/>
      <c r="P663" s="171"/>
      <c r="Q663" s="171"/>
      <c r="S663" s="393" t="s">
        <v>839</v>
      </c>
    </row>
    <row r="664" spans="2:19" ht="14.65" customHeight="1">
      <c r="B664" s="121" t="s">
        <v>842</v>
      </c>
      <c r="C664" s="117" t="s">
        <v>835</v>
      </c>
      <c r="D664" s="279"/>
      <c r="E664" s="279"/>
      <c r="F664" s="279"/>
      <c r="G664" s="167"/>
      <c r="H664" s="196" t="s">
        <v>184</v>
      </c>
      <c r="I664" s="170"/>
      <c r="J664" s="391"/>
      <c r="K664" s="167"/>
      <c r="L664" s="392">
        <f t="shared" si="34"/>
        <v>1150.5882352941176</v>
      </c>
      <c r="M664" s="171"/>
      <c r="N664" s="171"/>
      <c r="O664" s="171"/>
      <c r="P664" s="171"/>
      <c r="Q664" s="171"/>
      <c r="S664" s="393" t="s">
        <v>839</v>
      </c>
    </row>
    <row r="665" spans="2:19" ht="14.65" customHeight="1">
      <c r="B665" s="121" t="s">
        <v>843</v>
      </c>
      <c r="C665" s="117" t="s">
        <v>835</v>
      </c>
      <c r="D665" s="279"/>
      <c r="E665" s="279"/>
      <c r="F665" s="279"/>
      <c r="G665" s="167"/>
      <c r="H665" s="196" t="s">
        <v>184</v>
      </c>
      <c r="I665" s="170"/>
      <c r="J665" s="391"/>
      <c r="K665" s="167"/>
      <c r="L665" s="392">
        <f t="shared" si="34"/>
        <v>1150.5882352941176</v>
      </c>
      <c r="M665" s="171"/>
      <c r="N665" s="171"/>
      <c r="O665" s="171"/>
      <c r="P665" s="171"/>
      <c r="Q665" s="171"/>
      <c r="S665" s="393" t="s">
        <v>839</v>
      </c>
    </row>
    <row r="666" spans="2:19" ht="14.65" customHeight="1">
      <c r="B666" s="121" t="s">
        <v>844</v>
      </c>
      <c r="C666" s="117" t="s">
        <v>835</v>
      </c>
      <c r="D666" s="279"/>
      <c r="E666" s="279"/>
      <c r="F666" s="279"/>
      <c r="G666" s="167"/>
      <c r="H666" s="196" t="s">
        <v>184</v>
      </c>
      <c r="I666" s="170"/>
      <c r="J666" s="391"/>
      <c r="K666" s="167"/>
      <c r="L666" s="392">
        <f t="shared" si="34"/>
        <v>1150.5882352941176</v>
      </c>
      <c r="M666" s="171"/>
      <c r="N666" s="171"/>
      <c r="O666" s="171"/>
      <c r="P666" s="171"/>
      <c r="Q666" s="171"/>
      <c r="S666" s="393" t="s">
        <v>839</v>
      </c>
    </row>
    <row r="667" spans="2:19" ht="14.25" customHeight="1">
      <c r="B667" s="121" t="s">
        <v>845</v>
      </c>
      <c r="C667" s="117" t="s">
        <v>835</v>
      </c>
      <c r="D667" s="279"/>
      <c r="E667" s="279"/>
      <c r="F667" s="279"/>
      <c r="G667" s="167"/>
      <c r="H667" s="196" t="s">
        <v>184</v>
      </c>
      <c r="I667" s="170"/>
      <c r="J667" s="391"/>
      <c r="K667" s="167"/>
      <c r="L667" s="392">
        <f t="shared" si="34"/>
        <v>1150.5882352941176</v>
      </c>
      <c r="M667" s="171"/>
      <c r="N667" s="171"/>
      <c r="O667" s="171"/>
      <c r="P667" s="171"/>
      <c r="Q667" s="171"/>
      <c r="S667" s="393" t="s">
        <v>839</v>
      </c>
    </row>
    <row r="668" spans="2:19" ht="14.25" customHeight="1">
      <c r="B668" s="121"/>
      <c r="C668" s="260"/>
      <c r="D668" s="279"/>
      <c r="E668" s="279"/>
      <c r="F668" s="279"/>
      <c r="G668" s="167"/>
      <c r="H668" s="196"/>
      <c r="I668" s="170"/>
      <c r="J668" s="391"/>
      <c r="K668" s="167"/>
      <c r="L668" s="127"/>
      <c r="M668" s="171"/>
      <c r="N668" s="171"/>
      <c r="O668" s="171"/>
      <c r="P668" s="171"/>
      <c r="Q668" s="171"/>
      <c r="S668" s="123"/>
    </row>
    <row r="669" spans="2:19" ht="14.65" customHeight="1">
      <c r="B669" s="121" t="s">
        <v>846</v>
      </c>
      <c r="C669" s="260" t="s">
        <v>847</v>
      </c>
      <c r="D669" s="279"/>
      <c r="E669" s="279"/>
      <c r="F669" s="279"/>
      <c r="G669" s="167"/>
      <c r="H669" s="196" t="s">
        <v>184</v>
      </c>
      <c r="I669" s="170"/>
      <c r="J669" s="391"/>
      <c r="K669" s="167"/>
      <c r="L669" s="127">
        <f>$L$628</f>
        <v>2094</v>
      </c>
      <c r="M669" s="171"/>
      <c r="N669" s="171"/>
      <c r="O669" s="171"/>
      <c r="P669" s="171"/>
      <c r="Q669" s="171"/>
      <c r="S669" s="123" t="s">
        <v>797</v>
      </c>
    </row>
    <row r="670" spans="2:19" ht="14.65" customHeight="1">
      <c r="B670" s="121" t="s">
        <v>848</v>
      </c>
      <c r="C670" s="260" t="s">
        <v>847</v>
      </c>
      <c r="D670" s="279"/>
      <c r="E670" s="279"/>
      <c r="F670" s="279"/>
      <c r="G670" s="167"/>
      <c r="H670" s="196" t="s">
        <v>184</v>
      </c>
      <c r="I670" s="170"/>
      <c r="J670" s="391"/>
      <c r="K670" s="167"/>
      <c r="L670" s="394">
        <f>$L$669</f>
        <v>2094</v>
      </c>
      <c r="M670" s="171"/>
      <c r="N670" s="171"/>
      <c r="O670" s="171"/>
      <c r="P670" s="171"/>
      <c r="Q670" s="171"/>
      <c r="S670" s="393" t="s">
        <v>849</v>
      </c>
    </row>
    <row r="671" spans="2:19" ht="14.65" customHeight="1">
      <c r="B671" s="121" t="s">
        <v>850</v>
      </c>
      <c r="C671" s="260" t="s">
        <v>847</v>
      </c>
      <c r="D671" s="279"/>
      <c r="E671" s="279"/>
      <c r="F671" s="279"/>
      <c r="G671" s="167"/>
      <c r="H671" s="196" t="s">
        <v>184</v>
      </c>
      <c r="I671" s="170"/>
      <c r="J671" s="391"/>
      <c r="K671" s="167"/>
      <c r="L671" s="394">
        <f>$L$669</f>
        <v>2094</v>
      </c>
      <c r="M671" s="171"/>
      <c r="N671" s="171"/>
      <c r="O671" s="171"/>
      <c r="P671" s="171"/>
      <c r="Q671" s="171"/>
      <c r="S671" s="393" t="s">
        <v>849</v>
      </c>
    </row>
    <row r="672" spans="2:19" ht="14.65" customHeight="1">
      <c r="B672" s="121" t="s">
        <v>851</v>
      </c>
      <c r="C672" s="260" t="s">
        <v>847</v>
      </c>
      <c r="D672" s="279"/>
      <c r="E672" s="279"/>
      <c r="F672" s="279"/>
      <c r="G672" s="167"/>
      <c r="H672" s="196" t="s">
        <v>184</v>
      </c>
      <c r="I672" s="170"/>
      <c r="J672" s="391"/>
      <c r="K672" s="167"/>
      <c r="L672" s="394">
        <f>$L$669</f>
        <v>2094</v>
      </c>
      <c r="M672" s="171"/>
      <c r="N672" s="171"/>
      <c r="O672" s="171"/>
      <c r="P672" s="171"/>
      <c r="Q672" s="171"/>
      <c r="S672" s="393" t="s">
        <v>849</v>
      </c>
    </row>
    <row r="673" spans="2:19" ht="14.65" customHeight="1">
      <c r="B673" s="121" t="s">
        <v>852</v>
      </c>
      <c r="C673" s="260" t="s">
        <v>847</v>
      </c>
      <c r="D673" s="279"/>
      <c r="E673" s="279"/>
      <c r="F673" s="279"/>
      <c r="G673" s="167"/>
      <c r="H673" s="196" t="s">
        <v>184</v>
      </c>
      <c r="I673" s="170"/>
      <c r="J673" s="391"/>
      <c r="K673" s="167"/>
      <c r="L673" s="394">
        <f>$L$669</f>
        <v>2094</v>
      </c>
      <c r="M673" s="171"/>
      <c r="N673" s="171"/>
      <c r="O673" s="171"/>
      <c r="P673" s="171"/>
      <c r="Q673" s="171"/>
      <c r="S673" s="393" t="s">
        <v>849</v>
      </c>
    </row>
    <row r="674" spans="2:19" ht="14.65" customHeight="1">
      <c r="B674" s="121" t="s">
        <v>853</v>
      </c>
      <c r="C674" s="260" t="s">
        <v>847</v>
      </c>
      <c r="D674" s="279"/>
      <c r="E674" s="279"/>
      <c r="F674" s="279"/>
      <c r="G674" s="167"/>
      <c r="H674" s="196" t="s">
        <v>184</v>
      </c>
      <c r="I674" s="170"/>
      <c r="J674" s="391"/>
      <c r="K674" s="167"/>
      <c r="L674" s="394">
        <f>$L$669</f>
        <v>2094</v>
      </c>
      <c r="M674" s="171"/>
      <c r="N674" s="171"/>
      <c r="O674" s="171"/>
      <c r="P674" s="171"/>
      <c r="Q674" s="171"/>
      <c r="S674" s="393" t="s">
        <v>849</v>
      </c>
    </row>
    <row r="675" spans="2:19" ht="14.65" customHeight="1">
      <c r="B675" s="121" t="s">
        <v>854</v>
      </c>
      <c r="C675" s="260" t="s">
        <v>847</v>
      </c>
      <c r="D675" s="279"/>
      <c r="E675" s="279"/>
      <c r="F675" s="279"/>
      <c r="G675" s="167"/>
      <c r="H675" s="196" t="s">
        <v>184</v>
      </c>
      <c r="I675" s="170"/>
      <c r="J675" s="391"/>
      <c r="K675" s="167"/>
      <c r="L675" s="127">
        <f>L629</f>
        <v>202</v>
      </c>
      <c r="M675" s="171"/>
      <c r="N675" s="171"/>
      <c r="O675" s="171"/>
      <c r="P675" s="171"/>
      <c r="Q675" s="171"/>
      <c r="S675" s="393" t="s">
        <v>855</v>
      </c>
    </row>
    <row r="676" spans="2:19" ht="14.65" customHeight="1">
      <c r="B676" s="121" t="s">
        <v>856</v>
      </c>
      <c r="C676" s="260" t="s">
        <v>847</v>
      </c>
      <c r="D676" s="279"/>
      <c r="E676" s="279"/>
      <c r="F676" s="279"/>
      <c r="G676" s="167"/>
      <c r="H676" s="196" t="s">
        <v>184</v>
      </c>
      <c r="I676" s="170"/>
      <c r="J676" s="391"/>
      <c r="K676" s="167"/>
      <c r="L676" s="394">
        <f>$L$669</f>
        <v>2094</v>
      </c>
      <c r="M676" s="171"/>
      <c r="N676" s="171"/>
      <c r="O676" s="171"/>
      <c r="P676" s="171"/>
      <c r="Q676" s="171"/>
      <c r="S676" s="393" t="s">
        <v>849</v>
      </c>
    </row>
    <row r="677" spans="2:19" ht="14.65" customHeight="1">
      <c r="B677" s="121" t="s">
        <v>857</v>
      </c>
      <c r="C677" s="260" t="s">
        <v>847</v>
      </c>
      <c r="D677" s="279"/>
      <c r="E677" s="279"/>
      <c r="F677" s="279"/>
      <c r="G677" s="167"/>
      <c r="H677" s="196" t="s">
        <v>184</v>
      </c>
      <c r="I677" s="170"/>
      <c r="J677" s="391"/>
      <c r="K677" s="167"/>
      <c r="L677" s="394">
        <f>$L$669</f>
        <v>2094</v>
      </c>
      <c r="M677" s="171"/>
      <c r="N677" s="171"/>
      <c r="O677" s="171"/>
      <c r="P677" s="171"/>
      <c r="Q677" s="171"/>
      <c r="S677" s="393" t="s">
        <v>849</v>
      </c>
    </row>
    <row r="678" spans="2:19" ht="14.65" customHeight="1">
      <c r="B678" s="121" t="s">
        <v>858</v>
      </c>
      <c r="C678" s="260" t="s">
        <v>847</v>
      </c>
      <c r="D678" s="279"/>
      <c r="E678" s="279"/>
      <c r="F678" s="279"/>
      <c r="G678" s="167"/>
      <c r="H678" s="196" t="s">
        <v>184</v>
      </c>
      <c r="I678" s="170"/>
      <c r="J678" s="391"/>
      <c r="K678" s="167"/>
      <c r="L678" s="394">
        <f>$L$620</f>
        <v>2160</v>
      </c>
      <c r="M678" s="171"/>
      <c r="N678" s="171"/>
      <c r="O678" s="171"/>
      <c r="P678" s="171"/>
      <c r="Q678" s="171"/>
      <c r="S678" s="393" t="s">
        <v>859</v>
      </c>
    </row>
    <row r="679" spans="2:19" ht="14.65" customHeight="1">
      <c r="B679" s="121" t="s">
        <v>860</v>
      </c>
      <c r="C679" s="260" t="s">
        <v>847</v>
      </c>
      <c r="D679" s="279"/>
      <c r="E679" s="279"/>
      <c r="F679" s="279"/>
      <c r="G679" s="167"/>
      <c r="H679" s="196" t="s">
        <v>184</v>
      </c>
      <c r="I679" s="170"/>
      <c r="J679" s="391"/>
      <c r="K679" s="167"/>
      <c r="L679" s="394">
        <f>$L$620</f>
        <v>2160</v>
      </c>
      <c r="M679" s="171"/>
      <c r="N679" s="171"/>
      <c r="O679" s="171"/>
      <c r="P679" s="171"/>
      <c r="Q679" s="171"/>
      <c r="S679" s="393" t="s">
        <v>859</v>
      </c>
    </row>
    <row r="680" spans="2:19" ht="14.65" customHeight="1">
      <c r="B680" s="121" t="s">
        <v>861</v>
      </c>
      <c r="C680" s="260" t="s">
        <v>847</v>
      </c>
      <c r="D680" s="279"/>
      <c r="E680" s="279"/>
      <c r="F680" s="279"/>
      <c r="G680" s="167"/>
      <c r="H680" s="196" t="s">
        <v>184</v>
      </c>
      <c r="I680" s="170"/>
      <c r="J680" s="391"/>
      <c r="K680" s="167"/>
      <c r="L680" s="394">
        <f>$L$620</f>
        <v>2160</v>
      </c>
      <c r="M680" s="171"/>
      <c r="N680" s="171"/>
      <c r="O680" s="171"/>
      <c r="P680" s="171"/>
      <c r="Q680" s="171"/>
      <c r="S680" s="393" t="s">
        <v>859</v>
      </c>
    </row>
    <row r="681" spans="2:19" ht="14.65" customHeight="1">
      <c r="B681" s="121" t="s">
        <v>862</v>
      </c>
      <c r="C681" s="260" t="s">
        <v>847</v>
      </c>
      <c r="D681" s="279"/>
      <c r="E681" s="279"/>
      <c r="F681" s="279"/>
      <c r="G681" s="167"/>
      <c r="H681" s="196" t="s">
        <v>184</v>
      </c>
      <c r="I681" s="170"/>
      <c r="J681" s="391"/>
      <c r="K681" s="167"/>
      <c r="L681" s="394">
        <f>$L$620</f>
        <v>2160</v>
      </c>
      <c r="M681" s="171"/>
      <c r="N681" s="171"/>
      <c r="O681" s="171"/>
      <c r="P681" s="171"/>
      <c r="Q681" s="171"/>
      <c r="S681" s="393" t="s">
        <v>859</v>
      </c>
    </row>
    <row r="682" spans="2:19" ht="14.65" customHeight="1">
      <c r="B682" s="121" t="s">
        <v>817</v>
      </c>
      <c r="C682" s="260" t="s">
        <v>847</v>
      </c>
      <c r="D682" s="279"/>
      <c r="E682" s="279"/>
      <c r="F682" s="279"/>
      <c r="G682" s="167"/>
      <c r="H682" s="196" t="s">
        <v>184</v>
      </c>
      <c r="I682" s="170"/>
      <c r="J682" s="391"/>
      <c r="K682" s="167"/>
      <c r="L682" s="127">
        <f>$L$636</f>
        <v>7720.5</v>
      </c>
      <c r="M682" s="171"/>
      <c r="N682" s="171"/>
      <c r="O682" s="171"/>
      <c r="P682" s="171"/>
      <c r="Q682" s="171"/>
      <c r="S682" s="123" t="s">
        <v>797</v>
      </c>
    </row>
    <row r="683" spans="2:19" ht="14.65" customHeight="1">
      <c r="B683" s="121" t="s">
        <v>863</v>
      </c>
      <c r="C683" s="260" t="s">
        <v>847</v>
      </c>
      <c r="D683" s="279"/>
      <c r="E683" s="279"/>
      <c r="F683" s="279"/>
      <c r="G683" s="167"/>
      <c r="H683" s="196" t="s">
        <v>184</v>
      </c>
      <c r="I683" s="170"/>
      <c r="J683" s="391"/>
      <c r="K683" s="167"/>
      <c r="L683" s="394">
        <f>$L$620</f>
        <v>2160</v>
      </c>
      <c r="M683" s="171"/>
      <c r="N683" s="171"/>
      <c r="O683" s="171"/>
      <c r="P683" s="171"/>
      <c r="Q683" s="171"/>
      <c r="S683" s="393" t="s">
        <v>859</v>
      </c>
    </row>
    <row r="684" spans="2:19" ht="14.65" customHeight="1">
      <c r="B684" s="121" t="s">
        <v>864</v>
      </c>
      <c r="C684" s="260" t="s">
        <v>847</v>
      </c>
      <c r="D684" s="279"/>
      <c r="E684" s="279"/>
      <c r="F684" s="279"/>
      <c r="G684" s="167"/>
      <c r="H684" s="196" t="s">
        <v>184</v>
      </c>
      <c r="I684" s="170"/>
      <c r="J684" s="391"/>
      <c r="K684" s="167"/>
      <c r="L684" s="127">
        <f>$L$628</f>
        <v>2094</v>
      </c>
      <c r="M684" s="171"/>
      <c r="N684" s="171"/>
      <c r="O684" s="171"/>
      <c r="P684" s="171"/>
      <c r="Q684" s="171"/>
      <c r="S684" s="123" t="s">
        <v>797</v>
      </c>
    </row>
    <row r="685" spans="2:19" ht="14.65" customHeight="1">
      <c r="B685" s="121" t="s">
        <v>865</v>
      </c>
      <c r="C685" s="260" t="s">
        <v>847</v>
      </c>
      <c r="D685" s="279"/>
      <c r="E685" s="279"/>
      <c r="F685" s="279"/>
      <c r="G685" s="167"/>
      <c r="H685" s="196" t="s">
        <v>184</v>
      </c>
      <c r="I685" s="170"/>
      <c r="J685" s="391"/>
      <c r="K685" s="167"/>
      <c r="L685" s="394">
        <f>$L$669</f>
        <v>2094</v>
      </c>
      <c r="M685" s="171"/>
      <c r="N685" s="171"/>
      <c r="O685" s="171"/>
      <c r="P685" s="171"/>
      <c r="Q685" s="171"/>
      <c r="S685" s="393" t="s">
        <v>849</v>
      </c>
    </row>
    <row r="686" spans="2:19" ht="14.65" customHeight="1">
      <c r="B686" s="121" t="s">
        <v>866</v>
      </c>
      <c r="C686" s="260" t="s">
        <v>847</v>
      </c>
      <c r="D686" s="279"/>
      <c r="E686" s="279"/>
      <c r="F686" s="279"/>
      <c r="G686" s="167"/>
      <c r="H686" s="196" t="s">
        <v>184</v>
      </c>
      <c r="I686" s="170"/>
      <c r="J686" s="391"/>
      <c r="K686" s="167"/>
      <c r="L686" s="394">
        <f>$L$669</f>
        <v>2094</v>
      </c>
      <c r="M686" s="171"/>
      <c r="N686" s="171"/>
      <c r="O686" s="171"/>
      <c r="P686" s="171"/>
      <c r="Q686" s="171"/>
      <c r="S686" s="393" t="s">
        <v>849</v>
      </c>
    </row>
    <row r="687" spans="2:19" ht="14.65" customHeight="1">
      <c r="B687" s="121" t="s">
        <v>867</v>
      </c>
      <c r="C687" s="260" t="s">
        <v>847</v>
      </c>
      <c r="D687" s="279"/>
      <c r="E687" s="279"/>
      <c r="F687" s="279"/>
      <c r="G687" s="167"/>
      <c r="H687" s="196" t="s">
        <v>184</v>
      </c>
      <c r="I687" s="170"/>
      <c r="J687" s="391"/>
      <c r="K687" s="167"/>
      <c r="L687" s="394">
        <f>$L$669</f>
        <v>2094</v>
      </c>
      <c r="M687" s="171"/>
      <c r="N687" s="171"/>
      <c r="O687" s="171"/>
      <c r="P687" s="171"/>
      <c r="Q687" s="171"/>
      <c r="S687" s="393" t="s">
        <v>849</v>
      </c>
    </row>
    <row r="688" spans="2:19" ht="14.65" customHeight="1">
      <c r="B688" s="121" t="s">
        <v>868</v>
      </c>
      <c r="C688" s="260" t="s">
        <v>847</v>
      </c>
      <c r="D688" s="279"/>
      <c r="E688" s="279"/>
      <c r="F688" s="279"/>
      <c r="G688" s="167"/>
      <c r="H688" s="196" t="s">
        <v>184</v>
      </c>
      <c r="I688" s="170"/>
      <c r="J688" s="167"/>
      <c r="K688" s="167"/>
      <c r="L688" s="394">
        <f>$L$669</f>
        <v>2094</v>
      </c>
      <c r="M688" s="171"/>
      <c r="N688" s="171"/>
      <c r="O688" s="171"/>
      <c r="P688" s="171"/>
      <c r="Q688" s="171"/>
      <c r="S688" s="393" t="s">
        <v>849</v>
      </c>
    </row>
    <row r="689" spans="1:19" ht="14.65" customHeight="1" thickBot="1">
      <c r="B689" s="250"/>
      <c r="C689" s="395"/>
      <c r="D689" s="396"/>
      <c r="E689" s="396"/>
      <c r="F689" s="396"/>
      <c r="G689" s="186"/>
      <c r="H689" s="60"/>
      <c r="I689" s="189"/>
      <c r="J689" s="186"/>
      <c r="K689" s="186"/>
      <c r="L689" s="143"/>
      <c r="M689" s="171"/>
      <c r="N689" s="171"/>
      <c r="O689" s="171"/>
      <c r="P689" s="171"/>
      <c r="Q689" s="171"/>
      <c r="S689" s="254"/>
    </row>
    <row r="690" spans="1:19" ht="15.75" thickBot="1">
      <c r="A690" s="86"/>
      <c r="S690" s="57"/>
    </row>
    <row r="691" spans="1:19" ht="19.5" thickBot="1">
      <c r="A691" s="86"/>
      <c r="B691" s="1302" t="s">
        <v>869</v>
      </c>
      <c r="C691" s="1303"/>
      <c r="D691" s="1303"/>
      <c r="E691" s="1303" t="s">
        <v>154</v>
      </c>
      <c r="F691" s="1303"/>
      <c r="G691" s="1303" t="s">
        <v>154</v>
      </c>
      <c r="H691" s="150"/>
      <c r="I691" s="151" t="s">
        <v>154</v>
      </c>
      <c r="J691" s="151" t="s">
        <v>154</v>
      </c>
      <c r="K691" s="151" t="s">
        <v>154</v>
      </c>
      <c r="L691" s="152" t="s">
        <v>155</v>
      </c>
      <c r="M691" s="153"/>
      <c r="N691" s="153"/>
      <c r="O691" s="153"/>
      <c r="P691" s="153"/>
      <c r="Q691" s="153"/>
      <c r="R691" s="90"/>
      <c r="S691" s="154" t="s">
        <v>156</v>
      </c>
    </row>
    <row r="692" spans="1:19" ht="16.5">
      <c r="B692" s="92" t="s">
        <v>154</v>
      </c>
      <c r="C692" s="397"/>
      <c r="D692" s="1293" t="s">
        <v>870</v>
      </c>
      <c r="E692" s="1294"/>
      <c r="F692" s="398" t="s">
        <v>871</v>
      </c>
      <c r="G692" s="397"/>
      <c r="H692" s="399"/>
      <c r="I692" s="158"/>
      <c r="J692" s="397"/>
      <c r="K692" s="400"/>
      <c r="L692" s="98" t="s">
        <v>162</v>
      </c>
      <c r="M692" s="159"/>
      <c r="N692" s="159"/>
      <c r="O692" s="159"/>
      <c r="P692" s="159"/>
      <c r="Q692" s="159"/>
      <c r="S692" s="160" t="s">
        <v>154</v>
      </c>
    </row>
    <row r="693" spans="1:19">
      <c r="B693" s="401"/>
      <c r="C693" s="402"/>
      <c r="D693" s="403" t="s">
        <v>872</v>
      </c>
      <c r="E693" s="404" t="s">
        <v>873</v>
      </c>
      <c r="F693" s="405" t="s">
        <v>873</v>
      </c>
      <c r="G693" s="406"/>
      <c r="H693" s="407"/>
      <c r="I693" s="408"/>
      <c r="J693" s="402"/>
      <c r="K693" s="409"/>
      <c r="L693" s="410"/>
      <c r="M693" s="159"/>
      <c r="N693" s="159"/>
      <c r="O693" s="159"/>
      <c r="P693" s="159"/>
      <c r="Q693" s="159"/>
      <c r="S693" s="278"/>
    </row>
    <row r="694" spans="1:19">
      <c r="B694" s="411"/>
      <c r="C694" s="412"/>
      <c r="D694" s="413"/>
      <c r="E694" s="414">
        <f>7500/549</f>
        <v>13.66120218579235</v>
      </c>
      <c r="F694" s="415">
        <v>2.7480000000000002</v>
      </c>
      <c r="G694" s="416" t="s">
        <v>874</v>
      </c>
      <c r="H694" s="407"/>
      <c r="I694" s="408"/>
      <c r="J694" s="402"/>
      <c r="K694" s="409"/>
      <c r="L694" s="410"/>
      <c r="M694" s="159"/>
      <c r="N694" s="159"/>
      <c r="O694" s="159"/>
      <c r="P694" s="159"/>
      <c r="Q694" s="159"/>
      <c r="S694" s="278"/>
    </row>
    <row r="695" spans="1:19" ht="16.5">
      <c r="B695" s="417" t="s">
        <v>875</v>
      </c>
      <c r="C695" s="206" t="s">
        <v>876</v>
      </c>
      <c r="D695" s="206" t="s">
        <v>877</v>
      </c>
      <c r="E695" s="418" t="s">
        <v>877</v>
      </c>
      <c r="F695" s="419" t="s">
        <v>877</v>
      </c>
      <c r="G695" s="206"/>
      <c r="H695" s="212" t="s">
        <v>167</v>
      </c>
      <c r="I695" s="164"/>
      <c r="J695" s="420"/>
      <c r="K695" s="421"/>
      <c r="L695" s="109" t="s">
        <v>174</v>
      </c>
      <c r="M695" s="159"/>
      <c r="N695" s="159"/>
      <c r="O695" s="159"/>
      <c r="P695" s="159"/>
      <c r="Q695" s="159"/>
      <c r="S695" s="165" t="s">
        <v>154</v>
      </c>
    </row>
    <row r="696" spans="1:19">
      <c r="B696" s="121" t="s">
        <v>660</v>
      </c>
      <c r="C696" s="117">
        <f>$L$430</f>
        <v>599</v>
      </c>
      <c r="D696" s="167">
        <v>2000</v>
      </c>
      <c r="E696" s="422">
        <f>$C696*$E$694</f>
        <v>8183.0601092896177</v>
      </c>
      <c r="F696" s="423">
        <f>$C696*F$694</f>
        <v>1646.0520000000001</v>
      </c>
      <c r="G696" s="424"/>
      <c r="H696" s="196" t="s">
        <v>184</v>
      </c>
      <c r="I696" s="170"/>
      <c r="J696" s="391"/>
      <c r="K696" s="167"/>
      <c r="L696" s="368">
        <f>D696+E696+F696</f>
        <v>11829.112109289617</v>
      </c>
      <c r="M696" s="171"/>
      <c r="N696" s="171"/>
      <c r="O696" s="171"/>
      <c r="P696" s="171"/>
      <c r="Q696" s="171"/>
      <c r="S696" s="123" t="s">
        <v>878</v>
      </c>
    </row>
    <row r="697" spans="1:19">
      <c r="B697" s="121" t="s">
        <v>662</v>
      </c>
      <c r="C697" s="117">
        <f>$L$431</f>
        <v>633</v>
      </c>
      <c r="D697" s="167">
        <v>2000</v>
      </c>
      <c r="E697" s="425">
        <f>$C697*$E$694</f>
        <v>8647.5409836065573</v>
      </c>
      <c r="F697" s="426">
        <f>$C697*F$694</f>
        <v>1739.4840000000002</v>
      </c>
      <c r="G697" s="427"/>
      <c r="H697" s="196" t="s">
        <v>184</v>
      </c>
      <c r="I697" s="170"/>
      <c r="J697" s="391"/>
      <c r="K697" s="167"/>
      <c r="L697" s="368">
        <f>D697+E697+F697</f>
        <v>12387.024983606558</v>
      </c>
      <c r="M697" s="171"/>
      <c r="N697" s="171"/>
      <c r="O697" s="171"/>
      <c r="P697" s="171"/>
      <c r="Q697" s="171"/>
      <c r="S697" s="123"/>
    </row>
    <row r="698" spans="1:19">
      <c r="B698" s="121" t="s">
        <v>666</v>
      </c>
      <c r="C698" s="117">
        <f>$L$434</f>
        <v>363</v>
      </c>
      <c r="D698" s="167">
        <v>2000</v>
      </c>
      <c r="E698" s="425">
        <f t="shared" ref="E698:E705" si="35">$C698*$E$694</f>
        <v>4959.0163934426228</v>
      </c>
      <c r="F698" s="426">
        <f t="shared" ref="F698:F705" si="36">$C698*F$694</f>
        <v>997.52400000000011</v>
      </c>
      <c r="G698" s="427"/>
      <c r="H698" s="196" t="s">
        <v>184</v>
      </c>
      <c r="I698" s="170"/>
      <c r="J698" s="391"/>
      <c r="K698" s="167"/>
      <c r="L698" s="368">
        <f t="shared" ref="L698:L705" si="37">D698+E698+F698</f>
        <v>7956.5403934426231</v>
      </c>
      <c r="M698" s="171"/>
      <c r="N698" s="171"/>
      <c r="O698" s="171"/>
      <c r="P698" s="171"/>
      <c r="Q698" s="171"/>
      <c r="S698" s="123"/>
    </row>
    <row r="699" spans="1:19">
      <c r="B699" s="121" t="s">
        <v>879</v>
      </c>
      <c r="C699" s="428">
        <f>$L$430</f>
        <v>599</v>
      </c>
      <c r="D699" s="167">
        <v>2000</v>
      </c>
      <c r="E699" s="425">
        <f t="shared" si="35"/>
        <v>8183.0601092896177</v>
      </c>
      <c r="F699" s="426">
        <f t="shared" si="36"/>
        <v>1646.0520000000001</v>
      </c>
      <c r="G699" s="427"/>
      <c r="H699" s="196" t="s">
        <v>184</v>
      </c>
      <c r="I699" s="170"/>
      <c r="J699" s="391"/>
      <c r="K699" s="167"/>
      <c r="L699" s="368">
        <f t="shared" si="37"/>
        <v>11829.112109289617</v>
      </c>
      <c r="M699" s="171"/>
      <c r="N699" s="171"/>
      <c r="O699" s="171"/>
      <c r="P699" s="171"/>
      <c r="Q699" s="171"/>
      <c r="S699" s="123"/>
    </row>
    <row r="700" spans="1:19">
      <c r="B700" s="121" t="s">
        <v>658</v>
      </c>
      <c r="C700" s="117">
        <f>$L$429</f>
        <v>560</v>
      </c>
      <c r="D700" s="167">
        <v>2000</v>
      </c>
      <c r="E700" s="425">
        <f t="shared" si="35"/>
        <v>7650.2732240437163</v>
      </c>
      <c r="F700" s="426">
        <f t="shared" si="36"/>
        <v>1538.88</v>
      </c>
      <c r="G700" s="427"/>
      <c r="H700" s="196" t="s">
        <v>184</v>
      </c>
      <c r="I700" s="170"/>
      <c r="J700" s="391"/>
      <c r="K700" s="167"/>
      <c r="L700" s="368">
        <f t="shared" si="37"/>
        <v>11189.153224043715</v>
      </c>
      <c r="M700" s="171"/>
      <c r="N700" s="171"/>
      <c r="O700" s="171"/>
      <c r="P700" s="171"/>
      <c r="Q700" s="171"/>
      <c r="S700" s="123"/>
    </row>
    <row r="701" spans="1:19">
      <c r="B701" s="121" t="s">
        <v>880</v>
      </c>
      <c r="C701" s="117">
        <f>$L$385+$L$440</f>
        <v>1.7000000000000002</v>
      </c>
      <c r="D701" s="167">
        <v>2000</v>
      </c>
      <c r="E701" s="425">
        <f t="shared" si="35"/>
        <v>23.224043715846996</v>
      </c>
      <c r="F701" s="426">
        <f t="shared" si="36"/>
        <v>4.6716000000000006</v>
      </c>
      <c r="G701" s="427"/>
      <c r="H701" s="196" t="s">
        <v>184</v>
      </c>
      <c r="I701" s="170"/>
      <c r="J701" s="391"/>
      <c r="K701" s="167"/>
      <c r="L701" s="368">
        <f t="shared" si="37"/>
        <v>2027.895643715847</v>
      </c>
      <c r="M701" s="171"/>
      <c r="N701" s="171"/>
      <c r="O701" s="171"/>
      <c r="P701" s="171"/>
      <c r="Q701" s="171"/>
      <c r="S701" s="123"/>
    </row>
    <row r="702" spans="1:19">
      <c r="B702" s="121" t="s">
        <v>881</v>
      </c>
      <c r="C702" s="117">
        <f>C696</f>
        <v>599</v>
      </c>
      <c r="D702" s="167">
        <v>2000</v>
      </c>
      <c r="E702" s="425">
        <f t="shared" si="35"/>
        <v>8183.0601092896177</v>
      </c>
      <c r="F702" s="426">
        <f t="shared" si="36"/>
        <v>1646.0520000000001</v>
      </c>
      <c r="G702" s="427"/>
      <c r="H702" s="196" t="s">
        <v>184</v>
      </c>
      <c r="I702" s="170"/>
      <c r="J702" s="391"/>
      <c r="K702" s="167"/>
      <c r="L702" s="368">
        <f t="shared" si="37"/>
        <v>11829.112109289617</v>
      </c>
      <c r="M702" s="171"/>
      <c r="N702" s="171"/>
      <c r="O702" s="171"/>
      <c r="P702" s="171"/>
      <c r="Q702" s="171"/>
      <c r="S702" s="123"/>
    </row>
    <row r="703" spans="1:19">
      <c r="B703" s="121" t="s">
        <v>669</v>
      </c>
      <c r="C703" s="117">
        <f>$L$436</f>
        <v>231</v>
      </c>
      <c r="D703" s="167">
        <v>2000</v>
      </c>
      <c r="E703" s="425">
        <f t="shared" si="35"/>
        <v>3155.7377049180327</v>
      </c>
      <c r="F703" s="426">
        <f t="shared" si="36"/>
        <v>634.78800000000001</v>
      </c>
      <c r="G703" s="427"/>
      <c r="H703" s="196" t="s">
        <v>184</v>
      </c>
      <c r="I703" s="170"/>
      <c r="J703" s="391"/>
      <c r="K703" s="167"/>
      <c r="L703" s="368">
        <f t="shared" si="37"/>
        <v>5790.5257049180327</v>
      </c>
      <c r="M703" s="171"/>
      <c r="N703" s="171"/>
      <c r="O703" s="171"/>
      <c r="P703" s="171"/>
      <c r="Q703" s="171"/>
      <c r="S703" s="123"/>
    </row>
    <row r="704" spans="1:19" ht="14.65" customHeight="1">
      <c r="B704" s="121" t="s">
        <v>664</v>
      </c>
      <c r="C704" s="429">
        <f>$L$433</f>
        <v>433.23</v>
      </c>
      <c r="D704" s="167">
        <v>2000</v>
      </c>
      <c r="E704" s="425">
        <f t="shared" si="35"/>
        <v>5918.4426229508199</v>
      </c>
      <c r="F704" s="426">
        <f t="shared" si="36"/>
        <v>1190.5160400000002</v>
      </c>
      <c r="G704" s="430"/>
      <c r="H704" s="196" t="s">
        <v>184</v>
      </c>
      <c r="I704" s="170"/>
      <c r="J704" s="391"/>
      <c r="K704" s="167"/>
      <c r="L704" s="368">
        <f t="shared" si="37"/>
        <v>9108.9586629508194</v>
      </c>
      <c r="M704" s="171"/>
      <c r="N704" s="171"/>
      <c r="O704" s="171"/>
      <c r="P704" s="171"/>
      <c r="Q704" s="171"/>
      <c r="S704" s="123"/>
    </row>
    <row r="705" spans="1:19" ht="14.65" customHeight="1">
      <c r="B705" s="121" t="s">
        <v>882</v>
      </c>
      <c r="C705" s="431">
        <f>$L$399</f>
        <v>425.5666614374432</v>
      </c>
      <c r="D705" s="167">
        <v>2000</v>
      </c>
      <c r="E705" s="425">
        <f t="shared" si="35"/>
        <v>5813.7522054295523</v>
      </c>
      <c r="F705" s="426">
        <f t="shared" si="36"/>
        <v>1169.457185630094</v>
      </c>
      <c r="G705" s="430"/>
      <c r="H705" s="196" t="s">
        <v>184</v>
      </c>
      <c r="I705" s="170"/>
      <c r="J705" s="167"/>
      <c r="K705" s="167"/>
      <c r="L705" s="368">
        <f t="shared" si="37"/>
        <v>8983.2093910596468</v>
      </c>
      <c r="M705" s="171"/>
      <c r="N705" s="171"/>
      <c r="O705" s="171"/>
      <c r="P705" s="171"/>
      <c r="Q705" s="171"/>
      <c r="S705" s="123"/>
    </row>
    <row r="706" spans="1:19" ht="14.65" customHeight="1">
      <c r="B706" s="121"/>
      <c r="C706" s="260"/>
      <c r="D706" s="279"/>
      <c r="E706" s="432"/>
      <c r="F706" s="433"/>
      <c r="G706" s="430"/>
      <c r="H706" s="196"/>
      <c r="I706" s="170"/>
      <c r="J706" s="167"/>
      <c r="K706" s="167"/>
      <c r="L706" s="127"/>
      <c r="M706" s="171"/>
      <c r="N706" s="171"/>
      <c r="O706" s="171"/>
      <c r="P706" s="171"/>
      <c r="Q706" s="171"/>
      <c r="S706" s="123"/>
    </row>
    <row r="707" spans="1:19" ht="15.75" thickBot="1">
      <c r="B707" s="344"/>
      <c r="C707" s="326"/>
      <c r="D707" s="327"/>
      <c r="E707" s="434"/>
      <c r="F707" s="435"/>
      <c r="G707" s="327"/>
      <c r="H707" s="203"/>
      <c r="I707" s="328"/>
      <c r="J707" s="327"/>
      <c r="K707" s="327"/>
      <c r="L707" s="205"/>
      <c r="M707" s="171"/>
      <c r="N707" s="171"/>
      <c r="O707" s="171"/>
      <c r="P707" s="171"/>
      <c r="Q707" s="171"/>
      <c r="S707" s="147"/>
    </row>
    <row r="708" spans="1:19" ht="15.75" thickBot="1">
      <c r="A708" s="86"/>
      <c r="S708" s="57"/>
    </row>
    <row r="709" spans="1:19" ht="19.5" thickBot="1">
      <c r="A709" s="86"/>
      <c r="B709" s="1302" t="s">
        <v>883</v>
      </c>
      <c r="C709" s="1303"/>
      <c r="D709" s="1303"/>
      <c r="E709" s="1303"/>
      <c r="F709" s="1303"/>
      <c r="G709" s="1303"/>
      <c r="H709" s="150"/>
      <c r="I709" s="151"/>
      <c r="J709" s="151"/>
      <c r="K709" s="151"/>
      <c r="L709" s="152" t="s">
        <v>155</v>
      </c>
      <c r="M709" s="153"/>
      <c r="N709" s="153"/>
      <c r="O709" s="153"/>
      <c r="P709" s="153"/>
      <c r="Q709" s="153"/>
      <c r="R709" s="90"/>
      <c r="S709" s="154" t="s">
        <v>156</v>
      </c>
    </row>
    <row r="710" spans="1:19" ht="18">
      <c r="B710" s="92"/>
      <c r="C710" s="93"/>
      <c r="D710" s="93"/>
      <c r="E710" s="97"/>
      <c r="F710" s="389"/>
      <c r="G710" s="155"/>
      <c r="H710" s="156"/>
      <c r="I710" s="158" t="s">
        <v>106</v>
      </c>
      <c r="J710" s="97" t="s">
        <v>160</v>
      </c>
      <c r="K710" s="97" t="s">
        <v>161</v>
      </c>
      <c r="L710" s="98"/>
      <c r="M710" s="159"/>
      <c r="N710" s="159"/>
      <c r="O710" s="159"/>
      <c r="P710" s="159"/>
      <c r="Q710" s="159"/>
      <c r="S710" s="160"/>
    </row>
    <row r="711" spans="1:19" ht="18">
      <c r="B711" s="161" t="s">
        <v>884</v>
      </c>
      <c r="C711" s="162"/>
      <c r="D711" s="162"/>
      <c r="E711" s="163"/>
      <c r="F711" s="109" t="s">
        <v>885</v>
      </c>
      <c r="G711" s="246"/>
      <c r="H711" s="212"/>
      <c r="I711" s="164" t="s">
        <v>886</v>
      </c>
      <c r="J711" s="163" t="s">
        <v>887</v>
      </c>
      <c r="K711" s="163" t="s">
        <v>888</v>
      </c>
      <c r="L711" s="109" t="s">
        <v>174</v>
      </c>
      <c r="M711" s="159"/>
      <c r="N711" s="159"/>
      <c r="O711" s="159"/>
      <c r="P711" s="159"/>
      <c r="Q711" s="159"/>
      <c r="S711" s="165"/>
    </row>
    <row r="712" spans="1:19">
      <c r="B712" s="121" t="s">
        <v>889</v>
      </c>
      <c r="C712" s="117"/>
      <c r="D712" s="167"/>
      <c r="E712" s="167"/>
      <c r="F712" s="127">
        <v>120</v>
      </c>
      <c r="G712" s="126"/>
      <c r="H712" s="196"/>
      <c r="I712" s="321"/>
      <c r="J712" s="436">
        <f>$F712*$E$1081</f>
        <v>86.016000000000005</v>
      </c>
      <c r="K712" s="167"/>
      <c r="L712" s="127">
        <f>I712*PRP!$J$8+J712*PRP!$J$9+K712*PRP!$J$10</f>
        <v>2563.2768000000001</v>
      </c>
      <c r="M712" s="171"/>
      <c r="N712" s="171"/>
      <c r="O712" s="171"/>
      <c r="P712" s="171"/>
      <c r="Q712" s="171"/>
      <c r="S712" s="123" t="s">
        <v>890</v>
      </c>
    </row>
    <row r="713" spans="1:19" ht="15.75" thickBot="1">
      <c r="B713" s="344" t="s">
        <v>891</v>
      </c>
      <c r="C713" s="326"/>
      <c r="D713" s="327"/>
      <c r="E713" s="327"/>
      <c r="F713" s="205">
        <v>20</v>
      </c>
      <c r="G713" s="142"/>
      <c r="H713" s="203"/>
      <c r="I713" s="189"/>
      <c r="J713" s="437">
        <f>$F713*$E$1081</f>
        <v>14.336</v>
      </c>
      <c r="K713" s="327"/>
      <c r="L713" s="205">
        <f>I713*PRP!$J$8+J713*PRP!$J$9+K713*PRP!$J$10</f>
        <v>427.21280000000002</v>
      </c>
      <c r="M713" s="171"/>
      <c r="N713" s="171"/>
      <c r="O713" s="171"/>
      <c r="P713" s="171"/>
      <c r="Q713" s="171"/>
      <c r="S713" s="147" t="s">
        <v>890</v>
      </c>
    </row>
    <row r="714" spans="1:19" ht="15.75" thickBot="1">
      <c r="A714" s="86"/>
      <c r="S714" s="57"/>
    </row>
    <row r="715" spans="1:19" ht="19.5" thickBot="1">
      <c r="A715" s="86"/>
      <c r="B715" s="148" t="s">
        <v>892</v>
      </c>
      <c r="C715" s="149"/>
      <c r="D715" s="149"/>
      <c r="E715" s="149" t="s">
        <v>154</v>
      </c>
      <c r="F715" s="149"/>
      <c r="G715" s="149" t="s">
        <v>154</v>
      </c>
      <c r="H715" s="150"/>
      <c r="I715" s="151" t="s">
        <v>154</v>
      </c>
      <c r="J715" s="330" t="s">
        <v>893</v>
      </c>
      <c r="K715" s="330" t="s">
        <v>893</v>
      </c>
      <c r="L715" s="152" t="s">
        <v>155</v>
      </c>
      <c r="M715" s="153"/>
      <c r="N715" s="153"/>
      <c r="O715" s="153"/>
      <c r="P715" s="153"/>
      <c r="Q715" s="153"/>
      <c r="R715" s="90"/>
      <c r="S715" s="154" t="s">
        <v>156</v>
      </c>
    </row>
    <row r="716" spans="1:19" s="438" customFormat="1" ht="45">
      <c r="B716" s="439" t="s">
        <v>154</v>
      </c>
      <c r="C716" s="440"/>
      <c r="D716" s="366" t="s">
        <v>894</v>
      </c>
      <c r="E716" s="366" t="s">
        <v>895</v>
      </c>
      <c r="F716" s="366"/>
      <c r="G716" s="366" t="s">
        <v>896</v>
      </c>
      <c r="H716" s="441"/>
      <c r="I716" s="442"/>
      <c r="J716" s="366" t="s">
        <v>897</v>
      </c>
      <c r="K716" s="366" t="s">
        <v>898</v>
      </c>
      <c r="L716" s="443" t="s">
        <v>162</v>
      </c>
      <c r="M716" s="444"/>
      <c r="N716" s="444"/>
      <c r="O716" s="444"/>
      <c r="P716" s="444"/>
      <c r="Q716" s="444"/>
      <c r="S716" s="445" t="s">
        <v>154</v>
      </c>
    </row>
    <row r="717" spans="1:19" ht="16.5" customHeight="1">
      <c r="B717" s="161" t="s">
        <v>899</v>
      </c>
      <c r="C717" s="162" t="s">
        <v>154</v>
      </c>
      <c r="D717" s="163" t="s">
        <v>900</v>
      </c>
      <c r="E717" s="163" t="s">
        <v>901</v>
      </c>
      <c r="F717" s="163"/>
      <c r="G717" s="163" t="s">
        <v>900</v>
      </c>
      <c r="H717" s="212"/>
      <c r="I717" s="164"/>
      <c r="J717" s="163" t="s">
        <v>902</v>
      </c>
      <c r="K717" s="163" t="s">
        <v>902</v>
      </c>
      <c r="L717" s="109" t="s">
        <v>903</v>
      </c>
      <c r="M717" s="159"/>
      <c r="N717" s="159"/>
      <c r="O717" s="159"/>
      <c r="P717" s="159"/>
      <c r="Q717" s="159"/>
      <c r="S717" s="165" t="s">
        <v>154</v>
      </c>
    </row>
    <row r="718" spans="1:19" ht="15.75" thickBot="1">
      <c r="B718" s="283" t="s">
        <v>904</v>
      </c>
      <c r="C718" s="284"/>
      <c r="D718" s="285"/>
      <c r="E718" s="446"/>
      <c r="F718" s="446"/>
      <c r="G718" s="285"/>
      <c r="H718" s="171"/>
      <c r="I718" s="286"/>
      <c r="J718" s="285"/>
      <c r="K718" s="285"/>
      <c r="L718" s="222">
        <f>1.62</f>
        <v>1.62</v>
      </c>
      <c r="M718" s="171"/>
      <c r="N718" s="171"/>
      <c r="O718" s="171"/>
      <c r="P718" s="171"/>
      <c r="Q718" s="171"/>
      <c r="S718" s="267" t="s">
        <v>905</v>
      </c>
    </row>
    <row r="719" spans="1:19" ht="15.75" thickBot="1">
      <c r="B719" s="447"/>
      <c r="C719" s="447"/>
      <c r="D719" s="447"/>
      <c r="E719" s="447"/>
      <c r="F719" s="447"/>
      <c r="G719" s="447"/>
      <c r="H719" s="447"/>
      <c r="I719" s="447"/>
      <c r="J719" s="447"/>
      <c r="K719" s="447"/>
      <c r="L719" s="447"/>
      <c r="M719" s="447"/>
      <c r="N719" s="447"/>
      <c r="O719" s="447"/>
      <c r="P719" s="447"/>
      <c r="Q719" s="447"/>
      <c r="S719" s="448"/>
    </row>
    <row r="720" spans="1:19" ht="45">
      <c r="B720" s="439" t="s">
        <v>154</v>
      </c>
      <c r="C720" s="440"/>
      <c r="D720" s="366" t="s">
        <v>894</v>
      </c>
      <c r="E720" s="366" t="s">
        <v>895</v>
      </c>
      <c r="F720" s="366"/>
      <c r="G720" s="366" t="s">
        <v>896</v>
      </c>
      <c r="H720" s="441"/>
      <c r="I720" s="442"/>
      <c r="J720" s="366" t="s">
        <v>897</v>
      </c>
      <c r="K720" s="366" t="s">
        <v>898</v>
      </c>
      <c r="L720" s="443" t="s">
        <v>162</v>
      </c>
      <c r="M720" s="171"/>
      <c r="N720" s="171"/>
      <c r="O720" s="171"/>
      <c r="P720" s="171"/>
      <c r="Q720" s="171"/>
      <c r="S720" s="123"/>
    </row>
    <row r="721" spans="1:19" ht="18">
      <c r="B721" s="161" t="s">
        <v>906</v>
      </c>
      <c r="C721" s="162" t="s">
        <v>154</v>
      </c>
      <c r="D721" s="163" t="s">
        <v>900</v>
      </c>
      <c r="E721" s="163" t="s">
        <v>901</v>
      </c>
      <c r="F721" s="163"/>
      <c r="G721" s="163" t="s">
        <v>900</v>
      </c>
      <c r="H721" s="212"/>
      <c r="I721" s="164"/>
      <c r="J721" s="163" t="s">
        <v>902</v>
      </c>
      <c r="K721" s="163" t="s">
        <v>902</v>
      </c>
      <c r="L721" s="109" t="s">
        <v>903</v>
      </c>
      <c r="M721" s="171"/>
      <c r="N721" s="171"/>
      <c r="O721" s="171"/>
      <c r="P721" s="171"/>
      <c r="Q721" s="171"/>
      <c r="S721" s="123"/>
    </row>
    <row r="722" spans="1:19">
      <c r="B722" s="121" t="s">
        <v>80</v>
      </c>
      <c r="C722" s="117" t="s">
        <v>907</v>
      </c>
      <c r="D722" s="167"/>
      <c r="E722" s="391"/>
      <c r="F722" s="391"/>
      <c r="G722" s="167"/>
      <c r="H722" s="196"/>
      <c r="I722" s="170"/>
      <c r="J722" s="167"/>
      <c r="K722" s="167"/>
      <c r="L722" s="127">
        <f>AVERAGE(L723:L728)</f>
        <v>76.54760567999999</v>
      </c>
      <c r="M722" s="171"/>
      <c r="N722" s="171"/>
      <c r="O722" s="171"/>
      <c r="P722" s="171"/>
      <c r="Q722" s="171"/>
      <c r="S722" s="123"/>
    </row>
    <row r="723" spans="1:19">
      <c r="B723" s="298" t="s">
        <v>80</v>
      </c>
      <c r="C723" s="173" t="s">
        <v>908</v>
      </c>
      <c r="D723" s="174">
        <v>1.0800000000000001E-2</v>
      </c>
      <c r="E723" s="449">
        <v>0.4</v>
      </c>
      <c r="F723" s="449"/>
      <c r="G723" s="174">
        <v>3.9600000000000003E-2</v>
      </c>
      <c r="H723" s="299"/>
      <c r="I723" s="175"/>
      <c r="J723" s="174">
        <v>0.10022</v>
      </c>
      <c r="K723" s="174">
        <v>2.7E-2</v>
      </c>
      <c r="L723" s="176">
        <f>(D723*E723 + G723*(1-E723))*J723*PRP!$J$9*10^3</f>
        <v>83.862492480000014</v>
      </c>
      <c r="M723" s="171"/>
      <c r="N723" s="171"/>
      <c r="O723" s="171"/>
      <c r="P723" s="171"/>
      <c r="Q723" s="171"/>
      <c r="S723" s="282" t="s">
        <v>909</v>
      </c>
    </row>
    <row r="724" spans="1:19">
      <c r="B724" s="298" t="s">
        <v>80</v>
      </c>
      <c r="C724" s="173" t="s">
        <v>910</v>
      </c>
      <c r="D724" s="174">
        <v>0.28799999999999998</v>
      </c>
      <c r="E724" s="449">
        <v>0.85</v>
      </c>
      <c r="F724" s="449"/>
      <c r="G724" s="174">
        <v>3.9600000000000003E-2</v>
      </c>
      <c r="H724" s="299"/>
      <c r="I724" s="175"/>
      <c r="J724" s="174">
        <v>0.10022</v>
      </c>
      <c r="K724" s="174">
        <v>2.7E-2</v>
      </c>
      <c r="L724" s="176">
        <f>(D724*E724 + G724*(1-E724))*K724*PRP!$J$9*10^3</f>
        <v>201.74540399999998</v>
      </c>
      <c r="M724" s="171"/>
      <c r="N724" s="171"/>
      <c r="O724" s="171"/>
      <c r="P724" s="171"/>
      <c r="Q724" s="171"/>
      <c r="S724" s="282" t="s">
        <v>909</v>
      </c>
    </row>
    <row r="725" spans="1:19">
      <c r="B725" s="298" t="s">
        <v>80</v>
      </c>
      <c r="C725" s="173" t="s">
        <v>911</v>
      </c>
      <c r="D725" s="174">
        <v>1.0800000000000001E-2</v>
      </c>
      <c r="E725" s="449">
        <v>0.95</v>
      </c>
      <c r="F725" s="449"/>
      <c r="G725" s="174">
        <v>3.9600000000000003E-2</v>
      </c>
      <c r="H725" s="299"/>
      <c r="I725" s="175"/>
      <c r="J725" s="174">
        <v>0.10022</v>
      </c>
      <c r="K725" s="174">
        <v>2.7E-2</v>
      </c>
      <c r="L725" s="176">
        <f>(D725*E725 + G725*(1-E725))*K725*PRP!$J$9*10^3</f>
        <v>9.8483040000000006</v>
      </c>
      <c r="M725" s="171"/>
      <c r="N725" s="171"/>
      <c r="O725" s="171"/>
      <c r="P725" s="171"/>
      <c r="Q725" s="171"/>
      <c r="S725" s="282" t="s">
        <v>909</v>
      </c>
    </row>
    <row r="726" spans="1:19">
      <c r="B726" s="298" t="s">
        <v>80</v>
      </c>
      <c r="C726" s="173" t="s">
        <v>912</v>
      </c>
      <c r="D726" s="174">
        <v>1.0800000000000001E-2</v>
      </c>
      <c r="E726" s="449">
        <v>0.95</v>
      </c>
      <c r="F726" s="449"/>
      <c r="G726" s="174">
        <v>3.9600000000000003E-2</v>
      </c>
      <c r="H726" s="299"/>
      <c r="I726" s="175"/>
      <c r="J726" s="174">
        <v>0.10022</v>
      </c>
      <c r="K726" s="174">
        <v>2.7E-2</v>
      </c>
      <c r="L726" s="176">
        <f>(D726*E726 + G726*(1-E726))*K726*PRP!$J$9*10^3</f>
        <v>9.8483040000000006</v>
      </c>
      <c r="M726" s="171"/>
      <c r="N726" s="171"/>
      <c r="O726" s="171"/>
      <c r="P726" s="171"/>
      <c r="Q726" s="171"/>
      <c r="S726" s="282" t="s">
        <v>909</v>
      </c>
    </row>
    <row r="727" spans="1:19">
      <c r="B727" s="298" t="s">
        <v>80</v>
      </c>
      <c r="C727" s="173" t="s">
        <v>913</v>
      </c>
      <c r="D727" s="174">
        <v>1.0800000000000001E-2</v>
      </c>
      <c r="E727" s="449">
        <v>0.98</v>
      </c>
      <c r="F727" s="449"/>
      <c r="G727" s="174">
        <v>3.9600000000000003E-2</v>
      </c>
      <c r="H727" s="299"/>
      <c r="I727" s="175"/>
      <c r="J727" s="174">
        <v>0.10022</v>
      </c>
      <c r="K727" s="174">
        <v>2.7E-2</v>
      </c>
      <c r="L727" s="176">
        <f>(D727*E727 + G727*(1-E727))*K727*PRP!$J$9*10^3</f>
        <v>9.1531295999999998</v>
      </c>
      <c r="M727" s="171"/>
      <c r="N727" s="171"/>
      <c r="O727" s="171"/>
      <c r="P727" s="171"/>
      <c r="Q727" s="171"/>
      <c r="S727" s="282" t="s">
        <v>909</v>
      </c>
    </row>
    <row r="728" spans="1:19">
      <c r="B728" s="298" t="s">
        <v>80</v>
      </c>
      <c r="C728" s="173" t="s">
        <v>914</v>
      </c>
      <c r="D728" s="174">
        <v>0.18</v>
      </c>
      <c r="E728" s="449">
        <v>1</v>
      </c>
      <c r="F728" s="449"/>
      <c r="G728" s="174">
        <v>3.9600000000000003E-2</v>
      </c>
      <c r="H728" s="299"/>
      <c r="I728" s="175"/>
      <c r="J728" s="174">
        <v>0.10022</v>
      </c>
      <c r="K728" s="174">
        <v>2.7E-2</v>
      </c>
      <c r="L728" s="176">
        <f>(D728*E728 + G728*(1-E728))*K728*PRP!$J$9*10^3</f>
        <v>144.82799999999997</v>
      </c>
      <c r="M728" s="171"/>
      <c r="N728" s="171"/>
      <c r="O728" s="171"/>
      <c r="P728" s="171"/>
      <c r="Q728" s="171"/>
      <c r="S728" s="282" t="s">
        <v>909</v>
      </c>
    </row>
    <row r="729" spans="1:19">
      <c r="B729" s="298"/>
      <c r="C729" s="173"/>
      <c r="D729" s="174"/>
      <c r="E729" s="449"/>
      <c r="F729" s="449"/>
      <c r="G729" s="174"/>
      <c r="H729" s="299"/>
      <c r="I729" s="175"/>
      <c r="J729" s="174"/>
      <c r="K729" s="174"/>
      <c r="L729" s="176"/>
      <c r="M729" s="171"/>
      <c r="N729" s="171"/>
      <c r="O729" s="171"/>
      <c r="P729" s="171"/>
      <c r="Q729" s="171"/>
      <c r="S729" s="282"/>
    </row>
    <row r="730" spans="1:19" ht="15.75" thickBot="1">
      <c r="B730" s="344"/>
      <c r="C730" s="326"/>
      <c r="D730" s="327"/>
      <c r="E730" s="450"/>
      <c r="F730" s="450"/>
      <c r="G730" s="450"/>
      <c r="H730" s="450"/>
      <c r="I730" s="328"/>
      <c r="J730" s="327"/>
      <c r="K730" s="327"/>
      <c r="L730" s="205"/>
      <c r="M730" s="171"/>
      <c r="N730" s="171"/>
      <c r="O730" s="171"/>
      <c r="P730" s="171"/>
      <c r="Q730" s="171"/>
      <c r="S730" s="147"/>
    </row>
    <row r="731" spans="1:19" ht="15.75" thickBot="1">
      <c r="A731" s="86"/>
      <c r="S731" s="57"/>
    </row>
    <row r="732" spans="1:19" ht="19.5" thickBot="1">
      <c r="A732" s="86"/>
      <c r="B732" s="148" t="s">
        <v>915</v>
      </c>
      <c r="C732" s="149"/>
      <c r="D732" s="149"/>
      <c r="E732" s="149" t="s">
        <v>154</v>
      </c>
      <c r="F732" s="149"/>
      <c r="G732" s="149" t="s">
        <v>154</v>
      </c>
      <c r="H732" s="88" t="s">
        <v>916</v>
      </c>
      <c r="I732" s="151" t="s">
        <v>154</v>
      </c>
      <c r="J732" s="151" t="s">
        <v>154</v>
      </c>
      <c r="K732" s="151" t="s">
        <v>154</v>
      </c>
      <c r="L732" s="152" t="s">
        <v>155</v>
      </c>
      <c r="M732" s="153"/>
      <c r="N732" s="153"/>
      <c r="O732" s="153"/>
      <c r="P732" s="153"/>
      <c r="Q732" s="153"/>
      <c r="R732" s="90"/>
      <c r="S732" s="154" t="s">
        <v>156</v>
      </c>
    </row>
    <row r="733" spans="1:19" ht="33.75" customHeight="1">
      <c r="B733" s="92" t="s">
        <v>154</v>
      </c>
      <c r="C733" s="93"/>
      <c r="D733" s="93" t="s">
        <v>154</v>
      </c>
      <c r="E733" s="1304" t="s">
        <v>917</v>
      </c>
      <c r="F733" s="451"/>
      <c r="G733" s="1306" t="s">
        <v>918</v>
      </c>
      <c r="H733" s="1314" t="s">
        <v>919</v>
      </c>
      <c r="I733" s="158" t="s">
        <v>106</v>
      </c>
      <c r="J733" s="97" t="s">
        <v>160</v>
      </c>
      <c r="K733" s="97" t="s">
        <v>161</v>
      </c>
      <c r="L733" s="98" t="s">
        <v>162</v>
      </c>
      <c r="M733" s="159"/>
      <c r="N733" s="159"/>
      <c r="O733" s="159"/>
      <c r="P733" s="159"/>
      <c r="Q733" s="159"/>
      <c r="S733" s="160" t="s">
        <v>154</v>
      </c>
    </row>
    <row r="734" spans="1:19" ht="16.5" customHeight="1">
      <c r="B734" s="161" t="s">
        <v>164</v>
      </c>
      <c r="C734" s="163" t="s">
        <v>920</v>
      </c>
      <c r="D734" s="163" t="s">
        <v>921</v>
      </c>
      <c r="E734" s="1305"/>
      <c r="F734" s="452"/>
      <c r="G734" s="1307"/>
      <c r="H734" s="1315"/>
      <c r="I734" s="164" t="s">
        <v>886</v>
      </c>
      <c r="J734" s="163" t="s">
        <v>887</v>
      </c>
      <c r="K734" s="163" t="s">
        <v>888</v>
      </c>
      <c r="L734" s="109" t="s">
        <v>922</v>
      </c>
      <c r="M734" s="159"/>
      <c r="N734" s="159"/>
      <c r="O734" s="159"/>
      <c r="P734" s="159"/>
      <c r="Q734" s="159"/>
      <c r="S734" s="165" t="s">
        <v>154</v>
      </c>
    </row>
    <row r="735" spans="1:19" ht="18">
      <c r="B735" s="166" t="str">
        <f t="shared" ref="B735:B755" si="38">_xlfn.CONCAT(C735, " - ", D735)</f>
        <v>Municipal (mixte) - Enfouissement avec captation de CH4</v>
      </c>
      <c r="C735" s="117" t="s">
        <v>923</v>
      </c>
      <c r="D735" s="117" t="s">
        <v>924</v>
      </c>
      <c r="E735" s="453" t="s">
        <v>925</v>
      </c>
      <c r="F735" s="453"/>
      <c r="G735" s="453" t="s">
        <v>925</v>
      </c>
      <c r="H735" s="454">
        <v>0.75</v>
      </c>
      <c r="I735" s="170">
        <v>0</v>
      </c>
      <c r="J735" s="279">
        <f>(3.45*J737+2.17*J739+0.82*J745+2.44*J741+0.81*J743 )/22.13</f>
        <v>16.793780379357784</v>
      </c>
      <c r="K735" s="279">
        <v>0</v>
      </c>
      <c r="L735" s="127">
        <f>I735*PRP!$J$8+J735*PRP!$J$9+K735*PRP!$J$10</f>
        <v>500.454655304862</v>
      </c>
      <c r="M735" s="171"/>
      <c r="N735" s="171"/>
      <c r="O735" s="171"/>
      <c r="P735" s="171"/>
      <c r="Q735" s="171"/>
      <c r="S735" s="282" t="s">
        <v>926</v>
      </c>
    </row>
    <row r="736" spans="1:19" ht="18">
      <c r="B736" s="166" t="str">
        <f t="shared" si="38"/>
        <v>Municipal (mixte) - Enfouissement sans captation de CH4</v>
      </c>
      <c r="C736" s="117" t="s">
        <v>923</v>
      </c>
      <c r="D736" s="117" t="s">
        <v>927</v>
      </c>
      <c r="E736" s="453" t="s">
        <v>925</v>
      </c>
      <c r="F736" s="453"/>
      <c r="G736" s="453" t="s">
        <v>925</v>
      </c>
      <c r="H736" s="453" t="s">
        <v>925</v>
      </c>
      <c r="I736" s="170">
        <v>0</v>
      </c>
      <c r="J736" s="279">
        <f>(3.45*J738+2.17*J740+0.82*J746+2.44*J742+0.81*J744 )/22.13</f>
        <v>67.175121517431137</v>
      </c>
      <c r="K736" s="279">
        <v>0</v>
      </c>
      <c r="L736" s="127">
        <f>I736*PRP!$J$8+J736*PRP!$J$9+K736*PRP!$J$10</f>
        <v>2001.818621219448</v>
      </c>
      <c r="M736" s="171"/>
      <c r="N736" s="171"/>
      <c r="O736" s="171"/>
      <c r="P736" s="171"/>
      <c r="Q736" s="171"/>
      <c r="S736" s="282" t="s">
        <v>926</v>
      </c>
    </row>
    <row r="737" spans="2:19" ht="18">
      <c r="B737" s="166" t="str">
        <f t="shared" si="38"/>
        <v>Alimentaires - Enfouissement avec captation de CH4</v>
      </c>
      <c r="C737" s="117" t="s">
        <v>928</v>
      </c>
      <c r="D737" s="117" t="s">
        <v>924</v>
      </c>
      <c r="E737" s="455">
        <v>0.15</v>
      </c>
      <c r="F737" s="456"/>
      <c r="G737" s="454">
        <v>0.7</v>
      </c>
      <c r="H737" s="454">
        <v>0.75</v>
      </c>
      <c r="I737" s="170">
        <v>0</v>
      </c>
      <c r="J737" s="279">
        <f>E737*G737*($C$1080/$C$1075)*1000*(1-H737)</f>
        <v>35.061922404462578</v>
      </c>
      <c r="K737" s="279">
        <v>0</v>
      </c>
      <c r="L737" s="127">
        <f>I737*PRP!$J$8+J737*PRP!$J$9+K737*PRP!$J$10</f>
        <v>1044.8452876529848</v>
      </c>
      <c r="M737" s="171"/>
      <c r="N737" s="171"/>
      <c r="O737" s="171"/>
      <c r="P737" s="171"/>
      <c r="Q737" s="171"/>
      <c r="S737" s="282" t="s">
        <v>929</v>
      </c>
    </row>
    <row r="738" spans="2:19" ht="18">
      <c r="B738" s="166" t="str">
        <f t="shared" si="38"/>
        <v>Alimentaires - Enfouissement sans captation de CH4</v>
      </c>
      <c r="C738" s="117" t="s">
        <v>928</v>
      </c>
      <c r="D738" s="117" t="s">
        <v>927</v>
      </c>
      <c r="E738" s="455">
        <v>0.15</v>
      </c>
      <c r="F738" s="456"/>
      <c r="G738" s="454">
        <v>0.7</v>
      </c>
      <c r="H738" s="453" t="s">
        <v>925</v>
      </c>
      <c r="I738" s="170">
        <v>0</v>
      </c>
      <c r="J738" s="279">
        <f>E738*G738*($C$1080/$C$1075)*1000</f>
        <v>140.24768961785031</v>
      </c>
      <c r="K738" s="279">
        <v>0</v>
      </c>
      <c r="L738" s="127">
        <f>I738*PRP!$J$8+J738*PRP!$J$9+K738*PRP!$J$10</f>
        <v>4179.3811506119391</v>
      </c>
      <c r="M738" s="171"/>
      <c r="N738" s="171"/>
      <c r="O738" s="171"/>
      <c r="P738" s="171"/>
      <c r="Q738" s="171"/>
      <c r="S738" s="282" t="s">
        <v>929</v>
      </c>
    </row>
    <row r="739" spans="2:19" ht="18">
      <c r="B739" s="166" t="str">
        <f t="shared" si="38"/>
        <v>Papier - Enfouissement avec captation de CH4</v>
      </c>
      <c r="C739" s="117" t="s">
        <v>930</v>
      </c>
      <c r="D739" s="117" t="s">
        <v>924</v>
      </c>
      <c r="E739" s="455">
        <v>0.4</v>
      </c>
      <c r="F739" s="456"/>
      <c r="G739" s="454">
        <v>0.5</v>
      </c>
      <c r="H739" s="454">
        <v>0.75</v>
      </c>
      <c r="I739" s="170">
        <v>0</v>
      </c>
      <c r="J739" s="279">
        <f>E739*G739*($C$1080/$C$1075)*1000*(1-H739)</f>
        <v>66.784614103738249</v>
      </c>
      <c r="K739" s="279">
        <v>0</v>
      </c>
      <c r="L739" s="127">
        <f>I739*PRP!$J$8+J739*PRP!$J$9+K739*PRP!$J$10</f>
        <v>1990.1815002914</v>
      </c>
      <c r="M739" s="171"/>
      <c r="N739" s="171"/>
      <c r="O739" s="171"/>
      <c r="P739" s="171"/>
      <c r="Q739" s="171"/>
      <c r="S739" s="282" t="s">
        <v>929</v>
      </c>
    </row>
    <row r="740" spans="2:19" ht="18">
      <c r="B740" s="166" t="str">
        <f t="shared" si="38"/>
        <v>Papier - Enfouissement sans captation de CH4</v>
      </c>
      <c r="C740" s="117" t="s">
        <v>930</v>
      </c>
      <c r="D740" s="117" t="s">
        <v>927</v>
      </c>
      <c r="E740" s="455">
        <v>0.4</v>
      </c>
      <c r="F740" s="456"/>
      <c r="G740" s="454">
        <v>0.5</v>
      </c>
      <c r="H740" s="453" t="s">
        <v>925</v>
      </c>
      <c r="I740" s="170">
        <v>0</v>
      </c>
      <c r="J740" s="279">
        <f>E740*G740*($C$1080/$C$1075)*1000</f>
        <v>267.138456414953</v>
      </c>
      <c r="K740" s="279">
        <v>0</v>
      </c>
      <c r="L740" s="127">
        <f>I740*PRP!$J$8+J740*PRP!$J$9+K740*PRP!$J$10</f>
        <v>7960.7260011655999</v>
      </c>
      <c r="M740" s="171"/>
      <c r="N740" s="171"/>
      <c r="O740" s="171"/>
      <c r="P740" s="171"/>
      <c r="Q740" s="171"/>
      <c r="S740" s="282" t="s">
        <v>929</v>
      </c>
    </row>
    <row r="741" spans="2:19" ht="18">
      <c r="B741" s="166" t="str">
        <f t="shared" si="38"/>
        <v>Bois - Enfouissement avec captation de CH4</v>
      </c>
      <c r="C741" s="117" t="s">
        <v>931</v>
      </c>
      <c r="D741" s="117" t="s">
        <v>924</v>
      </c>
      <c r="E741" s="455">
        <v>0.43</v>
      </c>
      <c r="F741" s="456"/>
      <c r="G741" s="454">
        <v>0.1</v>
      </c>
      <c r="H741" s="454">
        <v>0.75</v>
      </c>
      <c r="I741" s="170">
        <v>0</v>
      </c>
      <c r="J741" s="279">
        <f>E741*G741*($C$1080/$C$1075)*1000*(1-H741)</f>
        <v>14.358692032303722</v>
      </c>
      <c r="K741" s="279">
        <v>0</v>
      </c>
      <c r="L741" s="127">
        <f>I741*PRP!$J$8+J741*PRP!$J$9+K741*PRP!$J$10</f>
        <v>427.88902256265095</v>
      </c>
      <c r="M741" s="171"/>
      <c r="N741" s="171"/>
      <c r="O741" s="171"/>
      <c r="P741" s="171"/>
      <c r="Q741" s="171"/>
      <c r="S741" s="282" t="s">
        <v>929</v>
      </c>
    </row>
    <row r="742" spans="2:19" ht="18">
      <c r="B742" s="166" t="str">
        <f t="shared" si="38"/>
        <v>Bois - Enfouissement sans captation de CH4</v>
      </c>
      <c r="C742" s="117" t="s">
        <v>931</v>
      </c>
      <c r="D742" s="117" t="s">
        <v>927</v>
      </c>
      <c r="E742" s="455">
        <v>0.43</v>
      </c>
      <c r="F742" s="456"/>
      <c r="G742" s="454">
        <v>0.1</v>
      </c>
      <c r="H742" s="453" t="s">
        <v>925</v>
      </c>
      <c r="I742" s="170">
        <v>0</v>
      </c>
      <c r="J742" s="279">
        <f>E742*G742*($C$1080/$C$1075)*1000</f>
        <v>57.434768129214888</v>
      </c>
      <c r="K742" s="279">
        <v>0</v>
      </c>
      <c r="L742" s="127">
        <f>I742*PRP!$J$8+J742*PRP!$J$9+K742*PRP!$J$10</f>
        <v>1711.5560902506038</v>
      </c>
      <c r="M742" s="171"/>
      <c r="N742" s="171"/>
      <c r="O742" s="171"/>
      <c r="P742" s="171"/>
      <c r="Q742" s="171"/>
      <c r="S742" s="282" t="s">
        <v>929</v>
      </c>
    </row>
    <row r="743" spans="2:19" ht="18">
      <c r="B743" s="166" t="str">
        <f t="shared" si="38"/>
        <v>Organiques (autres) - Enfouissement avec captation de CH4</v>
      </c>
      <c r="C743" s="117" t="s">
        <v>932</v>
      </c>
      <c r="D743" s="117" t="s">
        <v>924</v>
      </c>
      <c r="E743" s="455">
        <v>0.2</v>
      </c>
      <c r="F743" s="456"/>
      <c r="G743" s="454">
        <v>0.7</v>
      </c>
      <c r="H743" s="454">
        <v>0.75</v>
      </c>
      <c r="I743" s="170">
        <v>0</v>
      </c>
      <c r="J743" s="279">
        <f>E743*G743*($C$1080/$C$1075)*1000*(1-H743)</f>
        <v>46.749229872616759</v>
      </c>
      <c r="K743" s="279">
        <v>0</v>
      </c>
      <c r="L743" s="127">
        <f>I743*PRP!$J$8+J743*PRP!$J$9+K743*PRP!$J$10</f>
        <v>1393.1270502039795</v>
      </c>
      <c r="M743" s="171"/>
      <c r="N743" s="171"/>
      <c r="O743" s="171"/>
      <c r="P743" s="171"/>
      <c r="Q743" s="171"/>
      <c r="S743" s="282" t="s">
        <v>929</v>
      </c>
    </row>
    <row r="744" spans="2:19" ht="18">
      <c r="B744" s="166" t="str">
        <f t="shared" si="38"/>
        <v>Organiques (autres) - Enfouissement sans captation de CH4</v>
      </c>
      <c r="C744" s="117" t="s">
        <v>932</v>
      </c>
      <c r="D744" s="117" t="s">
        <v>927</v>
      </c>
      <c r="E744" s="455">
        <v>0.2</v>
      </c>
      <c r="F744" s="456"/>
      <c r="G744" s="454">
        <v>0.7</v>
      </c>
      <c r="H744" s="453" t="s">
        <v>925</v>
      </c>
      <c r="I744" s="170">
        <v>0</v>
      </c>
      <c r="J744" s="279">
        <f>E744*G744*($C$1080/$C$1075)*1000</f>
        <v>186.99691949046704</v>
      </c>
      <c r="K744" s="279">
        <v>0</v>
      </c>
      <c r="L744" s="127">
        <f>I744*PRP!$J$8+J744*PRP!$J$9+K744*PRP!$J$10</f>
        <v>5572.5082008159179</v>
      </c>
      <c r="M744" s="171"/>
      <c r="N744" s="171"/>
      <c r="O744" s="171"/>
      <c r="P744" s="171"/>
      <c r="Q744" s="171"/>
      <c r="S744" s="282" t="s">
        <v>929</v>
      </c>
    </row>
    <row r="745" spans="2:19" ht="18">
      <c r="B745" s="166" t="str">
        <f t="shared" si="38"/>
        <v>Textile mixte - Enfouissement avec captation de CH4</v>
      </c>
      <c r="C745" s="117" t="s">
        <v>933</v>
      </c>
      <c r="D745" s="117" t="s">
        <v>924</v>
      </c>
      <c r="E745" s="455">
        <v>0.24</v>
      </c>
      <c r="F745" s="456"/>
      <c r="G745" s="454">
        <v>0.5</v>
      </c>
      <c r="H745" s="454">
        <v>0.75</v>
      </c>
      <c r="I745" s="170">
        <v>0</v>
      </c>
      <c r="J745" s="279">
        <f>E745*G745*($C$1080/$C$1075)*1000*(1-H745)</f>
        <v>40.070768462242938</v>
      </c>
      <c r="K745" s="279">
        <v>0</v>
      </c>
      <c r="L745" s="127">
        <f>I745*PRP!$J$8+J745*PRP!$J$9+K745*PRP!$J$10</f>
        <v>1194.1089001748396</v>
      </c>
      <c r="M745" s="171"/>
      <c r="N745" s="171"/>
      <c r="O745" s="171"/>
      <c r="P745" s="171"/>
      <c r="Q745" s="171"/>
      <c r="S745" s="282" t="s">
        <v>929</v>
      </c>
    </row>
    <row r="746" spans="2:19" ht="18">
      <c r="B746" s="166" t="str">
        <f t="shared" si="38"/>
        <v>Textile mixte - Enfouissement sans captation de CH4</v>
      </c>
      <c r="C746" s="117" t="s">
        <v>933</v>
      </c>
      <c r="D746" s="117" t="s">
        <v>927</v>
      </c>
      <c r="E746" s="455">
        <v>0.24</v>
      </c>
      <c r="F746" s="456"/>
      <c r="G746" s="454">
        <v>0.5</v>
      </c>
      <c r="H746" s="453" t="s">
        <v>925</v>
      </c>
      <c r="I746" s="170">
        <v>0</v>
      </c>
      <c r="J746" s="279">
        <f>E746*G746*($C$1080/$C$1075)*1000</f>
        <v>160.28307384897175</v>
      </c>
      <c r="K746" s="279">
        <v>0</v>
      </c>
      <c r="L746" s="127">
        <f>I746*PRP!$J$8+J746*PRP!$J$9+K746*PRP!$J$10</f>
        <v>4776.4356006993585</v>
      </c>
      <c r="M746" s="171"/>
      <c r="N746" s="171"/>
      <c r="O746" s="171"/>
      <c r="P746" s="171"/>
      <c r="Q746" s="171"/>
      <c r="S746" s="282" t="s">
        <v>929</v>
      </c>
    </row>
    <row r="747" spans="2:19" ht="18">
      <c r="B747" s="166" t="str">
        <f t="shared" si="38"/>
        <v>Textile naturel - Enfouissement avec captation de CH4</v>
      </c>
      <c r="C747" s="117" t="s">
        <v>934</v>
      </c>
      <c r="D747" s="117" t="s">
        <v>924</v>
      </c>
      <c r="E747" s="455">
        <v>0.4</v>
      </c>
      <c r="F747" s="456"/>
      <c r="G747" s="454">
        <v>0.5</v>
      </c>
      <c r="H747" s="454">
        <v>0.75</v>
      </c>
      <c r="I747" s="170">
        <v>0</v>
      </c>
      <c r="J747" s="279">
        <f>E747*G747*($C$1080/$C$1075)*1000*(1-H747)</f>
        <v>66.784614103738249</v>
      </c>
      <c r="K747" s="279">
        <v>0</v>
      </c>
      <c r="L747" s="127">
        <f>I747*PRP!$J$8+J747*PRP!$J$9+K747*PRP!$J$10</f>
        <v>1990.1815002914</v>
      </c>
      <c r="M747" s="171"/>
      <c r="N747" s="171"/>
      <c r="O747" s="171"/>
      <c r="P747" s="171"/>
      <c r="Q747" s="171"/>
      <c r="S747" s="282" t="s">
        <v>929</v>
      </c>
    </row>
    <row r="748" spans="2:19" ht="18">
      <c r="B748" s="166" t="str">
        <f t="shared" si="38"/>
        <v>Textile naturel - Enfouissement sans captation de CH4</v>
      </c>
      <c r="C748" s="117" t="s">
        <v>934</v>
      </c>
      <c r="D748" s="117" t="s">
        <v>927</v>
      </c>
      <c r="E748" s="455">
        <v>0.4</v>
      </c>
      <c r="F748" s="456"/>
      <c r="G748" s="454">
        <v>0.5</v>
      </c>
      <c r="H748" s="453" t="s">
        <v>925</v>
      </c>
      <c r="I748" s="170">
        <v>0</v>
      </c>
      <c r="J748" s="279">
        <f>E748*G748*($C$1080/$C$1075)*1000</f>
        <v>267.138456414953</v>
      </c>
      <c r="K748" s="279">
        <v>0</v>
      </c>
      <c r="L748" s="127">
        <f>I748*PRP!$J$8+J748*PRP!$J$9+K748*PRP!$J$10</f>
        <v>7960.7260011655999</v>
      </c>
      <c r="M748" s="171"/>
      <c r="N748" s="171"/>
      <c r="O748" s="171"/>
      <c r="P748" s="171"/>
      <c r="Q748" s="171"/>
      <c r="S748" s="282" t="s">
        <v>929</v>
      </c>
    </row>
    <row r="749" spans="2:19">
      <c r="B749" s="166" t="str">
        <f t="shared" si="38"/>
        <v>Alimentaires - Compostage</v>
      </c>
      <c r="C749" s="117" t="s">
        <v>928</v>
      </c>
      <c r="D749" s="117" t="s">
        <v>935</v>
      </c>
      <c r="E749" s="453" t="s">
        <v>925</v>
      </c>
      <c r="F749" s="453"/>
      <c r="G749" s="453" t="s">
        <v>925</v>
      </c>
      <c r="H749" s="453" t="s">
        <v>925</v>
      </c>
      <c r="I749" s="170">
        <v>0</v>
      </c>
      <c r="J749" s="279">
        <v>1.51</v>
      </c>
      <c r="K749" s="279">
        <v>0.18</v>
      </c>
      <c r="L749" s="127">
        <f>I749*PRP!$J$8+J749*PRP!$J$9+K749*PRP!$J$10</f>
        <v>94.138000000000005</v>
      </c>
      <c r="M749" s="171"/>
      <c r="N749" s="171"/>
      <c r="O749" s="171"/>
      <c r="P749" s="171"/>
      <c r="Q749" s="171"/>
      <c r="S749" s="282" t="s">
        <v>936</v>
      </c>
    </row>
    <row r="750" spans="2:19">
      <c r="B750" s="166" t="str">
        <f t="shared" si="38"/>
        <v>Organiques (autres) - Compostage</v>
      </c>
      <c r="C750" s="117" t="s">
        <v>932</v>
      </c>
      <c r="D750" s="117" t="s">
        <v>935</v>
      </c>
      <c r="E750" s="453" t="s">
        <v>925</v>
      </c>
      <c r="F750" s="453"/>
      <c r="G750" s="453" t="s">
        <v>925</v>
      </c>
      <c r="H750" s="453" t="s">
        <v>925</v>
      </c>
      <c r="I750" s="170">
        <v>0</v>
      </c>
      <c r="J750" s="279">
        <v>1.72</v>
      </c>
      <c r="K750" s="279">
        <v>0.25</v>
      </c>
      <c r="L750" s="127">
        <f>I750*PRP!$J$8+J750*PRP!$J$9+K750*PRP!$J$10</f>
        <v>119.506</v>
      </c>
      <c r="M750" s="171"/>
      <c r="N750" s="171"/>
      <c r="O750" s="171"/>
      <c r="P750" s="171"/>
      <c r="Q750" s="171"/>
      <c r="S750" s="282" t="s">
        <v>936</v>
      </c>
    </row>
    <row r="751" spans="2:19">
      <c r="B751" s="166" t="str">
        <f t="shared" si="38"/>
        <v>Municipal (mixte) - Incinération</v>
      </c>
      <c r="C751" s="117" t="s">
        <v>923</v>
      </c>
      <c r="D751" s="117" t="s">
        <v>937</v>
      </c>
      <c r="E751" s="453" t="s">
        <v>925</v>
      </c>
      <c r="F751" s="453"/>
      <c r="G751" s="453" t="s">
        <v>925</v>
      </c>
      <c r="H751" s="453" t="s">
        <v>925</v>
      </c>
      <c r="I751" s="457">
        <v>1650</v>
      </c>
      <c r="J751" s="279">
        <v>0.188</v>
      </c>
      <c r="K751" s="279">
        <v>5.0000000000000002E-5</v>
      </c>
      <c r="L751" s="127">
        <f>I751*PRP!$J$8+J751*PRP!$J$9+K751*PRP!$J$10</f>
        <v>1655.6160500000001</v>
      </c>
      <c r="M751" s="171"/>
      <c r="N751" s="171"/>
      <c r="O751" s="171"/>
      <c r="P751" s="171"/>
      <c r="Q751" s="171"/>
      <c r="S751" s="282" t="s">
        <v>938</v>
      </c>
    </row>
    <row r="752" spans="2:19">
      <c r="B752" s="166" t="str">
        <f t="shared" si="38"/>
        <v>Industriel - Incinération</v>
      </c>
      <c r="C752" s="117" t="s">
        <v>939</v>
      </c>
      <c r="D752" s="117" t="s">
        <v>937</v>
      </c>
      <c r="E752" s="453" t="s">
        <v>925</v>
      </c>
      <c r="F752" s="453"/>
      <c r="G752" s="453" t="s">
        <v>925</v>
      </c>
      <c r="H752" s="453" t="s">
        <v>925</v>
      </c>
      <c r="I752" s="170">
        <v>1650</v>
      </c>
      <c r="J752" s="279">
        <v>0.188</v>
      </c>
      <c r="K752" s="279">
        <v>0.05</v>
      </c>
      <c r="L752" s="127">
        <f>I752*PRP!$J$8+J752*PRP!$J$9+K752*PRP!$J$10</f>
        <v>1669.2524000000001</v>
      </c>
      <c r="M752" s="171"/>
      <c r="N752" s="171"/>
      <c r="O752" s="171"/>
      <c r="P752" s="171"/>
      <c r="Q752" s="171"/>
      <c r="S752" s="282" t="s">
        <v>938</v>
      </c>
    </row>
    <row r="753" spans="1:19">
      <c r="B753" s="166" t="str">
        <f t="shared" si="38"/>
        <v>Recyclage - deuxième vie</v>
      </c>
      <c r="C753" s="117" t="s">
        <v>940</v>
      </c>
      <c r="D753" s="117" t="s">
        <v>941</v>
      </c>
      <c r="E753" s="453" t="s">
        <v>925</v>
      </c>
      <c r="F753" s="453"/>
      <c r="G753" s="453" t="s">
        <v>925</v>
      </c>
      <c r="H753" s="453" t="s">
        <v>925</v>
      </c>
      <c r="I753" s="170">
        <v>0</v>
      </c>
      <c r="J753" s="279">
        <v>0</v>
      </c>
      <c r="K753" s="279">
        <v>0</v>
      </c>
      <c r="L753" s="127">
        <f>I753*PRP!$J$8+J753*PRP!$J$9+K753*PRP!$J$10</f>
        <v>0</v>
      </c>
      <c r="M753" s="171"/>
      <c r="N753" s="171"/>
      <c r="O753" s="171"/>
      <c r="P753" s="171"/>
      <c r="Q753" s="171"/>
      <c r="S753" s="458" t="s">
        <v>942</v>
      </c>
    </row>
    <row r="754" spans="1:19">
      <c r="B754" s="166" t="str">
        <f t="shared" si="38"/>
        <v xml:space="preserve"> - </v>
      </c>
      <c r="C754" s="117"/>
      <c r="D754" s="117"/>
      <c r="E754" s="453"/>
      <c r="F754" s="453"/>
      <c r="G754" s="454"/>
      <c r="H754" s="454"/>
      <c r="I754" s="170"/>
      <c r="J754" s="279"/>
      <c r="K754" s="279"/>
      <c r="L754" s="127">
        <f>I754*PRP!$J$8+J754*PRP!$J$9+K754*PRP!$J$10</f>
        <v>0</v>
      </c>
      <c r="M754" s="171"/>
      <c r="N754" s="171"/>
      <c r="O754" s="171"/>
      <c r="P754" s="171"/>
      <c r="Q754" s="171"/>
      <c r="S754" s="123"/>
    </row>
    <row r="755" spans="1:19">
      <c r="B755" s="166" t="str">
        <f t="shared" si="38"/>
        <v xml:space="preserve"> - </v>
      </c>
      <c r="C755" s="117"/>
      <c r="D755" s="117"/>
      <c r="E755" s="455"/>
      <c r="F755" s="456"/>
      <c r="G755" s="454"/>
      <c r="H755" s="454"/>
      <c r="I755" s="170"/>
      <c r="J755" s="279"/>
      <c r="K755" s="279"/>
      <c r="L755" s="127">
        <f>I755*PRP!$J$8+J755*PRP!$J$9+K755*PRP!$J$10</f>
        <v>0</v>
      </c>
      <c r="M755" s="171"/>
      <c r="N755" s="171"/>
      <c r="O755" s="171"/>
      <c r="P755" s="171"/>
      <c r="Q755" s="171"/>
      <c r="S755" s="123"/>
    </row>
    <row r="756" spans="1:19" ht="18">
      <c r="B756" s="166" t="str">
        <f>_xlfn.CONCAT(C756, " - ", D756)</f>
        <v>Myriophylle à épi - Enfouissement avec captation de CH4</v>
      </c>
      <c r="C756" s="260" t="s">
        <v>943</v>
      </c>
      <c r="D756" s="117" t="s">
        <v>924</v>
      </c>
      <c r="E756" s="455">
        <v>0.2</v>
      </c>
      <c r="F756" s="456"/>
      <c r="G756" s="454">
        <v>0.7</v>
      </c>
      <c r="H756" s="454">
        <v>0.75</v>
      </c>
      <c r="I756" s="170">
        <v>0</v>
      </c>
      <c r="J756" s="279">
        <f>E756*G756*($C$1080/$C$1075)*1000*(1-H756)</f>
        <v>46.749229872616759</v>
      </c>
      <c r="K756" s="279">
        <v>0</v>
      </c>
      <c r="L756" s="127">
        <f>I756*PRP!$J$8+J756*PRP!$J$9+K756*PRP!$J$10</f>
        <v>1393.1270502039795</v>
      </c>
      <c r="M756" s="171"/>
      <c r="N756" s="171"/>
      <c r="O756" s="171"/>
      <c r="P756" s="171"/>
      <c r="Q756" s="171"/>
      <c r="S756" s="282" t="s">
        <v>929</v>
      </c>
    </row>
    <row r="757" spans="1:19" ht="18.75" thickBot="1">
      <c r="B757" s="184" t="str">
        <f>_xlfn.CONCAT(C757, " - ", D757)</f>
        <v>Myriophylle à épi - Enfouissement sans captation de CH4</v>
      </c>
      <c r="C757" s="185" t="s">
        <v>943</v>
      </c>
      <c r="D757" s="185" t="s">
        <v>927</v>
      </c>
      <c r="E757" s="187">
        <v>0.2</v>
      </c>
      <c r="F757" s="187"/>
      <c r="G757" s="187">
        <v>0.7</v>
      </c>
      <c r="H757" s="459" t="s">
        <v>925</v>
      </c>
      <c r="I757" s="189">
        <v>0</v>
      </c>
      <c r="J757" s="185">
        <f>E757*G757*($C$1080/$C$1075)*1000</f>
        <v>186.99691949046704</v>
      </c>
      <c r="K757" s="185">
        <v>0</v>
      </c>
      <c r="L757" s="143">
        <f>I757*PRP!$J$8+J757*PRP!$J$9+K757*PRP!$J$10</f>
        <v>5572.5082008159179</v>
      </c>
      <c r="M757" s="171"/>
      <c r="N757" s="171"/>
      <c r="O757" s="171"/>
      <c r="P757" s="171"/>
      <c r="Q757" s="171"/>
      <c r="S757" s="190" t="s">
        <v>929</v>
      </c>
    </row>
    <row r="758" spans="1:19" ht="15.75" thickBot="1">
      <c r="A758" s="86"/>
      <c r="S758" s="57"/>
    </row>
    <row r="759" spans="1:19" ht="19.5" thickBot="1">
      <c r="A759" s="86"/>
      <c r="B759" s="148" t="s">
        <v>944</v>
      </c>
      <c r="C759" s="149"/>
      <c r="D759" s="149"/>
      <c r="E759" s="149" t="s">
        <v>154</v>
      </c>
      <c r="F759" s="149"/>
      <c r="G759" s="149" t="s">
        <v>154</v>
      </c>
      <c r="H759" s="88"/>
      <c r="I759" s="151" t="s">
        <v>154</v>
      </c>
      <c r="J759" s="151" t="s">
        <v>154</v>
      </c>
      <c r="K759" s="151" t="s">
        <v>154</v>
      </c>
      <c r="L759" s="152" t="s">
        <v>155</v>
      </c>
      <c r="M759" s="153"/>
      <c r="N759" s="153"/>
      <c r="O759" s="153"/>
      <c r="P759" s="153"/>
      <c r="Q759" s="153"/>
      <c r="R759" s="90"/>
      <c r="S759" s="154" t="s">
        <v>156</v>
      </c>
    </row>
    <row r="760" spans="1:19" ht="33.75" customHeight="1">
      <c r="B760" s="460" t="s">
        <v>154</v>
      </c>
      <c r="C760" s="461"/>
      <c r="D760" s="461"/>
      <c r="E760" s="461"/>
      <c r="F760" s="461"/>
      <c r="G760" s="461"/>
      <c r="H760" s="461"/>
      <c r="I760" s="462" t="s">
        <v>106</v>
      </c>
      <c r="J760" s="463" t="s">
        <v>160</v>
      </c>
      <c r="K760" s="463" t="s">
        <v>161</v>
      </c>
      <c r="L760" s="464" t="s">
        <v>162</v>
      </c>
      <c r="M760" s="159"/>
      <c r="N760" s="159"/>
      <c r="O760" s="159"/>
      <c r="P760" s="159"/>
      <c r="Q760" s="159"/>
      <c r="S760" s="160" t="s">
        <v>154</v>
      </c>
    </row>
    <row r="761" spans="1:19" ht="16.5" customHeight="1">
      <c r="B761" s="465" t="s">
        <v>945</v>
      </c>
      <c r="C761" s="465" t="s">
        <v>946</v>
      </c>
      <c r="D761" s="465" t="s">
        <v>947</v>
      </c>
      <c r="E761" s="465" t="s">
        <v>948</v>
      </c>
      <c r="F761" s="466" t="s">
        <v>167</v>
      </c>
      <c r="G761" s="465" t="s">
        <v>949</v>
      </c>
      <c r="H761" s="465" t="s">
        <v>950</v>
      </c>
      <c r="I761" s="467" t="s">
        <v>951</v>
      </c>
      <c r="J761" s="465" t="s">
        <v>952</v>
      </c>
      <c r="K761" s="465" t="s">
        <v>953</v>
      </c>
      <c r="L761" s="468" t="s">
        <v>954</v>
      </c>
      <c r="M761" s="159"/>
      <c r="N761" s="159"/>
      <c r="O761" s="159"/>
      <c r="P761" s="159"/>
      <c r="Q761" s="159"/>
      <c r="S761" s="165" t="s">
        <v>154</v>
      </c>
    </row>
    <row r="762" spans="1:19">
      <c r="B762" s="117" t="s">
        <v>955</v>
      </c>
      <c r="C762" s="117" t="s">
        <v>956</v>
      </c>
      <c r="D762" s="117"/>
      <c r="E762" s="469"/>
      <c r="F762" s="59" t="s">
        <v>184</v>
      </c>
      <c r="G762" s="454"/>
      <c r="H762" s="453"/>
      <c r="I762" s="170">
        <v>99480</v>
      </c>
      <c r="J762" s="279"/>
      <c r="K762" s="279"/>
      <c r="L762" s="470">
        <f>Tableau1[[#This Row],['[g CO2 / kg']]]*PRP!$J$8+Tableau1[[#This Row],['[g CH4 / kg']]]*PRP!$J$9+Tableau1[[#This Row],['[g N2O / kg']]]*PRP!$J$10</f>
        <v>99480</v>
      </c>
      <c r="M762" s="171"/>
      <c r="N762" s="171"/>
      <c r="O762" s="171"/>
      <c r="P762" s="171"/>
      <c r="Q762" s="171"/>
      <c r="S762" s="282" t="s">
        <v>957</v>
      </c>
    </row>
    <row r="763" spans="1:19">
      <c r="B763" s="117" t="s">
        <v>315</v>
      </c>
      <c r="C763" s="117" t="s">
        <v>958</v>
      </c>
      <c r="D763" s="117"/>
      <c r="E763" s="469"/>
      <c r="F763" s="59" t="s">
        <v>184</v>
      </c>
      <c r="G763" s="454"/>
      <c r="H763" s="453"/>
      <c r="I763" s="170">
        <v>46650</v>
      </c>
      <c r="J763" s="279"/>
      <c r="K763" s="279"/>
      <c r="L763" s="470">
        <f>Tableau1[[#This Row],['[g CO2 / kg']]]*PRP!$J$8+Tableau1[[#This Row],['[g CH4 / kg']]]*PRP!$J$9+Tableau1[[#This Row],['[g N2O / kg']]]*PRP!$J$10</f>
        <v>46650</v>
      </c>
      <c r="M763" s="171"/>
      <c r="N763" s="171"/>
      <c r="O763" s="171"/>
      <c r="P763" s="171"/>
      <c r="Q763" s="171"/>
      <c r="S763" s="282" t="s">
        <v>957</v>
      </c>
    </row>
    <row r="764" spans="1:19">
      <c r="B764" s="117" t="s">
        <v>955</v>
      </c>
      <c r="C764" s="117" t="s">
        <v>959</v>
      </c>
      <c r="D764" s="117"/>
      <c r="E764" s="471"/>
      <c r="F764" s="59" t="s">
        <v>184</v>
      </c>
      <c r="G764" s="453"/>
      <c r="H764" s="453"/>
      <c r="I764" s="170">
        <v>39720</v>
      </c>
      <c r="J764" s="279"/>
      <c r="K764" s="279"/>
      <c r="L764" s="470">
        <f>Tableau1[[#This Row],['[g CO2 / kg']]]*PRP!$J$8+Tableau1[[#This Row],['[g CH4 / kg']]]*PRP!$J$9+Tableau1[[#This Row],['[g N2O / kg']]]*PRP!$J$10</f>
        <v>39720</v>
      </c>
      <c r="M764" s="171"/>
      <c r="N764" s="171"/>
      <c r="O764" s="171"/>
      <c r="P764" s="171"/>
      <c r="Q764" s="171"/>
      <c r="S764" s="282" t="s">
        <v>957</v>
      </c>
    </row>
    <row r="765" spans="1:19">
      <c r="B765" s="117" t="s">
        <v>955</v>
      </c>
      <c r="C765" s="117" t="s">
        <v>960</v>
      </c>
      <c r="D765" s="117"/>
      <c r="E765" s="455"/>
      <c r="F765" s="59" t="s">
        <v>184</v>
      </c>
      <c r="G765" s="454"/>
      <c r="H765" s="454"/>
      <c r="I765" s="170">
        <v>33300</v>
      </c>
      <c r="J765" s="279"/>
      <c r="K765" s="279"/>
      <c r="L765" s="470">
        <f>Tableau1[[#This Row],['[g CO2 / kg']]]*PRP!$J$8+Tableau1[[#This Row],['[g CH4 / kg']]]*PRP!$J$9+Tableau1[[#This Row],['[g N2O / kg']]]*PRP!$J$10</f>
        <v>33300</v>
      </c>
      <c r="M765" s="171"/>
      <c r="N765" s="171"/>
      <c r="O765" s="171"/>
      <c r="P765" s="171"/>
      <c r="Q765" s="171"/>
      <c r="S765" s="282" t="s">
        <v>957</v>
      </c>
    </row>
    <row r="766" spans="1:19">
      <c r="B766" s="117" t="s">
        <v>955</v>
      </c>
      <c r="C766" s="260" t="s">
        <v>961</v>
      </c>
      <c r="D766" s="117"/>
      <c r="E766" s="455"/>
      <c r="F766" s="59" t="s">
        <v>184</v>
      </c>
      <c r="G766" s="454"/>
      <c r="H766" s="454"/>
      <c r="I766" s="170">
        <v>26870</v>
      </c>
      <c r="J766" s="279"/>
      <c r="K766" s="279"/>
      <c r="L766" s="470">
        <f>Tableau1[[#This Row],['[g CO2 / kg']]]*PRP!$J$8+Tableau1[[#This Row],['[g CH4 / kg']]]*PRP!$J$9+Tableau1[[#This Row],['[g N2O / kg']]]*PRP!$J$10</f>
        <v>26870</v>
      </c>
      <c r="M766" s="171"/>
      <c r="N766" s="171"/>
      <c r="O766" s="171"/>
      <c r="P766" s="171"/>
      <c r="Q766" s="171"/>
      <c r="S766" s="282" t="s">
        <v>957</v>
      </c>
    </row>
    <row r="767" spans="1:19">
      <c r="B767" s="117" t="s">
        <v>955</v>
      </c>
      <c r="C767" s="117" t="s">
        <v>962</v>
      </c>
      <c r="D767" s="117"/>
      <c r="E767" s="455"/>
      <c r="F767" s="59" t="s">
        <v>184</v>
      </c>
      <c r="G767" s="454"/>
      <c r="H767" s="454"/>
      <c r="I767" s="170">
        <v>23880</v>
      </c>
      <c r="J767" s="279"/>
      <c r="K767" s="279"/>
      <c r="L767" s="470">
        <f>Tableau1[[#This Row],['[g CO2 / kg']]]*PRP!$J$8+Tableau1[[#This Row],['[g CH4 / kg']]]*PRP!$J$9+Tableau1[[#This Row],['[g N2O / kg']]]*PRP!$J$10</f>
        <v>23880</v>
      </c>
      <c r="M767" s="171"/>
      <c r="N767" s="171"/>
      <c r="O767" s="171"/>
      <c r="P767" s="171"/>
      <c r="Q767" s="171"/>
      <c r="S767" s="282" t="s">
        <v>957</v>
      </c>
    </row>
    <row r="768" spans="1:19">
      <c r="B768" s="117" t="s">
        <v>955</v>
      </c>
      <c r="C768" s="117" t="s">
        <v>963</v>
      </c>
      <c r="D768" s="117"/>
      <c r="E768" s="471"/>
      <c r="F768" s="59" t="s">
        <v>184</v>
      </c>
      <c r="G768" s="453"/>
      <c r="H768" s="453"/>
      <c r="I768" s="170">
        <v>13630</v>
      </c>
      <c r="J768" s="279"/>
      <c r="K768" s="279"/>
      <c r="L768" s="470">
        <f>Tableau1[[#This Row],['[g CO2 / kg']]]*PRP!$J$8+Tableau1[[#This Row],['[g CH4 / kg']]]*PRP!$J$9+Tableau1[[#This Row],['[g N2O / kg']]]*PRP!$J$10</f>
        <v>13630</v>
      </c>
      <c r="M768" s="171"/>
      <c r="N768" s="171"/>
      <c r="O768" s="171"/>
      <c r="P768" s="171"/>
      <c r="Q768" s="171"/>
      <c r="S768" s="282" t="s">
        <v>957</v>
      </c>
    </row>
    <row r="769" spans="2:19">
      <c r="B769" s="117" t="s">
        <v>955</v>
      </c>
      <c r="C769" s="260" t="s">
        <v>964</v>
      </c>
      <c r="D769" s="117"/>
      <c r="E769" s="455"/>
      <c r="F769" s="59" t="s">
        <v>184</v>
      </c>
      <c r="G769" s="454"/>
      <c r="H769" s="454"/>
      <c r="I769" s="170">
        <v>9870</v>
      </c>
      <c r="J769" s="279"/>
      <c r="K769" s="279"/>
      <c r="L769" s="470">
        <f>Tableau1[[#This Row],['[g CO2 / kg']]]*PRP!$J$8+Tableau1[[#This Row],['[g CH4 / kg']]]*PRP!$J$9+Tableau1[[#This Row],['[g N2O / kg']]]*PRP!$J$10</f>
        <v>9870</v>
      </c>
      <c r="M769" s="171"/>
      <c r="N769" s="171"/>
      <c r="O769" s="171"/>
      <c r="P769" s="171"/>
      <c r="Q769" s="171"/>
      <c r="S769" s="282" t="s">
        <v>957</v>
      </c>
    </row>
    <row r="770" spans="2:19">
      <c r="B770" s="117" t="s">
        <v>955</v>
      </c>
      <c r="C770" s="117" t="s">
        <v>965</v>
      </c>
      <c r="D770" s="117"/>
      <c r="E770" s="471"/>
      <c r="F770" s="59" t="s">
        <v>184</v>
      </c>
      <c r="G770" s="453"/>
      <c r="H770" s="453"/>
      <c r="I770" s="170">
        <v>4670</v>
      </c>
      <c r="J770" s="279"/>
      <c r="K770" s="279"/>
      <c r="L770" s="470">
        <f>Tableau1[[#This Row],['[g CO2 / kg']]]*PRP!$J$8+Tableau1[[#This Row],['[g CH4 / kg']]]*PRP!$J$9+Tableau1[[#This Row],['[g N2O / kg']]]*PRP!$J$10</f>
        <v>4670</v>
      </c>
      <c r="M770" s="171"/>
      <c r="N770" s="171"/>
      <c r="O770" s="171"/>
      <c r="P770" s="171"/>
      <c r="Q770" s="171"/>
      <c r="S770" s="282" t="s">
        <v>957</v>
      </c>
    </row>
    <row r="771" spans="2:19">
      <c r="B771" s="117" t="s">
        <v>966</v>
      </c>
      <c r="C771" s="260" t="s">
        <v>967</v>
      </c>
      <c r="D771" s="117"/>
      <c r="E771" s="455"/>
      <c r="F771" s="59" t="s">
        <v>184</v>
      </c>
      <c r="G771" s="454"/>
      <c r="H771" s="454"/>
      <c r="I771" s="170">
        <v>4450</v>
      </c>
      <c r="J771" s="279"/>
      <c r="K771" s="279"/>
      <c r="L771" s="470">
        <f>Tableau1[[#This Row],['[g CO2 / kg']]]*PRP!$J$8+Tableau1[[#This Row],['[g CH4 / kg']]]*PRP!$J$9+Tableau1[[#This Row],['[g N2O / kg']]]*PRP!$J$10</f>
        <v>4450</v>
      </c>
      <c r="M771" s="171"/>
      <c r="N771" s="171"/>
      <c r="O771" s="171"/>
      <c r="P771" s="171"/>
      <c r="Q771" s="171"/>
      <c r="S771" s="282" t="s">
        <v>957</v>
      </c>
    </row>
    <row r="772" spans="2:19">
      <c r="B772" s="117" t="s">
        <v>968</v>
      </c>
      <c r="C772" s="117" t="s">
        <v>969</v>
      </c>
      <c r="D772" s="117"/>
      <c r="E772" s="471"/>
      <c r="F772" s="59" t="s">
        <v>184</v>
      </c>
      <c r="G772" s="453"/>
      <c r="H772" s="453"/>
      <c r="I772" s="170">
        <v>3230</v>
      </c>
      <c r="J772" s="279"/>
      <c r="K772" s="279"/>
      <c r="L772" s="470">
        <f>Tableau1[[#This Row],['[g CO2 / kg']]]*PRP!$J$8+Tableau1[[#This Row],['[g CH4 / kg']]]*PRP!$J$9+Tableau1[[#This Row],['[g N2O / kg']]]*PRP!$J$10</f>
        <v>3230</v>
      </c>
      <c r="M772" s="171"/>
      <c r="N772" s="171"/>
      <c r="O772" s="171"/>
      <c r="P772" s="171"/>
      <c r="Q772" s="171"/>
      <c r="S772" s="282" t="s">
        <v>957</v>
      </c>
    </row>
    <row r="773" spans="2:19">
      <c r="B773" s="117" t="s">
        <v>315</v>
      </c>
      <c r="C773" s="117" t="s">
        <v>970</v>
      </c>
      <c r="D773" s="117"/>
      <c r="E773" s="455"/>
      <c r="F773" s="59" t="s">
        <v>184</v>
      </c>
      <c r="G773" s="454"/>
      <c r="H773" s="454"/>
      <c r="I773" s="170">
        <v>3200</v>
      </c>
      <c r="J773" s="279"/>
      <c r="K773" s="279"/>
      <c r="L773" s="470">
        <f>Tableau1[[#This Row],['[g CO2 / kg']]]*PRP!$J$8+Tableau1[[#This Row],['[g CH4 / kg']]]*PRP!$J$9+Tableau1[[#This Row],['[g N2O / kg']]]*PRP!$J$10</f>
        <v>3200</v>
      </c>
      <c r="M773" s="171"/>
      <c r="N773" s="171"/>
      <c r="O773" s="171"/>
      <c r="P773" s="171"/>
      <c r="Q773" s="171"/>
      <c r="S773" s="282" t="s">
        <v>957</v>
      </c>
    </row>
    <row r="774" spans="2:19">
      <c r="B774" s="117" t="s">
        <v>971</v>
      </c>
      <c r="C774" s="260" t="s">
        <v>972</v>
      </c>
      <c r="D774" s="117"/>
      <c r="E774" s="455"/>
      <c r="F774" s="59" t="s">
        <v>184</v>
      </c>
      <c r="G774" s="454"/>
      <c r="H774" s="454"/>
      <c r="I774" s="170">
        <v>3160</v>
      </c>
      <c r="J774" s="279"/>
      <c r="K774" s="279"/>
      <c r="L774" s="470">
        <f>Tableau1[[#This Row],['[g CO2 / kg']]]*PRP!$J$8+Tableau1[[#This Row],['[g CH4 / kg']]]*PRP!$J$9+Tableau1[[#This Row],['[g N2O / kg']]]*PRP!$J$10</f>
        <v>3160</v>
      </c>
      <c r="M774" s="171"/>
      <c r="N774" s="171"/>
      <c r="O774" s="171"/>
      <c r="P774" s="171"/>
      <c r="Q774" s="171"/>
      <c r="S774" s="282" t="s">
        <v>957</v>
      </c>
    </row>
    <row r="775" spans="2:19">
      <c r="B775" s="117" t="s">
        <v>973</v>
      </c>
      <c r="C775" s="117" t="s">
        <v>974</v>
      </c>
      <c r="D775" s="117"/>
      <c r="E775" s="455"/>
      <c r="F775" s="59" t="s">
        <v>184</v>
      </c>
      <c r="G775" s="454"/>
      <c r="H775" s="454"/>
      <c r="I775" s="170">
        <v>3150</v>
      </c>
      <c r="J775" s="279"/>
      <c r="K775" s="279"/>
      <c r="L775" s="470">
        <f>Tableau1[[#This Row],['[g CO2 / kg']]]*PRP!$J$8+Tableau1[[#This Row],['[g CH4 / kg']]]*PRP!$J$9+Tableau1[[#This Row],['[g N2O / kg']]]*PRP!$J$10</f>
        <v>3150</v>
      </c>
      <c r="M775" s="171"/>
      <c r="N775" s="171"/>
      <c r="O775" s="171"/>
      <c r="P775" s="171"/>
      <c r="Q775" s="171"/>
      <c r="S775" s="282" t="s">
        <v>957</v>
      </c>
    </row>
    <row r="776" spans="2:19">
      <c r="B776" s="117" t="s">
        <v>973</v>
      </c>
      <c r="C776" s="117" t="s">
        <v>975</v>
      </c>
      <c r="D776" s="117"/>
      <c r="E776" s="469"/>
      <c r="F776" s="59" t="s">
        <v>184</v>
      </c>
      <c r="G776" s="454"/>
      <c r="H776" s="454"/>
      <c r="I776" s="170">
        <v>2853</v>
      </c>
      <c r="J776" s="279"/>
      <c r="K776" s="279"/>
      <c r="L776" s="470">
        <f>Tableau1[[#This Row],['[g CO2 / kg']]]*PRP!$J$8+Tableau1[[#This Row],['[g CH4 / kg']]]*PRP!$J$9+Tableau1[[#This Row],['[g N2O / kg']]]*PRP!$J$10</f>
        <v>2853</v>
      </c>
      <c r="M776" s="171"/>
      <c r="N776" s="171"/>
      <c r="O776" s="171"/>
      <c r="P776" s="171"/>
      <c r="Q776" s="171"/>
      <c r="S776" s="282" t="s">
        <v>957</v>
      </c>
    </row>
    <row r="777" spans="2:19">
      <c r="B777" s="117" t="s">
        <v>966</v>
      </c>
      <c r="C777" s="260" t="s">
        <v>976</v>
      </c>
      <c r="D777" s="117"/>
      <c r="E777" s="469"/>
      <c r="F777" s="59" t="s">
        <v>184</v>
      </c>
      <c r="G777" s="454"/>
      <c r="H777" s="454"/>
      <c r="I777" s="170">
        <v>2480</v>
      </c>
      <c r="J777" s="279"/>
      <c r="K777" s="279"/>
      <c r="L777" s="470">
        <f>Tableau1[[#This Row],['[g CO2 / kg']]]*PRP!$J$8+Tableau1[[#This Row],['[g CH4 / kg']]]*PRP!$J$9+Tableau1[[#This Row],['[g N2O / kg']]]*PRP!$J$10</f>
        <v>2480</v>
      </c>
      <c r="M777" s="171"/>
      <c r="N777" s="171"/>
      <c r="O777" s="171"/>
      <c r="P777" s="171"/>
      <c r="Q777" s="171"/>
      <c r="S777" s="282" t="s">
        <v>957</v>
      </c>
    </row>
    <row r="778" spans="2:19">
      <c r="B778" s="117" t="s">
        <v>977</v>
      </c>
      <c r="C778" s="260" t="s">
        <v>978</v>
      </c>
      <c r="D778" s="117"/>
      <c r="E778" s="469"/>
      <c r="F778" s="59" t="s">
        <v>184</v>
      </c>
      <c r="G778" s="454"/>
      <c r="H778" s="454"/>
      <c r="I778" s="170">
        <v>2090</v>
      </c>
      <c r="J778" s="279"/>
      <c r="K778" s="279"/>
      <c r="L778" s="470">
        <f>Tableau1[[#This Row],['[g CO2 / kg']]]*PRP!$J$8+Tableau1[[#This Row],['[g CH4 / kg']]]*PRP!$J$9+Tableau1[[#This Row],['[g N2O / kg']]]*PRP!$J$10</f>
        <v>2090</v>
      </c>
      <c r="M778" s="171"/>
      <c r="N778" s="171"/>
      <c r="O778" s="171"/>
      <c r="P778" s="171"/>
      <c r="Q778" s="171"/>
      <c r="S778" s="282" t="s">
        <v>957</v>
      </c>
    </row>
    <row r="779" spans="2:19">
      <c r="B779" s="117" t="s">
        <v>315</v>
      </c>
      <c r="C779" s="117" t="s">
        <v>979</v>
      </c>
      <c r="D779" s="117"/>
      <c r="E779" s="469"/>
      <c r="F779" s="59" t="s">
        <v>184</v>
      </c>
      <c r="G779" s="454"/>
      <c r="H779" s="453"/>
      <c r="I779" s="170">
        <v>1810</v>
      </c>
      <c r="J779" s="279"/>
      <c r="K779" s="279"/>
      <c r="L779" s="470">
        <f>Tableau1[[#This Row],['[g CO2 / kg']]]*PRP!$J$8+Tableau1[[#This Row],['[g CH4 / kg']]]*PRP!$J$9+Tableau1[[#This Row],['[g N2O / kg']]]*PRP!$J$10</f>
        <v>1810</v>
      </c>
      <c r="M779" s="171"/>
      <c r="N779" s="171"/>
      <c r="O779" s="171"/>
      <c r="P779" s="171"/>
      <c r="Q779" s="171"/>
      <c r="S779" s="282" t="s">
        <v>957</v>
      </c>
    </row>
    <row r="780" spans="2:19">
      <c r="B780" s="117" t="s">
        <v>971</v>
      </c>
      <c r="C780" s="260" t="s">
        <v>980</v>
      </c>
      <c r="D780" s="117"/>
      <c r="E780" s="455"/>
      <c r="F780" s="59" t="s">
        <v>184</v>
      </c>
      <c r="G780" s="454"/>
      <c r="H780" s="454"/>
      <c r="I780" s="170">
        <v>1790</v>
      </c>
      <c r="J780" s="279"/>
      <c r="K780" s="279"/>
      <c r="L780" s="470">
        <f>Tableau1[[#This Row],['[g CO2 / kg']]]*PRP!$J$8+Tableau1[[#This Row],['[g CH4 / kg']]]*PRP!$J$9+Tableau1[[#This Row],['[g N2O / kg']]]*PRP!$J$10</f>
        <v>1790</v>
      </c>
      <c r="M780" s="171"/>
      <c r="N780" s="171"/>
      <c r="O780" s="171"/>
      <c r="P780" s="171"/>
      <c r="Q780" s="171"/>
      <c r="S780" s="282" t="s">
        <v>957</v>
      </c>
    </row>
    <row r="781" spans="2:19">
      <c r="B781" s="117" t="s">
        <v>981</v>
      </c>
      <c r="C781" s="260" t="s">
        <v>982</v>
      </c>
      <c r="D781" s="117"/>
      <c r="E781" s="455"/>
      <c r="F781" s="59" t="s">
        <v>184</v>
      </c>
      <c r="G781" s="454"/>
      <c r="H781" s="454"/>
      <c r="I781" s="170">
        <v>1790</v>
      </c>
      <c r="J781" s="279"/>
      <c r="K781" s="279"/>
      <c r="L781" s="470">
        <f>Tableau1[[#This Row],['[g CO2 / kg']]]*PRP!$J$8+Tableau1[[#This Row],['[g CH4 / kg']]]*PRP!$J$9+Tableau1[[#This Row],['[g N2O / kg']]]*PRP!$J$10</f>
        <v>1790</v>
      </c>
      <c r="M781" s="171"/>
      <c r="N781" s="171"/>
      <c r="O781" s="171"/>
      <c r="P781" s="171"/>
      <c r="Q781" s="171"/>
      <c r="S781" s="282" t="s">
        <v>957</v>
      </c>
    </row>
    <row r="782" spans="2:19">
      <c r="B782" s="117" t="s">
        <v>966</v>
      </c>
      <c r="C782" s="117" t="s">
        <v>983</v>
      </c>
      <c r="D782" s="117"/>
      <c r="E782" s="455"/>
      <c r="F782" s="59" t="s">
        <v>184</v>
      </c>
      <c r="G782" s="454"/>
      <c r="H782" s="454"/>
      <c r="I782" s="170">
        <v>1700</v>
      </c>
      <c r="J782" s="279"/>
      <c r="K782" s="279"/>
      <c r="L782" s="470">
        <f>Tableau1[[#This Row],['[g CO2 / kg']]]*PRP!$J$8+Tableau1[[#This Row],['[g CH4 / kg']]]*PRP!$J$9+Tableau1[[#This Row],['[g N2O / kg']]]*PRP!$J$10</f>
        <v>1700</v>
      </c>
      <c r="M782" s="171"/>
      <c r="N782" s="171"/>
      <c r="O782" s="171"/>
      <c r="P782" s="171"/>
      <c r="Q782" s="171"/>
      <c r="S782" s="282" t="s">
        <v>957</v>
      </c>
    </row>
    <row r="783" spans="2:19">
      <c r="B783" s="117" t="s">
        <v>966</v>
      </c>
      <c r="C783" s="260" t="s">
        <v>984</v>
      </c>
      <c r="D783" s="117"/>
      <c r="E783" s="455"/>
      <c r="F783" s="59" t="s">
        <v>184</v>
      </c>
      <c r="G783" s="454"/>
      <c r="H783" s="454"/>
      <c r="I783" s="170">
        <v>1570</v>
      </c>
      <c r="J783" s="279"/>
      <c r="K783" s="279"/>
      <c r="L783" s="470">
        <f>Tableau1[[#This Row],['[g CO2 / kg']]]*PRP!$J$8+Tableau1[[#This Row],['[g CH4 / kg']]]*PRP!$J$9+Tableau1[[#This Row],['[g N2O / kg']]]*PRP!$J$10</f>
        <v>1570</v>
      </c>
      <c r="M783" s="171"/>
      <c r="N783" s="171"/>
      <c r="O783" s="171"/>
      <c r="P783" s="171"/>
      <c r="Q783" s="171"/>
      <c r="S783" s="282" t="s">
        <v>957</v>
      </c>
    </row>
    <row r="784" spans="2:19">
      <c r="B784" s="117" t="s">
        <v>985</v>
      </c>
      <c r="C784" s="117" t="s">
        <v>986</v>
      </c>
      <c r="D784" s="117"/>
      <c r="E784" s="455"/>
      <c r="F784" s="59" t="s">
        <v>184</v>
      </c>
      <c r="G784" s="454"/>
      <c r="H784" s="454"/>
      <c r="I784" s="170">
        <v>1530</v>
      </c>
      <c r="J784" s="279"/>
      <c r="K784" s="279"/>
      <c r="L784" s="470">
        <f>Tableau1[[#This Row],['[g CO2 / kg']]]*PRP!$J$8+Tableau1[[#This Row],['[g CH4 / kg']]]*PRP!$J$9+Tableau1[[#This Row],['[g N2O / kg']]]*PRP!$J$10</f>
        <v>1530</v>
      </c>
      <c r="M784" s="171"/>
      <c r="N784" s="171"/>
      <c r="O784" s="171"/>
      <c r="P784" s="171"/>
      <c r="Q784" s="171"/>
      <c r="S784" s="282" t="s">
        <v>957</v>
      </c>
    </row>
    <row r="785" spans="2:19">
      <c r="B785" s="117" t="s">
        <v>977</v>
      </c>
      <c r="C785" s="117" t="s">
        <v>987</v>
      </c>
      <c r="D785" s="117"/>
      <c r="E785" s="455"/>
      <c r="F785" s="59" t="s">
        <v>184</v>
      </c>
      <c r="G785" s="454"/>
      <c r="H785" s="453"/>
      <c r="I785" s="170">
        <v>1320</v>
      </c>
      <c r="J785" s="279"/>
      <c r="K785" s="279"/>
      <c r="L785" s="470">
        <f>Tableau1[[#This Row],['[g CO2 / kg']]]*PRP!$J$8+Tableau1[[#This Row],['[g CH4 / kg']]]*PRP!$J$9+Tableau1[[#This Row],['[g N2O / kg']]]*PRP!$J$10</f>
        <v>1320</v>
      </c>
      <c r="M785" s="171"/>
      <c r="N785" s="171"/>
      <c r="O785" s="171"/>
      <c r="P785" s="171"/>
      <c r="Q785" s="171"/>
      <c r="S785" s="282" t="s">
        <v>957</v>
      </c>
    </row>
    <row r="786" spans="2:19">
      <c r="B786" s="117" t="s">
        <v>955</v>
      </c>
      <c r="C786" s="260" t="s">
        <v>988</v>
      </c>
      <c r="D786" s="117"/>
      <c r="E786" s="455"/>
      <c r="F786" s="59" t="s">
        <v>184</v>
      </c>
      <c r="G786" s="454"/>
      <c r="H786" s="454"/>
      <c r="I786" s="170">
        <v>1231</v>
      </c>
      <c r="J786" s="279"/>
      <c r="K786" s="279"/>
      <c r="L786" s="470">
        <f>Tableau1[[#This Row],['[g CO2 / kg']]]*PRP!$J$8+Tableau1[[#This Row],['[g CH4 / kg']]]*PRP!$J$9+Tableau1[[#This Row],['[g N2O / kg']]]*PRP!$J$10</f>
        <v>1231</v>
      </c>
      <c r="M786" s="171"/>
      <c r="N786" s="171"/>
      <c r="O786" s="171"/>
      <c r="P786" s="171"/>
      <c r="Q786" s="171"/>
      <c r="S786" s="282" t="s">
        <v>957</v>
      </c>
    </row>
    <row r="787" spans="2:19">
      <c r="B787" s="117" t="s">
        <v>966</v>
      </c>
      <c r="C787" s="117" t="s">
        <v>989</v>
      </c>
      <c r="D787" s="117"/>
      <c r="E787" s="455"/>
      <c r="F787" s="59" t="s">
        <v>184</v>
      </c>
      <c r="G787" s="454"/>
      <c r="H787" s="454"/>
      <c r="I787" s="170">
        <v>1180</v>
      </c>
      <c r="J787" s="279"/>
      <c r="K787" s="279"/>
      <c r="L787" s="470">
        <f>Tableau1[[#This Row],['[g CO2 / kg']]]*PRP!$J$8+Tableau1[[#This Row],['[g CH4 / kg']]]*PRP!$J$9+Tableau1[[#This Row],['[g N2O / kg']]]*PRP!$J$10</f>
        <v>1180</v>
      </c>
      <c r="M787" s="171"/>
      <c r="N787" s="171"/>
      <c r="O787" s="171"/>
      <c r="P787" s="171"/>
      <c r="Q787" s="171"/>
      <c r="S787" s="282" t="s">
        <v>957</v>
      </c>
    </row>
    <row r="788" spans="2:19">
      <c r="B788" s="117" t="s">
        <v>985</v>
      </c>
      <c r="C788" s="260" t="s">
        <v>990</v>
      </c>
      <c r="D788" s="117"/>
      <c r="E788" s="455"/>
      <c r="F788" s="59" t="s">
        <v>184</v>
      </c>
      <c r="G788" s="454"/>
      <c r="H788" s="454"/>
      <c r="I788" s="170">
        <v>1050</v>
      </c>
      <c r="J788" s="279"/>
      <c r="K788" s="279"/>
      <c r="L788" s="470">
        <f>Tableau1[[#This Row],['[g CO2 / kg']]]*PRP!$J$8+Tableau1[[#This Row],['[g CH4 / kg']]]*PRP!$J$9+Tableau1[[#This Row],['[g N2O / kg']]]*PRP!$J$10</f>
        <v>1050</v>
      </c>
      <c r="M788" s="171"/>
      <c r="N788" s="171"/>
      <c r="O788" s="171"/>
      <c r="P788" s="171"/>
      <c r="Q788" s="171"/>
      <c r="S788" s="282" t="s">
        <v>957</v>
      </c>
    </row>
    <row r="789" spans="2:19">
      <c r="B789" s="117" t="s">
        <v>977</v>
      </c>
      <c r="C789" s="260" t="s">
        <v>991</v>
      </c>
      <c r="D789" s="117"/>
      <c r="E789" s="455"/>
      <c r="F789" s="59" t="s">
        <v>184</v>
      </c>
      <c r="G789" s="454"/>
      <c r="H789" s="454"/>
      <c r="I789" s="170">
        <v>980</v>
      </c>
      <c r="J789" s="279"/>
      <c r="K789" s="279"/>
      <c r="L789" s="470">
        <f>Tableau1[[#This Row],['[g CO2 / kg']]]*PRP!$J$8+Tableau1[[#This Row],['[g CH4 / kg']]]*PRP!$J$9+Tableau1[[#This Row],['[g N2O / kg']]]*PRP!$J$10</f>
        <v>980</v>
      </c>
      <c r="M789" s="171"/>
      <c r="N789" s="171"/>
      <c r="O789" s="171"/>
      <c r="P789" s="171"/>
      <c r="Q789" s="171"/>
      <c r="S789" s="282" t="s">
        <v>957</v>
      </c>
    </row>
    <row r="790" spans="2:19">
      <c r="B790" s="117" t="s">
        <v>981</v>
      </c>
      <c r="C790" s="260" t="s">
        <v>992</v>
      </c>
      <c r="D790" s="117"/>
      <c r="E790" s="455"/>
      <c r="F790" s="59" t="s">
        <v>184</v>
      </c>
      <c r="G790" s="454"/>
      <c r="H790" s="454"/>
      <c r="I790" s="170">
        <v>980</v>
      </c>
      <c r="J790" s="279"/>
      <c r="K790" s="279"/>
      <c r="L790" s="470">
        <f>Tableau1[[#This Row],['[g CO2 / kg']]]*PRP!$J$8+Tableau1[[#This Row],['[g CH4 / kg']]]*PRP!$J$9+Tableau1[[#This Row],['[g N2O / kg']]]*PRP!$J$10</f>
        <v>980</v>
      </c>
      <c r="M790" s="171"/>
      <c r="N790" s="171"/>
      <c r="O790" s="171"/>
      <c r="P790" s="171"/>
      <c r="Q790" s="171"/>
      <c r="S790" s="282" t="s">
        <v>957</v>
      </c>
    </row>
    <row r="791" spans="2:19">
      <c r="B791" s="117" t="s">
        <v>985</v>
      </c>
      <c r="C791" s="117" t="s">
        <v>993</v>
      </c>
      <c r="D791" s="117"/>
      <c r="E791" s="471"/>
      <c r="F791" s="59" t="s">
        <v>184</v>
      </c>
      <c r="G791" s="453"/>
      <c r="H791" s="453"/>
      <c r="I791" s="170">
        <v>860</v>
      </c>
      <c r="J791" s="279"/>
      <c r="K791" s="279"/>
      <c r="L791" s="470">
        <f>Tableau1[[#This Row],['[g CO2 / kg']]]*PRP!$J$8+Tableau1[[#This Row],['[g CH4 / kg']]]*PRP!$J$9+Tableau1[[#This Row],['[g N2O / kg']]]*PRP!$J$10</f>
        <v>860</v>
      </c>
      <c r="M791" s="171"/>
      <c r="N791" s="171"/>
      <c r="O791" s="171"/>
      <c r="P791" s="171"/>
      <c r="Q791" s="171"/>
      <c r="S791" s="282" t="s">
        <v>957</v>
      </c>
    </row>
    <row r="792" spans="2:19">
      <c r="B792" s="117" t="s">
        <v>977</v>
      </c>
      <c r="C792" s="260" t="s">
        <v>994</v>
      </c>
      <c r="D792" s="117"/>
      <c r="E792" s="455"/>
      <c r="F792" s="59" t="s">
        <v>184</v>
      </c>
      <c r="G792" s="454"/>
      <c r="H792" s="454"/>
      <c r="I792" s="170">
        <v>530</v>
      </c>
      <c r="J792" s="279"/>
      <c r="K792" s="279"/>
      <c r="L792" s="470">
        <f>Tableau1[[#This Row],['[g CO2 / kg']]]*PRP!$J$8+Tableau1[[#This Row],['[g CH4 / kg']]]*PRP!$J$9+Tableau1[[#This Row],['[g N2O / kg']]]*PRP!$J$10</f>
        <v>530</v>
      </c>
      <c r="M792" s="171"/>
      <c r="N792" s="171"/>
      <c r="O792" s="171"/>
      <c r="P792" s="171"/>
      <c r="Q792" s="171"/>
      <c r="S792" s="282" t="s">
        <v>957</v>
      </c>
    </row>
    <row r="793" spans="2:19">
      <c r="B793" s="117" t="s">
        <v>977</v>
      </c>
      <c r="C793" s="117" t="s">
        <v>995</v>
      </c>
      <c r="D793" s="117"/>
      <c r="E793" s="455"/>
      <c r="F793" s="59" t="s">
        <v>184</v>
      </c>
      <c r="G793" s="454"/>
      <c r="H793" s="453"/>
      <c r="I793" s="170">
        <v>510</v>
      </c>
      <c r="J793" s="279"/>
      <c r="K793" s="279"/>
      <c r="L793" s="470">
        <f>Tableau1[[#This Row],['[g CO2 / kg']]]*PRP!$J$8+Tableau1[[#This Row],['[g CH4 / kg']]]*PRP!$J$9+Tableau1[[#This Row],['[g N2O / kg']]]*PRP!$J$10</f>
        <v>510</v>
      </c>
      <c r="M793" s="171"/>
      <c r="N793" s="171"/>
      <c r="O793" s="171"/>
      <c r="P793" s="171"/>
      <c r="Q793" s="171"/>
      <c r="S793" s="282" t="s">
        <v>957</v>
      </c>
    </row>
    <row r="794" spans="2:19">
      <c r="B794" s="117" t="s">
        <v>977</v>
      </c>
      <c r="C794" s="260" t="s">
        <v>996</v>
      </c>
      <c r="D794" s="117"/>
      <c r="E794" s="455"/>
      <c r="F794" s="59" t="s">
        <v>184</v>
      </c>
      <c r="G794" s="454"/>
      <c r="H794" s="454"/>
      <c r="I794" s="170">
        <v>500</v>
      </c>
      <c r="J794" s="279"/>
      <c r="K794" s="279"/>
      <c r="L794" s="470">
        <f>Tableau1[[#This Row],['[g CO2 / kg']]]*PRP!$J$8+Tableau1[[#This Row],['[g CH4 / kg']]]*PRP!$J$9+Tableau1[[#This Row],['[g N2O / kg']]]*PRP!$J$10</f>
        <v>500</v>
      </c>
      <c r="M794" s="171"/>
      <c r="N794" s="171"/>
      <c r="O794" s="171"/>
      <c r="P794" s="171"/>
      <c r="Q794" s="171"/>
      <c r="S794" s="282" t="s">
        <v>957</v>
      </c>
    </row>
    <row r="795" spans="2:19">
      <c r="B795" s="117" t="s">
        <v>968</v>
      </c>
      <c r="C795" s="260" t="s">
        <v>997</v>
      </c>
      <c r="D795" s="117"/>
      <c r="E795" s="455"/>
      <c r="F795" s="59" t="s">
        <v>184</v>
      </c>
      <c r="G795" s="454"/>
      <c r="H795" s="454"/>
      <c r="I795" s="170">
        <v>460</v>
      </c>
      <c r="J795" s="279"/>
      <c r="K795" s="279"/>
      <c r="L795" s="470">
        <f>Tableau1[[#This Row],['[g CO2 / kg']]]*PRP!$J$8+Tableau1[[#This Row],['[g CH4 / kg']]]*PRP!$J$9+Tableau1[[#This Row],['[g N2O / kg']]]*PRP!$J$10</f>
        <v>460</v>
      </c>
      <c r="M795" s="171"/>
      <c r="N795" s="171"/>
      <c r="O795" s="171"/>
      <c r="P795" s="171"/>
      <c r="Q795" s="171"/>
      <c r="S795" s="282" t="s">
        <v>957</v>
      </c>
    </row>
    <row r="796" spans="2:19">
      <c r="B796" s="117" t="s">
        <v>977</v>
      </c>
      <c r="C796" s="260" t="s">
        <v>998</v>
      </c>
      <c r="D796" s="117"/>
      <c r="E796" s="455"/>
      <c r="F796" s="59" t="s">
        <v>184</v>
      </c>
      <c r="G796" s="454"/>
      <c r="H796" s="454"/>
      <c r="I796" s="170">
        <v>460</v>
      </c>
      <c r="J796" s="279"/>
      <c r="K796" s="279"/>
      <c r="L796" s="470">
        <f>Tableau1[[#This Row],['[g CO2 / kg']]]*PRP!$J$8+Tableau1[[#This Row],['[g CH4 / kg']]]*PRP!$J$9+Tableau1[[#This Row],['[g N2O / kg']]]*PRP!$J$10</f>
        <v>460</v>
      </c>
      <c r="M796" s="171"/>
      <c r="N796" s="171"/>
      <c r="O796" s="171"/>
      <c r="P796" s="171"/>
      <c r="Q796" s="171"/>
      <c r="S796" s="282" t="s">
        <v>957</v>
      </c>
    </row>
    <row r="797" spans="2:19">
      <c r="B797" s="117" t="s">
        <v>985</v>
      </c>
      <c r="C797" s="117" t="s">
        <v>999</v>
      </c>
      <c r="D797" s="117"/>
      <c r="E797" s="471"/>
      <c r="F797" s="59" t="s">
        <v>184</v>
      </c>
      <c r="G797" s="453"/>
      <c r="H797" s="454"/>
      <c r="I797" s="170">
        <v>430</v>
      </c>
      <c r="J797" s="279"/>
      <c r="K797" s="279"/>
      <c r="L797" s="470">
        <f>Tableau1[[#This Row],['[g CO2 / kg']]]*PRP!$J$8+Tableau1[[#This Row],['[g CH4 / kg']]]*PRP!$J$9+Tableau1[[#This Row],['[g N2O / kg']]]*PRP!$J$10</f>
        <v>430</v>
      </c>
      <c r="M797" s="171"/>
      <c r="N797" s="171"/>
      <c r="O797" s="171"/>
      <c r="P797" s="171"/>
      <c r="Q797" s="171"/>
      <c r="S797" s="282" t="s">
        <v>957</v>
      </c>
    </row>
    <row r="798" spans="2:19">
      <c r="B798" s="117" t="s">
        <v>977</v>
      </c>
      <c r="C798" s="260" t="s">
        <v>1000</v>
      </c>
      <c r="D798" s="117"/>
      <c r="E798" s="455"/>
      <c r="F798" s="59" t="s">
        <v>184</v>
      </c>
      <c r="G798" s="454"/>
      <c r="H798" s="454"/>
      <c r="I798" s="170">
        <v>430</v>
      </c>
      <c r="J798" s="279"/>
      <c r="K798" s="279"/>
      <c r="L798" s="470">
        <f>Tableau1[[#This Row],['[g CO2 / kg']]]*PRP!$J$8+Tableau1[[#This Row],['[g CH4 / kg']]]*PRP!$J$9+Tableau1[[#This Row],['[g N2O / kg']]]*PRP!$J$10</f>
        <v>430</v>
      </c>
      <c r="M798" s="171"/>
      <c r="N798" s="171"/>
      <c r="O798" s="171"/>
      <c r="P798" s="171"/>
      <c r="Q798" s="171"/>
      <c r="S798" s="282" t="s">
        <v>957</v>
      </c>
    </row>
    <row r="799" spans="2:19">
      <c r="B799" s="117" t="s">
        <v>315</v>
      </c>
      <c r="C799" s="117" t="s">
        <v>1001</v>
      </c>
      <c r="D799" s="117"/>
      <c r="E799" s="455"/>
      <c r="F799" s="59" t="s">
        <v>184</v>
      </c>
      <c r="G799" s="454"/>
      <c r="H799" s="453"/>
      <c r="I799" s="170">
        <v>390</v>
      </c>
      <c r="J799" s="279"/>
      <c r="K799" s="279"/>
      <c r="L799" s="470">
        <f>Tableau1[[#This Row],['[g CO2 / kg']]]*PRP!$J$8+Tableau1[[#This Row],['[g CH4 / kg']]]*PRP!$J$9+Tableau1[[#This Row],['[g N2O / kg']]]*PRP!$J$10</f>
        <v>390</v>
      </c>
      <c r="M799" s="171"/>
      <c r="N799" s="171"/>
      <c r="O799" s="171"/>
      <c r="P799" s="171"/>
      <c r="Q799" s="171"/>
      <c r="S799" s="282" t="s">
        <v>957</v>
      </c>
    </row>
    <row r="800" spans="2:19">
      <c r="B800" s="117"/>
      <c r="C800" s="260"/>
      <c r="D800" s="117"/>
      <c r="E800" s="455"/>
      <c r="F800" s="456"/>
      <c r="G800" s="454"/>
      <c r="H800" s="454"/>
      <c r="I800" s="170"/>
      <c r="J800" s="279"/>
      <c r="K800" s="279"/>
      <c r="L800" s="470">
        <f>Tableau1[[#This Row],['[g CO2 / kg']]]*PRP!$J$8+Tableau1[[#This Row],['[g CH4 / kg']]]*PRP!$J$9+Tableau1[[#This Row],['[g N2O / kg']]]*PRP!$J$10</f>
        <v>0</v>
      </c>
      <c r="M800" s="171"/>
      <c r="N800" s="171"/>
      <c r="O800" s="171"/>
      <c r="P800" s="171"/>
      <c r="Q800" s="171"/>
      <c r="S800" s="282"/>
    </row>
    <row r="801" spans="1:19">
      <c r="B801" s="117" t="s">
        <v>85</v>
      </c>
      <c r="C801" s="117" t="s">
        <v>1002</v>
      </c>
      <c r="D801" s="117"/>
      <c r="E801" s="455"/>
      <c r="F801" s="456" t="s">
        <v>120</v>
      </c>
      <c r="G801" s="454"/>
      <c r="H801" s="454"/>
      <c r="I801" s="170">
        <v>390</v>
      </c>
      <c r="J801" s="279"/>
      <c r="K801" s="279"/>
      <c r="L801" s="470">
        <f>Tableau1[[#This Row],['[g CO2 / kg']]]*PRP!$J$8+Tableau1[[#This Row],['[g CH4 / kg']]]*PRP!$J$9+Tableau1[[#This Row],['[g N2O / kg']]]*PRP!$J$10</f>
        <v>390</v>
      </c>
      <c r="M801" s="171"/>
      <c r="N801" s="171"/>
      <c r="O801" s="171"/>
      <c r="P801" s="171"/>
      <c r="Q801" s="171"/>
      <c r="S801" s="282" t="s">
        <v>1003</v>
      </c>
    </row>
    <row r="802" spans="1:19">
      <c r="B802" s="117" t="s">
        <v>85</v>
      </c>
      <c r="C802" s="260" t="s">
        <v>1004</v>
      </c>
      <c r="D802" s="117"/>
      <c r="E802" s="455"/>
      <c r="F802" s="456" t="s">
        <v>120</v>
      </c>
      <c r="G802" s="454"/>
      <c r="H802" s="454"/>
      <c r="I802" s="170">
        <v>510</v>
      </c>
      <c r="J802" s="279"/>
      <c r="K802" s="279"/>
      <c r="L802" s="470">
        <f>Tableau1[[#This Row],['[g CO2 / kg']]]*PRP!$J$8+Tableau1[[#This Row],['[g CH4 / kg']]]*PRP!$J$9+Tableau1[[#This Row],['[g N2O / kg']]]*PRP!$J$10</f>
        <v>510</v>
      </c>
      <c r="M802" s="171"/>
      <c r="N802" s="171"/>
      <c r="O802" s="171"/>
      <c r="P802" s="171"/>
      <c r="Q802" s="171"/>
      <c r="S802" s="282" t="s">
        <v>1003</v>
      </c>
    </row>
    <row r="803" spans="1:19">
      <c r="B803" s="117" t="s">
        <v>85</v>
      </c>
      <c r="C803" s="117" t="s">
        <v>1005</v>
      </c>
      <c r="D803" s="117"/>
      <c r="E803" s="455"/>
      <c r="F803" s="456" t="s">
        <v>120</v>
      </c>
      <c r="G803" s="454"/>
      <c r="H803" s="454"/>
      <c r="I803" s="170">
        <v>1110</v>
      </c>
      <c r="J803" s="279"/>
      <c r="K803" s="279"/>
      <c r="L803" s="470">
        <f>Tableau1[[#This Row],['[g CO2 / kg']]]*PRP!$J$8+Tableau1[[#This Row],['[g CH4 / kg']]]*PRP!$J$9+Tableau1[[#This Row],['[g N2O / kg']]]*PRP!$J$10</f>
        <v>1110</v>
      </c>
      <c r="M803" s="171"/>
      <c r="N803" s="171"/>
      <c r="O803" s="171"/>
      <c r="P803" s="171"/>
      <c r="Q803" s="171"/>
      <c r="S803" s="282" t="s">
        <v>1003</v>
      </c>
    </row>
    <row r="804" spans="1:19">
      <c r="B804" s="117" t="s">
        <v>85</v>
      </c>
      <c r="C804" s="260" t="s">
        <v>1006</v>
      </c>
      <c r="D804" s="117"/>
      <c r="E804" s="455"/>
      <c r="F804" s="456" t="s">
        <v>120</v>
      </c>
      <c r="G804" s="454"/>
      <c r="H804" s="454"/>
      <c r="I804" s="170">
        <v>1580</v>
      </c>
      <c r="J804" s="279"/>
      <c r="K804" s="279"/>
      <c r="L804" s="470">
        <f>Tableau1[[#This Row],['[g CO2 / kg']]]*PRP!$J$8+Tableau1[[#This Row],['[g CH4 / kg']]]*PRP!$J$9+Tableau1[[#This Row],['[g N2O / kg']]]*PRP!$J$10</f>
        <v>1580</v>
      </c>
      <c r="M804" s="171"/>
      <c r="N804" s="171"/>
      <c r="O804" s="171"/>
      <c r="P804" s="171"/>
      <c r="Q804" s="171"/>
      <c r="S804" s="282" t="s">
        <v>1003</v>
      </c>
    </row>
    <row r="805" spans="1:19">
      <c r="B805" s="117" t="s">
        <v>85</v>
      </c>
      <c r="C805" s="117" t="s">
        <v>1007</v>
      </c>
      <c r="D805" s="117"/>
      <c r="E805" s="455"/>
      <c r="F805" s="456" t="s">
        <v>120</v>
      </c>
      <c r="G805" s="454"/>
      <c r="H805" s="454"/>
      <c r="I805" s="170">
        <v>1980</v>
      </c>
      <c r="J805" s="279"/>
      <c r="K805" s="279"/>
      <c r="L805" s="470">
        <f>Tableau1[[#This Row],['[g CO2 / kg']]]*PRP!$J$8+Tableau1[[#This Row],['[g CH4 / kg']]]*PRP!$J$9+Tableau1[[#This Row],['[g N2O / kg']]]*PRP!$J$10</f>
        <v>1980</v>
      </c>
      <c r="M805" s="171"/>
      <c r="N805" s="171"/>
      <c r="O805" s="171"/>
      <c r="P805" s="171"/>
      <c r="Q805" s="171"/>
      <c r="S805" s="282" t="s">
        <v>1003</v>
      </c>
    </row>
    <row r="806" spans="1:19">
      <c r="B806" s="117" t="s">
        <v>85</v>
      </c>
      <c r="C806" s="260" t="s">
        <v>1008</v>
      </c>
      <c r="D806" s="117"/>
      <c r="E806" s="455"/>
      <c r="F806" s="456" t="s">
        <v>120</v>
      </c>
      <c r="G806" s="454"/>
      <c r="H806" s="454"/>
      <c r="I806" s="170">
        <v>7260</v>
      </c>
      <c r="J806" s="279"/>
      <c r="K806" s="279"/>
      <c r="L806" s="470">
        <f>Tableau1[[#This Row],['[g CO2 / kg']]]*PRP!$J$8+Tableau1[[#This Row],['[g CH4 / kg']]]*PRP!$J$9+Tableau1[[#This Row],['[g N2O / kg']]]*PRP!$J$10</f>
        <v>7260</v>
      </c>
      <c r="M806" s="171"/>
      <c r="N806" s="171"/>
      <c r="O806" s="171"/>
      <c r="P806" s="171"/>
      <c r="Q806" s="171"/>
      <c r="S806" s="282" t="s">
        <v>1003</v>
      </c>
    </row>
    <row r="807" spans="1:19">
      <c r="B807" s="117" t="s">
        <v>973</v>
      </c>
      <c r="C807" s="117" t="s">
        <v>1009</v>
      </c>
      <c r="D807" s="117"/>
      <c r="E807" s="455"/>
      <c r="F807" s="456" t="s">
        <v>120</v>
      </c>
      <c r="G807" s="454"/>
      <c r="H807" s="454"/>
      <c r="I807" s="170">
        <v>40</v>
      </c>
      <c r="J807" s="279"/>
      <c r="K807" s="279"/>
      <c r="L807" s="470">
        <f>Tableau1[[#This Row],['[g CO2 / kg']]]*PRP!$J$8+Tableau1[[#This Row],['[g CH4 / kg']]]*PRP!$J$9+Tableau1[[#This Row],['[g N2O / kg']]]*PRP!$J$10</f>
        <v>40</v>
      </c>
      <c r="M807" s="171"/>
      <c r="N807" s="171"/>
      <c r="O807" s="171"/>
      <c r="P807" s="171"/>
      <c r="Q807" s="171"/>
      <c r="S807" s="282" t="s">
        <v>1010</v>
      </c>
    </row>
    <row r="808" spans="1:19">
      <c r="B808" s="117" t="s">
        <v>973</v>
      </c>
      <c r="C808" s="117" t="s">
        <v>1011</v>
      </c>
      <c r="D808" s="117"/>
      <c r="E808" s="455"/>
      <c r="F808" s="456" t="s">
        <v>120</v>
      </c>
      <c r="G808" s="454"/>
      <c r="H808" s="454"/>
      <c r="I808" s="170">
        <v>270</v>
      </c>
      <c r="J808" s="279"/>
      <c r="K808" s="279"/>
      <c r="L808" s="470">
        <f>Tableau1[[#This Row],['[g CO2 / kg']]]*PRP!$J$8+Tableau1[[#This Row],['[g CH4 / kg']]]*PRP!$J$9+Tableau1[[#This Row],['[g N2O / kg']]]*PRP!$J$10</f>
        <v>270</v>
      </c>
      <c r="M808" s="171"/>
      <c r="N808" s="171"/>
      <c r="O808" s="171"/>
      <c r="P808" s="171"/>
      <c r="Q808" s="171"/>
      <c r="S808" s="282" t="s">
        <v>1010</v>
      </c>
    </row>
    <row r="809" spans="1:19">
      <c r="B809" s="117" t="s">
        <v>973</v>
      </c>
      <c r="C809" s="117" t="s">
        <v>1012</v>
      </c>
      <c r="D809" s="117"/>
      <c r="E809" s="455"/>
      <c r="F809" s="456" t="s">
        <v>120</v>
      </c>
      <c r="G809" s="454"/>
      <c r="H809" s="454"/>
      <c r="I809" s="170">
        <v>450</v>
      </c>
      <c r="J809" s="279"/>
      <c r="K809" s="279"/>
      <c r="L809" s="470">
        <f>Tableau1[[#This Row],['[g CO2 / kg']]]*PRP!$J$8+Tableau1[[#This Row],['[g CH4 / kg']]]*PRP!$J$9+Tableau1[[#This Row],['[g N2O / kg']]]*PRP!$J$10</f>
        <v>450</v>
      </c>
      <c r="M809" s="171"/>
      <c r="N809" s="171"/>
      <c r="O809" s="171"/>
      <c r="P809" s="171"/>
      <c r="Q809" s="171"/>
      <c r="S809" s="282" t="s">
        <v>1010</v>
      </c>
    </row>
    <row r="810" spans="1:19">
      <c r="B810" s="117" t="s">
        <v>973</v>
      </c>
      <c r="C810" s="260" t="s">
        <v>1013</v>
      </c>
      <c r="D810" s="117"/>
      <c r="E810" s="455"/>
      <c r="F810" s="456" t="s">
        <v>120</v>
      </c>
      <c r="G810" s="454"/>
      <c r="H810" s="454"/>
      <c r="I810" s="170">
        <v>510</v>
      </c>
      <c r="J810" s="279"/>
      <c r="K810" s="279"/>
      <c r="L810" s="470">
        <f>Tableau1[[#This Row],['[g CO2 / kg']]]*PRP!$J$8+Tableau1[[#This Row],['[g CH4 / kg']]]*PRP!$J$9+Tableau1[[#This Row],['[g N2O / kg']]]*PRP!$J$10</f>
        <v>510</v>
      </c>
      <c r="M810" s="171"/>
      <c r="N810" s="171"/>
      <c r="O810" s="171"/>
      <c r="P810" s="171"/>
      <c r="Q810" s="171"/>
      <c r="S810" s="282" t="s">
        <v>1010</v>
      </c>
    </row>
    <row r="811" spans="1:19">
      <c r="B811" s="117" t="s">
        <v>973</v>
      </c>
      <c r="C811" s="260" t="s">
        <v>1014</v>
      </c>
      <c r="D811" s="117"/>
      <c r="E811" s="455"/>
      <c r="F811" s="456" t="s">
        <v>120</v>
      </c>
      <c r="G811" s="454"/>
      <c r="H811" s="454"/>
      <c r="I811" s="170">
        <v>590</v>
      </c>
      <c r="J811" s="279"/>
      <c r="K811" s="279"/>
      <c r="L811" s="470">
        <f>Tableau1[[#This Row],['[g CO2 / kg']]]*PRP!$J$8+Tableau1[[#This Row],['[g CH4 / kg']]]*PRP!$J$9+Tableau1[[#This Row],['[g N2O / kg']]]*PRP!$J$10</f>
        <v>590</v>
      </c>
      <c r="M811" s="171"/>
      <c r="N811" s="171"/>
      <c r="O811" s="171"/>
      <c r="P811" s="171"/>
      <c r="Q811" s="171"/>
      <c r="S811" s="282" t="s">
        <v>1010</v>
      </c>
    </row>
    <row r="812" spans="1:19">
      <c r="B812" s="117" t="s">
        <v>973</v>
      </c>
      <c r="C812" s="260" t="s">
        <v>1015</v>
      </c>
      <c r="D812" s="117"/>
      <c r="E812" s="455"/>
      <c r="F812" s="456" t="s">
        <v>120</v>
      </c>
      <c r="G812" s="454"/>
      <c r="H812" s="454"/>
      <c r="I812" s="170">
        <v>1120</v>
      </c>
      <c r="J812" s="279"/>
      <c r="K812" s="279"/>
      <c r="L812" s="470">
        <f>Tableau1[[#This Row],['[g CO2 / kg']]]*PRP!$J$8+Tableau1[[#This Row],['[g CH4 / kg']]]*PRP!$J$9+Tableau1[[#This Row],['[g N2O / kg']]]*PRP!$J$10</f>
        <v>1120</v>
      </c>
      <c r="M812" s="171"/>
      <c r="N812" s="171"/>
      <c r="O812" s="171"/>
      <c r="P812" s="171"/>
      <c r="Q812" s="171"/>
      <c r="S812" s="282" t="s">
        <v>1010</v>
      </c>
    </row>
    <row r="813" spans="1:19">
      <c r="B813" s="117" t="s">
        <v>973</v>
      </c>
      <c r="C813" s="260" t="s">
        <v>1016</v>
      </c>
      <c r="D813" s="117"/>
      <c r="E813" s="455"/>
      <c r="F813" s="456" t="s">
        <v>120</v>
      </c>
      <c r="G813" s="454"/>
      <c r="H813" s="454"/>
      <c r="I813" s="170">
        <v>1180</v>
      </c>
      <c r="J813" s="279"/>
      <c r="K813" s="279"/>
      <c r="L813" s="470">
        <f>Tableau1[[#This Row],['[g CO2 / kg']]]*PRP!$J$8+Tableau1[[#This Row],['[g CH4 / kg']]]*PRP!$J$9+Tableau1[[#This Row],['[g N2O / kg']]]*PRP!$J$10</f>
        <v>1180</v>
      </c>
      <c r="M813" s="171"/>
      <c r="N813" s="171"/>
      <c r="O813" s="171"/>
      <c r="P813" s="171"/>
      <c r="Q813" s="171"/>
      <c r="S813" s="282" t="s">
        <v>1010</v>
      </c>
    </row>
    <row r="814" spans="1:19">
      <c r="B814" s="117" t="s">
        <v>973</v>
      </c>
      <c r="C814" s="260" t="s">
        <v>1017</v>
      </c>
      <c r="D814" s="117"/>
      <c r="E814" s="455"/>
      <c r="F814" s="456" t="s">
        <v>120</v>
      </c>
      <c r="G814" s="454"/>
      <c r="H814" s="454"/>
      <c r="I814" s="170">
        <v>1190</v>
      </c>
      <c r="J814" s="279"/>
      <c r="K814" s="279"/>
      <c r="L814" s="470">
        <f>Tableau1[[#This Row],['[g CO2 / kg']]]*PRP!$J$8+Tableau1[[#This Row],['[g CH4 / kg']]]*PRP!$J$9+Tableau1[[#This Row],['[g N2O / kg']]]*PRP!$J$10</f>
        <v>1190</v>
      </c>
      <c r="M814" s="171"/>
      <c r="N814" s="171"/>
      <c r="O814" s="171"/>
      <c r="P814" s="171"/>
      <c r="Q814" s="171"/>
      <c r="S814" s="282" t="s">
        <v>1010</v>
      </c>
    </row>
    <row r="815" spans="1:19" ht="15.75" thickBot="1">
      <c r="B815" s="178"/>
      <c r="C815" s="178"/>
      <c r="D815" s="178"/>
      <c r="E815" s="180"/>
      <c r="F815" s="180"/>
      <c r="G815" s="180"/>
      <c r="H815" s="472"/>
      <c r="I815" s="182"/>
      <c r="J815" s="178"/>
      <c r="K815" s="178"/>
      <c r="L815" s="470">
        <f>Tableau1[[#This Row],['[g CO2 / kg']]]*PRP!$J$8+Tableau1[[#This Row],['[g CH4 / kg']]]*PRP!$J$9+Tableau1[[#This Row],['[g N2O / kg']]]*PRP!$J$10</f>
        <v>0</v>
      </c>
      <c r="M815" s="171"/>
      <c r="N815" s="171"/>
      <c r="O815" s="171"/>
      <c r="P815" s="171"/>
      <c r="Q815" s="171"/>
      <c r="S815" s="190"/>
    </row>
    <row r="816" spans="1:19" ht="15.75" thickBot="1">
      <c r="A816" s="86"/>
      <c r="S816" s="57"/>
    </row>
    <row r="817" spans="1:19" ht="19.5" thickBot="1">
      <c r="A817" s="86"/>
      <c r="B817" s="148" t="s">
        <v>1018</v>
      </c>
      <c r="C817" s="149"/>
      <c r="D817" s="149"/>
      <c r="E817" s="149" t="s">
        <v>154</v>
      </c>
      <c r="F817" s="149"/>
      <c r="G817" s="149" t="s">
        <v>154</v>
      </c>
      <c r="H817" s="150"/>
      <c r="I817" s="151" t="s">
        <v>154</v>
      </c>
      <c r="J817" s="330"/>
      <c r="K817" s="330"/>
      <c r="L817" s="152" t="s">
        <v>155</v>
      </c>
      <c r="M817" s="153"/>
      <c r="N817" s="153"/>
      <c r="O817" s="153"/>
      <c r="P817" s="153"/>
      <c r="Q817" s="153"/>
      <c r="R817" s="90"/>
      <c r="S817" s="154" t="s">
        <v>156</v>
      </c>
    </row>
    <row r="818" spans="1:19" s="438" customFormat="1" ht="18">
      <c r="B818" s="1290" t="s">
        <v>1019</v>
      </c>
      <c r="C818" s="440"/>
      <c r="D818" s="366" t="s">
        <v>1020</v>
      </c>
      <c r="E818" s="366"/>
      <c r="F818" s="1296" t="s">
        <v>1021</v>
      </c>
      <c r="G818" s="1301"/>
      <c r="H818" s="441"/>
      <c r="I818" s="158" t="s">
        <v>106</v>
      </c>
      <c r="J818" s="97" t="s">
        <v>160</v>
      </c>
      <c r="K818" s="97" t="s">
        <v>161</v>
      </c>
      <c r="L818" s="98" t="s">
        <v>162</v>
      </c>
      <c r="M818" s="444"/>
      <c r="N818" s="444"/>
      <c r="O818" s="444"/>
      <c r="P818" s="444"/>
      <c r="Q818" s="444"/>
      <c r="S818" s="445" t="s">
        <v>154</v>
      </c>
    </row>
    <row r="819" spans="1:19" ht="16.5" customHeight="1">
      <c r="B819" s="1291"/>
      <c r="C819" s="163" t="s">
        <v>154</v>
      </c>
      <c r="D819" s="163" t="s">
        <v>1022</v>
      </c>
      <c r="E819" s="163"/>
      <c r="F819" s="163" t="s">
        <v>1023</v>
      </c>
      <c r="G819" s="163" t="s">
        <v>1024</v>
      </c>
      <c r="H819" s="212"/>
      <c r="I819" s="164" t="s">
        <v>1025</v>
      </c>
      <c r="J819" s="163" t="s">
        <v>1026</v>
      </c>
      <c r="K819" s="163" t="s">
        <v>1027</v>
      </c>
      <c r="L819" s="109" t="s">
        <v>1028</v>
      </c>
      <c r="M819" s="159"/>
      <c r="N819" s="159"/>
      <c r="O819" s="159"/>
      <c r="P819" s="159"/>
      <c r="Q819" s="159"/>
      <c r="S819" s="165" t="s">
        <v>154</v>
      </c>
    </row>
    <row r="820" spans="1:19">
      <c r="B820" s="248" t="s">
        <v>1029</v>
      </c>
      <c r="C820" s="260"/>
      <c r="D820" s="117">
        <v>7</v>
      </c>
      <c r="E820" s="455"/>
      <c r="F820" s="456"/>
      <c r="G820" s="454"/>
      <c r="H820" s="454"/>
      <c r="I820" s="473">
        <f>D820/1.48</f>
        <v>4.7297297297297298</v>
      </c>
      <c r="J820" s="279">
        <v>0</v>
      </c>
      <c r="K820" s="279">
        <v>0</v>
      </c>
      <c r="L820" s="119">
        <f>I820*PRP!$J$8+J820*PRP!$J$9+K820*PRP!$J$10</f>
        <v>4.7297297297297298</v>
      </c>
      <c r="M820" s="171"/>
      <c r="N820" s="171"/>
      <c r="O820" s="171"/>
      <c r="P820" s="171"/>
      <c r="Q820" s="171"/>
      <c r="S820" s="282" t="s">
        <v>1030</v>
      </c>
    </row>
    <row r="821" spans="1:19">
      <c r="B821" s="248" t="s">
        <v>1031</v>
      </c>
      <c r="C821" s="117"/>
      <c r="D821" s="117">
        <v>13</v>
      </c>
      <c r="E821" s="455"/>
      <c r="F821" s="456"/>
      <c r="G821" s="454"/>
      <c r="H821" s="453"/>
      <c r="I821" s="473">
        <f>D821/1.48</f>
        <v>8.7837837837837842</v>
      </c>
      <c r="J821" s="279">
        <v>0</v>
      </c>
      <c r="K821" s="279">
        <v>0</v>
      </c>
      <c r="L821" s="176">
        <f>I821*PRP!$J$8+J821*PRP!$J$9+K821*PRP!$J$10</f>
        <v>8.7837837837837842</v>
      </c>
      <c r="M821" s="171"/>
      <c r="N821" s="171"/>
      <c r="O821" s="171"/>
      <c r="P821" s="171"/>
      <c r="Q821" s="171"/>
      <c r="S821" s="282"/>
    </row>
    <row r="822" spans="1:19">
      <c r="B822" s="248" t="s">
        <v>1032</v>
      </c>
      <c r="C822" s="260"/>
      <c r="D822" s="117">
        <v>182</v>
      </c>
      <c r="E822" s="455"/>
      <c r="F822" s="456"/>
      <c r="G822" s="454"/>
      <c r="H822" s="454"/>
      <c r="I822" s="473">
        <f>D822/1.48</f>
        <v>122.97297297297297</v>
      </c>
      <c r="J822" s="279">
        <v>0</v>
      </c>
      <c r="K822" s="279">
        <v>0</v>
      </c>
      <c r="L822" s="176">
        <f>I822*PRP!$J$8+J822*PRP!$J$9+K822*PRP!$J$10</f>
        <v>122.97297297297297</v>
      </c>
      <c r="M822" s="171"/>
      <c r="N822" s="171"/>
      <c r="O822" s="171"/>
      <c r="P822" s="171"/>
      <c r="Q822" s="171"/>
      <c r="S822" s="282"/>
    </row>
    <row r="823" spans="1:19">
      <c r="B823" s="248" t="s">
        <v>1033</v>
      </c>
      <c r="C823" s="260"/>
      <c r="D823" s="117">
        <v>754</v>
      </c>
      <c r="E823" s="455"/>
      <c r="F823" s="456"/>
      <c r="G823" s="454"/>
      <c r="H823" s="454"/>
      <c r="I823" s="473">
        <f>D823/1.48</f>
        <v>509.45945945945948</v>
      </c>
      <c r="J823" s="279">
        <v>0</v>
      </c>
      <c r="K823" s="279">
        <v>0</v>
      </c>
      <c r="L823" s="176">
        <f>I823*PRP!$J$8+J823*PRP!$J$9+K823*PRP!$J$10</f>
        <v>509.45945945945948</v>
      </c>
      <c r="M823" s="171"/>
      <c r="N823" s="171"/>
      <c r="O823" s="171"/>
      <c r="P823" s="171"/>
      <c r="Q823" s="171"/>
      <c r="S823" s="282"/>
    </row>
    <row r="824" spans="1:19">
      <c r="B824" s="248" t="s">
        <v>1034</v>
      </c>
      <c r="C824" s="260"/>
      <c r="D824" s="117">
        <v>20</v>
      </c>
      <c r="E824" s="455"/>
      <c r="F824" s="456"/>
      <c r="G824" s="454"/>
      <c r="H824" s="454"/>
      <c r="I824" s="473">
        <f>D824/1.48</f>
        <v>13.513513513513514</v>
      </c>
      <c r="J824" s="279">
        <v>0</v>
      </c>
      <c r="K824" s="279">
        <v>0</v>
      </c>
      <c r="L824" s="176">
        <f>I824*PRP!$J$8+J824*PRP!$J$9+K824*PRP!$J$10</f>
        <v>13.513513513513514</v>
      </c>
      <c r="M824" s="171"/>
      <c r="N824" s="171"/>
      <c r="O824" s="171"/>
      <c r="P824" s="171"/>
      <c r="Q824" s="171"/>
      <c r="S824" s="282"/>
    </row>
    <row r="825" spans="1:19">
      <c r="B825" s="248"/>
      <c r="C825" s="260"/>
      <c r="D825" s="117"/>
      <c r="E825" s="455"/>
      <c r="F825" s="456"/>
      <c r="G825" s="454"/>
      <c r="H825" s="454"/>
      <c r="I825" s="473"/>
      <c r="J825" s="279"/>
      <c r="K825" s="279"/>
      <c r="L825" s="176"/>
      <c r="M825" s="171"/>
      <c r="N825" s="171"/>
      <c r="O825" s="171"/>
      <c r="P825" s="171"/>
      <c r="Q825" s="171"/>
      <c r="S825" s="282"/>
    </row>
    <row r="826" spans="1:19">
      <c r="B826" s="248"/>
      <c r="C826" s="260"/>
      <c r="D826" s="117" t="s">
        <v>1035</v>
      </c>
      <c r="E826" s="455" t="s">
        <v>1036</v>
      </c>
      <c r="F826" s="456"/>
      <c r="G826" s="454"/>
      <c r="H826" s="454"/>
      <c r="I826" s="473"/>
      <c r="J826" s="279"/>
      <c r="K826" s="279"/>
      <c r="L826" s="176"/>
      <c r="M826" s="171"/>
      <c r="N826" s="171"/>
      <c r="O826" s="171"/>
      <c r="P826" s="171"/>
      <c r="Q826" s="171"/>
      <c r="S826" s="282"/>
    </row>
    <row r="827" spans="1:19" ht="18">
      <c r="B827" s="248"/>
      <c r="C827" s="260"/>
      <c r="D827" s="163" t="s">
        <v>1037</v>
      </c>
      <c r="E827" s="163"/>
      <c r="F827" s="456"/>
      <c r="G827" s="454"/>
      <c r="H827" s="454"/>
      <c r="I827" s="473"/>
      <c r="J827" s="279"/>
      <c r="K827" s="279"/>
      <c r="L827" s="176"/>
      <c r="M827" s="171"/>
      <c r="N827" s="171"/>
      <c r="O827" s="171"/>
      <c r="P827" s="171"/>
      <c r="Q827" s="171"/>
      <c r="S827" s="282"/>
    </row>
    <row r="828" spans="1:19">
      <c r="B828" s="248" t="s">
        <v>1038</v>
      </c>
      <c r="C828" s="260"/>
      <c r="D828" s="474">
        <v>5.7988190749999999</v>
      </c>
      <c r="E828" s="475">
        <v>8.9794316999999998E-2</v>
      </c>
      <c r="F828" s="456"/>
      <c r="G828" s="454"/>
      <c r="H828" s="454"/>
      <c r="I828" s="473">
        <f>(D828+E828)*10^3</f>
        <v>5888.6133920000002</v>
      </c>
      <c r="J828" s="279">
        <v>0</v>
      </c>
      <c r="K828" s="279">
        <v>0</v>
      </c>
      <c r="L828" s="176">
        <f>I828*PRP!$J$8+J828*PRP!$J$9+K828*PRP!$J$10</f>
        <v>5888.6133920000002</v>
      </c>
      <c r="M828" s="171"/>
      <c r="N828" s="171"/>
      <c r="O828" s="171"/>
      <c r="P828" s="171"/>
      <c r="Q828" s="171"/>
      <c r="S828" s="282" t="s">
        <v>1039</v>
      </c>
    </row>
    <row r="829" spans="1:19">
      <c r="B829" s="248" t="s">
        <v>1040</v>
      </c>
      <c r="C829" s="260"/>
      <c r="D829" s="474">
        <v>6.4705252619999998</v>
      </c>
      <c r="E829" s="475">
        <v>1.2799918E-2</v>
      </c>
      <c r="F829" s="456"/>
      <c r="G829" s="454"/>
      <c r="H829" s="454"/>
      <c r="I829" s="473">
        <f>(D829+E829)*10^3</f>
        <v>6483.3251799999998</v>
      </c>
      <c r="J829" s="279">
        <v>0</v>
      </c>
      <c r="K829" s="279">
        <v>0</v>
      </c>
      <c r="L829" s="176">
        <f>I829*PRP!$J$8+J829*PRP!$J$9+K829*PRP!$J$10</f>
        <v>6483.3251799999998</v>
      </c>
      <c r="M829" s="171"/>
      <c r="N829" s="171"/>
      <c r="O829" s="171"/>
      <c r="P829" s="171"/>
      <c r="Q829" s="171"/>
      <c r="S829" s="282"/>
    </row>
    <row r="830" spans="1:19">
      <c r="B830" s="248" t="s">
        <v>1041</v>
      </c>
      <c r="C830" s="260"/>
      <c r="D830" s="474">
        <v>4.0722973659999999</v>
      </c>
      <c r="E830" s="475">
        <v>0.17189268299999999</v>
      </c>
      <c r="F830" s="456"/>
      <c r="G830" s="454"/>
      <c r="H830" s="454"/>
      <c r="I830" s="473">
        <f>(D830+E830)*10^3</f>
        <v>4244.1900489999998</v>
      </c>
      <c r="J830" s="279">
        <v>0</v>
      </c>
      <c r="K830" s="279">
        <v>0</v>
      </c>
      <c r="L830" s="176">
        <f>I830*PRP!$J$8+J830*PRP!$J$9+K830*PRP!$J$10</f>
        <v>4244.1900489999998</v>
      </c>
      <c r="M830" s="171"/>
      <c r="N830" s="171"/>
      <c r="O830" s="171"/>
      <c r="P830" s="171"/>
      <c r="Q830" s="171"/>
      <c r="S830" s="282"/>
    </row>
    <row r="831" spans="1:19">
      <c r="B831" s="248" t="s">
        <v>1042</v>
      </c>
      <c r="C831" s="260"/>
      <c r="D831" s="474">
        <v>1.253415425</v>
      </c>
      <c r="E831" s="475">
        <v>3.0913553999999999E-2</v>
      </c>
      <c r="F831" s="456"/>
      <c r="G831" s="454"/>
      <c r="H831" s="454"/>
      <c r="I831" s="473">
        <f>(D831+E831)*10^3</f>
        <v>1284.3289790000001</v>
      </c>
      <c r="J831" s="279">
        <v>0</v>
      </c>
      <c r="K831" s="279">
        <v>0</v>
      </c>
      <c r="L831" s="176">
        <f>I831*PRP!$J$8+J831*PRP!$J$9+K831*PRP!$J$10</f>
        <v>1284.3289790000001</v>
      </c>
      <c r="M831" s="171"/>
      <c r="N831" s="171"/>
      <c r="O831" s="171"/>
      <c r="P831" s="171"/>
      <c r="Q831" s="171"/>
      <c r="S831" s="282"/>
    </row>
    <row r="832" spans="1:19">
      <c r="B832" s="248" t="s">
        <v>1043</v>
      </c>
      <c r="C832" s="260"/>
      <c r="D832" s="474">
        <v>2.6462980969999998</v>
      </c>
      <c r="E832" s="475">
        <v>5.8543039999999998E-2</v>
      </c>
      <c r="F832" s="456"/>
      <c r="G832" s="454"/>
      <c r="H832" s="454"/>
      <c r="I832" s="473">
        <f>(D832+E832)*10^3</f>
        <v>2704.8411369999999</v>
      </c>
      <c r="J832" s="279">
        <v>0</v>
      </c>
      <c r="K832" s="279">
        <v>0</v>
      </c>
      <c r="L832" s="176">
        <f>I832*PRP!$J$8+J832*PRP!$J$9+K832*PRP!$J$10</f>
        <v>2704.8411369999999</v>
      </c>
      <c r="M832" s="171"/>
      <c r="N832" s="171"/>
      <c r="O832" s="171"/>
      <c r="P832" s="171"/>
      <c r="Q832" s="171"/>
      <c r="S832" s="282"/>
    </row>
    <row r="833" spans="1:19">
      <c r="B833" s="248"/>
      <c r="C833" s="260"/>
      <c r="D833" s="117"/>
      <c r="E833" s="455"/>
      <c r="F833" s="456"/>
      <c r="G833" s="454"/>
      <c r="H833" s="454"/>
      <c r="I833" s="473"/>
      <c r="J833" s="279"/>
      <c r="K833" s="279"/>
      <c r="L833" s="176"/>
      <c r="M833" s="171"/>
      <c r="N833" s="171"/>
      <c r="O833" s="171"/>
      <c r="P833" s="171"/>
      <c r="Q833" s="171"/>
      <c r="S833" s="282"/>
    </row>
    <row r="834" spans="1:19">
      <c r="B834" s="248"/>
      <c r="C834" s="260"/>
      <c r="D834" s="117"/>
      <c r="E834" s="455"/>
      <c r="F834" s="456"/>
      <c r="G834" s="454"/>
      <c r="H834" s="454"/>
      <c r="I834" s="473"/>
      <c r="J834" s="279"/>
      <c r="K834" s="279"/>
      <c r="L834" s="176"/>
      <c r="M834" s="171"/>
      <c r="N834" s="171"/>
      <c r="O834" s="171"/>
      <c r="P834" s="171"/>
      <c r="Q834" s="171"/>
      <c r="S834" s="282"/>
    </row>
    <row r="835" spans="1:19">
      <c r="B835" s="248" t="s">
        <v>1044</v>
      </c>
      <c r="C835" s="260"/>
      <c r="D835" s="117"/>
      <c r="E835" s="455"/>
      <c r="F835" s="476">
        <v>216.7</v>
      </c>
      <c r="G835" s="477">
        <v>269.89999999999998</v>
      </c>
      <c r="H835" s="454"/>
      <c r="I835" s="473">
        <f>(F835*(10^12))/(G835*(10^9))</f>
        <v>802.88995924416463</v>
      </c>
      <c r="J835" s="279">
        <v>0</v>
      </c>
      <c r="K835" s="279">
        <v>0</v>
      </c>
      <c r="L835" s="176">
        <f>I835*PRP!$J$8+J835*PRP!$J$9+K835*PRP!$J$10</f>
        <v>802.88995924416463</v>
      </c>
      <c r="M835" s="171"/>
      <c r="N835" s="171"/>
      <c r="O835" s="171"/>
      <c r="P835" s="171"/>
      <c r="Q835" s="171"/>
      <c r="S835" s="282" t="s">
        <v>1045</v>
      </c>
    </row>
    <row r="836" spans="1:19">
      <c r="B836" s="248" t="s">
        <v>1046</v>
      </c>
      <c r="C836" s="260"/>
      <c r="D836" s="117"/>
      <c r="E836" s="455"/>
      <c r="F836" s="476">
        <v>156.30000000000001</v>
      </c>
      <c r="G836" s="477"/>
      <c r="H836" s="454"/>
      <c r="I836" s="473"/>
      <c r="J836" s="279">
        <v>0</v>
      </c>
      <c r="K836" s="279">
        <v>0</v>
      </c>
      <c r="L836" s="176">
        <f>I836*PRP!$J$8+J836*PRP!$J$9+K836*PRP!$J$10</f>
        <v>0</v>
      </c>
      <c r="M836" s="171"/>
      <c r="N836" s="171"/>
      <c r="O836" s="171"/>
      <c r="P836" s="171"/>
      <c r="Q836" s="171"/>
      <c r="S836" s="282"/>
    </row>
    <row r="837" spans="1:19">
      <c r="B837" s="248" t="s">
        <v>1047</v>
      </c>
      <c r="C837" s="260"/>
      <c r="D837" s="117"/>
      <c r="E837" s="455"/>
      <c r="F837" s="476">
        <v>88.8</v>
      </c>
      <c r="G837" s="477"/>
      <c r="H837" s="454"/>
      <c r="I837" s="473"/>
      <c r="J837" s="279">
        <v>0</v>
      </c>
      <c r="K837" s="279">
        <v>0</v>
      </c>
      <c r="L837" s="176">
        <f>I837*PRP!$J$8+J837*PRP!$J$9+K837*PRP!$J$10</f>
        <v>0</v>
      </c>
      <c r="M837" s="171"/>
      <c r="N837" s="171"/>
      <c r="O837" s="171"/>
      <c r="P837" s="171"/>
      <c r="Q837" s="171"/>
      <c r="S837" s="282"/>
    </row>
    <row r="838" spans="1:19">
      <c r="B838" s="248" t="s">
        <v>873</v>
      </c>
      <c r="C838" s="260"/>
      <c r="D838" s="117"/>
      <c r="E838" s="455"/>
      <c r="F838" s="476">
        <v>47.3</v>
      </c>
      <c r="G838" s="477"/>
      <c r="H838" s="454"/>
      <c r="I838" s="473"/>
      <c r="J838" s="279">
        <v>0</v>
      </c>
      <c r="K838" s="279">
        <v>0</v>
      </c>
      <c r="L838" s="176">
        <f>I838*PRP!$J$8+J838*PRP!$J$9+K838*PRP!$J$10</f>
        <v>0</v>
      </c>
      <c r="M838" s="171"/>
      <c r="N838" s="171"/>
      <c r="O838" s="171"/>
      <c r="P838" s="171"/>
      <c r="Q838" s="171"/>
      <c r="S838" s="282"/>
    </row>
    <row r="839" spans="1:19">
      <c r="B839" s="248" t="s">
        <v>1048</v>
      </c>
      <c r="C839" s="260"/>
      <c r="D839" s="117"/>
      <c r="E839" s="455"/>
      <c r="F839" s="476">
        <v>77.900000000000006</v>
      </c>
      <c r="G839" s="477"/>
      <c r="H839" s="454"/>
      <c r="I839" s="473"/>
      <c r="J839" s="279">
        <v>0</v>
      </c>
      <c r="K839" s="279">
        <v>0</v>
      </c>
      <c r="L839" s="176">
        <f>I839*PRP!$J$8+J839*PRP!$J$9+K839*PRP!$J$10</f>
        <v>0</v>
      </c>
      <c r="M839" s="171"/>
      <c r="N839" s="171"/>
      <c r="O839" s="171"/>
      <c r="P839" s="171"/>
      <c r="Q839" s="171"/>
      <c r="S839" s="282"/>
    </row>
    <row r="840" spans="1:19">
      <c r="B840" s="248" t="s">
        <v>1029</v>
      </c>
      <c r="C840" s="260"/>
      <c r="D840" s="117"/>
      <c r="E840" s="455"/>
      <c r="F840" s="476">
        <v>70.2</v>
      </c>
      <c r="G840" s="477"/>
      <c r="H840" s="454"/>
      <c r="I840" s="473"/>
      <c r="J840" s="279">
        <v>0</v>
      </c>
      <c r="K840" s="279">
        <v>0</v>
      </c>
      <c r="L840" s="176">
        <f>I840*PRP!$J$8+J840*PRP!$J$9+K840*PRP!$J$10</f>
        <v>0</v>
      </c>
      <c r="M840" s="171"/>
      <c r="N840" s="171"/>
      <c r="O840" s="171"/>
      <c r="P840" s="171"/>
      <c r="Q840" s="171"/>
      <c r="S840" s="282"/>
    </row>
    <row r="841" spans="1:19">
      <c r="B841" s="248" t="s">
        <v>1049</v>
      </c>
      <c r="C841" s="260"/>
      <c r="D841" s="117"/>
      <c r="E841" s="455"/>
      <c r="F841" s="476">
        <v>50.5</v>
      </c>
      <c r="G841" s="477"/>
      <c r="H841" s="454"/>
      <c r="I841" s="473"/>
      <c r="J841" s="279">
        <v>0</v>
      </c>
      <c r="K841" s="279">
        <v>0</v>
      </c>
      <c r="L841" s="176">
        <f>I841*PRP!$J$8+J841*PRP!$J$9+K841*PRP!$J$10</f>
        <v>0</v>
      </c>
      <c r="M841" s="171"/>
      <c r="N841" s="171"/>
      <c r="O841" s="171"/>
      <c r="P841" s="171"/>
      <c r="Q841" s="171"/>
      <c r="S841" s="282"/>
    </row>
    <row r="842" spans="1:19">
      <c r="B842" s="248"/>
      <c r="C842" s="260"/>
      <c r="D842" s="117"/>
      <c r="E842" s="455"/>
      <c r="F842" s="476"/>
      <c r="G842" s="454"/>
      <c r="H842" s="454"/>
      <c r="I842" s="473"/>
      <c r="J842" s="279">
        <v>0</v>
      </c>
      <c r="K842" s="279">
        <v>0</v>
      </c>
      <c r="L842" s="176">
        <f>I842*PRP!$J$8+J842*PRP!$J$9+K842*PRP!$J$10</f>
        <v>0</v>
      </c>
      <c r="M842" s="171"/>
      <c r="N842" s="171"/>
      <c r="O842" s="171"/>
      <c r="P842" s="171"/>
      <c r="Q842" s="171"/>
      <c r="S842" s="282"/>
    </row>
    <row r="843" spans="1:19" ht="15.75" thickBot="1">
      <c r="B843" s="248"/>
      <c r="C843" s="260"/>
      <c r="D843" s="117"/>
      <c r="E843" s="455"/>
      <c r="F843" s="456"/>
      <c r="G843" s="454"/>
      <c r="H843" s="454"/>
      <c r="I843" s="473"/>
      <c r="J843" s="279">
        <v>0</v>
      </c>
      <c r="K843" s="279">
        <v>0</v>
      </c>
      <c r="L843" s="478">
        <f>I843*PRP!$J$8+J843*PRP!$J$9+K843*PRP!$J$10</f>
        <v>0</v>
      </c>
      <c r="M843" s="171"/>
      <c r="N843" s="171"/>
      <c r="O843" s="171"/>
      <c r="P843" s="171"/>
      <c r="Q843" s="171"/>
      <c r="S843" s="282"/>
    </row>
    <row r="844" spans="1:19" ht="15.75" thickBot="1">
      <c r="A844" s="86"/>
      <c r="B844" s="447"/>
      <c r="C844" s="447"/>
      <c r="D844" s="447"/>
      <c r="E844" s="447"/>
      <c r="F844" s="447"/>
      <c r="G844" s="447"/>
      <c r="H844" s="447"/>
      <c r="I844" s="447"/>
      <c r="J844" s="447"/>
      <c r="K844" s="447"/>
      <c r="L844" s="447"/>
      <c r="M844" s="447"/>
      <c r="N844" s="447"/>
      <c r="O844" s="447"/>
      <c r="P844" s="447"/>
      <c r="Q844" s="447"/>
      <c r="S844" s="448"/>
    </row>
    <row r="845" spans="1:19" ht="19.5" thickBot="1">
      <c r="A845" s="86"/>
      <c r="B845" s="148" t="s">
        <v>1050</v>
      </c>
      <c r="C845" s="149"/>
      <c r="D845" s="149"/>
      <c r="E845" s="149"/>
      <c r="F845" s="149"/>
      <c r="G845" s="149"/>
      <c r="H845" s="150"/>
      <c r="I845" s="151" t="s">
        <v>154</v>
      </c>
      <c r="J845" s="330"/>
      <c r="K845" s="330"/>
      <c r="L845" s="152" t="s">
        <v>155</v>
      </c>
      <c r="M845" s="153"/>
      <c r="N845" s="153"/>
      <c r="O845" s="153"/>
      <c r="P845" s="153"/>
      <c r="Q845" s="153"/>
      <c r="R845" s="90"/>
      <c r="S845" s="154" t="s">
        <v>156</v>
      </c>
    </row>
    <row r="846" spans="1:19" s="438" customFormat="1" ht="18">
      <c r="B846" s="1290" t="s">
        <v>1051</v>
      </c>
      <c r="C846" s="440"/>
      <c r="D846" s="366"/>
      <c r="E846" s="366"/>
      <c r="F846" s="1296"/>
      <c r="G846" s="1301"/>
      <c r="H846" s="441"/>
      <c r="I846" s="158" t="s">
        <v>106</v>
      </c>
      <c r="J846" s="97" t="s">
        <v>160</v>
      </c>
      <c r="K846" s="97" t="s">
        <v>161</v>
      </c>
      <c r="L846" s="98" t="s">
        <v>162</v>
      </c>
      <c r="M846" s="444"/>
      <c r="N846" s="444"/>
      <c r="O846" s="444"/>
      <c r="P846" s="444"/>
      <c r="Q846" s="444"/>
      <c r="S846" s="445" t="s">
        <v>154</v>
      </c>
    </row>
    <row r="847" spans="1:19" ht="16.5" customHeight="1">
      <c r="B847" s="1291"/>
      <c r="C847" s="479" t="s">
        <v>1052</v>
      </c>
      <c r="D847" s="163"/>
      <c r="E847" s="163"/>
      <c r="F847" s="163"/>
      <c r="G847" s="163"/>
      <c r="H847" s="212"/>
      <c r="I847" s="164" t="s">
        <v>1053</v>
      </c>
      <c r="J847" s="163" t="s">
        <v>1054</v>
      </c>
      <c r="K847" s="163" t="s">
        <v>1055</v>
      </c>
      <c r="L847" s="109" t="s">
        <v>1056</v>
      </c>
      <c r="M847" s="159"/>
      <c r="N847" s="159"/>
      <c r="O847" s="159"/>
      <c r="P847" s="159"/>
      <c r="Q847" s="159"/>
      <c r="S847" s="165" t="s">
        <v>154</v>
      </c>
    </row>
    <row r="848" spans="1:19">
      <c r="B848" s="117" t="s">
        <v>1057</v>
      </c>
      <c r="C848" s="480" t="s">
        <v>1058</v>
      </c>
      <c r="D848" s="117"/>
      <c r="E848" s="455"/>
      <c r="F848" s="456"/>
      <c r="G848" s="454"/>
      <c r="H848" s="454"/>
      <c r="I848" s="473"/>
      <c r="J848" s="279">
        <v>145800</v>
      </c>
      <c r="K848" s="279"/>
      <c r="L848" s="176">
        <f>I848*PRP!$J$8+J848*PRP!$J$9+K848*PRP!$J$10</f>
        <v>4344840</v>
      </c>
      <c r="M848" s="171"/>
      <c r="N848" s="171"/>
      <c r="O848" s="171"/>
      <c r="P848" s="171"/>
      <c r="Q848" s="171"/>
      <c r="S848" s="282" t="s">
        <v>1059</v>
      </c>
    </row>
    <row r="849" spans="2:19">
      <c r="B849" s="117" t="s">
        <v>1060</v>
      </c>
      <c r="C849" s="481" t="s">
        <v>1061</v>
      </c>
      <c r="D849" s="117"/>
      <c r="E849" s="455"/>
      <c r="F849" s="456"/>
      <c r="G849" s="454"/>
      <c r="H849" s="453"/>
      <c r="I849" s="473"/>
      <c r="J849" s="279">
        <v>76700</v>
      </c>
      <c r="K849" s="279"/>
      <c r="L849" s="176">
        <f>I849*PRP!$J$8+J849*PRP!$J$9+K849*PRP!$J$10</f>
        <v>2285660</v>
      </c>
      <c r="M849" s="171"/>
      <c r="N849" s="171"/>
      <c r="O849" s="171"/>
      <c r="P849" s="171"/>
      <c r="Q849" s="171"/>
      <c r="S849" s="282" t="s">
        <v>1059</v>
      </c>
    </row>
    <row r="850" spans="2:19">
      <c r="B850" s="117" t="s">
        <v>1062</v>
      </c>
      <c r="C850" s="480" t="s">
        <v>1063</v>
      </c>
      <c r="D850" s="117"/>
      <c r="E850" s="455"/>
      <c r="F850" s="456"/>
      <c r="G850" s="454"/>
      <c r="H850" s="454"/>
      <c r="I850" s="473"/>
      <c r="J850" s="279">
        <v>123200</v>
      </c>
      <c r="K850" s="279"/>
      <c r="L850" s="176">
        <f>I850*PRP!$J$8+J850*PRP!$J$9+K850*PRP!$J$10</f>
        <v>3671360</v>
      </c>
      <c r="M850" s="171"/>
      <c r="N850" s="171"/>
      <c r="O850" s="171"/>
      <c r="P850" s="171"/>
      <c r="Q850" s="171"/>
      <c r="S850" s="282" t="s">
        <v>1059</v>
      </c>
    </row>
    <row r="851" spans="2:19">
      <c r="B851" s="117" t="s">
        <v>1064</v>
      </c>
      <c r="C851" s="480" t="s">
        <v>1065</v>
      </c>
      <c r="D851" s="117"/>
      <c r="E851" s="455"/>
      <c r="F851" s="456"/>
      <c r="G851" s="454"/>
      <c r="H851" s="454"/>
      <c r="I851" s="473"/>
      <c r="J851" s="279">
        <v>120700</v>
      </c>
      <c r="K851" s="279"/>
      <c r="L851" s="176">
        <f>I851*PRP!$J$8+J851*PRP!$J$9+K851*PRP!$J$10</f>
        <v>3596860</v>
      </c>
      <c r="M851" s="171"/>
      <c r="N851" s="171"/>
      <c r="O851" s="171"/>
      <c r="P851" s="171"/>
      <c r="Q851" s="171"/>
      <c r="S851" s="282" t="s">
        <v>1059</v>
      </c>
    </row>
    <row r="852" spans="2:19">
      <c r="B852" s="117" t="s">
        <v>1066</v>
      </c>
      <c r="C852" s="480" t="s">
        <v>1067</v>
      </c>
      <c r="D852" s="117"/>
      <c r="E852" s="455"/>
      <c r="F852" s="456"/>
      <c r="G852" s="454"/>
      <c r="H852" s="454"/>
      <c r="I852" s="473"/>
      <c r="J852" s="279">
        <v>91400</v>
      </c>
      <c r="K852" s="279"/>
      <c r="L852" s="176">
        <f>I852*PRP!$J$8+J852*PRP!$J$9+K852*PRP!$J$10</f>
        <v>2723720</v>
      </c>
      <c r="M852" s="171"/>
      <c r="N852" s="171"/>
      <c r="O852" s="171"/>
      <c r="P852" s="171"/>
      <c r="Q852" s="171"/>
      <c r="S852" s="282" t="s">
        <v>1059</v>
      </c>
    </row>
    <row r="853" spans="2:19">
      <c r="B853" s="117" t="s">
        <v>1068</v>
      </c>
      <c r="C853" s="480" t="s">
        <v>1069</v>
      </c>
      <c r="D853" s="117"/>
      <c r="E853" s="455"/>
      <c r="F853" s="456"/>
      <c r="G853" s="454"/>
      <c r="H853" s="454"/>
      <c r="I853" s="473"/>
      <c r="J853" s="279">
        <v>54600</v>
      </c>
      <c r="K853" s="279"/>
      <c r="L853" s="176">
        <f>I853*PRP!$J$8+J853*PRP!$J$9+K853*PRP!$J$10</f>
        <v>1627080</v>
      </c>
      <c r="M853" s="171"/>
      <c r="N853" s="171"/>
      <c r="O853" s="171"/>
      <c r="P853" s="171"/>
      <c r="Q853" s="171"/>
      <c r="S853" s="282" t="s">
        <v>1059</v>
      </c>
    </row>
    <row r="854" spans="2:19">
      <c r="B854" s="117" t="s">
        <v>1070</v>
      </c>
      <c r="C854" s="480" t="s">
        <v>1071</v>
      </c>
      <c r="D854" s="474"/>
      <c r="E854" s="475"/>
      <c r="F854" s="456"/>
      <c r="G854" s="454"/>
      <c r="H854" s="454"/>
      <c r="I854" s="473"/>
      <c r="J854" s="279">
        <v>49900</v>
      </c>
      <c r="K854" s="279"/>
      <c r="L854" s="176">
        <f>I854*PRP!$J$8+J854*PRP!$J$9+K854*PRP!$J$10</f>
        <v>1487020</v>
      </c>
      <c r="M854" s="171"/>
      <c r="N854" s="171"/>
      <c r="O854" s="171"/>
      <c r="P854" s="171"/>
      <c r="Q854" s="171"/>
      <c r="S854" s="282" t="s">
        <v>1059</v>
      </c>
    </row>
    <row r="855" spans="2:19">
      <c r="B855" s="117" t="s">
        <v>1072</v>
      </c>
      <c r="C855" s="480" t="s">
        <v>1073</v>
      </c>
      <c r="D855" s="474"/>
      <c r="E855" s="475"/>
      <c r="F855" s="456"/>
      <c r="G855" s="454"/>
      <c r="H855" s="454"/>
      <c r="I855" s="473"/>
      <c r="J855" s="279">
        <v>43900</v>
      </c>
      <c r="K855" s="279"/>
      <c r="L855" s="176">
        <f>I855*PRP!$J$8+J855*PRP!$J$9+K855*PRP!$J$10</f>
        <v>1308220</v>
      </c>
      <c r="M855" s="171"/>
      <c r="N855" s="171"/>
      <c r="O855" s="171"/>
      <c r="P855" s="171"/>
      <c r="Q855" s="171"/>
      <c r="S855" s="282" t="s">
        <v>1059</v>
      </c>
    </row>
    <row r="856" spans="2:19">
      <c r="B856" s="117" t="s">
        <v>1074</v>
      </c>
      <c r="C856" s="480" t="s">
        <v>1075</v>
      </c>
      <c r="D856" s="474"/>
      <c r="E856" s="475"/>
      <c r="F856" s="456"/>
      <c r="G856" s="454"/>
      <c r="H856" s="454"/>
      <c r="I856" s="473"/>
      <c r="J856" s="279">
        <v>1500</v>
      </c>
      <c r="K856" s="279"/>
      <c r="L856" s="176">
        <f>I856*PRP!$J$8+J856*PRP!$J$9+K856*PRP!$J$10</f>
        <v>44700</v>
      </c>
      <c r="M856" s="171"/>
      <c r="N856" s="171"/>
      <c r="O856" s="171"/>
      <c r="P856" s="171"/>
      <c r="Q856" s="171"/>
      <c r="S856" s="282" t="s">
        <v>1059</v>
      </c>
    </row>
    <row r="857" spans="2:19">
      <c r="B857" s="117" t="s">
        <v>1076</v>
      </c>
      <c r="C857" s="480" t="s">
        <v>1077</v>
      </c>
      <c r="D857" s="474"/>
      <c r="E857" s="475"/>
      <c r="F857" s="456"/>
      <c r="G857" s="454"/>
      <c r="H857" s="454"/>
      <c r="I857" s="473"/>
      <c r="J857" s="279">
        <v>1500</v>
      </c>
      <c r="K857" s="279"/>
      <c r="L857" s="176">
        <f>I857*PRP!$J$8+J857*PRP!$J$9+K857*PRP!$J$10</f>
        <v>44700</v>
      </c>
      <c r="M857" s="171"/>
      <c r="N857" s="171"/>
      <c r="O857" s="171"/>
      <c r="P857" s="171"/>
      <c r="Q857" s="171"/>
      <c r="S857" s="282" t="s">
        <v>1059</v>
      </c>
    </row>
    <row r="858" spans="2:19">
      <c r="B858" s="117" t="s">
        <v>1078</v>
      </c>
      <c r="C858" s="480" t="s">
        <v>1079</v>
      </c>
      <c r="D858" s="474"/>
      <c r="E858" s="475"/>
      <c r="F858" s="456"/>
      <c r="G858" s="454"/>
      <c r="H858" s="454"/>
      <c r="I858" s="473"/>
      <c r="J858" s="279">
        <v>1500</v>
      </c>
      <c r="K858" s="279"/>
      <c r="L858" s="176">
        <f>I858*PRP!$J$8+J858*PRP!$J$9+K858*PRP!$J$10</f>
        <v>44700</v>
      </c>
      <c r="M858" s="171"/>
      <c r="N858" s="171"/>
      <c r="O858" s="171"/>
      <c r="P858" s="171"/>
      <c r="Q858" s="171"/>
      <c r="S858" s="282" t="s">
        <v>1059</v>
      </c>
    </row>
    <row r="859" spans="2:19">
      <c r="B859" s="117" t="s">
        <v>1080</v>
      </c>
      <c r="C859" s="480" t="s">
        <v>1081</v>
      </c>
      <c r="D859" s="474"/>
      <c r="E859" s="475"/>
      <c r="F859" s="456"/>
      <c r="G859" s="454"/>
      <c r="H859" s="454"/>
      <c r="I859" s="473"/>
      <c r="J859" s="279">
        <v>1500</v>
      </c>
      <c r="K859" s="279"/>
      <c r="L859" s="176">
        <f>I859*PRP!$J$8+J859*PRP!$J$9+K859*PRP!$J$10</f>
        <v>44700</v>
      </c>
      <c r="M859" s="171"/>
      <c r="N859" s="171"/>
      <c r="O859" s="171"/>
      <c r="P859" s="171"/>
      <c r="Q859" s="171"/>
      <c r="S859" s="282" t="s">
        <v>1059</v>
      </c>
    </row>
    <row r="860" spans="2:19">
      <c r="B860" s="117" t="s">
        <v>1082</v>
      </c>
      <c r="C860" s="480" t="s">
        <v>1083</v>
      </c>
      <c r="D860" s="474"/>
      <c r="E860" s="475"/>
      <c r="F860" s="456"/>
      <c r="G860" s="454"/>
      <c r="H860" s="454"/>
      <c r="I860" s="473"/>
      <c r="J860" s="279">
        <v>1500</v>
      </c>
      <c r="K860" s="279"/>
      <c r="L860" s="176">
        <f>I860*PRP!$J$8+J860*PRP!$J$9+K860*PRP!$J$10</f>
        <v>44700</v>
      </c>
      <c r="M860" s="171"/>
      <c r="N860" s="171"/>
      <c r="O860" s="171"/>
      <c r="P860" s="171"/>
      <c r="Q860" s="171"/>
      <c r="S860" s="282" t="s">
        <v>1059</v>
      </c>
    </row>
    <row r="861" spans="2:19">
      <c r="B861" s="117" t="s">
        <v>1084</v>
      </c>
      <c r="C861" s="480" t="s">
        <v>1085</v>
      </c>
      <c r="D861" s="117"/>
      <c r="E861" s="455"/>
      <c r="F861" s="456"/>
      <c r="G861" s="454"/>
      <c r="H861" s="454"/>
      <c r="I861" s="473"/>
      <c r="J861" s="279">
        <v>8000</v>
      </c>
      <c r="K861" s="279"/>
      <c r="L861" s="176">
        <f>I861*PRP!$J$8+J861*PRP!$J$9+K861*PRP!$J$10</f>
        <v>238400</v>
      </c>
      <c r="M861" s="171"/>
      <c r="N861" s="171"/>
      <c r="O861" s="171"/>
      <c r="P861" s="171"/>
      <c r="Q861" s="171"/>
      <c r="S861" s="282" t="s">
        <v>1059</v>
      </c>
    </row>
    <row r="862" spans="2:19">
      <c r="B862" s="117" t="s">
        <v>1086</v>
      </c>
      <c r="C862" s="480" t="s">
        <v>1087</v>
      </c>
      <c r="D862" s="117"/>
      <c r="E862" s="455"/>
      <c r="F862" s="456"/>
      <c r="G862" s="454"/>
      <c r="H862" s="454"/>
      <c r="I862" s="473"/>
      <c r="J862" s="279">
        <v>8000</v>
      </c>
      <c r="K862" s="279"/>
      <c r="L862" s="176">
        <f>I862*PRP!$J$8+J862*PRP!$J$9+K862*PRP!$J$10</f>
        <v>238400</v>
      </c>
      <c r="M862" s="171"/>
      <c r="N862" s="171"/>
      <c r="O862" s="171"/>
      <c r="P862" s="171"/>
      <c r="Q862" s="171"/>
      <c r="S862" s="282" t="s">
        <v>1059</v>
      </c>
    </row>
    <row r="863" spans="2:19">
      <c r="B863" s="117" t="s">
        <v>1088</v>
      </c>
      <c r="C863" s="480" t="s">
        <v>1089</v>
      </c>
      <c r="D863" s="117"/>
      <c r="E863" s="455"/>
      <c r="F863" s="476"/>
      <c r="G863" s="477"/>
      <c r="H863" s="454"/>
      <c r="I863" s="473"/>
      <c r="J863" s="279">
        <v>5000</v>
      </c>
      <c r="K863" s="279"/>
      <c r="L863" s="176">
        <f>I863*PRP!$J$8+J863*PRP!$J$9+K863*PRP!$J$10</f>
        <v>149000</v>
      </c>
      <c r="M863" s="171"/>
      <c r="N863" s="171"/>
      <c r="O863" s="171"/>
      <c r="P863" s="171"/>
      <c r="Q863" s="171"/>
      <c r="S863" s="282" t="s">
        <v>1059</v>
      </c>
    </row>
    <row r="864" spans="2:19">
      <c r="B864" s="117" t="s">
        <v>1090</v>
      </c>
      <c r="C864" s="480" t="s">
        <v>1091</v>
      </c>
      <c r="D864" s="117"/>
      <c r="E864" s="455"/>
      <c r="F864" s="476"/>
      <c r="G864" s="477"/>
      <c r="H864" s="454"/>
      <c r="I864" s="473"/>
      <c r="J864" s="279">
        <v>18000</v>
      </c>
      <c r="K864" s="279"/>
      <c r="L864" s="176">
        <f>I864*PRP!$J$8+J864*PRP!$J$9+K864*PRP!$J$10</f>
        <v>536400</v>
      </c>
      <c r="M864" s="171"/>
      <c r="N864" s="171"/>
      <c r="O864" s="171"/>
      <c r="P864" s="171"/>
      <c r="Q864" s="171"/>
      <c r="S864" s="282" t="s">
        <v>1059</v>
      </c>
    </row>
    <row r="865" spans="1:19">
      <c r="B865" s="117" t="s">
        <v>1092</v>
      </c>
      <c r="C865" s="480" t="s">
        <v>1093</v>
      </c>
      <c r="D865" s="117"/>
      <c r="E865" s="455"/>
      <c r="F865" s="476"/>
      <c r="G865" s="477"/>
      <c r="H865" s="454"/>
      <c r="I865" s="473"/>
      <c r="J865" s="279">
        <v>55000</v>
      </c>
      <c r="K865" s="279"/>
      <c r="L865" s="176">
        <f>I865*PRP!$J$8+J865*PRP!$J$9+K865*PRP!$J$10</f>
        <v>1639000</v>
      </c>
      <c r="M865" s="171"/>
      <c r="N865" s="171"/>
      <c r="O865" s="171"/>
      <c r="P865" s="171"/>
      <c r="Q865" s="171"/>
      <c r="S865" s="282" t="s">
        <v>1059</v>
      </c>
    </row>
    <row r="866" spans="1:19">
      <c r="B866" s="117" t="s">
        <v>1094</v>
      </c>
      <c r="C866" s="480" t="s">
        <v>1095</v>
      </c>
      <c r="D866" s="117"/>
      <c r="E866" s="455"/>
      <c r="F866" s="476"/>
      <c r="G866" s="477"/>
      <c r="H866" s="454"/>
      <c r="I866" s="473"/>
      <c r="J866" s="279">
        <v>8000</v>
      </c>
      <c r="K866" s="279"/>
      <c r="L866" s="176">
        <f>I866*PRP!$J$8+J866*PRP!$J$9+K866*PRP!$J$10</f>
        <v>238400</v>
      </c>
      <c r="M866" s="171"/>
      <c r="N866" s="171"/>
      <c r="O866" s="171"/>
      <c r="P866" s="171"/>
      <c r="Q866" s="171"/>
      <c r="S866" s="282" t="s">
        <v>1059</v>
      </c>
    </row>
    <row r="867" spans="1:19">
      <c r="B867" s="117" t="s">
        <v>1096</v>
      </c>
      <c r="C867" s="480" t="s">
        <v>1097</v>
      </c>
      <c r="D867" s="117"/>
      <c r="E867" s="455"/>
      <c r="F867" s="476"/>
      <c r="G867" s="477"/>
      <c r="H867" s="454"/>
      <c r="I867" s="473"/>
      <c r="J867" s="279">
        <v>20000</v>
      </c>
      <c r="K867" s="279"/>
      <c r="L867" s="176">
        <f>I867*PRP!$J$8+J867*PRP!$J$9+K867*PRP!$J$10</f>
        <v>596000</v>
      </c>
      <c r="M867" s="171"/>
      <c r="N867" s="171"/>
      <c r="O867" s="171"/>
      <c r="P867" s="171"/>
      <c r="Q867" s="171"/>
      <c r="S867" s="282" t="s">
        <v>1059</v>
      </c>
    </row>
    <row r="868" spans="1:19">
      <c r="B868" s="117" t="s">
        <v>1098</v>
      </c>
      <c r="C868" s="480" t="s">
        <v>1099</v>
      </c>
      <c r="D868" s="117"/>
      <c r="E868" s="455"/>
      <c r="F868" s="476"/>
      <c r="G868" s="477"/>
      <c r="H868" s="454"/>
      <c r="I868" s="473"/>
      <c r="J868" s="279">
        <v>1500</v>
      </c>
      <c r="K868" s="279"/>
      <c r="L868" s="176">
        <f>I868*PRP!$J$8+J868*PRP!$J$9+K868*PRP!$J$10</f>
        <v>44700</v>
      </c>
      <c r="M868" s="171"/>
      <c r="N868" s="171"/>
      <c r="O868" s="171"/>
      <c r="P868" s="171"/>
      <c r="Q868" s="171"/>
      <c r="S868" s="282" t="s">
        <v>1059</v>
      </c>
    </row>
    <row r="869" spans="1:19">
      <c r="B869" s="117" t="s">
        <v>1100</v>
      </c>
      <c r="C869" s="480" t="s">
        <v>1101</v>
      </c>
      <c r="D869" s="117"/>
      <c r="E869" s="455"/>
      <c r="F869" s="476"/>
      <c r="G869" s="477"/>
      <c r="H869" s="454"/>
      <c r="I869" s="473"/>
      <c r="J869" s="279">
        <v>10000</v>
      </c>
      <c r="K869" s="279"/>
      <c r="L869" s="176">
        <f>I869*PRP!$J$8+J869*PRP!$J$9+K869*PRP!$J$10</f>
        <v>298000</v>
      </c>
      <c r="M869" s="171"/>
      <c r="N869" s="171"/>
      <c r="O869" s="171"/>
      <c r="P869" s="171"/>
      <c r="Q869" s="171"/>
      <c r="S869" s="282" t="s">
        <v>1059</v>
      </c>
    </row>
    <row r="870" spans="1:19">
      <c r="B870" s="117" t="s">
        <v>1102</v>
      </c>
      <c r="C870" s="480" t="s">
        <v>1103</v>
      </c>
      <c r="D870" s="117"/>
      <c r="E870" s="455"/>
      <c r="F870" s="476"/>
      <c r="G870" s="477"/>
      <c r="H870" s="454"/>
      <c r="I870" s="473"/>
      <c r="J870" s="279">
        <v>0</v>
      </c>
      <c r="K870" s="279"/>
      <c r="L870" s="176">
        <f>I870*PRP!$J$8+J870*PRP!$J$9+K870*PRP!$J$10</f>
        <v>0</v>
      </c>
      <c r="M870" s="171"/>
      <c r="N870" s="171"/>
      <c r="O870" s="171"/>
      <c r="P870" s="171"/>
      <c r="Q870" s="171"/>
      <c r="S870" s="282" t="s">
        <v>1059</v>
      </c>
    </row>
    <row r="871" spans="1:19">
      <c r="B871" s="117" t="s">
        <v>1104</v>
      </c>
      <c r="C871" s="480" t="s">
        <v>1105</v>
      </c>
      <c r="D871" s="117"/>
      <c r="E871" s="455"/>
      <c r="F871" s="476"/>
      <c r="G871" s="477"/>
      <c r="H871" s="454"/>
      <c r="I871" s="473"/>
      <c r="J871" s="279">
        <v>0</v>
      </c>
      <c r="K871" s="279"/>
      <c r="L871" s="176">
        <f>I871*PRP!$J$8+J871*PRP!$J$9+K871*PRP!$J$10</f>
        <v>0</v>
      </c>
      <c r="M871" s="171"/>
      <c r="N871" s="171"/>
      <c r="O871" s="171"/>
      <c r="P871" s="171"/>
      <c r="Q871" s="171"/>
      <c r="S871" s="282" t="s">
        <v>1059</v>
      </c>
    </row>
    <row r="872" spans="1:19">
      <c r="B872" s="117" t="s">
        <v>1106</v>
      </c>
      <c r="C872" s="480" t="s">
        <v>1107</v>
      </c>
      <c r="D872" s="117"/>
      <c r="E872" s="455"/>
      <c r="F872" s="476"/>
      <c r="G872" s="477"/>
      <c r="H872" s="454"/>
      <c r="I872" s="473"/>
      <c r="J872" s="279">
        <v>0</v>
      </c>
      <c r="K872" s="279"/>
      <c r="L872" s="176">
        <f>I872*PRP!$J$8+J872*PRP!$J$9+K872*PRP!$J$10</f>
        <v>0</v>
      </c>
      <c r="M872" s="171"/>
      <c r="N872" s="171"/>
      <c r="O872" s="171"/>
      <c r="P872" s="171"/>
      <c r="Q872" s="171"/>
      <c r="S872" s="282" t="s">
        <v>1059</v>
      </c>
    </row>
    <row r="873" spans="1:19">
      <c r="B873" s="117" t="s">
        <v>1108</v>
      </c>
      <c r="C873" s="480" t="s">
        <v>1109</v>
      </c>
      <c r="D873" s="117"/>
      <c r="E873" s="455"/>
      <c r="F873" s="476"/>
      <c r="G873" s="454"/>
      <c r="H873" s="454"/>
      <c r="I873" s="473"/>
      <c r="J873" s="279">
        <v>0</v>
      </c>
      <c r="K873" s="279"/>
      <c r="L873" s="176">
        <f>I873*PRP!$J$8+J873*PRP!$J$9+K873*PRP!$J$10</f>
        <v>0</v>
      </c>
      <c r="M873" s="171"/>
      <c r="N873" s="171"/>
      <c r="O873" s="171"/>
      <c r="P873" s="171"/>
      <c r="Q873" s="171"/>
      <c r="S873" s="282" t="s">
        <v>1059</v>
      </c>
    </row>
    <row r="874" spans="1:19">
      <c r="B874" s="117" t="s">
        <v>1110</v>
      </c>
      <c r="C874" s="480" t="s">
        <v>1111</v>
      </c>
      <c r="D874" s="117"/>
      <c r="E874" s="455"/>
      <c r="F874" s="476"/>
      <c r="G874" s="454"/>
      <c r="H874" s="454"/>
      <c r="I874" s="473"/>
      <c r="J874" s="482">
        <f>J873</f>
        <v>0</v>
      </c>
      <c r="K874" s="279"/>
      <c r="L874" s="176">
        <f>I874*PRP!$J$8+J874*PRP!$J$9+K874*PRP!$J$10</f>
        <v>0</v>
      </c>
      <c r="M874" s="171"/>
      <c r="N874" s="171"/>
      <c r="O874" s="171"/>
      <c r="P874" s="171"/>
      <c r="Q874" s="171"/>
      <c r="S874" s="483" t="s">
        <v>1112</v>
      </c>
    </row>
    <row r="875" spans="1:19">
      <c r="B875" s="117" t="s">
        <v>1113</v>
      </c>
      <c r="C875" s="480" t="s">
        <v>1114</v>
      </c>
      <c r="D875" s="117"/>
      <c r="E875" s="455"/>
      <c r="F875" s="476"/>
      <c r="G875" s="454"/>
      <c r="H875" s="454"/>
      <c r="I875" s="473"/>
      <c r="J875" s="279">
        <v>0</v>
      </c>
      <c r="K875" s="279"/>
      <c r="L875" s="176">
        <f>I875*PRP!$J$8+J875*PRP!$J$9+K875*PRP!$J$10</f>
        <v>0</v>
      </c>
      <c r="M875" s="171"/>
      <c r="N875" s="171"/>
      <c r="O875" s="171"/>
      <c r="P875" s="171"/>
      <c r="Q875" s="171"/>
      <c r="S875" s="282" t="s">
        <v>1059</v>
      </c>
    </row>
    <row r="876" spans="1:19">
      <c r="B876" s="117" t="s">
        <v>1115</v>
      </c>
      <c r="C876" s="480" t="s">
        <v>1116</v>
      </c>
      <c r="D876" s="117"/>
      <c r="E876" s="455"/>
      <c r="F876" s="476"/>
      <c r="G876" s="454"/>
      <c r="H876" s="454"/>
      <c r="I876" s="473"/>
      <c r="J876" s="279">
        <v>0</v>
      </c>
      <c r="K876" s="279"/>
      <c r="L876" s="176">
        <f>I876*PRP!$J$8+J876*PRP!$J$9+K876*PRP!$J$10</f>
        <v>0</v>
      </c>
      <c r="M876" s="171"/>
      <c r="N876" s="171"/>
      <c r="O876" s="171"/>
      <c r="P876" s="171"/>
      <c r="Q876" s="171"/>
      <c r="S876" s="282" t="s">
        <v>1059</v>
      </c>
    </row>
    <row r="877" spans="1:19" ht="15.75" thickBot="1">
      <c r="B877" s="248"/>
      <c r="C877" s="480"/>
      <c r="D877" s="117"/>
      <c r="E877" s="455"/>
      <c r="F877" s="456"/>
      <c r="G877" s="454"/>
      <c r="H877" s="454"/>
      <c r="I877" s="473"/>
      <c r="J877" s="279"/>
      <c r="K877" s="279"/>
      <c r="L877" s="176"/>
      <c r="M877" s="171"/>
      <c r="N877" s="171"/>
      <c r="O877" s="171"/>
      <c r="P877" s="171"/>
      <c r="Q877" s="171"/>
      <c r="S877" s="282"/>
    </row>
    <row r="878" spans="1:19" ht="15.75" thickBot="1">
      <c r="A878" s="86"/>
      <c r="B878" s="447"/>
      <c r="C878" s="447"/>
      <c r="D878" s="447"/>
      <c r="E878" s="447"/>
      <c r="F878" s="447"/>
      <c r="G878" s="447"/>
      <c r="H878" s="447"/>
      <c r="I878" s="447"/>
      <c r="J878" s="447"/>
      <c r="K878" s="447"/>
      <c r="L878" s="447"/>
      <c r="M878" s="447"/>
      <c r="N878" s="447"/>
      <c r="O878" s="447"/>
      <c r="P878" s="447"/>
      <c r="Q878" s="447"/>
      <c r="S878" s="448"/>
    </row>
    <row r="879" spans="1:19" ht="19.5" thickBot="1">
      <c r="A879" s="86"/>
      <c r="B879" s="148" t="s">
        <v>1117</v>
      </c>
      <c r="C879" s="149"/>
      <c r="D879" s="149"/>
      <c r="E879" s="149"/>
      <c r="F879" s="149"/>
      <c r="G879" s="149"/>
      <c r="H879" s="150"/>
      <c r="I879" s="151" t="s">
        <v>154</v>
      </c>
      <c r="J879" s="330"/>
      <c r="K879" s="330"/>
      <c r="L879" s="152" t="s">
        <v>155</v>
      </c>
      <c r="M879" s="153"/>
      <c r="N879" s="153"/>
      <c r="O879" s="153"/>
      <c r="P879" s="153"/>
      <c r="Q879" s="153"/>
      <c r="R879" s="90"/>
      <c r="S879" s="154" t="s">
        <v>156</v>
      </c>
    </row>
    <row r="880" spans="1:19" s="438" customFormat="1" ht="18">
      <c r="B880" s="1290" t="s">
        <v>1051</v>
      </c>
      <c r="C880" s="440"/>
      <c r="D880" s="366"/>
      <c r="E880" s="366"/>
      <c r="F880" s="1296"/>
      <c r="G880" s="1301"/>
      <c r="H880" s="441"/>
      <c r="I880" s="158" t="s">
        <v>106</v>
      </c>
      <c r="J880" s="97" t="s">
        <v>160</v>
      </c>
      <c r="K880" s="97" t="s">
        <v>161</v>
      </c>
      <c r="L880" s="98" t="s">
        <v>162</v>
      </c>
      <c r="M880" s="444"/>
      <c r="N880" s="444"/>
      <c r="O880" s="444"/>
      <c r="P880" s="444"/>
      <c r="Q880" s="444"/>
      <c r="S880" s="445" t="s">
        <v>154</v>
      </c>
    </row>
    <row r="881" spans="1:19" ht="16.5" customHeight="1">
      <c r="B881" s="1291"/>
      <c r="C881" s="479" t="s">
        <v>1052</v>
      </c>
      <c r="D881" s="163" t="s">
        <v>1118</v>
      </c>
      <c r="E881" s="163"/>
      <c r="F881" s="163"/>
      <c r="G881" s="163"/>
      <c r="H881" s="212"/>
      <c r="I881" s="164" t="s">
        <v>1119</v>
      </c>
      <c r="J881" s="163" t="s">
        <v>1120</v>
      </c>
      <c r="K881" s="163" t="s">
        <v>1121</v>
      </c>
      <c r="L881" s="109" t="s">
        <v>1122</v>
      </c>
      <c r="M881" s="159"/>
      <c r="N881" s="159"/>
      <c r="O881" s="159"/>
      <c r="P881" s="159"/>
      <c r="Q881" s="159"/>
      <c r="S881" s="165" t="s">
        <v>154</v>
      </c>
    </row>
    <row r="882" spans="1:19">
      <c r="B882" s="117" t="s">
        <v>1123</v>
      </c>
      <c r="C882" s="480" t="s">
        <v>1124</v>
      </c>
      <c r="D882" s="484">
        <v>0.24</v>
      </c>
      <c r="E882" s="455"/>
      <c r="F882" s="456"/>
      <c r="G882" s="454"/>
      <c r="H882" s="454"/>
      <c r="I882" s="473"/>
      <c r="J882" s="485">
        <f t="shared" ref="J882:J890" si="39">D882*$E$1081*1000</f>
        <v>172.03199999999998</v>
      </c>
      <c r="K882" s="279"/>
      <c r="L882" s="658">
        <f>I882*PRP!$J$8+J882*PRP!$J$9+K882*PRP!$J$10</f>
        <v>5126.5535999999993</v>
      </c>
      <c r="M882" s="171"/>
      <c r="N882" s="171"/>
      <c r="O882" s="171"/>
      <c r="P882" s="171"/>
      <c r="Q882" s="171"/>
      <c r="S882" s="282" t="s">
        <v>1125</v>
      </c>
    </row>
    <row r="883" spans="1:19">
      <c r="B883" s="117" t="s">
        <v>1126</v>
      </c>
      <c r="C883" s="481" t="s">
        <v>1127</v>
      </c>
      <c r="D883" s="484">
        <v>0.19</v>
      </c>
      <c r="E883" s="455"/>
      <c r="F883" s="456"/>
      <c r="G883" s="454"/>
      <c r="H883" s="453"/>
      <c r="I883" s="473"/>
      <c r="J883" s="485">
        <f t="shared" si="39"/>
        <v>136.19200000000001</v>
      </c>
      <c r="K883" s="279"/>
      <c r="L883" s="658">
        <f>I883*PRP!$J$8+J883*PRP!$J$9+K883*PRP!$J$10</f>
        <v>4058.5216000000005</v>
      </c>
      <c r="M883" s="171"/>
      <c r="N883" s="171"/>
      <c r="O883" s="171"/>
      <c r="P883" s="171"/>
      <c r="Q883" s="171"/>
      <c r="S883" s="282" t="s">
        <v>1125</v>
      </c>
    </row>
    <row r="884" spans="1:19">
      <c r="B884" s="117" t="s">
        <v>1084</v>
      </c>
      <c r="C884" s="480" t="s">
        <v>1085</v>
      </c>
      <c r="D884" s="484">
        <v>0.19</v>
      </c>
      <c r="E884" s="455"/>
      <c r="F884" s="456"/>
      <c r="G884" s="454"/>
      <c r="H884" s="454"/>
      <c r="I884" s="473"/>
      <c r="J884" s="485">
        <f t="shared" si="39"/>
        <v>136.19200000000001</v>
      </c>
      <c r="K884" s="279"/>
      <c r="L884" s="658">
        <f>I884*PRP!$J$8+J884*PRP!$J$9+K884*PRP!$J$10</f>
        <v>4058.5216000000005</v>
      </c>
      <c r="M884" s="171"/>
      <c r="N884" s="171"/>
      <c r="O884" s="171"/>
      <c r="P884" s="171"/>
      <c r="Q884" s="171"/>
      <c r="S884" s="282" t="s">
        <v>1125</v>
      </c>
    </row>
    <row r="885" spans="1:19">
      <c r="B885" s="117" t="s">
        <v>1088</v>
      </c>
      <c r="C885" s="480" t="s">
        <v>1089</v>
      </c>
      <c r="D885" s="484">
        <v>0.18</v>
      </c>
      <c r="E885" s="455"/>
      <c r="F885" s="456"/>
      <c r="G885" s="454"/>
      <c r="H885" s="454"/>
      <c r="I885" s="473"/>
      <c r="J885" s="485">
        <f t="shared" si="39"/>
        <v>129.024</v>
      </c>
      <c r="K885" s="279"/>
      <c r="L885" s="658">
        <f>I885*PRP!$J$8+J885*PRP!$J$9+K885*PRP!$J$10</f>
        <v>3844.9151999999999</v>
      </c>
      <c r="M885" s="171"/>
      <c r="N885" s="171"/>
      <c r="O885" s="171"/>
      <c r="P885" s="171"/>
      <c r="Q885" s="171"/>
      <c r="S885" s="282" t="s">
        <v>1125</v>
      </c>
    </row>
    <row r="886" spans="1:19">
      <c r="B886" s="117" t="s">
        <v>1090</v>
      </c>
      <c r="C886" s="480" t="s">
        <v>1091</v>
      </c>
      <c r="D886" s="484">
        <v>0.3</v>
      </c>
      <c r="E886" s="455"/>
      <c r="F886" s="456"/>
      <c r="G886" s="454"/>
      <c r="H886" s="454"/>
      <c r="I886" s="473"/>
      <c r="J886" s="485">
        <f t="shared" si="39"/>
        <v>215.04</v>
      </c>
      <c r="K886" s="279"/>
      <c r="L886" s="658">
        <f>I886*PRP!$J$8+J886*PRP!$J$9+K886*PRP!$J$10</f>
        <v>6408.192</v>
      </c>
      <c r="M886" s="171"/>
      <c r="N886" s="171"/>
      <c r="O886" s="171"/>
      <c r="P886" s="171"/>
      <c r="Q886" s="171"/>
      <c r="S886" s="282" t="s">
        <v>1125</v>
      </c>
    </row>
    <row r="887" spans="1:19">
      <c r="B887" s="117" t="s">
        <v>1128</v>
      </c>
      <c r="C887" s="480" t="s">
        <v>1129</v>
      </c>
      <c r="D887" s="484">
        <v>0.48</v>
      </c>
      <c r="E887" s="455"/>
      <c r="F887" s="456"/>
      <c r="G887" s="454"/>
      <c r="H887" s="454"/>
      <c r="I887" s="473"/>
      <c r="J887" s="485">
        <f t="shared" si="39"/>
        <v>344.06399999999996</v>
      </c>
      <c r="K887" s="279"/>
      <c r="L887" s="658">
        <f>I887*PRP!$J$8+J887*PRP!$J$9+K887*PRP!$J$10</f>
        <v>10253.107199999999</v>
      </c>
      <c r="M887" s="171"/>
      <c r="N887" s="171"/>
      <c r="O887" s="171"/>
      <c r="P887" s="171"/>
      <c r="Q887" s="171"/>
      <c r="S887" s="282" t="s">
        <v>1125</v>
      </c>
    </row>
    <row r="888" spans="1:19">
      <c r="B888" s="117" t="s">
        <v>1113</v>
      </c>
      <c r="C888" s="480" t="s">
        <v>1114</v>
      </c>
      <c r="D888" s="484">
        <v>0.39</v>
      </c>
      <c r="E888" s="475"/>
      <c r="F888" s="456"/>
      <c r="G888" s="454"/>
      <c r="H888" s="454"/>
      <c r="I888" s="473"/>
      <c r="J888" s="485">
        <f t="shared" si="39"/>
        <v>279.55200000000002</v>
      </c>
      <c r="K888" s="279"/>
      <c r="L888" s="658">
        <f>I888*PRP!$J$8+J888*PRP!$J$9+K888*PRP!$J$10</f>
        <v>8330.6496000000006</v>
      </c>
      <c r="M888" s="171"/>
      <c r="N888" s="171"/>
      <c r="O888" s="171"/>
      <c r="P888" s="171"/>
      <c r="Q888" s="171"/>
      <c r="S888" s="282" t="s">
        <v>1125</v>
      </c>
    </row>
    <row r="889" spans="1:19">
      <c r="B889" s="117" t="s">
        <v>1110</v>
      </c>
      <c r="C889" s="480" t="s">
        <v>1111</v>
      </c>
      <c r="D889" s="484">
        <v>0.36</v>
      </c>
      <c r="E889" s="475"/>
      <c r="F889" s="456"/>
      <c r="G889" s="454"/>
      <c r="H889" s="454"/>
      <c r="I889" s="473"/>
      <c r="J889" s="485">
        <f t="shared" si="39"/>
        <v>258.048</v>
      </c>
      <c r="K889" s="279"/>
      <c r="L889" s="658">
        <f>I889*PRP!$J$8+J889*PRP!$J$9+K889*PRP!$J$10</f>
        <v>7689.8303999999998</v>
      </c>
      <c r="M889" s="171"/>
      <c r="N889" s="171"/>
      <c r="O889" s="171"/>
      <c r="P889" s="171"/>
      <c r="Q889" s="171"/>
      <c r="S889" s="282" t="s">
        <v>1125</v>
      </c>
    </row>
    <row r="890" spans="1:19">
      <c r="B890" s="117" t="s">
        <v>1115</v>
      </c>
      <c r="C890" s="480" t="s">
        <v>1116</v>
      </c>
      <c r="D890" s="484">
        <v>0.36</v>
      </c>
      <c r="E890" s="475"/>
      <c r="F890" s="456"/>
      <c r="G890" s="454"/>
      <c r="H890" s="454"/>
      <c r="I890" s="473"/>
      <c r="J890" s="485">
        <f t="shared" si="39"/>
        <v>258.048</v>
      </c>
      <c r="K890" s="279"/>
      <c r="L890" s="658">
        <f>I890*PRP!$J$8+J890*PRP!$J$9+K890*PRP!$J$10</f>
        <v>7689.8303999999998</v>
      </c>
      <c r="M890" s="171"/>
      <c r="N890" s="171"/>
      <c r="O890" s="171"/>
      <c r="P890" s="171"/>
      <c r="Q890" s="171"/>
      <c r="S890" s="282" t="s">
        <v>1125</v>
      </c>
    </row>
    <row r="891" spans="1:19" ht="15.75" thickBot="1">
      <c r="B891" s="248"/>
      <c r="C891" s="480"/>
      <c r="D891" s="117"/>
      <c r="E891" s="455"/>
      <c r="F891" s="456"/>
      <c r="G891" s="454"/>
      <c r="H891" s="454"/>
      <c r="I891" s="473"/>
      <c r="J891" s="279"/>
      <c r="K891" s="279"/>
      <c r="L891" s="176"/>
      <c r="M891" s="171"/>
      <c r="N891" s="171"/>
      <c r="O891" s="171"/>
      <c r="P891" s="171"/>
      <c r="Q891" s="171"/>
      <c r="S891" s="282"/>
    </row>
    <row r="892" spans="1:19" ht="15.75" thickBot="1">
      <c r="A892" s="86"/>
      <c r="B892" s="447"/>
      <c r="C892" s="447"/>
      <c r="D892" s="447"/>
      <c r="E892" s="447"/>
      <c r="F892" s="447"/>
      <c r="G892" s="447"/>
      <c r="H892" s="447"/>
      <c r="I892" s="447"/>
      <c r="J892" s="447"/>
      <c r="K892" s="447"/>
      <c r="L892" s="447"/>
      <c r="M892" s="447"/>
      <c r="N892" s="447"/>
      <c r="O892" s="447"/>
      <c r="P892" s="447"/>
      <c r="Q892" s="447"/>
      <c r="S892" s="448"/>
    </row>
    <row r="893" spans="1:19" ht="19.5" thickBot="1">
      <c r="A893" s="86"/>
      <c r="B893" s="148" t="s">
        <v>1130</v>
      </c>
      <c r="C893" s="149"/>
      <c r="D893" s="149"/>
      <c r="E893" s="149"/>
      <c r="F893" s="149"/>
      <c r="G893" s="149"/>
      <c r="H893" s="150"/>
      <c r="I893" s="151" t="s">
        <v>154</v>
      </c>
      <c r="J893" s="330"/>
      <c r="K893" s="330"/>
      <c r="L893" s="152" t="s">
        <v>155</v>
      </c>
      <c r="M893" s="153"/>
      <c r="N893" s="153"/>
      <c r="O893" s="153"/>
      <c r="P893" s="153"/>
      <c r="Q893" s="153"/>
      <c r="R893" s="90"/>
      <c r="S893" s="154" t="s">
        <v>156</v>
      </c>
    </row>
    <row r="894" spans="1:19" s="438" customFormat="1" ht="78">
      <c r="B894" s="1290" t="s">
        <v>1051</v>
      </c>
      <c r="C894" s="440"/>
      <c r="D894" s="486" t="s">
        <v>1131</v>
      </c>
      <c r="E894" s="366" t="s">
        <v>1132</v>
      </c>
      <c r="F894" s="366" t="s">
        <v>1133</v>
      </c>
      <c r="G894" s="487"/>
      <c r="H894" s="441"/>
      <c r="I894" s="158" t="s">
        <v>106</v>
      </c>
      <c r="J894" s="97" t="s">
        <v>160</v>
      </c>
      <c r="K894" s="97" t="s">
        <v>161</v>
      </c>
      <c r="L894" s="98" t="s">
        <v>162</v>
      </c>
      <c r="M894" s="444"/>
      <c r="N894" s="444"/>
      <c r="O894" s="444"/>
      <c r="P894" s="444"/>
      <c r="Q894" s="444"/>
      <c r="S894" s="445" t="s">
        <v>154</v>
      </c>
    </row>
    <row r="895" spans="1:19" ht="16.5" customHeight="1">
      <c r="B895" s="1291"/>
      <c r="C895" s="479" t="s">
        <v>1052</v>
      </c>
      <c r="D895" s="163" t="s">
        <v>1055</v>
      </c>
      <c r="E895" s="163" t="s">
        <v>1055</v>
      </c>
      <c r="F895" s="163" t="s">
        <v>1055</v>
      </c>
      <c r="G895" s="163"/>
      <c r="H895" s="212"/>
      <c r="I895" s="164" t="s">
        <v>1053</v>
      </c>
      <c r="J895" s="163" t="s">
        <v>1054</v>
      </c>
      <c r="K895" s="163" t="s">
        <v>1055</v>
      </c>
      <c r="L895" s="109" t="s">
        <v>1056</v>
      </c>
      <c r="M895" s="159"/>
      <c r="N895" s="159"/>
      <c r="O895" s="159"/>
      <c r="P895" s="159"/>
      <c r="Q895" s="159"/>
      <c r="S895" s="165" t="s">
        <v>154</v>
      </c>
    </row>
    <row r="896" spans="1:19">
      <c r="B896" s="117" t="s">
        <v>1057</v>
      </c>
      <c r="C896" s="480" t="s">
        <v>1058</v>
      </c>
      <c r="D896" s="488">
        <v>922</v>
      </c>
      <c r="E896" s="279">
        <v>213</v>
      </c>
      <c r="F896" s="325">
        <v>9</v>
      </c>
      <c r="G896" s="454"/>
      <c r="H896" s="454"/>
      <c r="I896" s="473"/>
      <c r="J896" s="279">
        <v>40000</v>
      </c>
      <c r="K896" s="279">
        <f>SUM(D896:F896)</f>
        <v>1144</v>
      </c>
      <c r="L896" s="176">
        <f>I896*PRP!$J$8+J896*PRP!$J$9+K896*PRP!$J$10</f>
        <v>1504312</v>
      </c>
      <c r="M896" s="171"/>
      <c r="N896" s="171"/>
      <c r="O896" s="171"/>
      <c r="P896" s="171"/>
      <c r="Q896" s="171"/>
      <c r="S896" s="282" t="s">
        <v>1134</v>
      </c>
    </row>
    <row r="897" spans="2:19">
      <c r="B897" s="117" t="s">
        <v>1060</v>
      </c>
      <c r="C897" s="481" t="s">
        <v>1061</v>
      </c>
      <c r="D897" s="488">
        <v>753</v>
      </c>
      <c r="E897" s="279">
        <v>151</v>
      </c>
      <c r="F897" s="325">
        <v>9</v>
      </c>
      <c r="G897" s="454"/>
      <c r="H897" s="453"/>
      <c r="I897" s="473"/>
      <c r="J897" s="279">
        <v>17000</v>
      </c>
      <c r="K897" s="279">
        <f>SUM(D897:F897)</f>
        <v>913</v>
      </c>
      <c r="L897" s="176">
        <f>I897*PRP!$J$8+J897*PRP!$J$9+K897*PRP!$J$10</f>
        <v>755849</v>
      </c>
      <c r="M897" s="171"/>
      <c r="N897" s="171"/>
      <c r="O897" s="171"/>
      <c r="P897" s="171"/>
      <c r="Q897" s="171"/>
      <c r="S897" s="282" t="s">
        <v>1134</v>
      </c>
    </row>
    <row r="898" spans="2:19">
      <c r="B898" s="117" t="s">
        <v>1062</v>
      </c>
      <c r="C898" s="480" t="s">
        <v>1063</v>
      </c>
      <c r="D898" s="488">
        <v>1553</v>
      </c>
      <c r="E898" s="279">
        <v>157</v>
      </c>
      <c r="F898" s="325">
        <v>0</v>
      </c>
      <c r="G898" s="454"/>
      <c r="H898" s="454"/>
      <c r="I898" s="473"/>
      <c r="J898" s="279">
        <v>4700</v>
      </c>
      <c r="K898" s="279">
        <f t="shared" ref="K898:K924" si="40">SUM(D898:F898)</f>
        <v>1710</v>
      </c>
      <c r="L898" s="176">
        <f>I898*PRP!$J$8+J898*PRP!$J$9+K898*PRP!$J$10</f>
        <v>606890</v>
      </c>
      <c r="M898" s="171"/>
      <c r="N898" s="171"/>
      <c r="O898" s="171"/>
      <c r="P898" s="171"/>
      <c r="Q898" s="171"/>
      <c r="S898" s="282" t="s">
        <v>1134</v>
      </c>
    </row>
    <row r="899" spans="2:19">
      <c r="B899" s="117" t="s">
        <v>1064</v>
      </c>
      <c r="C899" s="480" t="s">
        <v>1065</v>
      </c>
      <c r="D899" s="488">
        <v>1105</v>
      </c>
      <c r="E899" s="279">
        <v>111</v>
      </c>
      <c r="F899" s="325">
        <v>0</v>
      </c>
      <c r="G899" s="454"/>
      <c r="H899" s="454"/>
      <c r="I899" s="473"/>
      <c r="J899" s="279">
        <v>4500</v>
      </c>
      <c r="K899" s="279">
        <f t="shared" si="40"/>
        <v>1216</v>
      </c>
      <c r="L899" s="176">
        <f>I899*PRP!$J$8+J899*PRP!$J$9+K899*PRP!$J$10</f>
        <v>466068</v>
      </c>
      <c r="M899" s="171"/>
      <c r="N899" s="171"/>
      <c r="O899" s="171"/>
      <c r="P899" s="171"/>
      <c r="Q899" s="171"/>
      <c r="S899" s="282" t="s">
        <v>1134</v>
      </c>
    </row>
    <row r="900" spans="2:19">
      <c r="B900" s="117" t="s">
        <v>1066</v>
      </c>
      <c r="C900" s="480" t="s">
        <v>1067</v>
      </c>
      <c r="D900" s="488">
        <v>847</v>
      </c>
      <c r="E900" s="279">
        <v>86</v>
      </c>
      <c r="F900" s="325">
        <v>0</v>
      </c>
      <c r="G900" s="454"/>
      <c r="H900" s="454"/>
      <c r="I900" s="473"/>
      <c r="J900" s="279">
        <v>3200</v>
      </c>
      <c r="K900" s="279">
        <f t="shared" si="40"/>
        <v>933</v>
      </c>
      <c r="L900" s="176">
        <f>I900*PRP!$J$8+J900*PRP!$J$9+K900*PRP!$J$10</f>
        <v>350069</v>
      </c>
      <c r="M900" s="171"/>
      <c r="N900" s="171"/>
      <c r="O900" s="171"/>
      <c r="P900" s="171"/>
      <c r="Q900" s="171"/>
      <c r="S900" s="282" t="s">
        <v>1134</v>
      </c>
    </row>
    <row r="901" spans="2:19">
      <c r="B901" s="117" t="s">
        <v>1068</v>
      </c>
      <c r="C901" s="480" t="s">
        <v>1069</v>
      </c>
      <c r="D901" s="488">
        <v>470</v>
      </c>
      <c r="E901" s="279">
        <v>54</v>
      </c>
      <c r="F901" s="325">
        <v>0</v>
      </c>
      <c r="G901" s="454"/>
      <c r="H901" s="454"/>
      <c r="I901" s="473"/>
      <c r="J901" s="279">
        <v>2200</v>
      </c>
      <c r="K901" s="279">
        <f t="shared" si="40"/>
        <v>524</v>
      </c>
      <c r="L901" s="176">
        <f>I901*PRP!$J$8+J901*PRP!$J$9+K901*PRP!$J$10</f>
        <v>208612</v>
      </c>
      <c r="M901" s="171"/>
      <c r="N901" s="171"/>
      <c r="O901" s="171"/>
      <c r="P901" s="171"/>
      <c r="Q901" s="171"/>
      <c r="S901" s="282" t="s">
        <v>1134</v>
      </c>
    </row>
    <row r="902" spans="2:19">
      <c r="B902" s="117" t="s">
        <v>1070</v>
      </c>
      <c r="C902" s="480" t="s">
        <v>1071</v>
      </c>
      <c r="D902" s="488">
        <v>489</v>
      </c>
      <c r="E902" s="489">
        <v>61</v>
      </c>
      <c r="F902" s="325">
        <v>0</v>
      </c>
      <c r="G902" s="454"/>
      <c r="H902" s="454"/>
      <c r="I902" s="473"/>
      <c r="J902" s="279">
        <v>2000</v>
      </c>
      <c r="K902" s="279">
        <f t="shared" si="40"/>
        <v>550</v>
      </c>
      <c r="L902" s="176">
        <f>I902*PRP!$J$8+J902*PRP!$J$9+K902*PRP!$J$10</f>
        <v>209750</v>
      </c>
      <c r="M902" s="171"/>
      <c r="N902" s="171"/>
      <c r="O902" s="171"/>
      <c r="P902" s="171"/>
      <c r="Q902" s="171"/>
      <c r="S902" s="282" t="s">
        <v>1134</v>
      </c>
    </row>
    <row r="903" spans="2:19">
      <c r="B903" s="117" t="s">
        <v>1072</v>
      </c>
      <c r="C903" s="480" t="s">
        <v>1073</v>
      </c>
      <c r="D903" s="488">
        <v>383</v>
      </c>
      <c r="E903" s="489">
        <v>41</v>
      </c>
      <c r="F903" s="325">
        <v>0</v>
      </c>
      <c r="G903" s="454"/>
      <c r="H903" s="454"/>
      <c r="I903" s="473"/>
      <c r="J903" s="279">
        <v>2900</v>
      </c>
      <c r="K903" s="279">
        <f t="shared" si="40"/>
        <v>424</v>
      </c>
      <c r="L903" s="176">
        <f>I903*PRP!$J$8+J903*PRP!$J$9+K903*PRP!$J$10</f>
        <v>202172</v>
      </c>
      <c r="M903" s="171"/>
      <c r="N903" s="171"/>
      <c r="O903" s="171"/>
      <c r="P903" s="171"/>
      <c r="Q903" s="171"/>
      <c r="S903" s="282" t="s">
        <v>1134</v>
      </c>
    </row>
    <row r="904" spans="2:19">
      <c r="B904" s="117" t="s">
        <v>1074</v>
      </c>
      <c r="C904" s="480" t="s">
        <v>1075</v>
      </c>
      <c r="D904" s="488">
        <v>57</v>
      </c>
      <c r="E904" s="489">
        <v>43</v>
      </c>
      <c r="F904" s="325">
        <v>0.7</v>
      </c>
      <c r="G904" s="454"/>
      <c r="H904" s="454"/>
      <c r="I904" s="473"/>
      <c r="J904" s="279">
        <v>7000</v>
      </c>
      <c r="K904" s="279">
        <f t="shared" si="40"/>
        <v>100.7</v>
      </c>
      <c r="L904" s="176">
        <f>I904*PRP!$J$8+J904*PRP!$J$9+K904*PRP!$J$10</f>
        <v>236091.1</v>
      </c>
      <c r="M904" s="171"/>
      <c r="N904" s="171"/>
      <c r="O904" s="171"/>
      <c r="P904" s="171"/>
      <c r="Q904" s="171"/>
      <c r="S904" s="282" t="s">
        <v>1135</v>
      </c>
    </row>
    <row r="905" spans="2:19">
      <c r="B905" s="117" t="s">
        <v>1076</v>
      </c>
      <c r="C905" s="480" t="s">
        <v>1077</v>
      </c>
      <c r="D905" s="488">
        <v>24</v>
      </c>
      <c r="E905" s="489">
        <v>48</v>
      </c>
      <c r="F905" s="325">
        <v>0.1</v>
      </c>
      <c r="G905" s="454"/>
      <c r="H905" s="454"/>
      <c r="I905" s="473"/>
      <c r="J905" s="279">
        <v>7000</v>
      </c>
      <c r="K905" s="279">
        <f t="shared" si="40"/>
        <v>72.099999999999994</v>
      </c>
      <c r="L905" s="176">
        <f>I905*PRP!$J$8+J905*PRP!$J$9+K905*PRP!$J$10</f>
        <v>228283.3</v>
      </c>
      <c r="M905" s="171"/>
      <c r="N905" s="171"/>
      <c r="O905" s="171"/>
      <c r="P905" s="171"/>
      <c r="Q905" s="171"/>
      <c r="S905" s="282" t="s">
        <v>1135</v>
      </c>
    </row>
    <row r="906" spans="2:19">
      <c r="B906" s="117" t="s">
        <v>1078</v>
      </c>
      <c r="C906" s="480" t="s">
        <v>1079</v>
      </c>
      <c r="D906" s="488">
        <v>2</v>
      </c>
      <c r="E906" s="489">
        <v>4</v>
      </c>
      <c r="F906" s="325">
        <v>0.01</v>
      </c>
      <c r="G906" s="454"/>
      <c r="H906" s="454"/>
      <c r="I906" s="473"/>
      <c r="J906" s="279">
        <v>2200</v>
      </c>
      <c r="K906" s="279">
        <f t="shared" si="40"/>
        <v>6.01</v>
      </c>
      <c r="L906" s="176">
        <f>I906*PRP!$J$8+J906*PRP!$J$9+K906*PRP!$J$10</f>
        <v>67200.73</v>
      </c>
      <c r="M906" s="171"/>
      <c r="N906" s="171"/>
      <c r="O906" s="171"/>
      <c r="P906" s="171"/>
      <c r="Q906" s="171"/>
      <c r="S906" s="282" t="s">
        <v>1135</v>
      </c>
    </row>
    <row r="907" spans="2:19">
      <c r="B907" s="117" t="s">
        <v>1080</v>
      </c>
      <c r="C907" s="480" t="s">
        <v>1081</v>
      </c>
      <c r="D907" s="488">
        <v>9</v>
      </c>
      <c r="E907" s="489">
        <v>17</v>
      </c>
      <c r="F907" s="325">
        <v>0.1</v>
      </c>
      <c r="G907" s="454"/>
      <c r="H907" s="454"/>
      <c r="I907" s="473"/>
      <c r="J907" s="279">
        <v>4200</v>
      </c>
      <c r="K907" s="279">
        <f t="shared" si="40"/>
        <v>26.1</v>
      </c>
      <c r="L907" s="176">
        <f>I907*PRP!$J$8+J907*PRP!$J$9+K907*PRP!$J$10</f>
        <v>132285.29999999999</v>
      </c>
      <c r="M907" s="171"/>
      <c r="N907" s="171"/>
      <c r="O907" s="171"/>
      <c r="P907" s="171"/>
      <c r="Q907" s="171"/>
      <c r="S907" s="282" t="s">
        <v>1135</v>
      </c>
    </row>
    <row r="908" spans="2:19">
      <c r="B908" s="117" t="s">
        <v>1082</v>
      </c>
      <c r="C908" s="480" t="s">
        <v>1083</v>
      </c>
      <c r="D908" s="488">
        <v>23</v>
      </c>
      <c r="E908" s="489">
        <v>41</v>
      </c>
      <c r="F908" s="325">
        <v>0.2</v>
      </c>
      <c r="G908" s="454"/>
      <c r="H908" s="454"/>
      <c r="I908" s="473"/>
      <c r="J908" s="279">
        <v>9400</v>
      </c>
      <c r="K908" s="279">
        <f t="shared" si="40"/>
        <v>64.2</v>
      </c>
      <c r="L908" s="176">
        <f>I908*PRP!$J$8+J908*PRP!$J$9+K908*PRP!$J$10</f>
        <v>297646.59999999998</v>
      </c>
      <c r="M908" s="171"/>
      <c r="N908" s="171"/>
      <c r="O908" s="171"/>
      <c r="P908" s="171"/>
      <c r="Q908" s="171"/>
      <c r="S908" s="282" t="s">
        <v>1135</v>
      </c>
    </row>
    <row r="909" spans="2:19">
      <c r="B909" s="117" t="s">
        <v>1084</v>
      </c>
      <c r="C909" s="480" t="s">
        <v>1085</v>
      </c>
      <c r="D909" s="488">
        <v>44</v>
      </c>
      <c r="E909" s="279">
        <v>3</v>
      </c>
      <c r="F909" s="325">
        <v>0</v>
      </c>
      <c r="G909" s="454"/>
      <c r="H909" s="454"/>
      <c r="I909" s="473"/>
      <c r="J909" s="279">
        <v>330</v>
      </c>
      <c r="K909" s="279">
        <f t="shared" si="40"/>
        <v>47</v>
      </c>
      <c r="L909" s="176">
        <f>I909*PRP!$J$8+J909*PRP!$J$9+K909*PRP!$J$10</f>
        <v>22665</v>
      </c>
      <c r="M909" s="171"/>
      <c r="N909" s="171"/>
      <c r="O909" s="171"/>
      <c r="P909" s="171"/>
      <c r="Q909" s="171"/>
      <c r="S909" s="282" t="s">
        <v>1136</v>
      </c>
    </row>
    <row r="910" spans="2:19">
      <c r="B910" s="117" t="s">
        <v>1086</v>
      </c>
      <c r="C910" s="480" t="s">
        <v>1087</v>
      </c>
      <c r="D910" s="488">
        <v>42</v>
      </c>
      <c r="E910" s="279">
        <v>3</v>
      </c>
      <c r="F910" s="325">
        <v>0</v>
      </c>
      <c r="G910" s="454"/>
      <c r="H910" s="454"/>
      <c r="I910" s="473"/>
      <c r="J910" s="279">
        <v>220</v>
      </c>
      <c r="K910" s="279">
        <f t="shared" si="40"/>
        <v>45</v>
      </c>
      <c r="L910" s="176">
        <f>I910*PRP!$J$8+J910*PRP!$J$9+K910*PRP!$J$10</f>
        <v>18841</v>
      </c>
      <c r="M910" s="171"/>
      <c r="N910" s="171"/>
      <c r="O910" s="171"/>
      <c r="P910" s="171"/>
      <c r="Q910" s="171"/>
      <c r="S910" s="282" t="s">
        <v>1136</v>
      </c>
    </row>
    <row r="911" spans="2:19">
      <c r="B911" s="117" t="s">
        <v>1088</v>
      </c>
      <c r="C911" s="480" t="s">
        <v>1089</v>
      </c>
      <c r="D911" s="488">
        <v>135</v>
      </c>
      <c r="E911" s="279">
        <v>10</v>
      </c>
      <c r="F911" s="325">
        <v>0</v>
      </c>
      <c r="G911" s="477"/>
      <c r="H911" s="454"/>
      <c r="I911" s="473"/>
      <c r="J911" s="279">
        <v>320</v>
      </c>
      <c r="K911" s="279">
        <f t="shared" si="40"/>
        <v>145</v>
      </c>
      <c r="L911" s="176">
        <f>I911*PRP!$J$8+J911*PRP!$J$9+K911*PRP!$J$10</f>
        <v>49121</v>
      </c>
      <c r="M911" s="171"/>
      <c r="N911" s="171"/>
      <c r="O911" s="171"/>
      <c r="P911" s="171"/>
      <c r="Q911" s="171"/>
      <c r="S911" s="282" t="s">
        <v>1136</v>
      </c>
    </row>
    <row r="912" spans="2:19">
      <c r="B912" s="117" t="s">
        <v>1090</v>
      </c>
      <c r="C912" s="480" t="s">
        <v>1091</v>
      </c>
      <c r="D912" s="488">
        <v>486</v>
      </c>
      <c r="E912" s="279">
        <v>29</v>
      </c>
      <c r="F912" s="325">
        <v>0</v>
      </c>
      <c r="G912" s="477"/>
      <c r="H912" s="454"/>
      <c r="I912" s="473"/>
      <c r="J912" s="279">
        <v>2600</v>
      </c>
      <c r="K912" s="279">
        <f t="shared" si="40"/>
        <v>515</v>
      </c>
      <c r="L912" s="176">
        <f>I912*PRP!$J$8+J912*PRP!$J$9+K912*PRP!$J$10</f>
        <v>218075</v>
      </c>
      <c r="M912" s="171"/>
      <c r="N912" s="171"/>
      <c r="O912" s="171"/>
      <c r="P912" s="171"/>
      <c r="Q912" s="171"/>
      <c r="S912" s="282" t="s">
        <v>1136</v>
      </c>
    </row>
    <row r="913" spans="1:19">
      <c r="B913" s="117" t="s">
        <v>1092</v>
      </c>
      <c r="C913" s="480" t="s">
        <v>1137</v>
      </c>
      <c r="D913" s="488">
        <v>990</v>
      </c>
      <c r="E913" s="279">
        <v>85</v>
      </c>
      <c r="F913" s="325">
        <v>0</v>
      </c>
      <c r="G913" s="477"/>
      <c r="H913" s="454"/>
      <c r="I913" s="473"/>
      <c r="J913" s="279">
        <v>2100</v>
      </c>
      <c r="K913" s="279">
        <f t="shared" si="40"/>
        <v>1075</v>
      </c>
      <c r="L913" s="176">
        <f>I913*PRP!$J$8+J913*PRP!$J$9+K913*PRP!$J$10</f>
        <v>356055</v>
      </c>
      <c r="M913" s="171"/>
      <c r="N913" s="171"/>
      <c r="O913" s="171"/>
      <c r="P913" s="171"/>
      <c r="Q913" s="171"/>
      <c r="S913" s="282" t="s">
        <v>1136</v>
      </c>
    </row>
    <row r="914" spans="1:19">
      <c r="B914" s="117" t="s">
        <v>1094</v>
      </c>
      <c r="C914" s="480" t="s">
        <v>1095</v>
      </c>
      <c r="D914" s="488">
        <v>163</v>
      </c>
      <c r="E914" s="279">
        <v>12</v>
      </c>
      <c r="F914" s="325">
        <v>0</v>
      </c>
      <c r="G914" s="477"/>
      <c r="H914" s="454"/>
      <c r="I914" s="473"/>
      <c r="J914" s="482">
        <f>J909</f>
        <v>330</v>
      </c>
      <c r="K914" s="279">
        <f t="shared" si="40"/>
        <v>175</v>
      </c>
      <c r="L914" s="176">
        <f>I914*PRP!$J$8+J914*PRP!$J$9+K914*PRP!$J$10</f>
        <v>57609</v>
      </c>
      <c r="M914" s="171"/>
      <c r="N914" s="171"/>
      <c r="O914" s="171"/>
      <c r="P914" s="171"/>
      <c r="Q914" s="171"/>
      <c r="S914" s="483" t="s">
        <v>1138</v>
      </c>
    </row>
    <row r="915" spans="1:19">
      <c r="B915" s="117" t="s">
        <v>1096</v>
      </c>
      <c r="C915" s="480" t="s">
        <v>1097</v>
      </c>
      <c r="D915" s="488">
        <v>216</v>
      </c>
      <c r="E915" s="279">
        <f>AVERAGE(20,41)</f>
        <v>30.5</v>
      </c>
      <c r="F915" s="325">
        <v>0</v>
      </c>
      <c r="G915" s="477"/>
      <c r="H915" s="454"/>
      <c r="I915" s="473"/>
      <c r="J915" s="279">
        <v>220</v>
      </c>
      <c r="K915" s="279">
        <f t="shared" si="40"/>
        <v>246.5</v>
      </c>
      <c r="L915" s="176">
        <f>I915*PRP!$J$8+J915*PRP!$J$9+K915*PRP!$J$10</f>
        <v>73850.5</v>
      </c>
      <c r="M915" s="171"/>
      <c r="N915" s="171"/>
      <c r="O915" s="171"/>
      <c r="P915" s="171"/>
      <c r="Q915" s="171"/>
      <c r="S915" s="282" t="s">
        <v>1136</v>
      </c>
    </row>
    <row r="916" spans="1:19">
      <c r="B916" s="117" t="s">
        <v>1098</v>
      </c>
      <c r="C916" s="480" t="s">
        <v>1099</v>
      </c>
      <c r="D916" s="488">
        <v>280</v>
      </c>
      <c r="E916" s="279">
        <v>46</v>
      </c>
      <c r="F916" s="325">
        <v>0</v>
      </c>
      <c r="G916" s="477"/>
      <c r="H916" s="454"/>
      <c r="I916" s="473"/>
      <c r="J916" s="279">
        <v>560</v>
      </c>
      <c r="K916" s="279">
        <f t="shared" si="40"/>
        <v>326</v>
      </c>
      <c r="L916" s="176">
        <f>I916*PRP!$J$8+J916*PRP!$J$9+K916*PRP!$J$10</f>
        <v>105686</v>
      </c>
      <c r="M916" s="171"/>
      <c r="N916" s="171"/>
      <c r="O916" s="171"/>
      <c r="P916" s="171"/>
      <c r="Q916" s="171"/>
      <c r="S916" s="282" t="s">
        <v>1136</v>
      </c>
    </row>
    <row r="917" spans="1:19">
      <c r="B917" s="117" t="s">
        <v>1100</v>
      </c>
      <c r="C917" s="480" t="s">
        <v>1101</v>
      </c>
      <c r="D917" s="488">
        <v>265</v>
      </c>
      <c r="E917" s="279">
        <v>16</v>
      </c>
      <c r="F917" s="325">
        <v>0</v>
      </c>
      <c r="G917" s="477"/>
      <c r="H917" s="454"/>
      <c r="I917" s="473"/>
      <c r="J917" s="279">
        <v>760</v>
      </c>
      <c r="K917" s="279">
        <f t="shared" si="40"/>
        <v>281</v>
      </c>
      <c r="L917" s="176">
        <f>I917*PRP!$J$8+J917*PRP!$J$9+K917*PRP!$J$10</f>
        <v>99361</v>
      </c>
      <c r="M917" s="171"/>
      <c r="N917" s="171"/>
      <c r="O917" s="171"/>
      <c r="P917" s="171"/>
      <c r="Q917" s="171"/>
      <c r="S917" s="282" t="s">
        <v>1136</v>
      </c>
    </row>
    <row r="918" spans="1:19">
      <c r="B918" s="117" t="s">
        <v>1102</v>
      </c>
      <c r="C918" s="480" t="s">
        <v>1103</v>
      </c>
      <c r="D918" s="488">
        <v>250</v>
      </c>
      <c r="E918" s="279">
        <v>21</v>
      </c>
      <c r="F918" s="325">
        <v>0</v>
      </c>
      <c r="G918" s="477"/>
      <c r="H918" s="454"/>
      <c r="I918" s="473"/>
      <c r="J918" s="279">
        <v>680</v>
      </c>
      <c r="K918" s="279">
        <f t="shared" si="40"/>
        <v>271</v>
      </c>
      <c r="L918" s="176">
        <f>I918*PRP!$J$8+J918*PRP!$J$9+K918*PRP!$J$10</f>
        <v>94247</v>
      </c>
      <c r="M918" s="171"/>
      <c r="N918" s="171"/>
      <c r="O918" s="171"/>
      <c r="P918" s="171"/>
      <c r="Q918" s="171"/>
      <c r="S918" s="282" t="s">
        <v>1136</v>
      </c>
    </row>
    <row r="919" spans="1:19">
      <c r="B919" s="117" t="s">
        <v>1104</v>
      </c>
      <c r="C919" s="480" t="s">
        <v>1105</v>
      </c>
      <c r="D919" s="488">
        <v>95</v>
      </c>
      <c r="E919" s="279">
        <v>8</v>
      </c>
      <c r="F919" s="325">
        <v>0</v>
      </c>
      <c r="G919" s="477"/>
      <c r="H919" s="454"/>
      <c r="I919" s="473"/>
      <c r="J919" s="279">
        <v>680</v>
      </c>
      <c r="K919" s="279">
        <f t="shared" si="40"/>
        <v>103</v>
      </c>
      <c r="L919" s="176">
        <f>I919*PRP!$J$8+J919*PRP!$J$9+K919*PRP!$J$10</f>
        <v>48383</v>
      </c>
      <c r="M919" s="171"/>
      <c r="N919" s="171"/>
      <c r="O919" s="171"/>
      <c r="P919" s="171"/>
      <c r="Q919" s="171"/>
      <c r="S919" s="282" t="s">
        <v>1136</v>
      </c>
    </row>
    <row r="920" spans="1:19">
      <c r="B920" s="117" t="s">
        <v>1106</v>
      </c>
      <c r="C920" s="480" t="s">
        <v>1107</v>
      </c>
      <c r="D920" s="488">
        <v>149</v>
      </c>
      <c r="E920" s="279">
        <v>31</v>
      </c>
      <c r="F920" s="325">
        <v>0</v>
      </c>
      <c r="G920" s="477"/>
      <c r="H920" s="454"/>
      <c r="I920" s="473"/>
      <c r="J920" s="279">
        <v>80</v>
      </c>
      <c r="K920" s="279">
        <f t="shared" si="40"/>
        <v>180</v>
      </c>
      <c r="L920" s="176">
        <f>I920*PRP!$J$8+J920*PRP!$J$9+K920*PRP!$J$10</f>
        <v>51524</v>
      </c>
      <c r="M920" s="171"/>
      <c r="N920" s="171"/>
      <c r="O920" s="171"/>
      <c r="P920" s="171"/>
      <c r="Q920" s="171"/>
      <c r="S920" s="282" t="s">
        <v>1136</v>
      </c>
    </row>
    <row r="921" spans="1:19">
      <c r="B921" s="117" t="s">
        <v>1108</v>
      </c>
      <c r="C921" s="480" t="s">
        <v>1109</v>
      </c>
      <c r="D921" s="488">
        <v>6</v>
      </c>
      <c r="E921" s="279">
        <v>2</v>
      </c>
      <c r="F921" s="325">
        <v>0</v>
      </c>
      <c r="G921" s="454"/>
      <c r="H921" s="454"/>
      <c r="I921" s="473"/>
      <c r="J921" s="279">
        <v>30</v>
      </c>
      <c r="K921" s="279">
        <f t="shared" si="40"/>
        <v>8</v>
      </c>
      <c r="L921" s="176">
        <f>I921*PRP!$J$8+J921*PRP!$J$9+K921*PRP!$J$10</f>
        <v>3078</v>
      </c>
      <c r="M921" s="171"/>
      <c r="N921" s="171"/>
      <c r="O921" s="171"/>
      <c r="P921" s="171"/>
      <c r="Q921" s="171"/>
      <c r="S921" s="282" t="s">
        <v>1136</v>
      </c>
    </row>
    <row r="922" spans="1:19">
      <c r="B922" s="117" t="s">
        <v>1110</v>
      </c>
      <c r="C922" s="480" t="s">
        <v>1111</v>
      </c>
      <c r="D922" s="488">
        <v>11</v>
      </c>
      <c r="E922" s="279">
        <v>3</v>
      </c>
      <c r="F922" s="325">
        <v>0</v>
      </c>
      <c r="G922" s="454"/>
      <c r="H922" s="454"/>
      <c r="I922" s="473"/>
      <c r="J922" s="482">
        <f>J921</f>
        <v>30</v>
      </c>
      <c r="K922" s="279">
        <f t="shared" si="40"/>
        <v>14</v>
      </c>
      <c r="L922" s="176">
        <f>I922*PRP!$J$8+J922*PRP!$J$9+K922*PRP!$J$10</f>
        <v>4716</v>
      </c>
      <c r="M922" s="171"/>
      <c r="N922" s="171"/>
      <c r="O922" s="171"/>
      <c r="P922" s="171"/>
      <c r="Q922" s="171"/>
      <c r="S922" s="483" t="s">
        <v>1139</v>
      </c>
    </row>
    <row r="923" spans="1:19">
      <c r="B923" s="117" t="s">
        <v>1113</v>
      </c>
      <c r="C923" s="480" t="s">
        <v>1114</v>
      </c>
      <c r="D923" s="488">
        <v>13</v>
      </c>
      <c r="E923" s="279">
        <v>4</v>
      </c>
      <c r="F923" s="325">
        <v>0</v>
      </c>
      <c r="G923" s="454"/>
      <c r="H923" s="454"/>
      <c r="I923" s="473"/>
      <c r="J923" s="279">
        <v>110</v>
      </c>
      <c r="K923" s="279">
        <f t="shared" si="40"/>
        <v>17</v>
      </c>
      <c r="L923" s="176">
        <f>I923*PRP!$J$8+J923*PRP!$J$9+K923*PRP!$J$10</f>
        <v>7919</v>
      </c>
      <c r="M923" s="171"/>
      <c r="N923" s="171"/>
      <c r="O923" s="171"/>
      <c r="P923" s="171"/>
      <c r="Q923" s="171"/>
      <c r="S923" s="282" t="s">
        <v>1136</v>
      </c>
    </row>
    <row r="924" spans="1:19">
      <c r="B924" s="117" t="s">
        <v>1115</v>
      </c>
      <c r="C924" s="480" t="s">
        <v>1116</v>
      </c>
      <c r="D924" s="488">
        <v>54</v>
      </c>
      <c r="E924" s="279">
        <v>16</v>
      </c>
      <c r="F924" s="325">
        <v>0</v>
      </c>
      <c r="G924" s="454"/>
      <c r="H924" s="454"/>
      <c r="I924" s="473"/>
      <c r="J924" s="279">
        <v>100</v>
      </c>
      <c r="K924" s="279">
        <f t="shared" si="40"/>
        <v>70</v>
      </c>
      <c r="L924" s="176">
        <f>I924*PRP!$J$8+J924*PRP!$J$9+K924*PRP!$J$10</f>
        <v>22090</v>
      </c>
      <c r="M924" s="171"/>
      <c r="N924" s="171"/>
      <c r="O924" s="171"/>
      <c r="P924" s="171"/>
      <c r="Q924" s="171"/>
      <c r="S924" s="282" t="s">
        <v>1136</v>
      </c>
    </row>
    <row r="925" spans="1:19" ht="15.75" thickBot="1">
      <c r="B925" s="248"/>
      <c r="C925" s="480"/>
      <c r="D925" s="117"/>
      <c r="E925" s="455"/>
      <c r="F925" s="456"/>
      <c r="G925" s="454"/>
      <c r="H925" s="454"/>
      <c r="I925" s="473"/>
      <c r="J925" s="279"/>
      <c r="K925" s="279"/>
      <c r="L925" s="176"/>
      <c r="M925" s="171"/>
      <c r="N925" s="171"/>
      <c r="O925" s="171"/>
      <c r="P925" s="171"/>
      <c r="Q925" s="171"/>
      <c r="S925" s="282"/>
    </row>
    <row r="926" spans="1:19" ht="15.75" thickBot="1">
      <c r="A926" s="86"/>
      <c r="B926" s="447"/>
      <c r="C926" s="447"/>
      <c r="D926" s="447"/>
      <c r="E926" s="447"/>
      <c r="F926" s="447"/>
      <c r="G926" s="447"/>
      <c r="H926" s="447"/>
      <c r="I926" s="447"/>
      <c r="J926" s="447"/>
      <c r="K926" s="447"/>
      <c r="L926" s="447"/>
      <c r="M926" s="447"/>
      <c r="N926" s="447"/>
      <c r="O926" s="447"/>
      <c r="P926" s="447"/>
      <c r="Q926" s="447"/>
      <c r="S926" s="448"/>
    </row>
    <row r="927" spans="1:19" ht="19.5" thickBot="1">
      <c r="A927" s="86"/>
      <c r="B927" s="148" t="s">
        <v>1140</v>
      </c>
      <c r="C927" s="149"/>
      <c r="D927" s="149"/>
      <c r="E927" s="149"/>
      <c r="F927" s="149"/>
      <c r="G927" s="149"/>
      <c r="H927" s="150"/>
      <c r="I927" s="151" t="s">
        <v>154</v>
      </c>
      <c r="J927" s="330"/>
      <c r="K927" s="330"/>
      <c r="L927" s="152" t="s">
        <v>155</v>
      </c>
      <c r="M927" s="153"/>
      <c r="N927" s="153"/>
      <c r="O927" s="153"/>
      <c r="P927" s="153"/>
      <c r="Q927" s="153"/>
      <c r="R927" s="90"/>
      <c r="S927" s="154" t="s">
        <v>156</v>
      </c>
    </row>
    <row r="928" spans="1:19" s="438" customFormat="1">
      <c r="B928" s="1290" t="s">
        <v>1141</v>
      </c>
      <c r="C928" s="1293" t="s">
        <v>1142</v>
      </c>
      <c r="D928" s="1294"/>
      <c r="E928" s="1295"/>
      <c r="F928" s="1296" t="s">
        <v>1143</v>
      </c>
      <c r="G928" s="1297"/>
      <c r="H928" s="1298"/>
      <c r="I928" s="158"/>
      <c r="J928" s="97"/>
      <c r="K928" s="97"/>
      <c r="L928" s="98"/>
      <c r="M928" s="444"/>
      <c r="N928" s="444"/>
      <c r="O928" s="444"/>
      <c r="P928" s="444"/>
      <c r="Q928" s="444"/>
      <c r="S928" s="445" t="s">
        <v>154</v>
      </c>
    </row>
    <row r="929" spans="1:19" s="438" customFormat="1">
      <c r="B929" s="1292"/>
      <c r="C929" s="403" t="s">
        <v>1144</v>
      </c>
      <c r="D929" s="490" t="s">
        <v>1145</v>
      </c>
      <c r="E929" s="490" t="s">
        <v>1146</v>
      </c>
      <c r="F929" s="403" t="s">
        <v>1144</v>
      </c>
      <c r="G929" s="490" t="s">
        <v>1145</v>
      </c>
      <c r="H929" s="490" t="s">
        <v>1146</v>
      </c>
      <c r="I929" s="408" t="s">
        <v>1147</v>
      </c>
      <c r="J929" s="491" t="s">
        <v>1148</v>
      </c>
      <c r="K929" s="491" t="s">
        <v>1149</v>
      </c>
      <c r="L929" s="410" t="s">
        <v>1150</v>
      </c>
      <c r="M929" s="444"/>
      <c r="N929" s="444"/>
      <c r="O929" s="444"/>
      <c r="P929" s="444"/>
      <c r="Q929" s="444"/>
      <c r="S929" s="492"/>
    </row>
    <row r="930" spans="1:19" ht="16.5" customHeight="1">
      <c r="B930" s="1291"/>
      <c r="C930" s="163" t="s">
        <v>1151</v>
      </c>
      <c r="D930" s="163" t="s">
        <v>1151</v>
      </c>
      <c r="E930" s="163" t="s">
        <v>1151</v>
      </c>
      <c r="F930" s="163" t="s">
        <v>1151</v>
      </c>
      <c r="G930" s="163" t="s">
        <v>1151</v>
      </c>
      <c r="H930" s="163" t="s">
        <v>1151</v>
      </c>
      <c r="I930" s="493" t="s">
        <v>1152</v>
      </c>
      <c r="J930" s="163" t="s">
        <v>1153</v>
      </c>
      <c r="K930" s="163" t="s">
        <v>1151</v>
      </c>
      <c r="L930" s="494" t="s">
        <v>1154</v>
      </c>
      <c r="M930" s="159"/>
      <c r="N930" s="159"/>
      <c r="O930" s="159"/>
      <c r="P930" s="159"/>
      <c r="Q930" s="159"/>
      <c r="S930" s="165" t="s">
        <v>154</v>
      </c>
    </row>
    <row r="931" spans="1:19">
      <c r="B931" s="117" t="s">
        <v>1155</v>
      </c>
      <c r="C931" s="429">
        <v>9.4</v>
      </c>
      <c r="D931" s="488">
        <v>2.4</v>
      </c>
      <c r="E931" s="279">
        <v>3.4</v>
      </c>
      <c r="F931" s="325"/>
      <c r="G931" s="495">
        <v>4.5999999999999996</v>
      </c>
      <c r="H931" s="495">
        <v>3.5</v>
      </c>
      <c r="I931" s="473"/>
      <c r="J931" s="485"/>
      <c r="K931" s="279">
        <f>SUM(C931:E931)</f>
        <v>15.200000000000001</v>
      </c>
      <c r="L931" s="658">
        <f>I931*PRP!$J$8+J931*PRP!$J$9+K931*PRP!$J$10</f>
        <v>4149.6000000000004</v>
      </c>
      <c r="M931" s="171"/>
      <c r="N931" s="171"/>
      <c r="O931" s="171"/>
      <c r="P931" s="171"/>
      <c r="Q931" s="171"/>
      <c r="S931" s="282" t="s">
        <v>1125</v>
      </c>
    </row>
    <row r="932" spans="1:19">
      <c r="B932" s="117" t="s">
        <v>1156</v>
      </c>
      <c r="C932" s="117"/>
      <c r="D932" s="488"/>
      <c r="E932" s="279"/>
      <c r="F932" s="325">
        <v>23</v>
      </c>
      <c r="G932" s="495">
        <v>1.4E-2</v>
      </c>
      <c r="H932" s="496">
        <v>3.4</v>
      </c>
      <c r="I932" s="473"/>
      <c r="J932" s="485"/>
      <c r="K932" s="279">
        <f>SUM(F932:H932)</f>
        <v>26.413999999999998</v>
      </c>
      <c r="L932" s="658">
        <f>I932*PRP!$J$8+J932*PRP!$J$9+K932*PRP!$J$10</f>
        <v>7211.021999999999</v>
      </c>
      <c r="M932" s="171"/>
      <c r="N932" s="171"/>
      <c r="O932" s="171"/>
      <c r="P932" s="171"/>
      <c r="Q932" s="171"/>
      <c r="S932" s="282" t="s">
        <v>1125</v>
      </c>
    </row>
    <row r="933" spans="1:19">
      <c r="B933" s="117" t="s">
        <v>1157</v>
      </c>
      <c r="C933" s="429"/>
      <c r="D933" s="488"/>
      <c r="E933" s="279"/>
      <c r="F933" s="325">
        <v>23</v>
      </c>
      <c r="G933" s="495">
        <v>1.4E-2</v>
      </c>
      <c r="H933" s="495">
        <v>3.4</v>
      </c>
      <c r="I933" s="473"/>
      <c r="J933" s="485"/>
      <c r="K933" s="279">
        <f>SUM(F933:H933)</f>
        <v>26.413999999999998</v>
      </c>
      <c r="L933" s="658">
        <f>I933*PRP!$J$8+J933*PRP!$J$9+K933*PRP!$J$10</f>
        <v>7211.021999999999</v>
      </c>
      <c r="M933" s="171"/>
      <c r="N933" s="171"/>
      <c r="O933" s="171"/>
      <c r="P933" s="171"/>
      <c r="Q933" s="171"/>
      <c r="S933" s="282" t="s">
        <v>1125</v>
      </c>
    </row>
    <row r="934" spans="1:19">
      <c r="B934" s="117" t="s">
        <v>1158</v>
      </c>
      <c r="C934" s="429"/>
      <c r="D934" s="488"/>
      <c r="E934" s="279"/>
      <c r="F934" s="325">
        <v>30</v>
      </c>
      <c r="G934" s="495">
        <v>1.4E-2</v>
      </c>
      <c r="H934" s="495"/>
      <c r="I934" s="473"/>
      <c r="J934" s="485"/>
      <c r="K934" s="279">
        <f>SUM(F934:H934)</f>
        <v>30.013999999999999</v>
      </c>
      <c r="L934" s="658">
        <f>I934*PRP!$J$8+J934*PRP!$J$9+K934*PRP!$J$10</f>
        <v>8193.8220000000001</v>
      </c>
      <c r="M934" s="171"/>
      <c r="N934" s="171"/>
      <c r="O934" s="171"/>
      <c r="P934" s="171"/>
      <c r="Q934" s="171"/>
      <c r="S934" s="282" t="s">
        <v>1125</v>
      </c>
    </row>
    <row r="935" spans="1:19" ht="15.75" thickBot="1">
      <c r="B935" s="248"/>
      <c r="C935" s="497"/>
      <c r="D935" s="117"/>
      <c r="E935" s="279"/>
      <c r="F935" s="325"/>
      <c r="G935" s="495"/>
      <c r="H935" s="495"/>
      <c r="I935" s="473"/>
      <c r="J935" s="279"/>
      <c r="K935" s="279"/>
      <c r="L935" s="176"/>
      <c r="M935" s="171"/>
      <c r="N935" s="171"/>
      <c r="O935" s="171"/>
      <c r="P935" s="171"/>
      <c r="Q935" s="171"/>
      <c r="S935" s="282"/>
    </row>
    <row r="936" spans="1:19" ht="15.75" thickBot="1">
      <c r="A936" s="86"/>
      <c r="B936" s="447"/>
      <c r="C936" s="447"/>
      <c r="D936" s="447"/>
      <c r="E936" s="447"/>
      <c r="F936" s="447"/>
      <c r="G936" s="447"/>
      <c r="H936" s="447"/>
      <c r="I936" s="447"/>
      <c r="J936" s="447"/>
      <c r="K936" s="447"/>
      <c r="L936" s="447"/>
      <c r="M936" s="447"/>
      <c r="N936" s="447"/>
      <c r="O936" s="447"/>
      <c r="P936" s="447"/>
      <c r="Q936" s="447"/>
      <c r="S936" s="448"/>
    </row>
    <row r="937" spans="1:19" ht="19.5" thickBot="1">
      <c r="A937" s="86"/>
      <c r="B937" s="148" t="s">
        <v>1159</v>
      </c>
      <c r="C937" s="149"/>
      <c r="D937" s="149"/>
      <c r="E937" s="149"/>
      <c r="F937" s="149"/>
      <c r="G937" s="149"/>
      <c r="H937" s="150"/>
      <c r="I937" s="151" t="s">
        <v>154</v>
      </c>
      <c r="J937" s="330"/>
      <c r="K937" s="330"/>
      <c r="L937" s="152" t="s">
        <v>155</v>
      </c>
      <c r="M937" s="153"/>
      <c r="N937" s="153"/>
      <c r="O937" s="153"/>
      <c r="P937" s="153"/>
      <c r="Q937" s="153"/>
      <c r="R937" s="90"/>
      <c r="S937" s="154" t="s">
        <v>156</v>
      </c>
    </row>
    <row r="938" spans="1:19" s="438" customFormat="1">
      <c r="B938" s="1290" t="s">
        <v>1160</v>
      </c>
      <c r="C938" s="94"/>
      <c r="D938" s="366"/>
      <c r="E938" s="366"/>
      <c r="F938" s="94"/>
      <c r="G938" s="366"/>
      <c r="H938" s="366"/>
      <c r="I938" s="158" t="s">
        <v>1147</v>
      </c>
      <c r="J938" s="97" t="s">
        <v>1148</v>
      </c>
      <c r="K938" s="97" t="s">
        <v>1149</v>
      </c>
      <c r="L938" s="98" t="s">
        <v>1150</v>
      </c>
      <c r="M938" s="444"/>
      <c r="N938" s="444"/>
      <c r="O938" s="444"/>
      <c r="P938" s="444"/>
      <c r="Q938" s="444"/>
      <c r="S938" s="492"/>
    </row>
    <row r="939" spans="1:19" ht="16.5" customHeight="1">
      <c r="B939" s="1291"/>
      <c r="C939" s="163"/>
      <c r="D939" s="163"/>
      <c r="E939" s="163"/>
      <c r="F939" s="163"/>
      <c r="G939" s="163"/>
      <c r="H939" s="163"/>
      <c r="I939" s="493" t="s">
        <v>1119</v>
      </c>
      <c r="J939" s="163" t="s">
        <v>1120</v>
      </c>
      <c r="K939" s="163" t="s">
        <v>1161</v>
      </c>
      <c r="L939" s="494" t="s">
        <v>1122</v>
      </c>
      <c r="M939" s="159"/>
      <c r="N939" s="159"/>
      <c r="O939" s="159"/>
      <c r="P939" s="159"/>
      <c r="Q939" s="159"/>
      <c r="S939" s="165" t="s">
        <v>154</v>
      </c>
    </row>
    <row r="940" spans="1:19">
      <c r="B940" s="117" t="s">
        <v>1162</v>
      </c>
      <c r="C940" s="429"/>
      <c r="D940" s="488"/>
      <c r="E940" s="279"/>
      <c r="F940" s="325"/>
      <c r="G940" s="495"/>
      <c r="H940" s="495"/>
      <c r="I940" s="498">
        <f>130*($C$1079/$C$1075)</f>
        <v>476.32753309466324</v>
      </c>
      <c r="J940" s="388"/>
      <c r="K940" s="388"/>
      <c r="L940" s="499">
        <f>I940*PRP!$J$8+J940*PRP!$J$9+K940*PRP!$J$10</f>
        <v>476.32753309466324</v>
      </c>
      <c r="M940" s="171"/>
      <c r="N940" s="171"/>
      <c r="O940" s="171"/>
      <c r="P940" s="171"/>
      <c r="Q940" s="171"/>
      <c r="S940" s="282" t="s">
        <v>1125</v>
      </c>
    </row>
    <row r="941" spans="1:19">
      <c r="B941" s="117" t="s">
        <v>1163</v>
      </c>
      <c r="C941" s="429"/>
      <c r="D941" s="488"/>
      <c r="E941" s="489"/>
      <c r="F941" s="325"/>
      <c r="G941" s="495"/>
      <c r="H941" s="495"/>
      <c r="I941" s="498">
        <f>120*($C$1079/$C$1075)</f>
        <v>439.68695362584299</v>
      </c>
      <c r="J941" s="388"/>
      <c r="K941" s="388"/>
      <c r="L941" s="499">
        <f>I941*PRP!$J$8+J941*PRP!$J$9+K941*PRP!$J$10</f>
        <v>439.68695362584299</v>
      </c>
      <c r="M941" s="171"/>
      <c r="N941" s="171"/>
      <c r="O941" s="171"/>
      <c r="P941" s="171"/>
      <c r="Q941" s="171"/>
      <c r="S941" s="282" t="s">
        <v>1125</v>
      </c>
    </row>
    <row r="942" spans="1:19">
      <c r="B942" s="117" t="s">
        <v>1164</v>
      </c>
      <c r="C942" s="429"/>
      <c r="D942" s="488"/>
      <c r="E942" s="489"/>
      <c r="F942" s="325"/>
      <c r="G942" s="495"/>
      <c r="H942" s="495"/>
      <c r="I942" s="498">
        <f>200*($C$1079/$C$1075)</f>
        <v>732.81158937640498</v>
      </c>
      <c r="J942" s="388"/>
      <c r="K942" s="388"/>
      <c r="L942" s="499">
        <f>I942*PRP!$J$8+J942*PRP!$J$9+K942*PRP!$J$10</f>
        <v>732.81158937640498</v>
      </c>
      <c r="M942" s="171"/>
      <c r="N942" s="171"/>
      <c r="O942" s="171"/>
      <c r="P942" s="171"/>
      <c r="Q942" s="171"/>
      <c r="S942" s="282" t="s">
        <v>1125</v>
      </c>
    </row>
    <row r="943" spans="1:19" ht="15.75" thickBot="1">
      <c r="B943" s="248"/>
      <c r="C943" s="497"/>
      <c r="D943" s="117"/>
      <c r="E943" s="279"/>
      <c r="F943" s="325"/>
      <c r="G943" s="495"/>
      <c r="H943" s="495"/>
      <c r="I943" s="473"/>
      <c r="J943" s="279"/>
      <c r="K943" s="279"/>
      <c r="L943" s="176"/>
      <c r="M943" s="171"/>
      <c r="N943" s="171"/>
      <c r="O943" s="171"/>
      <c r="P943" s="171"/>
      <c r="Q943" s="171"/>
      <c r="S943" s="282"/>
    </row>
    <row r="944" spans="1:19" ht="15.75" thickBot="1">
      <c r="A944" s="86"/>
      <c r="B944" s="447"/>
      <c r="C944" s="447"/>
      <c r="D944" s="447"/>
      <c r="E944" s="447"/>
      <c r="F944" s="447"/>
      <c r="G944" s="447"/>
      <c r="H944" s="447"/>
      <c r="I944" s="447"/>
      <c r="J944" s="447"/>
      <c r="K944" s="447"/>
      <c r="L944" s="447"/>
      <c r="M944" s="447"/>
      <c r="N944" s="447"/>
      <c r="O944" s="447"/>
      <c r="P944" s="447"/>
      <c r="Q944" s="447"/>
      <c r="S944" s="448"/>
    </row>
    <row r="945" spans="1:19" ht="19.5" thickBot="1">
      <c r="A945" s="86"/>
      <c r="B945" s="148" t="s">
        <v>1165</v>
      </c>
      <c r="C945" s="149"/>
      <c r="D945" s="149"/>
      <c r="E945" s="149"/>
      <c r="F945" s="149"/>
      <c r="G945" s="149"/>
      <c r="H945" s="150"/>
      <c r="I945" s="151" t="s">
        <v>154</v>
      </c>
      <c r="J945" s="330"/>
      <c r="K945" s="330"/>
      <c r="L945" s="152" t="s">
        <v>155</v>
      </c>
      <c r="M945" s="153"/>
      <c r="N945" s="153"/>
      <c r="O945" s="153"/>
      <c r="P945" s="153"/>
      <c r="Q945" s="153"/>
      <c r="R945" s="90"/>
      <c r="S945" s="154" t="s">
        <v>156</v>
      </c>
    </row>
    <row r="946" spans="1:19" s="438" customFormat="1">
      <c r="B946" s="1290" t="s">
        <v>1160</v>
      </c>
      <c r="C946" s="94"/>
      <c r="D946" s="366"/>
      <c r="E946" s="366"/>
      <c r="F946" s="94"/>
      <c r="G946" s="366"/>
      <c r="H946" s="366"/>
      <c r="I946" s="158" t="s">
        <v>1147</v>
      </c>
      <c r="J946" s="97" t="s">
        <v>1148</v>
      </c>
      <c r="K946" s="97" t="s">
        <v>1149</v>
      </c>
      <c r="L946" s="98" t="s">
        <v>1150</v>
      </c>
      <c r="M946" s="444"/>
      <c r="N946" s="444"/>
      <c r="O946" s="444"/>
      <c r="P946" s="444"/>
      <c r="Q946" s="444"/>
      <c r="S946" s="492"/>
    </row>
    <row r="947" spans="1:19" ht="16.5" customHeight="1">
      <c r="B947" s="1291"/>
      <c r="C947" s="163"/>
      <c r="D947" s="163"/>
      <c r="E947" s="163"/>
      <c r="F947" s="163"/>
      <c r="G947" s="163"/>
      <c r="H947" s="163"/>
      <c r="I947" s="493" t="s">
        <v>1119</v>
      </c>
      <c r="J947" s="163" t="s">
        <v>1120</v>
      </c>
      <c r="K947" s="163" t="s">
        <v>1161</v>
      </c>
      <c r="L947" s="494" t="s">
        <v>1122</v>
      </c>
      <c r="M947" s="159"/>
      <c r="N947" s="159"/>
      <c r="O947" s="159"/>
      <c r="P947" s="159"/>
      <c r="Q947" s="159"/>
      <c r="S947" s="165" t="s">
        <v>154</v>
      </c>
    </row>
    <row r="948" spans="1:19" ht="18">
      <c r="B948" s="117" t="s">
        <v>1158</v>
      </c>
      <c r="C948" s="429" t="s">
        <v>1166</v>
      </c>
      <c r="D948" s="488"/>
      <c r="E948" s="489"/>
      <c r="F948" s="325"/>
      <c r="G948" s="495"/>
      <c r="H948" s="495"/>
      <c r="I948" s="498">
        <v>3810</v>
      </c>
      <c r="J948" s="388"/>
      <c r="K948" s="388"/>
      <c r="L948" s="499">
        <f>I948*PRP!$J$8+J948*PRP!$J$9+K948*PRP!$J$10</f>
        <v>3810</v>
      </c>
      <c r="M948" s="171"/>
      <c r="N948" s="171"/>
      <c r="O948" s="171"/>
      <c r="P948" s="171"/>
      <c r="Q948" s="171"/>
      <c r="S948" s="282" t="s">
        <v>1167</v>
      </c>
    </row>
    <row r="949" spans="1:19" ht="15.75" thickBot="1">
      <c r="B949" s="248"/>
      <c r="C949" s="497"/>
      <c r="D949" s="117"/>
      <c r="E949" s="279"/>
      <c r="F949" s="325"/>
      <c r="G949" s="495"/>
      <c r="H949" s="495"/>
      <c r="I949" s="473"/>
      <c r="J949" s="279"/>
      <c r="K949" s="279"/>
      <c r="L949" s="176"/>
      <c r="M949" s="171"/>
      <c r="N949" s="171"/>
      <c r="O949" s="171"/>
      <c r="P949" s="171"/>
      <c r="Q949" s="171"/>
      <c r="S949" s="282"/>
    </row>
    <row r="950" spans="1:19" ht="15.75" thickBot="1">
      <c r="A950" s="86"/>
      <c r="B950" s="447"/>
      <c r="C950" s="447"/>
      <c r="D950" s="447"/>
      <c r="E950" s="447"/>
      <c r="F950" s="447"/>
      <c r="G950" s="447"/>
      <c r="H950" s="447"/>
      <c r="I950" s="447"/>
      <c r="J950" s="447"/>
      <c r="K950" s="447"/>
      <c r="L950" s="447"/>
      <c r="M950" s="447"/>
      <c r="N950" s="447"/>
      <c r="O950" s="447"/>
      <c r="P950" s="447"/>
      <c r="Q950" s="447"/>
      <c r="S950" s="448"/>
    </row>
    <row r="951" spans="1:19" ht="19.5" thickBot="1">
      <c r="A951" s="86"/>
      <c r="B951" s="87" t="s">
        <v>1168</v>
      </c>
      <c r="C951" s="89"/>
      <c r="D951" s="89"/>
      <c r="E951" s="89"/>
      <c r="F951" s="89"/>
      <c r="G951" s="89"/>
      <c r="H951" s="89"/>
      <c r="I951" s="151" t="s">
        <v>154</v>
      </c>
      <c r="J951" s="330"/>
      <c r="K951" s="330"/>
      <c r="L951" s="500" t="s">
        <v>155</v>
      </c>
      <c r="M951" s="153"/>
      <c r="N951" s="153"/>
      <c r="O951" s="153"/>
      <c r="P951" s="153"/>
      <c r="Q951" s="153"/>
      <c r="R951" s="90"/>
      <c r="S951" s="154" t="s">
        <v>156</v>
      </c>
    </row>
    <row r="952" spans="1:19" s="438" customFormat="1" ht="30">
      <c r="B952" s="1292" t="s">
        <v>1169</v>
      </c>
      <c r="C952" s="403"/>
      <c r="D952" s="1299" t="s">
        <v>1170</v>
      </c>
      <c r="E952" s="490" t="s">
        <v>1171</v>
      </c>
      <c r="F952" s="403"/>
      <c r="G952" s="490"/>
      <c r="H952" s="490"/>
      <c r="I952" s="501" t="s">
        <v>1147</v>
      </c>
      <c r="J952" s="502" t="s">
        <v>1148</v>
      </c>
      <c r="K952" s="502" t="s">
        <v>1149</v>
      </c>
      <c r="L952" s="503" t="s">
        <v>1150</v>
      </c>
      <c r="M952" s="444"/>
      <c r="N952" s="444"/>
      <c r="O952" s="444"/>
      <c r="P952" s="444"/>
      <c r="Q952" s="444"/>
      <c r="S952" s="492"/>
    </row>
    <row r="953" spans="1:19" ht="18">
      <c r="B953" s="1291"/>
      <c r="C953" s="163"/>
      <c r="D953" s="1300"/>
      <c r="E953" s="338" t="s">
        <v>114</v>
      </c>
      <c r="F953" s="163"/>
      <c r="G953" s="163"/>
      <c r="H953" s="163"/>
      <c r="I953" s="504" t="s">
        <v>1172</v>
      </c>
      <c r="J953" s="338" t="s">
        <v>1173</v>
      </c>
      <c r="K953" s="338" t="s">
        <v>1174</v>
      </c>
      <c r="L953" s="505" t="s">
        <v>1175</v>
      </c>
      <c r="M953" s="159"/>
      <c r="N953" s="159"/>
      <c r="O953" s="159"/>
      <c r="P953" s="159"/>
      <c r="Q953" s="159"/>
      <c r="S953" s="165" t="s">
        <v>154</v>
      </c>
    </row>
    <row r="954" spans="1:19">
      <c r="B954" s="117" t="s">
        <v>1176</v>
      </c>
      <c r="C954" s="429"/>
      <c r="D954" s="260">
        <v>0.3</v>
      </c>
      <c r="E954" s="455">
        <v>40.04</v>
      </c>
      <c r="F954" s="325"/>
      <c r="G954" s="495"/>
      <c r="H954" s="495"/>
      <c r="I954" s="498">
        <v>4730</v>
      </c>
      <c r="J954" s="388"/>
      <c r="K954" s="388"/>
      <c r="L954" s="499">
        <f>I954*PRP!$J$8+J954*PRP!$J$9+K954*PRP!$J$10</f>
        <v>4730</v>
      </c>
      <c r="M954" s="171"/>
      <c r="N954" s="171"/>
      <c r="O954" s="171"/>
      <c r="P954" s="171"/>
      <c r="Q954" s="171"/>
      <c r="S954" s="282" t="s">
        <v>1177</v>
      </c>
    </row>
    <row r="955" spans="1:19">
      <c r="B955" s="117" t="s">
        <v>1178</v>
      </c>
      <c r="C955" s="429"/>
      <c r="D955" s="260">
        <v>0.3</v>
      </c>
      <c r="E955" s="506">
        <v>44.1</v>
      </c>
      <c r="F955" s="325"/>
      <c r="G955" s="495"/>
      <c r="H955" s="495"/>
      <c r="I955" s="498">
        <v>8530</v>
      </c>
      <c r="J955" s="388"/>
      <c r="K955" s="388"/>
      <c r="L955" s="499">
        <f>I955*PRP!$J$8+J955*PRP!$J$9+K955*PRP!$J$10</f>
        <v>8530</v>
      </c>
      <c r="M955" s="171"/>
      <c r="N955" s="171"/>
      <c r="O955" s="171"/>
      <c r="P955" s="171"/>
      <c r="Q955" s="171"/>
      <c r="S955" s="282" t="s">
        <v>1177</v>
      </c>
    </row>
    <row r="956" spans="1:19">
      <c r="B956" s="117" t="s">
        <v>1179</v>
      </c>
      <c r="C956" s="429"/>
      <c r="D956" s="260">
        <v>0.3</v>
      </c>
      <c r="E956" s="506">
        <v>55.04</v>
      </c>
      <c r="F956" s="325"/>
      <c r="G956" s="495"/>
      <c r="H956" s="495"/>
      <c r="I956" s="498">
        <v>8470</v>
      </c>
      <c r="J956" s="388"/>
      <c r="K956" s="388"/>
      <c r="L956" s="499">
        <f>I956*PRP!$J$8+J956*PRP!$J$9+K956*PRP!$J$10</f>
        <v>8470</v>
      </c>
      <c r="M956" s="171"/>
      <c r="N956" s="171"/>
      <c r="O956" s="171"/>
      <c r="P956" s="171"/>
      <c r="Q956" s="171"/>
      <c r="S956" s="282" t="s">
        <v>1177</v>
      </c>
    </row>
    <row r="957" spans="1:19">
      <c r="B957" s="117" t="s">
        <v>1180</v>
      </c>
      <c r="C957" s="429"/>
      <c r="D957" s="260">
        <v>0.3</v>
      </c>
      <c r="E957" s="506">
        <v>65.97</v>
      </c>
      <c r="F957" s="325"/>
      <c r="G957" s="495"/>
      <c r="H957" s="495"/>
      <c r="I957" s="498">
        <v>11430</v>
      </c>
      <c r="J957" s="388"/>
      <c r="K957" s="388"/>
      <c r="L957" s="499">
        <f>I957*PRP!$J$8+J957*PRP!$J$9+K957*PRP!$J$10</f>
        <v>11430</v>
      </c>
      <c r="M957" s="171"/>
      <c r="N957" s="171"/>
      <c r="O957" s="171"/>
      <c r="P957" s="171"/>
      <c r="Q957" s="171"/>
      <c r="S957" s="282" t="s">
        <v>1177</v>
      </c>
    </row>
    <row r="958" spans="1:19">
      <c r="B958" s="117" t="s">
        <v>1181</v>
      </c>
      <c r="C958" s="429"/>
      <c r="D958" s="260">
        <v>0.3</v>
      </c>
      <c r="E958" s="506">
        <v>82.91</v>
      </c>
      <c r="F958" s="325"/>
      <c r="G958" s="495"/>
      <c r="H958" s="495"/>
      <c r="I958" s="498">
        <v>17110</v>
      </c>
      <c r="J958" s="388"/>
      <c r="K958" s="388"/>
      <c r="L958" s="499">
        <f>I958*PRP!$J$8+J958*PRP!$J$9+K958*PRP!$J$10</f>
        <v>17110</v>
      </c>
      <c r="M958" s="171"/>
      <c r="N958" s="171"/>
      <c r="O958" s="171"/>
      <c r="P958" s="171"/>
      <c r="Q958" s="171"/>
      <c r="S958" s="282" t="s">
        <v>1177</v>
      </c>
    </row>
    <row r="959" spans="1:19">
      <c r="B959" s="117" t="s">
        <v>1182</v>
      </c>
      <c r="C959" s="429"/>
      <c r="D959" s="260">
        <v>0.3</v>
      </c>
      <c r="E959" s="506">
        <v>59.3</v>
      </c>
      <c r="F959" s="325"/>
      <c r="G959" s="495"/>
      <c r="H959" s="495"/>
      <c r="I959" s="498">
        <v>10040</v>
      </c>
      <c r="J959" s="388"/>
      <c r="K959" s="388"/>
      <c r="L959" s="499">
        <f>I959*PRP!$J$8+J959*PRP!$J$9+K959*PRP!$J$10</f>
        <v>10040</v>
      </c>
      <c r="M959" s="171"/>
      <c r="N959" s="171"/>
      <c r="O959" s="171"/>
      <c r="P959" s="171"/>
      <c r="Q959" s="171"/>
      <c r="S959" s="282" t="s">
        <v>1177</v>
      </c>
    </row>
    <row r="960" spans="1:19">
      <c r="B960" s="117"/>
      <c r="C960" s="429"/>
      <c r="D960" s="488"/>
      <c r="E960" s="489"/>
      <c r="F960" s="325"/>
      <c r="G960" s="495"/>
      <c r="H960" s="495"/>
      <c r="I960" s="498"/>
      <c r="J960" s="388"/>
      <c r="K960" s="388"/>
      <c r="L960" s="499"/>
      <c r="M960" s="171"/>
      <c r="N960" s="171"/>
      <c r="O960" s="171"/>
      <c r="P960" s="171"/>
      <c r="Q960" s="171"/>
      <c r="S960" s="282"/>
    </row>
    <row r="961" spans="1:19" ht="15.75" thickBot="1">
      <c r="B961" s="248"/>
      <c r="C961" s="497"/>
      <c r="D961" s="117"/>
      <c r="E961" s="279"/>
      <c r="F961" s="325"/>
      <c r="G961" s="495"/>
      <c r="H961" s="495"/>
      <c r="I961" s="498"/>
      <c r="J961" s="388"/>
      <c r="K961" s="388"/>
      <c r="L961" s="499"/>
      <c r="M961" s="171"/>
      <c r="N961" s="171"/>
      <c r="O961" s="171"/>
      <c r="P961" s="171"/>
      <c r="Q961" s="171"/>
      <c r="S961" s="282"/>
    </row>
    <row r="962" spans="1:19" ht="15.75" thickBot="1">
      <c r="A962" s="86"/>
      <c r="B962" s="447"/>
      <c r="C962" s="447"/>
      <c r="D962" s="447"/>
      <c r="E962" s="447"/>
      <c r="F962" s="447"/>
      <c r="G962" s="447"/>
      <c r="H962" s="447"/>
      <c r="I962" s="447"/>
      <c r="J962" s="447"/>
      <c r="K962" s="447"/>
      <c r="L962" s="447"/>
      <c r="M962" s="447"/>
      <c r="N962" s="447"/>
      <c r="O962" s="447"/>
      <c r="P962" s="447"/>
      <c r="Q962" s="447"/>
      <c r="S962" s="448"/>
    </row>
    <row r="963" spans="1:19" ht="19.5" thickBot="1">
      <c r="A963" s="86"/>
      <c r="B963" s="87" t="s">
        <v>1183</v>
      </c>
      <c r="C963" s="89"/>
      <c r="D963" s="89"/>
      <c r="E963" s="89"/>
      <c r="F963" s="89"/>
      <c r="G963" s="89"/>
      <c r="H963" s="89"/>
      <c r="I963" s="151" t="s">
        <v>154</v>
      </c>
      <c r="J963" s="330"/>
      <c r="K963" s="330"/>
      <c r="L963" s="500" t="s">
        <v>155</v>
      </c>
      <c r="M963" s="153"/>
      <c r="N963" s="153"/>
      <c r="O963" s="153"/>
      <c r="P963" s="153"/>
      <c r="Q963" s="153"/>
      <c r="R963" s="90"/>
      <c r="S963" s="154" t="s">
        <v>156</v>
      </c>
    </row>
    <row r="964" spans="1:19" s="438" customFormat="1" ht="45">
      <c r="B964" s="1292" t="s">
        <v>128</v>
      </c>
      <c r="C964" s="403"/>
      <c r="D964" s="490" t="s">
        <v>1184</v>
      </c>
      <c r="E964" s="490" t="s">
        <v>1185</v>
      </c>
      <c r="F964" s="403"/>
      <c r="G964" s="490"/>
      <c r="H964" s="490"/>
      <c r="I964" s="501" t="s">
        <v>1147</v>
      </c>
      <c r="J964" s="502" t="s">
        <v>1148</v>
      </c>
      <c r="K964" s="502" t="s">
        <v>1149</v>
      </c>
      <c r="L964" s="503" t="s">
        <v>1150</v>
      </c>
      <c r="M964" s="444"/>
      <c r="N964" s="444"/>
      <c r="O964" s="444"/>
      <c r="P964" s="444"/>
      <c r="Q964" s="444"/>
      <c r="S964" s="492"/>
    </row>
    <row r="965" spans="1:19" ht="18">
      <c r="B965" s="1291"/>
      <c r="C965" s="163"/>
      <c r="D965" s="338" t="s">
        <v>1186</v>
      </c>
      <c r="E965" s="338" t="s">
        <v>1187</v>
      </c>
      <c r="F965" s="163"/>
      <c r="G965" s="163"/>
      <c r="H965" s="163"/>
      <c r="I965" s="504" t="s">
        <v>1172</v>
      </c>
      <c r="J965" s="338" t="s">
        <v>1173</v>
      </c>
      <c r="K965" s="338" t="s">
        <v>1174</v>
      </c>
      <c r="L965" s="505" t="s">
        <v>1175</v>
      </c>
      <c r="M965" s="159"/>
      <c r="N965" s="159"/>
      <c r="O965" s="159"/>
      <c r="P965" s="159"/>
      <c r="Q965" s="159"/>
      <c r="S965" s="165" t="s">
        <v>154</v>
      </c>
    </row>
    <row r="966" spans="1:19">
      <c r="B966" s="117" t="s">
        <v>1188</v>
      </c>
      <c r="C966" s="429"/>
      <c r="D966" s="429"/>
      <c r="E966" s="455"/>
      <c r="F966" s="325"/>
      <c r="G966" s="495"/>
      <c r="H966" s="495"/>
      <c r="I966" s="170"/>
      <c r="J966" s="485"/>
      <c r="K966" s="279"/>
      <c r="L966" s="659">
        <f>I966*PRP!$J$8+J966*PRP!$J$9+K966*PRP!$J$10</f>
        <v>0</v>
      </c>
      <c r="M966" s="171"/>
      <c r="N966" s="171"/>
      <c r="O966" s="171"/>
      <c r="P966" s="171"/>
      <c r="Q966" s="171"/>
      <c r="S966" s="282"/>
    </row>
    <row r="967" spans="1:19">
      <c r="B967" s="117" t="s">
        <v>1189</v>
      </c>
      <c r="C967" s="429"/>
      <c r="D967" s="429">
        <v>105</v>
      </c>
      <c r="E967" s="506"/>
      <c r="F967" s="325"/>
      <c r="G967" s="495"/>
      <c r="H967" s="495"/>
      <c r="I967" s="170"/>
      <c r="J967" s="485"/>
      <c r="K967" s="279"/>
      <c r="L967" s="659">
        <f>I967*PRP!$J$8+J967*PRP!$J$9+K967*PRP!$J$10</f>
        <v>0</v>
      </c>
      <c r="M967" s="171"/>
      <c r="N967" s="171"/>
      <c r="O967" s="171"/>
      <c r="P967" s="171"/>
      <c r="Q967" s="171"/>
      <c r="S967" s="282" t="s">
        <v>1190</v>
      </c>
    </row>
    <row r="968" spans="1:19">
      <c r="B968" s="117" t="s">
        <v>1191</v>
      </c>
      <c r="C968" s="429"/>
      <c r="D968" s="260"/>
      <c r="E968" s="507">
        <f>0.453/1.15</f>
        <v>0.39391304347826089</v>
      </c>
      <c r="F968" s="325"/>
      <c r="G968" s="495"/>
      <c r="H968" s="495"/>
      <c r="I968" s="170"/>
      <c r="J968" s="485"/>
      <c r="K968" s="279"/>
      <c r="L968" s="659">
        <f>I968*PRP!$J$8+J968*PRP!$J$9+K968*PRP!$J$10</f>
        <v>0</v>
      </c>
      <c r="M968" s="171"/>
      <c r="N968" s="171"/>
      <c r="O968" s="171"/>
      <c r="P968" s="171"/>
      <c r="Q968" s="171"/>
      <c r="S968" s="282" t="s">
        <v>1192</v>
      </c>
    </row>
    <row r="969" spans="1:19" ht="15.75" thickBot="1">
      <c r="B969" s="248"/>
      <c r="C969" s="497"/>
      <c r="D969" s="117"/>
      <c r="E969" s="279"/>
      <c r="F969" s="325"/>
      <c r="G969" s="495"/>
      <c r="H969" s="495"/>
      <c r="I969" s="170"/>
      <c r="J969" s="279"/>
      <c r="K969" s="279"/>
      <c r="L969" s="176"/>
      <c r="M969" s="171"/>
      <c r="N969" s="171"/>
      <c r="O969" s="171"/>
      <c r="P969" s="171"/>
      <c r="Q969" s="171"/>
      <c r="S969" s="282"/>
    </row>
    <row r="970" spans="1:19" ht="15.75" thickBot="1">
      <c r="A970" s="86"/>
      <c r="B970" s="508"/>
      <c r="C970" s="508"/>
      <c r="D970" s="508"/>
      <c r="E970" s="508"/>
      <c r="F970" s="508"/>
      <c r="G970" s="508"/>
      <c r="H970" s="508"/>
      <c r="I970" s="508"/>
      <c r="J970" s="508"/>
      <c r="K970" s="508"/>
      <c r="L970" s="508"/>
      <c r="M970" s="508"/>
      <c r="N970" s="508"/>
      <c r="O970" s="508"/>
      <c r="P970" s="508"/>
      <c r="Q970" s="508"/>
      <c r="S970" s="509"/>
    </row>
    <row r="971" spans="1:19" ht="19.5" thickBot="1">
      <c r="A971" s="86"/>
      <c r="B971" s="87" t="s">
        <v>1193</v>
      </c>
      <c r="C971" s="89"/>
      <c r="D971" s="89" t="s">
        <v>154</v>
      </c>
      <c r="E971" s="89" t="s">
        <v>154</v>
      </c>
      <c r="F971" s="89" t="s">
        <v>154</v>
      </c>
      <c r="G971" s="89" t="s">
        <v>154</v>
      </c>
      <c r="H971" s="89" t="s">
        <v>154</v>
      </c>
      <c r="I971" s="150" t="s">
        <v>1194</v>
      </c>
      <c r="J971" s="500"/>
      <c r="K971" s="500"/>
      <c r="L971" s="500" t="s">
        <v>155</v>
      </c>
      <c r="M971" s="500"/>
      <c r="N971" s="150" t="s">
        <v>1195</v>
      </c>
      <c r="O971" s="500"/>
      <c r="P971" s="500"/>
      <c r="Q971" s="500" t="s">
        <v>155</v>
      </c>
      <c r="R971" s="90"/>
      <c r="S971" s="154" t="s">
        <v>156</v>
      </c>
    </row>
    <row r="972" spans="1:19" s="438" customFormat="1" ht="45">
      <c r="B972" s="1292" t="s">
        <v>1196</v>
      </c>
      <c r="C972" s="510" t="s">
        <v>1197</v>
      </c>
      <c r="D972" s="510" t="s">
        <v>1198</v>
      </c>
      <c r="E972" s="510" t="s">
        <v>1199</v>
      </c>
      <c r="F972" s="510" t="s">
        <v>1200</v>
      </c>
      <c r="G972" s="510" t="s">
        <v>1201</v>
      </c>
      <c r="H972" s="510"/>
      <c r="I972" s="511" t="s">
        <v>1147</v>
      </c>
      <c r="J972" s="365" t="s">
        <v>1148</v>
      </c>
      <c r="K972" s="365" t="s">
        <v>1149</v>
      </c>
      <c r="L972" s="443" t="s">
        <v>1150</v>
      </c>
      <c r="M972" s="444"/>
      <c r="N972" s="511" t="s">
        <v>1147</v>
      </c>
      <c r="O972" s="365" t="s">
        <v>1148</v>
      </c>
      <c r="P972" s="365" t="s">
        <v>1149</v>
      </c>
      <c r="Q972" s="443" t="s">
        <v>1150</v>
      </c>
      <c r="S972" s="492"/>
    </row>
    <row r="973" spans="1:19" ht="18">
      <c r="B973" s="1291"/>
      <c r="C973" s="163"/>
      <c r="D973" s="338" t="s">
        <v>1202</v>
      </c>
      <c r="E973" s="338" t="s">
        <v>1203</v>
      </c>
      <c r="F973" s="163" t="s">
        <v>1204</v>
      </c>
      <c r="G973" s="163" t="s">
        <v>1205</v>
      </c>
      <c r="H973" s="163"/>
      <c r="I973" s="493" t="s">
        <v>1206</v>
      </c>
      <c r="J973" s="163" t="s">
        <v>1207</v>
      </c>
      <c r="K973" s="163" t="s">
        <v>1208</v>
      </c>
      <c r="L973" s="494" t="s">
        <v>1209</v>
      </c>
      <c r="M973" s="159"/>
      <c r="N973" s="493" t="s">
        <v>1206</v>
      </c>
      <c r="O973" s="163" t="s">
        <v>1207</v>
      </c>
      <c r="P973" s="163" t="s">
        <v>1208</v>
      </c>
      <c r="Q973" s="494" t="s">
        <v>1209</v>
      </c>
      <c r="S973" s="165" t="s">
        <v>154</v>
      </c>
    </row>
    <row r="974" spans="1:19">
      <c r="B974" s="117" t="s">
        <v>1210</v>
      </c>
      <c r="C974" s="429" t="s">
        <v>1211</v>
      </c>
      <c r="D974" s="388">
        <v>0.37</v>
      </c>
      <c r="E974" s="388">
        <v>300</v>
      </c>
      <c r="F974" s="512">
        <f>AVERAGE(0.9,18)</f>
        <v>9.4499999999999993</v>
      </c>
      <c r="G974" s="495">
        <v>0.47</v>
      </c>
      <c r="H974" s="495"/>
      <c r="I974" s="498">
        <f t="shared" ref="I974:I1003" si="41">E974*(1+D974)*G974*($C$1079/$C$1075)*(10^6)</f>
        <v>707786073.59920084</v>
      </c>
      <c r="J974" s="388"/>
      <c r="K974" s="388"/>
      <c r="L974" s="499">
        <f>I974*PRP!$J$8+J974*PRP!$J$9+K974*PRP!$J$10</f>
        <v>707786073.59920084</v>
      </c>
      <c r="M974" s="513"/>
      <c r="N974" s="498">
        <f t="shared" ref="N974:N1003" si="42">F974*(1+D974)*G974*($C$1079/$C$1075)*(10^6)*100</f>
        <v>2229526131.8374825</v>
      </c>
      <c r="O974" s="388"/>
      <c r="P974" s="388"/>
      <c r="Q974" s="499">
        <f>N974*PRP!$J$8+O974*PRP!$J$9+P974*PRP!$J$10</f>
        <v>2229526131.8374825</v>
      </c>
      <c r="S974" s="282" t="s">
        <v>1212</v>
      </c>
    </row>
    <row r="975" spans="1:19">
      <c r="B975" s="117" t="s">
        <v>1210</v>
      </c>
      <c r="C975" s="429" t="s">
        <v>1213</v>
      </c>
      <c r="D975" s="484">
        <v>0.24</v>
      </c>
      <c r="E975" s="388">
        <v>220</v>
      </c>
      <c r="F975" s="512">
        <v>7</v>
      </c>
      <c r="G975" s="495">
        <v>0.47</v>
      </c>
      <c r="H975" s="495"/>
      <c r="I975" s="498">
        <f t="shared" si="41"/>
        <v>469790853.71742576</v>
      </c>
      <c r="J975" s="388"/>
      <c r="K975" s="388"/>
      <c r="L975" s="499">
        <f>I975*PRP!$J$8+J975*PRP!$J$9+K975*PRP!$J$10</f>
        <v>469790853.71742576</v>
      </c>
      <c r="M975" s="513"/>
      <c r="N975" s="498">
        <f t="shared" si="42"/>
        <v>1494789080.0099905</v>
      </c>
      <c r="O975" s="388"/>
      <c r="P975" s="388"/>
      <c r="Q975" s="499">
        <f>N975*PRP!$J$8+O975*PRP!$J$9+P975*PRP!$J$10</f>
        <v>1494789080.0099905</v>
      </c>
      <c r="S975" s="282" t="s">
        <v>1212</v>
      </c>
    </row>
    <row r="976" spans="1:19">
      <c r="B976" s="117" t="s">
        <v>1210</v>
      </c>
      <c r="C976" s="429" t="s">
        <v>1214</v>
      </c>
      <c r="D976" s="484">
        <v>0.24</v>
      </c>
      <c r="E976" s="388">
        <v>220</v>
      </c>
      <c r="F976" s="512">
        <v>2</v>
      </c>
      <c r="G976" s="495">
        <v>0.47</v>
      </c>
      <c r="H976" s="495"/>
      <c r="I976" s="498">
        <f t="shared" si="41"/>
        <v>469790853.71742576</v>
      </c>
      <c r="J976" s="388"/>
      <c r="K976" s="388"/>
      <c r="L976" s="499">
        <f>I976*PRP!$J$8+J976*PRP!$J$9+K976*PRP!$J$10</f>
        <v>469790853.71742576</v>
      </c>
      <c r="M976" s="513"/>
      <c r="N976" s="498">
        <f t="shared" si="42"/>
        <v>427082594.28856885</v>
      </c>
      <c r="O976" s="388"/>
      <c r="P976" s="388"/>
      <c r="Q976" s="499">
        <f>N976*PRP!$J$8+O976*PRP!$J$9+P976*PRP!$J$10</f>
        <v>427082594.28856885</v>
      </c>
      <c r="S976" s="282" t="s">
        <v>1212</v>
      </c>
    </row>
    <row r="977" spans="2:19">
      <c r="B977" s="117" t="s">
        <v>1210</v>
      </c>
      <c r="C977" s="429" t="s">
        <v>1215</v>
      </c>
      <c r="D977" s="484">
        <v>0.28000000000000003</v>
      </c>
      <c r="E977" s="388">
        <v>210</v>
      </c>
      <c r="F977" s="512">
        <v>4</v>
      </c>
      <c r="G977" s="495">
        <v>0.47</v>
      </c>
      <c r="H977" s="495"/>
      <c r="I977" s="498">
        <f t="shared" si="41"/>
        <v>462902424.77728748</v>
      </c>
      <c r="J977" s="388"/>
      <c r="K977" s="388"/>
      <c r="L977" s="499">
        <f>I977*PRP!$J$8+J977*PRP!$J$9+K977*PRP!$J$10</f>
        <v>462902424.77728748</v>
      </c>
      <c r="M977" s="513"/>
      <c r="N977" s="498">
        <f t="shared" si="42"/>
        <v>881718904.33769035</v>
      </c>
      <c r="O977" s="388"/>
      <c r="P977" s="388"/>
      <c r="Q977" s="499">
        <f>N977*PRP!$J$8+O977*PRP!$J$9+P977*PRP!$J$10</f>
        <v>881718904.33769035</v>
      </c>
      <c r="S977" s="282" t="s">
        <v>1212</v>
      </c>
    </row>
    <row r="978" spans="2:19">
      <c r="B978" s="117" t="s">
        <v>1210</v>
      </c>
      <c r="C978" s="429" t="s">
        <v>1216</v>
      </c>
      <c r="D978" s="484">
        <v>0.28000000000000003</v>
      </c>
      <c r="E978" s="388">
        <v>210</v>
      </c>
      <c r="F978" s="512">
        <v>1</v>
      </c>
      <c r="G978" s="495">
        <v>0.47</v>
      </c>
      <c r="H978" s="495"/>
      <c r="I978" s="498">
        <f t="shared" si="41"/>
        <v>462902424.77728748</v>
      </c>
      <c r="J978" s="388"/>
      <c r="K978" s="388"/>
      <c r="L978" s="499">
        <f>I978*PRP!$J$8+J978*PRP!$J$9+K978*PRP!$J$10</f>
        <v>462902424.77728748</v>
      </c>
      <c r="M978" s="513"/>
      <c r="N978" s="498">
        <f t="shared" si="42"/>
        <v>220429726.08442259</v>
      </c>
      <c r="O978" s="388"/>
      <c r="P978" s="388"/>
      <c r="Q978" s="499">
        <f>N978*PRP!$J$8+O978*PRP!$J$9+P978*PRP!$J$10</f>
        <v>220429726.08442259</v>
      </c>
      <c r="S978" s="282" t="s">
        <v>1212</v>
      </c>
    </row>
    <row r="979" spans="2:19">
      <c r="B979" s="117" t="s">
        <v>1210</v>
      </c>
      <c r="C979" s="429" t="s">
        <v>1217</v>
      </c>
      <c r="D979" s="484">
        <v>0.4</v>
      </c>
      <c r="E979" s="388">
        <v>80</v>
      </c>
      <c r="F979" s="512">
        <v>4</v>
      </c>
      <c r="G979" s="495">
        <v>0.47</v>
      </c>
      <c r="H979" s="495"/>
      <c r="I979" s="498">
        <f t="shared" si="41"/>
        <v>192876010.32386979</v>
      </c>
      <c r="J979" s="388"/>
      <c r="K979" s="388"/>
      <c r="L979" s="499">
        <f>I979*PRP!$J$8+J979*PRP!$J$9+K979*PRP!$J$10</f>
        <v>192876010.32386979</v>
      </c>
      <c r="M979" s="513"/>
      <c r="N979" s="498">
        <f t="shared" si="42"/>
        <v>964380051.61934888</v>
      </c>
      <c r="O979" s="388"/>
      <c r="P979" s="388"/>
      <c r="Q979" s="499">
        <f>N979*PRP!$J$8+O979*PRP!$J$9+P979*PRP!$J$10</f>
        <v>964380051.61934888</v>
      </c>
      <c r="S979" s="282" t="s">
        <v>1212</v>
      </c>
    </row>
    <row r="980" spans="2:19">
      <c r="B980" s="117" t="s">
        <v>1210</v>
      </c>
      <c r="C980" s="429" t="s">
        <v>1218</v>
      </c>
      <c r="D980" s="484">
        <v>0.4</v>
      </c>
      <c r="E980" s="388">
        <v>80</v>
      </c>
      <c r="F980" s="512">
        <v>1</v>
      </c>
      <c r="G980" s="495">
        <v>0.47</v>
      </c>
      <c r="H980" s="495"/>
      <c r="I980" s="498">
        <f t="shared" si="41"/>
        <v>192876010.32386979</v>
      </c>
      <c r="J980" s="388"/>
      <c r="K980" s="388"/>
      <c r="L980" s="499">
        <f>I980*PRP!$J$8+J980*PRP!$J$9+K980*PRP!$J$10</f>
        <v>192876010.32386979</v>
      </c>
      <c r="M980" s="513"/>
      <c r="N980" s="498">
        <f t="shared" si="42"/>
        <v>241095012.90483722</v>
      </c>
      <c r="O980" s="388"/>
      <c r="P980" s="388"/>
      <c r="Q980" s="499">
        <f>N980*PRP!$J$8+O980*PRP!$J$9+P980*PRP!$J$10</f>
        <v>241095012.90483722</v>
      </c>
      <c r="S980" s="282" t="s">
        <v>1212</v>
      </c>
    </row>
    <row r="981" spans="2:19">
      <c r="B981" s="117" t="s">
        <v>1210</v>
      </c>
      <c r="C981" s="429" t="s">
        <v>1219</v>
      </c>
      <c r="D981" s="484">
        <v>0.27</v>
      </c>
      <c r="E981" s="388">
        <f>AVERAGE(60,230)</f>
        <v>145</v>
      </c>
      <c r="F981" s="512">
        <f>AVERAGE(1.8,5)</f>
        <v>3.4</v>
      </c>
      <c r="G981" s="495">
        <v>0.47</v>
      </c>
      <c r="H981" s="495"/>
      <c r="I981" s="498">
        <f t="shared" si="41"/>
        <v>317126047.33161271</v>
      </c>
      <c r="J981" s="388"/>
      <c r="K981" s="388"/>
      <c r="L981" s="499">
        <f>I981*PRP!$J$8+J981*PRP!$J$9+K981*PRP!$J$10</f>
        <v>317126047.33161271</v>
      </c>
      <c r="M981" s="513"/>
      <c r="N981" s="498">
        <f t="shared" si="42"/>
        <v>743605904.08791935</v>
      </c>
      <c r="O981" s="388"/>
      <c r="P981" s="388"/>
      <c r="Q981" s="499">
        <f>N981*PRP!$J$8+O981*PRP!$J$9+P981*PRP!$J$10</f>
        <v>743605904.08791935</v>
      </c>
      <c r="S981" s="282" t="s">
        <v>1212</v>
      </c>
    </row>
    <row r="982" spans="2:19">
      <c r="B982" s="117" t="s">
        <v>1210</v>
      </c>
      <c r="C982" s="429" t="s">
        <v>1220</v>
      </c>
      <c r="D982" s="484">
        <v>0.27</v>
      </c>
      <c r="E982" s="388">
        <f>AVERAGE(60,230)</f>
        <v>145</v>
      </c>
      <c r="F982" s="512">
        <f>AVERAGE(0.4,1.4)</f>
        <v>0.89999999999999991</v>
      </c>
      <c r="G982" s="495">
        <v>0.47</v>
      </c>
      <c r="H982" s="495"/>
      <c r="I982" s="498">
        <f t="shared" si="41"/>
        <v>317126047.33161271</v>
      </c>
      <c r="J982" s="388"/>
      <c r="K982" s="388"/>
      <c r="L982" s="499">
        <f>I982*PRP!$J$8+J982*PRP!$J$9+K982*PRP!$J$10</f>
        <v>317126047.33161271</v>
      </c>
      <c r="M982" s="513"/>
      <c r="N982" s="498">
        <f t="shared" si="42"/>
        <v>196836856.96444923</v>
      </c>
      <c r="O982" s="388"/>
      <c r="P982" s="388"/>
      <c r="Q982" s="499">
        <f>N982*PRP!$J$8+O982*PRP!$J$9+P982*PRP!$J$10</f>
        <v>196836856.96444923</v>
      </c>
      <c r="S982" s="282" t="s">
        <v>1212</v>
      </c>
    </row>
    <row r="983" spans="2:19">
      <c r="B983" s="117" t="s">
        <v>1210</v>
      </c>
      <c r="C983" s="429" t="s">
        <v>1221</v>
      </c>
      <c r="D983" s="484">
        <v>0.24</v>
      </c>
      <c r="E983" s="388">
        <v>220</v>
      </c>
      <c r="F983" s="512">
        <v>7</v>
      </c>
      <c r="G983" s="495">
        <v>0.47</v>
      </c>
      <c r="H983" s="495"/>
      <c r="I983" s="498">
        <f t="shared" si="41"/>
        <v>469790853.71742576</v>
      </c>
      <c r="J983" s="388"/>
      <c r="K983" s="388"/>
      <c r="L983" s="499">
        <f>I983*PRP!$J$8+J983*PRP!$J$9+K983*PRP!$J$10</f>
        <v>469790853.71742576</v>
      </c>
      <c r="M983" s="513"/>
      <c r="N983" s="498">
        <f t="shared" si="42"/>
        <v>1494789080.0099905</v>
      </c>
      <c r="O983" s="388"/>
      <c r="P983" s="388"/>
      <c r="Q983" s="499">
        <f>N983*PRP!$J$8+O983*PRP!$J$9+P983*PRP!$J$10</f>
        <v>1494789080.0099905</v>
      </c>
      <c r="S983" s="282" t="s">
        <v>1212</v>
      </c>
    </row>
    <row r="984" spans="2:19">
      <c r="B984" s="117" t="s">
        <v>1210</v>
      </c>
      <c r="C984" s="429" t="s">
        <v>1222</v>
      </c>
      <c r="D984" s="484">
        <v>0.24</v>
      </c>
      <c r="E984" s="388">
        <v>220</v>
      </c>
      <c r="F984" s="512">
        <v>2</v>
      </c>
      <c r="G984" s="495">
        <v>0.47</v>
      </c>
      <c r="H984" s="495"/>
      <c r="I984" s="498">
        <f t="shared" si="41"/>
        <v>469790853.71742576</v>
      </c>
      <c r="J984" s="388"/>
      <c r="K984" s="388"/>
      <c r="L984" s="499">
        <f>I984*PRP!$J$8+J984*PRP!$J$9+K984*PRP!$J$10</f>
        <v>469790853.71742576</v>
      </c>
      <c r="M984" s="513"/>
      <c r="N984" s="498">
        <f t="shared" si="42"/>
        <v>427082594.28856885</v>
      </c>
      <c r="O984" s="388"/>
      <c r="P984" s="388"/>
      <c r="Q984" s="499">
        <f>N984*PRP!$J$8+O984*PRP!$J$9+P984*PRP!$J$10</f>
        <v>427082594.28856885</v>
      </c>
      <c r="S984" s="282" t="s">
        <v>1212</v>
      </c>
    </row>
    <row r="985" spans="2:19">
      <c r="B985" s="117" t="s">
        <v>1210</v>
      </c>
      <c r="C985" s="429" t="s">
        <v>1223</v>
      </c>
      <c r="D985" s="484">
        <v>0.28000000000000003</v>
      </c>
      <c r="E985" s="388">
        <v>210</v>
      </c>
      <c r="F985" s="512">
        <v>4</v>
      </c>
      <c r="G985" s="495">
        <v>0.47</v>
      </c>
      <c r="H985" s="495"/>
      <c r="I985" s="498">
        <f t="shared" si="41"/>
        <v>462902424.77728748</v>
      </c>
      <c r="J985" s="388"/>
      <c r="K985" s="388"/>
      <c r="L985" s="499">
        <f>I985*PRP!$J$8+J985*PRP!$J$9+K985*PRP!$J$10</f>
        <v>462902424.77728748</v>
      </c>
      <c r="M985" s="513"/>
      <c r="N985" s="498">
        <f t="shared" si="42"/>
        <v>881718904.33769035</v>
      </c>
      <c r="O985" s="388"/>
      <c r="P985" s="388"/>
      <c r="Q985" s="499">
        <f>N985*PRP!$J$8+O985*PRP!$J$9+P985*PRP!$J$10</f>
        <v>881718904.33769035</v>
      </c>
      <c r="S985" s="282" t="s">
        <v>1212</v>
      </c>
    </row>
    <row r="986" spans="2:19">
      <c r="B986" s="117" t="s">
        <v>1210</v>
      </c>
      <c r="C986" s="429" t="s">
        <v>1224</v>
      </c>
      <c r="D986" s="484">
        <v>0.28000000000000003</v>
      </c>
      <c r="E986" s="388">
        <v>210</v>
      </c>
      <c r="F986" s="512">
        <v>1</v>
      </c>
      <c r="G986" s="495">
        <v>0.47</v>
      </c>
      <c r="H986" s="495"/>
      <c r="I986" s="498">
        <f t="shared" si="41"/>
        <v>462902424.77728748</v>
      </c>
      <c r="J986" s="388"/>
      <c r="K986" s="388"/>
      <c r="L986" s="499">
        <f>I986*PRP!$J$8+J986*PRP!$J$9+K986*PRP!$J$10</f>
        <v>462902424.77728748</v>
      </c>
      <c r="M986" s="513"/>
      <c r="N986" s="498">
        <f t="shared" si="42"/>
        <v>220429726.08442259</v>
      </c>
      <c r="O986" s="388"/>
      <c r="P986" s="388"/>
      <c r="Q986" s="499">
        <f>N986*PRP!$J$8+O986*PRP!$J$9+P986*PRP!$J$10</f>
        <v>220429726.08442259</v>
      </c>
      <c r="S986" s="282" t="s">
        <v>1212</v>
      </c>
    </row>
    <row r="987" spans="2:19">
      <c r="B987" s="117" t="s">
        <v>1210</v>
      </c>
      <c r="C987" s="429" t="s">
        <v>1225</v>
      </c>
      <c r="D987" s="484">
        <v>0.32</v>
      </c>
      <c r="E987" s="388">
        <v>80</v>
      </c>
      <c r="F987" s="512">
        <v>4</v>
      </c>
      <c r="G987" s="495">
        <v>0.47</v>
      </c>
      <c r="H987" s="495"/>
      <c r="I987" s="498">
        <f t="shared" si="41"/>
        <v>181854524.01964867</v>
      </c>
      <c r="J987" s="388"/>
      <c r="K987" s="388"/>
      <c r="L987" s="499">
        <f>I987*PRP!$J$8+J987*PRP!$J$9+K987*PRP!$J$10</f>
        <v>181854524.01964867</v>
      </c>
      <c r="M987" s="513"/>
      <c r="N987" s="498">
        <f t="shared" si="42"/>
        <v>909272620.09824312</v>
      </c>
      <c r="O987" s="388"/>
      <c r="P987" s="388"/>
      <c r="Q987" s="499">
        <f>N987*PRP!$J$8+O987*PRP!$J$9+P987*PRP!$J$10</f>
        <v>909272620.09824312</v>
      </c>
      <c r="S987" s="282" t="s">
        <v>1212</v>
      </c>
    </row>
    <row r="988" spans="2:19">
      <c r="B988" s="117" t="s">
        <v>1210</v>
      </c>
      <c r="C988" s="429" t="s">
        <v>1226</v>
      </c>
      <c r="D988" s="484">
        <v>0.32</v>
      </c>
      <c r="E988" s="388">
        <v>80</v>
      </c>
      <c r="F988" s="512">
        <v>1</v>
      </c>
      <c r="G988" s="495">
        <v>0.47</v>
      </c>
      <c r="H988" s="495"/>
      <c r="I988" s="498">
        <f t="shared" si="41"/>
        <v>181854524.01964867</v>
      </c>
      <c r="J988" s="388"/>
      <c r="K988" s="388"/>
      <c r="L988" s="499">
        <f>I988*PRP!$J$8+J988*PRP!$J$9+K988*PRP!$J$10</f>
        <v>181854524.01964867</v>
      </c>
      <c r="M988" s="513"/>
      <c r="N988" s="498">
        <f t="shared" si="42"/>
        <v>227318155.02456078</v>
      </c>
      <c r="O988" s="388"/>
      <c r="P988" s="388"/>
      <c r="Q988" s="499">
        <f>N988*PRP!$J$8+O988*PRP!$J$9+P988*PRP!$J$10</f>
        <v>227318155.02456078</v>
      </c>
      <c r="S988" s="282" t="s">
        <v>1212</v>
      </c>
    </row>
    <row r="989" spans="2:19">
      <c r="B989" s="117" t="s">
        <v>1210</v>
      </c>
      <c r="C989" s="429" t="s">
        <v>1227</v>
      </c>
      <c r="D989" s="484">
        <v>0</v>
      </c>
      <c r="E989" s="388">
        <f>AVERAGE(60,230)</f>
        <v>145</v>
      </c>
      <c r="F989" s="512">
        <f>AVERAGE(1.8,5)</f>
        <v>3.4</v>
      </c>
      <c r="G989" s="495">
        <v>0.47</v>
      </c>
      <c r="H989" s="495"/>
      <c r="I989" s="498">
        <f t="shared" si="41"/>
        <v>249705549.08000997</v>
      </c>
      <c r="J989" s="388"/>
      <c r="K989" s="388"/>
      <c r="L989" s="499">
        <f>I989*PRP!$J$8+J989*PRP!$J$9+K989*PRP!$J$10</f>
        <v>249705549.08000997</v>
      </c>
      <c r="M989" s="513"/>
      <c r="N989" s="498">
        <f t="shared" si="42"/>
        <v>585516459.91174746</v>
      </c>
      <c r="O989" s="388"/>
      <c r="P989" s="388"/>
      <c r="Q989" s="499">
        <f>N989*PRP!$J$8+O989*PRP!$J$9+P989*PRP!$J$10</f>
        <v>585516459.91174746</v>
      </c>
      <c r="S989" s="282" t="s">
        <v>1212</v>
      </c>
    </row>
    <row r="990" spans="2:19">
      <c r="B990" s="117" t="s">
        <v>1210</v>
      </c>
      <c r="C990" s="429" t="s">
        <v>1228</v>
      </c>
      <c r="D990" s="484">
        <v>0</v>
      </c>
      <c r="E990" s="388">
        <f>AVERAGE(60,230)</f>
        <v>145</v>
      </c>
      <c r="F990" s="512">
        <f>AVERAGE(0.4,1.4)</f>
        <v>0.89999999999999991</v>
      </c>
      <c r="G990" s="495">
        <v>0.47</v>
      </c>
      <c r="H990" s="495"/>
      <c r="I990" s="498">
        <f t="shared" si="41"/>
        <v>249705549.08000997</v>
      </c>
      <c r="J990" s="388"/>
      <c r="K990" s="388"/>
      <c r="L990" s="499">
        <f>I990*PRP!$J$8+J990*PRP!$J$9+K990*PRP!$J$10</f>
        <v>249705549.08000997</v>
      </c>
      <c r="M990" s="513"/>
      <c r="N990" s="498">
        <f t="shared" si="42"/>
        <v>154989651.15310964</v>
      </c>
      <c r="O990" s="388"/>
      <c r="P990" s="388"/>
      <c r="Q990" s="499">
        <f>N990*PRP!$J$8+O990*PRP!$J$9+P990*PRP!$J$10</f>
        <v>154989651.15310964</v>
      </c>
      <c r="S990" s="282" t="s">
        <v>1212</v>
      </c>
    </row>
    <row r="991" spans="2:19">
      <c r="B991" s="117" t="s">
        <v>1210</v>
      </c>
      <c r="C991" s="429" t="s">
        <v>1229</v>
      </c>
      <c r="D991" s="484">
        <v>0.2</v>
      </c>
      <c r="E991" s="388">
        <v>660</v>
      </c>
      <c r="F991" s="512">
        <v>15</v>
      </c>
      <c r="G991" s="495">
        <v>0.47</v>
      </c>
      <c r="H991" s="495"/>
      <c r="I991" s="498">
        <f t="shared" si="41"/>
        <v>1363908930.1473649</v>
      </c>
      <c r="J991" s="388"/>
      <c r="K991" s="388"/>
      <c r="L991" s="499">
        <f>I991*PRP!$J$8+J991*PRP!$J$9+K991*PRP!$J$10</f>
        <v>1363908930.1473649</v>
      </c>
      <c r="M991" s="513"/>
      <c r="N991" s="498">
        <f t="shared" si="42"/>
        <v>3099793023.0621929</v>
      </c>
      <c r="O991" s="388"/>
      <c r="P991" s="388"/>
      <c r="Q991" s="499">
        <f>N991*PRP!$J$8+O991*PRP!$J$9+P991*PRP!$J$10</f>
        <v>3099793023.0621929</v>
      </c>
      <c r="S991" s="282" t="s">
        <v>1212</v>
      </c>
    </row>
    <row r="992" spans="2:19">
      <c r="B992" s="117" t="s">
        <v>1210</v>
      </c>
      <c r="C992" s="429" t="s">
        <v>1230</v>
      </c>
      <c r="D992" s="484">
        <v>0.24</v>
      </c>
      <c r="E992" s="388">
        <v>660</v>
      </c>
      <c r="F992" s="512">
        <v>15</v>
      </c>
      <c r="G992" s="495">
        <v>0.47</v>
      </c>
      <c r="H992" s="495"/>
      <c r="I992" s="498">
        <f t="shared" si="41"/>
        <v>1409372561.152277</v>
      </c>
      <c r="J992" s="388"/>
      <c r="K992" s="388"/>
      <c r="L992" s="499">
        <f>I992*PRP!$J$8+J992*PRP!$J$9+K992*PRP!$J$10</f>
        <v>1409372561.152277</v>
      </c>
      <c r="M992" s="513"/>
      <c r="N992" s="498">
        <f t="shared" si="42"/>
        <v>3203119457.1642661</v>
      </c>
      <c r="O992" s="388"/>
      <c r="P992" s="388"/>
      <c r="Q992" s="499">
        <f>N992*PRP!$J$8+O992*PRP!$J$9+P992*PRP!$J$10</f>
        <v>3203119457.1642661</v>
      </c>
      <c r="S992" s="282" t="s">
        <v>1212</v>
      </c>
    </row>
    <row r="993" spans="1:19">
      <c r="B993" s="117" t="s">
        <v>1210</v>
      </c>
      <c r="C993" s="429" t="s">
        <v>1231</v>
      </c>
      <c r="D993" s="484">
        <v>0.28999999999999998</v>
      </c>
      <c r="E993" s="388">
        <v>60</v>
      </c>
      <c r="F993" s="512">
        <v>4</v>
      </c>
      <c r="G993" s="495">
        <v>0.47</v>
      </c>
      <c r="H993" s="495"/>
      <c r="I993" s="498">
        <f t="shared" si="41"/>
        <v>133291099.99167432</v>
      </c>
      <c r="J993" s="388"/>
      <c r="K993" s="388"/>
      <c r="L993" s="499">
        <f>I993*PRP!$J$8+J993*PRP!$J$9+K993*PRP!$J$10</f>
        <v>133291099.99167432</v>
      </c>
      <c r="M993" s="513"/>
      <c r="N993" s="498">
        <f t="shared" si="42"/>
        <v>888607333.27782857</v>
      </c>
      <c r="O993" s="388"/>
      <c r="P993" s="388"/>
      <c r="Q993" s="499">
        <f>N993*PRP!$J$8+O993*PRP!$J$9+P993*PRP!$J$10</f>
        <v>888607333.27782857</v>
      </c>
      <c r="S993" s="282" t="s">
        <v>1212</v>
      </c>
    </row>
    <row r="994" spans="1:19">
      <c r="B994" s="117" t="s">
        <v>1210</v>
      </c>
      <c r="C994" s="429" t="s">
        <v>1232</v>
      </c>
      <c r="D994" s="484">
        <v>0.2</v>
      </c>
      <c r="E994" s="388">
        <v>130</v>
      </c>
      <c r="F994" s="512">
        <v>4</v>
      </c>
      <c r="G994" s="495">
        <v>0.47</v>
      </c>
      <c r="H994" s="495"/>
      <c r="I994" s="498">
        <f t="shared" si="41"/>
        <v>268648728.66539001</v>
      </c>
      <c r="J994" s="388"/>
      <c r="K994" s="388"/>
      <c r="L994" s="499">
        <f>I994*PRP!$J$8+J994*PRP!$J$9+K994*PRP!$J$10</f>
        <v>268648728.66539001</v>
      </c>
      <c r="M994" s="513"/>
      <c r="N994" s="498">
        <f t="shared" si="42"/>
        <v>826611472.81658471</v>
      </c>
      <c r="O994" s="388"/>
      <c r="P994" s="388"/>
      <c r="Q994" s="499">
        <f>N994*PRP!$J$8+O994*PRP!$J$9+P994*PRP!$J$10</f>
        <v>826611472.81658471</v>
      </c>
      <c r="S994" s="282" t="s">
        <v>1212</v>
      </c>
    </row>
    <row r="995" spans="1:19">
      <c r="B995" s="117" t="s">
        <v>1210</v>
      </c>
      <c r="C995" s="429" t="s">
        <v>1233</v>
      </c>
      <c r="D995" s="484">
        <v>0.23</v>
      </c>
      <c r="E995" s="388">
        <v>60</v>
      </c>
      <c r="F995" s="512">
        <v>4</v>
      </c>
      <c r="G995" s="495">
        <v>0.47</v>
      </c>
      <c r="H995" s="495"/>
      <c r="I995" s="498">
        <f t="shared" si="41"/>
        <v>127091513.94554992</v>
      </c>
      <c r="J995" s="388"/>
      <c r="K995" s="388"/>
      <c r="L995" s="499">
        <f>I995*PRP!$J$8+J995*PRP!$J$9+K995*PRP!$J$10</f>
        <v>127091513.94554992</v>
      </c>
      <c r="M995" s="513"/>
      <c r="N995" s="498">
        <f t="shared" si="42"/>
        <v>847276759.63699949</v>
      </c>
      <c r="O995" s="388"/>
      <c r="P995" s="388"/>
      <c r="Q995" s="499">
        <f>N995*PRP!$J$8+O995*PRP!$J$9+P995*PRP!$J$10</f>
        <v>847276759.63699949</v>
      </c>
      <c r="S995" s="282" t="s">
        <v>1212</v>
      </c>
    </row>
    <row r="996" spans="1:19">
      <c r="B996" s="117" t="s">
        <v>1210</v>
      </c>
      <c r="C996" s="429" t="s">
        <v>1234</v>
      </c>
      <c r="D996" s="484">
        <v>0.24</v>
      </c>
      <c r="E996" s="388">
        <v>130</v>
      </c>
      <c r="F996" s="512">
        <v>4</v>
      </c>
      <c r="G996" s="495">
        <v>0.47</v>
      </c>
      <c r="H996" s="495"/>
      <c r="I996" s="498">
        <f t="shared" si="41"/>
        <v>277603686.2875697</v>
      </c>
      <c r="J996" s="388"/>
      <c r="K996" s="388"/>
      <c r="L996" s="499">
        <f>I996*PRP!$J$8+J996*PRP!$J$9+K996*PRP!$J$10</f>
        <v>277603686.2875697</v>
      </c>
      <c r="M996" s="513"/>
      <c r="N996" s="498">
        <f t="shared" si="42"/>
        <v>854165188.57713771</v>
      </c>
      <c r="O996" s="388"/>
      <c r="P996" s="388"/>
      <c r="Q996" s="499">
        <f>N996*PRP!$J$8+O996*PRP!$J$9+P996*PRP!$J$10</f>
        <v>854165188.57713771</v>
      </c>
      <c r="S996" s="282" t="s">
        <v>1212</v>
      </c>
    </row>
    <row r="997" spans="1:19">
      <c r="B997" s="117" t="s">
        <v>1210</v>
      </c>
      <c r="C997" s="429" t="s">
        <v>1235</v>
      </c>
      <c r="D997" s="484">
        <v>0.39</v>
      </c>
      <c r="E997" s="388">
        <v>50</v>
      </c>
      <c r="F997" s="512">
        <v>3</v>
      </c>
      <c r="G997" s="495">
        <v>0.47</v>
      </c>
      <c r="H997" s="495"/>
      <c r="I997" s="498">
        <f t="shared" si="41"/>
        <v>119686452.83490135</v>
      </c>
      <c r="J997" s="388"/>
      <c r="K997" s="388"/>
      <c r="L997" s="499">
        <f>I997*PRP!$J$8+J997*PRP!$J$9+K997*PRP!$J$10</f>
        <v>119686452.83490135</v>
      </c>
      <c r="M997" s="513"/>
      <c r="N997" s="498">
        <f t="shared" si="42"/>
        <v>718118717.00940788</v>
      </c>
      <c r="O997" s="388"/>
      <c r="P997" s="388"/>
      <c r="Q997" s="499">
        <f>N997*PRP!$J$8+O997*PRP!$J$9+P997*PRP!$J$10</f>
        <v>718118717.00940788</v>
      </c>
      <c r="S997" s="282" t="s">
        <v>1212</v>
      </c>
    </row>
    <row r="998" spans="1:19">
      <c r="B998" s="117" t="s">
        <v>1210</v>
      </c>
      <c r="C998" s="429" t="s">
        <v>1236</v>
      </c>
      <c r="D998" s="484">
        <v>0.24</v>
      </c>
      <c r="E998" s="388">
        <v>130</v>
      </c>
      <c r="F998" s="512">
        <v>3</v>
      </c>
      <c r="G998" s="495">
        <v>0.47</v>
      </c>
      <c r="H998" s="495"/>
      <c r="I998" s="498">
        <f t="shared" si="41"/>
        <v>277603686.2875697</v>
      </c>
      <c r="J998" s="388"/>
      <c r="K998" s="388"/>
      <c r="L998" s="499">
        <f>I998*PRP!$J$8+J998*PRP!$J$9+K998*PRP!$J$10</f>
        <v>277603686.2875697</v>
      </c>
      <c r="M998" s="513"/>
      <c r="N998" s="498">
        <f t="shared" si="42"/>
        <v>640623891.4328531</v>
      </c>
      <c r="O998" s="388"/>
      <c r="P998" s="388"/>
      <c r="Q998" s="499">
        <f>N998*PRP!$J$8+O998*PRP!$J$9+P998*PRP!$J$10</f>
        <v>640623891.4328531</v>
      </c>
      <c r="S998" s="282" t="s">
        <v>1212</v>
      </c>
    </row>
    <row r="999" spans="1:19">
      <c r="B999" s="117" t="s">
        <v>1210</v>
      </c>
      <c r="C999" s="506" t="s">
        <v>1237</v>
      </c>
      <c r="D999" s="484">
        <v>0.39</v>
      </c>
      <c r="E999" s="388">
        <f>AVERAGE(10,90)</f>
        <v>50</v>
      </c>
      <c r="F999" s="512">
        <f>AVERAGE(0.1,2.1)</f>
        <v>1.1000000000000001</v>
      </c>
      <c r="G999" s="495">
        <v>0.47</v>
      </c>
      <c r="H999" s="495"/>
      <c r="I999" s="498">
        <f t="shared" si="41"/>
        <v>119686452.83490135</v>
      </c>
      <c r="J999" s="388"/>
      <c r="K999" s="388"/>
      <c r="L999" s="499">
        <f>I999*PRP!$J$8+J999*PRP!$J$9+K999*PRP!$J$10</f>
        <v>119686452.83490135</v>
      </c>
      <c r="M999" s="513"/>
      <c r="N999" s="498">
        <f t="shared" si="42"/>
        <v>263310196.236783</v>
      </c>
      <c r="O999" s="388"/>
      <c r="P999" s="388"/>
      <c r="Q999" s="499">
        <f>N999*PRP!$J$8+O999*PRP!$J$9+P999*PRP!$J$10</f>
        <v>263310196.236783</v>
      </c>
      <c r="S999" s="282" t="s">
        <v>1212</v>
      </c>
    </row>
    <row r="1000" spans="1:19">
      <c r="B1000" s="117" t="s">
        <v>1210</v>
      </c>
      <c r="C1000" s="506" t="s">
        <v>1238</v>
      </c>
      <c r="D1000" s="484">
        <v>0.39</v>
      </c>
      <c r="E1000" s="388">
        <f>AVERAGE(3,4)</f>
        <v>3.5</v>
      </c>
      <c r="F1000" s="512">
        <v>0.4</v>
      </c>
      <c r="G1000" s="495">
        <v>0.47</v>
      </c>
      <c r="H1000" s="495"/>
      <c r="I1000" s="498">
        <f t="shared" si="41"/>
        <v>8378051.6984430943</v>
      </c>
      <c r="J1000" s="388"/>
      <c r="K1000" s="388"/>
      <c r="L1000" s="499">
        <f>I1000*PRP!$J$8+J1000*PRP!$J$9+K1000*PRP!$J$10</f>
        <v>8378051.6984430943</v>
      </c>
      <c r="M1000" s="513"/>
      <c r="N1000" s="498">
        <f t="shared" si="42"/>
        <v>95749162.267921075</v>
      </c>
      <c r="O1000" s="388"/>
      <c r="P1000" s="388"/>
      <c r="Q1000" s="499">
        <f>N1000*PRP!$J$8+O1000*PRP!$J$9+P1000*PRP!$J$10</f>
        <v>95749162.267921075</v>
      </c>
      <c r="S1000" s="282" t="s">
        <v>1212</v>
      </c>
    </row>
    <row r="1001" spans="1:19">
      <c r="B1001" s="117" t="s">
        <v>1210</v>
      </c>
      <c r="C1001" s="506" t="s">
        <v>1239</v>
      </c>
      <c r="D1001" s="484">
        <v>0.39</v>
      </c>
      <c r="E1001" s="388">
        <f>AVERAGE(15,20)</f>
        <v>17.5</v>
      </c>
      <c r="F1001" s="512">
        <v>0.4</v>
      </c>
      <c r="G1001" s="495">
        <v>0.47</v>
      </c>
      <c r="H1001" s="495"/>
      <c r="I1001" s="498">
        <f t="shared" si="41"/>
        <v>41890258.492215469</v>
      </c>
      <c r="J1001" s="388"/>
      <c r="K1001" s="388"/>
      <c r="L1001" s="499">
        <f>I1001*PRP!$J$8+J1001*PRP!$J$9+K1001*PRP!$J$10</f>
        <v>41890258.492215469</v>
      </c>
      <c r="M1001" s="513"/>
      <c r="N1001" s="498">
        <f t="shared" si="42"/>
        <v>95749162.267921075</v>
      </c>
      <c r="O1001" s="388"/>
      <c r="P1001" s="388"/>
      <c r="Q1001" s="499">
        <f>N1001*PRP!$J$8+O1001*PRP!$J$9+P1001*PRP!$J$10</f>
        <v>95749162.267921075</v>
      </c>
      <c r="S1001" s="282" t="s">
        <v>1212</v>
      </c>
    </row>
    <row r="1002" spans="1:19">
      <c r="B1002" s="117" t="s">
        <v>1210</v>
      </c>
      <c r="C1002" s="506" t="s">
        <v>1240</v>
      </c>
      <c r="D1002" s="484">
        <v>0.39</v>
      </c>
      <c r="E1002" s="388">
        <f>AVERAGE(12,15)</f>
        <v>13.5</v>
      </c>
      <c r="F1002" s="512">
        <f>AVERAGE(1,1.1)</f>
        <v>1.05</v>
      </c>
      <c r="G1002" s="495">
        <v>0.47</v>
      </c>
      <c r="H1002" s="495"/>
      <c r="I1002" s="498">
        <f t="shared" si="41"/>
        <v>32315342.265423361</v>
      </c>
      <c r="J1002" s="388"/>
      <c r="K1002" s="388"/>
      <c r="L1002" s="499">
        <f>I1002*PRP!$J$8+J1002*PRP!$J$9+K1002*PRP!$J$10</f>
        <v>32315342.265423361</v>
      </c>
      <c r="M1002" s="513"/>
      <c r="N1002" s="498">
        <f t="shared" si="42"/>
        <v>251341550.95329285</v>
      </c>
      <c r="O1002" s="388"/>
      <c r="P1002" s="388"/>
      <c r="Q1002" s="499">
        <f>N1002*PRP!$J$8+O1002*PRP!$J$9+P1002*PRP!$J$10</f>
        <v>251341550.95329285</v>
      </c>
      <c r="S1002" s="282" t="s">
        <v>1212</v>
      </c>
    </row>
    <row r="1003" spans="1:19">
      <c r="B1003" s="117" t="s">
        <v>1210</v>
      </c>
      <c r="C1003" s="506" t="s">
        <v>1241</v>
      </c>
      <c r="D1003" s="484">
        <v>0.39</v>
      </c>
      <c r="E1003" s="388">
        <f>AVERAGE(40,50)</f>
        <v>45</v>
      </c>
      <c r="F1003" s="512">
        <f>AVERAGE(1.1,1.5)</f>
        <v>1.3</v>
      </c>
      <c r="G1003" s="495">
        <v>0.47</v>
      </c>
      <c r="H1003" s="495"/>
      <c r="I1003" s="498">
        <f t="shared" si="41"/>
        <v>107717807.55141121</v>
      </c>
      <c r="J1003" s="388"/>
      <c r="K1003" s="388"/>
      <c r="L1003" s="499">
        <f>I1003*PRP!$J$8+J1003*PRP!$J$9+K1003*PRP!$J$10</f>
        <v>107717807.55141121</v>
      </c>
      <c r="M1003" s="513"/>
      <c r="N1003" s="498">
        <f t="shared" si="42"/>
        <v>311184777.37074351</v>
      </c>
      <c r="O1003" s="388"/>
      <c r="P1003" s="388"/>
      <c r="Q1003" s="499">
        <f>N1003*PRP!$J$8+O1003*PRP!$J$9+P1003*PRP!$J$10</f>
        <v>311184777.37074351</v>
      </c>
      <c r="S1003" s="282" t="s">
        <v>1212</v>
      </c>
    </row>
    <row r="1004" spans="1:19" ht="15.75" thickBot="1">
      <c r="B1004" s="248"/>
      <c r="C1004" s="497"/>
      <c r="D1004" s="484"/>
      <c r="E1004" s="388"/>
      <c r="F1004" s="325"/>
      <c r="G1004" s="495"/>
      <c r="H1004" s="495"/>
      <c r="I1004" s="170"/>
      <c r="J1004" s="279"/>
      <c r="K1004" s="279"/>
      <c r="L1004" s="176"/>
      <c r="M1004" s="171"/>
      <c r="N1004" s="170"/>
      <c r="O1004" s="279"/>
      <c r="P1004" s="279"/>
      <c r="Q1004" s="176"/>
      <c r="S1004" s="282"/>
    </row>
    <row r="1005" spans="1:19" ht="15.75" thickBot="1">
      <c r="A1005" s="86"/>
      <c r="B1005" s="508"/>
      <c r="C1005" s="508"/>
      <c r="D1005" s="508"/>
      <c r="E1005" s="508"/>
      <c r="F1005" s="508"/>
      <c r="G1005" s="508"/>
      <c r="H1005" s="508"/>
      <c r="I1005" s="508"/>
      <c r="J1005" s="508"/>
      <c r="K1005" s="508"/>
      <c r="L1005" s="508"/>
      <c r="M1005" s="508"/>
      <c r="N1005" s="508"/>
      <c r="O1005" s="508"/>
      <c r="P1005" s="508"/>
      <c r="Q1005" s="508"/>
      <c r="S1005" s="509"/>
    </row>
    <row r="1006" spans="1:19" ht="19.5" thickBot="1">
      <c r="A1006" s="86"/>
      <c r="B1006" s="87" t="s">
        <v>1242</v>
      </c>
      <c r="C1006" s="89"/>
      <c r="D1006" s="89" t="s">
        <v>154</v>
      </c>
      <c r="E1006" s="89" t="s">
        <v>154</v>
      </c>
      <c r="F1006" s="514" t="s">
        <v>1243</v>
      </c>
      <c r="G1006" s="89" t="s">
        <v>154</v>
      </c>
      <c r="H1006" s="89" t="s">
        <v>154</v>
      </c>
      <c r="I1006" s="151" t="s">
        <v>154</v>
      </c>
      <c r="J1006" s="330"/>
      <c r="K1006" s="330"/>
      <c r="L1006" s="500" t="s">
        <v>155</v>
      </c>
      <c r="M1006" s="153"/>
      <c r="N1006" s="153"/>
      <c r="O1006" s="153"/>
      <c r="P1006" s="153"/>
      <c r="Q1006" s="153"/>
      <c r="R1006" s="90"/>
      <c r="S1006" s="154" t="s">
        <v>156</v>
      </c>
    </row>
    <row r="1007" spans="1:19" s="438" customFormat="1" ht="45">
      <c r="B1007" s="1292" t="s">
        <v>1244</v>
      </c>
      <c r="C1007" s="510"/>
      <c r="D1007" s="510" t="s">
        <v>1245</v>
      </c>
      <c r="E1007" s="510" t="s">
        <v>1246</v>
      </c>
      <c r="F1007" s="510" t="s">
        <v>1247</v>
      </c>
      <c r="G1007" s="510"/>
      <c r="H1007" s="366" t="s">
        <v>1</v>
      </c>
      <c r="I1007" s="511" t="s">
        <v>1147</v>
      </c>
      <c r="J1007" s="365" t="s">
        <v>1148</v>
      </c>
      <c r="K1007" s="365" t="s">
        <v>1149</v>
      </c>
      <c r="L1007" s="443" t="s">
        <v>1150</v>
      </c>
      <c r="M1007" s="444"/>
      <c r="N1007" s="94" t="s">
        <v>1248</v>
      </c>
      <c r="O1007" s="444"/>
      <c r="P1007" s="444"/>
      <c r="Q1007" s="444"/>
      <c r="S1007" s="492"/>
    </row>
    <row r="1008" spans="1:19" ht="18">
      <c r="B1008" s="1291"/>
      <c r="C1008" s="163"/>
      <c r="D1008" s="338" t="s">
        <v>1249</v>
      </c>
      <c r="E1008" s="338" t="s">
        <v>1250</v>
      </c>
      <c r="F1008" s="338" t="s">
        <v>1187</v>
      </c>
      <c r="G1008" s="338"/>
      <c r="H1008" s="163"/>
      <c r="I1008" s="493" t="s">
        <v>1251</v>
      </c>
      <c r="J1008" s="163" t="s">
        <v>1252</v>
      </c>
      <c r="K1008" s="163" t="s">
        <v>1253</v>
      </c>
      <c r="L1008" s="494" t="s">
        <v>1254</v>
      </c>
      <c r="M1008" s="159"/>
      <c r="N1008" s="515" t="s">
        <v>1255</v>
      </c>
      <c r="O1008" s="159"/>
      <c r="P1008" s="159"/>
      <c r="Q1008" s="159"/>
      <c r="S1008" s="165" t="s">
        <v>154</v>
      </c>
    </row>
    <row r="1009" spans="2:19">
      <c r="B1009" s="516" t="s">
        <v>1256</v>
      </c>
      <c r="C1009" s="429" t="s">
        <v>1257</v>
      </c>
      <c r="D1009" s="489">
        <v>2020</v>
      </c>
      <c r="E1009" s="489">
        <v>0.21529999999999999</v>
      </c>
      <c r="F1009" s="517">
        <f>157.2/132.8</f>
        <v>1.183734939759036</v>
      </c>
      <c r="G1009" s="489"/>
      <c r="H1009" s="495" t="s">
        <v>1258</v>
      </c>
      <c r="I1009" s="518">
        <f t="shared" ref="I1009:I1027" si="43">E1009/$F1009 * (10^3)</f>
        <v>181.88193384223919</v>
      </c>
      <c r="J1009" s="519"/>
      <c r="K1009" s="520"/>
      <c r="L1009" s="521">
        <f t="shared" ref="L1009:L1052" si="44">E1009/$F1009 * (10^3)</f>
        <v>181.88193384223919</v>
      </c>
      <c r="M1009" s="171"/>
      <c r="N1009" s="519"/>
      <c r="O1009" s="171"/>
      <c r="P1009" s="171"/>
      <c r="Q1009" s="171"/>
      <c r="S1009" s="282" t="s">
        <v>1259</v>
      </c>
    </row>
    <row r="1010" spans="2:19">
      <c r="B1010" s="121" t="s">
        <v>1260</v>
      </c>
      <c r="C1010" s="429" t="s">
        <v>1257</v>
      </c>
      <c r="D1010" s="489">
        <v>2020</v>
      </c>
      <c r="E1010" s="489">
        <v>0.36599999999999999</v>
      </c>
      <c r="F1010" s="517">
        <f t="shared" ref="F1010:F1052" si="45">157.2/132.8</f>
        <v>1.183734939759036</v>
      </c>
      <c r="G1010" s="489"/>
      <c r="H1010" s="495" t="s">
        <v>1258</v>
      </c>
      <c r="I1010" s="518">
        <f t="shared" si="43"/>
        <v>309.19083969465657</v>
      </c>
      <c r="J1010" s="519"/>
      <c r="K1010" s="520"/>
      <c r="L1010" s="521">
        <f t="shared" si="44"/>
        <v>309.19083969465657</v>
      </c>
      <c r="M1010" s="171"/>
      <c r="N1010" s="519"/>
      <c r="O1010" s="171"/>
      <c r="P1010" s="171"/>
      <c r="Q1010" s="171"/>
      <c r="S1010" s="282" t="s">
        <v>1261</v>
      </c>
    </row>
    <row r="1011" spans="2:19">
      <c r="B1011" s="121" t="s">
        <v>1262</v>
      </c>
      <c r="C1011" s="429" t="s">
        <v>1257</v>
      </c>
      <c r="D1011" s="489">
        <v>2020</v>
      </c>
      <c r="E1011" s="489">
        <v>1.415</v>
      </c>
      <c r="F1011" s="517">
        <f t="shared" si="45"/>
        <v>1.183734939759036</v>
      </c>
      <c r="G1011" s="489"/>
      <c r="H1011" s="495" t="s">
        <v>1258</v>
      </c>
      <c r="I1011" s="518">
        <f t="shared" si="43"/>
        <v>1195.3689567430029</v>
      </c>
      <c r="J1011" s="519"/>
      <c r="K1011" s="520"/>
      <c r="L1011" s="521">
        <f t="shared" si="44"/>
        <v>1195.3689567430029</v>
      </c>
      <c r="M1011" s="171"/>
      <c r="N1011" s="519"/>
      <c r="O1011" s="171"/>
      <c r="P1011" s="171"/>
      <c r="Q1011" s="171"/>
      <c r="S1011" s="282" t="s">
        <v>1261</v>
      </c>
    </row>
    <row r="1012" spans="2:19">
      <c r="B1012" s="121" t="s">
        <v>1263</v>
      </c>
      <c r="C1012" s="429" t="s">
        <v>1257</v>
      </c>
      <c r="D1012" s="489">
        <v>2020</v>
      </c>
      <c r="E1012" s="489">
        <v>0.61580000000000001</v>
      </c>
      <c r="F1012" s="517">
        <f t="shared" si="45"/>
        <v>1.183734939759036</v>
      </c>
      <c r="G1012" s="489"/>
      <c r="H1012" s="495" t="s">
        <v>1258</v>
      </c>
      <c r="I1012" s="518">
        <f t="shared" si="43"/>
        <v>520.21781170483473</v>
      </c>
      <c r="J1012" s="519"/>
      <c r="K1012" s="520"/>
      <c r="L1012" s="521">
        <f t="shared" si="44"/>
        <v>520.21781170483473</v>
      </c>
      <c r="M1012" s="171"/>
      <c r="N1012" s="519"/>
      <c r="O1012" s="171"/>
      <c r="P1012" s="171"/>
      <c r="Q1012" s="171"/>
      <c r="S1012" s="282" t="s">
        <v>1261</v>
      </c>
    </row>
    <row r="1013" spans="2:19">
      <c r="B1013" s="121" t="s">
        <v>1264</v>
      </c>
      <c r="C1013" s="429" t="s">
        <v>1257</v>
      </c>
      <c r="D1013" s="488">
        <v>2020</v>
      </c>
      <c r="E1013" s="488">
        <v>0.2525</v>
      </c>
      <c r="F1013" s="517">
        <f t="shared" si="45"/>
        <v>1.183734939759036</v>
      </c>
      <c r="G1013" s="488"/>
      <c r="H1013" s="495" t="s">
        <v>1258</v>
      </c>
      <c r="I1013" s="518">
        <f t="shared" si="43"/>
        <v>213.3078880407125</v>
      </c>
      <c r="J1013" s="519"/>
      <c r="K1013" s="520"/>
      <c r="L1013" s="521">
        <f t="shared" si="44"/>
        <v>213.3078880407125</v>
      </c>
      <c r="M1013" s="171"/>
      <c r="N1013" s="519"/>
      <c r="O1013" s="171"/>
      <c r="P1013" s="171"/>
      <c r="Q1013" s="171"/>
      <c r="S1013" s="282" t="s">
        <v>1259</v>
      </c>
    </row>
    <row r="1014" spans="2:19">
      <c r="B1014" s="121" t="s">
        <v>1265</v>
      </c>
      <c r="C1014" s="429" t="s">
        <v>1257</v>
      </c>
      <c r="D1014" s="488">
        <v>2020</v>
      </c>
      <c r="E1014" s="488">
        <v>6.8699999999999997E-2</v>
      </c>
      <c r="F1014" s="517">
        <f t="shared" si="45"/>
        <v>1.183734939759036</v>
      </c>
      <c r="G1014" s="488"/>
      <c r="H1014" s="495" t="s">
        <v>1258</v>
      </c>
      <c r="I1014" s="518">
        <f t="shared" si="43"/>
        <v>58.036641221374047</v>
      </c>
      <c r="J1014" s="519"/>
      <c r="K1014" s="520"/>
      <c r="L1014" s="521">
        <f t="shared" si="44"/>
        <v>58.036641221374047</v>
      </c>
      <c r="M1014" s="171"/>
      <c r="N1014" s="519"/>
      <c r="O1014" s="171"/>
      <c r="P1014" s="171"/>
      <c r="Q1014" s="171"/>
      <c r="S1014" s="282" t="s">
        <v>1259</v>
      </c>
    </row>
    <row r="1015" spans="2:19">
      <c r="B1015" s="121" t="s">
        <v>1266</v>
      </c>
      <c r="C1015" s="429" t="s">
        <v>1257</v>
      </c>
      <c r="D1015" s="488">
        <v>2020</v>
      </c>
      <c r="E1015" s="488">
        <v>0.22509999999999999</v>
      </c>
      <c r="F1015" s="517">
        <f t="shared" si="45"/>
        <v>1.183734939759036</v>
      </c>
      <c r="G1015" s="488"/>
      <c r="H1015" s="495" t="s">
        <v>1258</v>
      </c>
      <c r="I1015" s="518">
        <f t="shared" si="43"/>
        <v>190.16081424936391</v>
      </c>
      <c r="J1015" s="519"/>
      <c r="K1015" s="520"/>
      <c r="L1015" s="521">
        <f t="shared" si="44"/>
        <v>190.16081424936391</v>
      </c>
      <c r="M1015" s="171"/>
      <c r="N1015" s="519"/>
      <c r="O1015" s="171"/>
      <c r="P1015" s="171"/>
      <c r="Q1015" s="171"/>
      <c r="S1015" s="282" t="s">
        <v>1259</v>
      </c>
    </row>
    <row r="1016" spans="2:19">
      <c r="B1016" s="121" t="s">
        <v>1267</v>
      </c>
      <c r="C1016" s="429" t="s">
        <v>1257</v>
      </c>
      <c r="D1016" s="488">
        <v>2020</v>
      </c>
      <c r="E1016" s="488">
        <v>0.29699999999999999</v>
      </c>
      <c r="F1016" s="517">
        <f t="shared" si="45"/>
        <v>1.183734939759036</v>
      </c>
      <c r="G1016" s="488"/>
      <c r="H1016" s="495" t="s">
        <v>1258</v>
      </c>
      <c r="I1016" s="518">
        <f t="shared" si="43"/>
        <v>250.90076335877865</v>
      </c>
      <c r="J1016" s="519"/>
      <c r="K1016" s="520"/>
      <c r="L1016" s="521">
        <f t="shared" si="44"/>
        <v>250.90076335877865</v>
      </c>
      <c r="M1016" s="171"/>
      <c r="N1016" s="519"/>
      <c r="O1016" s="171"/>
      <c r="P1016" s="171"/>
      <c r="Q1016" s="171"/>
      <c r="S1016" s="282" t="s">
        <v>1259</v>
      </c>
    </row>
    <row r="1017" spans="2:19">
      <c r="B1017" s="121" t="s">
        <v>1268</v>
      </c>
      <c r="C1017" s="429" t="s">
        <v>1257</v>
      </c>
      <c r="D1017" s="488">
        <v>2020</v>
      </c>
      <c r="E1017" s="488">
        <v>0.3009</v>
      </c>
      <c r="F1017" s="517">
        <f t="shared" si="45"/>
        <v>1.183734939759036</v>
      </c>
      <c r="G1017" s="488"/>
      <c r="H1017" s="495" t="s">
        <v>1258</v>
      </c>
      <c r="I1017" s="518">
        <f t="shared" si="43"/>
        <v>254.19541984732831</v>
      </c>
      <c r="J1017" s="519"/>
      <c r="K1017" s="520"/>
      <c r="L1017" s="521">
        <f t="shared" si="44"/>
        <v>254.19541984732831</v>
      </c>
      <c r="M1017" s="171"/>
      <c r="N1017" s="519"/>
      <c r="O1017" s="171"/>
      <c r="P1017" s="171"/>
      <c r="Q1017" s="171"/>
      <c r="S1017" s="282" t="s">
        <v>1259</v>
      </c>
    </row>
    <row r="1018" spans="2:19">
      <c r="B1018" s="121" t="s">
        <v>1269</v>
      </c>
      <c r="C1018" s="429" t="s">
        <v>1257</v>
      </c>
      <c r="D1018" s="488">
        <v>2020</v>
      </c>
      <c r="E1018" s="488">
        <v>0.29570000000000002</v>
      </c>
      <c r="F1018" s="517">
        <f t="shared" si="45"/>
        <v>1.183734939759036</v>
      </c>
      <c r="G1018" s="488"/>
      <c r="H1018" s="495" t="s">
        <v>1258</v>
      </c>
      <c r="I1018" s="518">
        <f t="shared" si="43"/>
        <v>249.80254452926212</v>
      </c>
      <c r="J1018" s="519"/>
      <c r="K1018" s="520"/>
      <c r="L1018" s="521">
        <f t="shared" si="44"/>
        <v>249.80254452926212</v>
      </c>
      <c r="M1018" s="171"/>
      <c r="N1018" s="519"/>
      <c r="O1018" s="171"/>
      <c r="P1018" s="171"/>
      <c r="Q1018" s="171"/>
      <c r="S1018" s="282" t="s">
        <v>1259</v>
      </c>
    </row>
    <row r="1019" spans="2:19">
      <c r="B1019" s="121" t="s">
        <v>1270</v>
      </c>
      <c r="C1019" s="429" t="s">
        <v>1257</v>
      </c>
      <c r="D1019" s="488">
        <v>2019</v>
      </c>
      <c r="E1019" s="488">
        <v>1.1339999999999999</v>
      </c>
      <c r="F1019" s="517">
        <f>157.2/131.7</f>
        <v>1.1936218678815489</v>
      </c>
      <c r="G1019" s="488"/>
      <c r="H1019" s="495" t="s">
        <v>1258</v>
      </c>
      <c r="I1019" s="518">
        <f t="shared" si="43"/>
        <v>950.04961832061065</v>
      </c>
      <c r="J1019" s="519"/>
      <c r="K1019" s="520"/>
      <c r="L1019" s="521">
        <f t="shared" si="44"/>
        <v>950.04961832061065</v>
      </c>
      <c r="M1019" s="171"/>
      <c r="N1019" s="519"/>
      <c r="O1019" s="171"/>
      <c r="P1019" s="171"/>
      <c r="Q1019" s="171"/>
      <c r="S1019" s="282" t="s">
        <v>1259</v>
      </c>
    </row>
    <row r="1020" spans="2:19">
      <c r="B1020" s="121"/>
      <c r="C1020" s="429"/>
      <c r="D1020" s="488"/>
      <c r="E1020" s="488"/>
      <c r="F1020" s="522"/>
      <c r="G1020" s="488"/>
      <c r="H1020" s="495" t="s">
        <v>1258</v>
      </c>
      <c r="I1020" s="518"/>
      <c r="J1020" s="519"/>
      <c r="K1020" s="520"/>
      <c r="L1020" s="521"/>
      <c r="M1020" s="171"/>
      <c r="N1020" s="519"/>
      <c r="O1020" s="171"/>
      <c r="P1020" s="171"/>
      <c r="Q1020" s="171"/>
      <c r="S1020" s="282"/>
    </row>
    <row r="1021" spans="2:19">
      <c r="B1021" s="121" t="s">
        <v>1271</v>
      </c>
      <c r="C1021" s="429" t="s">
        <v>1257</v>
      </c>
      <c r="D1021" s="488">
        <v>2020</v>
      </c>
      <c r="E1021" s="488">
        <v>0.17899999999999999</v>
      </c>
      <c r="F1021" s="517">
        <f t="shared" si="45"/>
        <v>1.183734939759036</v>
      </c>
      <c r="G1021" s="488"/>
      <c r="H1021" s="495" t="s">
        <v>1272</v>
      </c>
      <c r="I1021" s="518">
        <f>E1021/$F1021 * (10^3)</f>
        <v>151.21628498727739</v>
      </c>
      <c r="J1021" s="519"/>
      <c r="K1021" s="520"/>
      <c r="L1021" s="521">
        <f>E1021/$F1021 * (10^3)</f>
        <v>151.21628498727739</v>
      </c>
      <c r="M1021" s="171"/>
      <c r="N1021" s="519"/>
      <c r="O1021" s="171"/>
      <c r="P1021" s="171"/>
      <c r="Q1021" s="171"/>
      <c r="S1021" s="282" t="s">
        <v>1259</v>
      </c>
    </row>
    <row r="1022" spans="2:19">
      <c r="B1022" s="121" t="s">
        <v>1273</v>
      </c>
      <c r="C1022" s="429" t="s">
        <v>1257</v>
      </c>
      <c r="D1022" s="488">
        <v>2020</v>
      </c>
      <c r="E1022" s="488">
        <v>0.18490000000000001</v>
      </c>
      <c r="F1022" s="517">
        <f t="shared" si="45"/>
        <v>1.183734939759036</v>
      </c>
      <c r="G1022" s="488"/>
      <c r="H1022" s="495" t="s">
        <v>1272</v>
      </c>
      <c r="I1022" s="518">
        <f>E1022/$F1022 * (10^3)</f>
        <v>156.20050890585244</v>
      </c>
      <c r="J1022" s="519"/>
      <c r="K1022" s="520"/>
      <c r="L1022" s="521">
        <f>E1022/$F1022 * (10^3)</f>
        <v>156.20050890585244</v>
      </c>
      <c r="M1022" s="171"/>
      <c r="N1022" s="519"/>
      <c r="O1022" s="171"/>
      <c r="P1022" s="171"/>
      <c r="Q1022" s="171"/>
      <c r="S1022" s="282" t="s">
        <v>1259</v>
      </c>
    </row>
    <row r="1023" spans="2:19">
      <c r="B1023" s="121"/>
      <c r="C1023" s="429"/>
      <c r="D1023" s="488"/>
      <c r="E1023" s="488"/>
      <c r="F1023" s="522"/>
      <c r="G1023" s="488"/>
      <c r="H1023" s="495" t="s">
        <v>1272</v>
      </c>
      <c r="I1023" s="518"/>
      <c r="J1023" s="519"/>
      <c r="K1023" s="520"/>
      <c r="L1023" s="521"/>
      <c r="M1023" s="171"/>
      <c r="N1023" s="519"/>
      <c r="O1023" s="171"/>
      <c r="P1023" s="171"/>
      <c r="Q1023" s="171"/>
      <c r="S1023" s="282"/>
    </row>
    <row r="1024" spans="2:19">
      <c r="B1024" s="121" t="s">
        <v>1274</v>
      </c>
      <c r="C1024" s="429" t="s">
        <v>1257</v>
      </c>
      <c r="D1024" s="488">
        <v>2020</v>
      </c>
      <c r="E1024" s="488">
        <v>0.20810000000000001</v>
      </c>
      <c r="F1024" s="517">
        <f t="shared" si="45"/>
        <v>1.183734939759036</v>
      </c>
      <c r="G1024" s="488"/>
      <c r="H1024" s="495" t="s">
        <v>1275</v>
      </c>
      <c r="I1024" s="518">
        <f>E1024/$F1024 * (10^3)</f>
        <v>175.79949109414761</v>
      </c>
      <c r="J1024" s="519"/>
      <c r="K1024" s="520"/>
      <c r="L1024" s="521">
        <f t="shared" si="44"/>
        <v>175.79949109414761</v>
      </c>
      <c r="M1024" s="171"/>
      <c r="N1024" s="519"/>
      <c r="O1024" s="171"/>
      <c r="P1024" s="171"/>
      <c r="Q1024" s="171"/>
      <c r="S1024" s="282" t="s">
        <v>1276</v>
      </c>
    </row>
    <row r="1025" spans="2:19">
      <c r="B1025" s="121" t="s">
        <v>1277</v>
      </c>
      <c r="C1025" s="429" t="s">
        <v>1257</v>
      </c>
      <c r="D1025" s="488">
        <v>2020</v>
      </c>
      <c r="E1025" s="488">
        <v>0.21529999999999999</v>
      </c>
      <c r="F1025" s="517">
        <f t="shared" si="45"/>
        <v>1.183734939759036</v>
      </c>
      <c r="G1025" s="488"/>
      <c r="H1025" s="495" t="s">
        <v>1275</v>
      </c>
      <c r="I1025" s="518">
        <f>E1025/$F1025 * (10^3)</f>
        <v>181.88193384223919</v>
      </c>
      <c r="J1025" s="519"/>
      <c r="K1025" s="520"/>
      <c r="L1025" s="521">
        <f t="shared" si="44"/>
        <v>181.88193384223919</v>
      </c>
      <c r="M1025" s="171"/>
      <c r="N1025" s="519"/>
      <c r="O1025" s="171"/>
      <c r="P1025" s="171"/>
      <c r="Q1025" s="171"/>
      <c r="S1025" s="282" t="s">
        <v>1276</v>
      </c>
    </row>
    <row r="1026" spans="2:19">
      <c r="B1026" s="121" t="s">
        <v>1278</v>
      </c>
      <c r="C1026" s="429" t="s">
        <v>1257</v>
      </c>
      <c r="D1026" s="488">
        <v>2020</v>
      </c>
      <c r="E1026" s="488">
        <v>0.23119999999999999</v>
      </c>
      <c r="F1026" s="517">
        <f t="shared" si="45"/>
        <v>1.183734939759036</v>
      </c>
      <c r="G1026" s="488"/>
      <c r="H1026" s="495" t="s">
        <v>1275</v>
      </c>
      <c r="I1026" s="518">
        <f>E1026/$F1026 * (10^3)</f>
        <v>195.31399491094149</v>
      </c>
      <c r="J1026" s="519"/>
      <c r="K1026" s="520"/>
      <c r="L1026" s="521">
        <f t="shared" si="44"/>
        <v>195.31399491094149</v>
      </c>
      <c r="M1026" s="171"/>
      <c r="N1026" s="519"/>
      <c r="O1026" s="171"/>
      <c r="P1026" s="171"/>
      <c r="Q1026" s="171"/>
      <c r="S1026" s="282" t="s">
        <v>1276</v>
      </c>
    </row>
    <row r="1027" spans="2:19">
      <c r="B1027" s="121" t="s">
        <v>1279</v>
      </c>
      <c r="C1027" s="429" t="s">
        <v>1257</v>
      </c>
      <c r="D1027" s="488">
        <v>2020</v>
      </c>
      <c r="E1027" s="488">
        <v>0.16889999999999999</v>
      </c>
      <c r="F1027" s="517">
        <f t="shared" si="45"/>
        <v>1.183734939759036</v>
      </c>
      <c r="G1027" s="488"/>
      <c r="H1027" s="495" t="s">
        <v>1275</v>
      </c>
      <c r="I1027" s="518">
        <f t="shared" si="43"/>
        <v>142.68396946564889</v>
      </c>
      <c r="J1027" s="519"/>
      <c r="K1027" s="520"/>
      <c r="L1027" s="521">
        <f t="shared" si="44"/>
        <v>142.68396946564889</v>
      </c>
      <c r="M1027" s="171"/>
      <c r="N1027" s="519"/>
      <c r="O1027" s="171"/>
      <c r="P1027" s="171"/>
      <c r="Q1027" s="171"/>
      <c r="S1027" s="282" t="s">
        <v>1276</v>
      </c>
    </row>
    <row r="1028" spans="2:19">
      <c r="B1028" s="121"/>
      <c r="C1028" s="429"/>
      <c r="D1028" s="488"/>
      <c r="E1028" s="488"/>
      <c r="F1028" s="522"/>
      <c r="G1028" s="488"/>
      <c r="H1028" s="495" t="s">
        <v>1275</v>
      </c>
      <c r="I1028" s="518"/>
      <c r="J1028" s="519"/>
      <c r="K1028" s="520"/>
      <c r="L1028" s="521"/>
      <c r="M1028" s="171"/>
      <c r="N1028" s="519"/>
      <c r="O1028" s="171"/>
      <c r="P1028" s="171"/>
      <c r="Q1028" s="171"/>
      <c r="S1028" s="282"/>
    </row>
    <row r="1029" spans="2:19">
      <c r="B1029" s="121" t="s">
        <v>1280</v>
      </c>
      <c r="C1029" s="429" t="s">
        <v>1257</v>
      </c>
      <c r="D1029" s="488">
        <v>2020</v>
      </c>
      <c r="E1029" s="488">
        <v>5.5899999999999998E-2</v>
      </c>
      <c r="F1029" s="517">
        <f t="shared" si="45"/>
        <v>1.183734939759036</v>
      </c>
      <c r="G1029" s="488"/>
      <c r="H1029" s="495" t="s">
        <v>1281</v>
      </c>
      <c r="I1029" s="518">
        <f t="shared" ref="I1029:I1036" si="46">E1029/$F1029 * (10^3)</f>
        <v>47.2234096692112</v>
      </c>
      <c r="J1029" s="519"/>
      <c r="K1029" s="520"/>
      <c r="L1029" s="521">
        <f t="shared" si="44"/>
        <v>47.2234096692112</v>
      </c>
      <c r="M1029" s="171"/>
      <c r="N1029" s="519"/>
      <c r="O1029" s="171"/>
      <c r="P1029" s="171"/>
      <c r="Q1029" s="171"/>
      <c r="S1029" s="282" t="s">
        <v>1259</v>
      </c>
    </row>
    <row r="1030" spans="2:19">
      <c r="B1030" s="121" t="s">
        <v>1282</v>
      </c>
      <c r="C1030" s="429" t="s">
        <v>1257</v>
      </c>
      <c r="D1030" s="488">
        <v>2020</v>
      </c>
      <c r="E1030" s="488">
        <v>0.11310000000000001</v>
      </c>
      <c r="F1030" s="517">
        <f t="shared" si="45"/>
        <v>1.183734939759036</v>
      </c>
      <c r="G1030" s="488"/>
      <c r="H1030" s="495" t="s">
        <v>1281</v>
      </c>
      <c r="I1030" s="518">
        <f t="shared" si="46"/>
        <v>95.545038167938955</v>
      </c>
      <c r="J1030" s="519"/>
      <c r="K1030" s="520"/>
      <c r="L1030" s="521">
        <f t="shared" si="44"/>
        <v>95.545038167938955</v>
      </c>
      <c r="M1030" s="171"/>
      <c r="N1030" s="519"/>
      <c r="O1030" s="171"/>
      <c r="P1030" s="171"/>
      <c r="Q1030" s="171"/>
      <c r="S1030" s="282" t="s">
        <v>1259</v>
      </c>
    </row>
    <row r="1031" spans="2:19">
      <c r="B1031" s="121" t="s">
        <v>1283</v>
      </c>
      <c r="C1031" s="429" t="s">
        <v>1257</v>
      </c>
      <c r="D1031" s="488">
        <v>2020</v>
      </c>
      <c r="E1031" s="488">
        <v>5.9299999999999999E-2</v>
      </c>
      <c r="F1031" s="517">
        <f t="shared" si="45"/>
        <v>1.183734939759036</v>
      </c>
      <c r="G1031" s="488"/>
      <c r="H1031" s="495" t="s">
        <v>1281</v>
      </c>
      <c r="I1031" s="518">
        <f t="shared" si="46"/>
        <v>50.095674300254458</v>
      </c>
      <c r="J1031" s="519"/>
      <c r="K1031" s="520"/>
      <c r="L1031" s="521">
        <f t="shared" si="44"/>
        <v>50.095674300254458</v>
      </c>
      <c r="M1031" s="171"/>
      <c r="N1031" s="519"/>
      <c r="O1031" s="171"/>
      <c r="P1031" s="171"/>
      <c r="Q1031" s="171"/>
      <c r="S1031" s="282" t="s">
        <v>1259</v>
      </c>
    </row>
    <row r="1032" spans="2:19">
      <c r="B1032" s="121" t="s">
        <v>1284</v>
      </c>
      <c r="C1032" s="429" t="s">
        <v>1257</v>
      </c>
      <c r="D1032" s="488">
        <v>2020</v>
      </c>
      <c r="E1032" s="488">
        <v>8.6999999999999994E-2</v>
      </c>
      <c r="F1032" s="517">
        <f t="shared" si="45"/>
        <v>1.183734939759036</v>
      </c>
      <c r="G1032" s="488"/>
      <c r="H1032" s="495" t="s">
        <v>1281</v>
      </c>
      <c r="I1032" s="518">
        <f t="shared" si="46"/>
        <v>73.496183206106878</v>
      </c>
      <c r="J1032" s="519"/>
      <c r="K1032" s="520"/>
      <c r="L1032" s="521">
        <f t="shared" si="44"/>
        <v>73.496183206106878</v>
      </c>
      <c r="M1032" s="171"/>
      <c r="N1032" s="519"/>
      <c r="O1032" s="171"/>
      <c r="P1032" s="171"/>
      <c r="Q1032" s="171"/>
      <c r="S1032" s="282" t="s">
        <v>1259</v>
      </c>
    </row>
    <row r="1033" spans="2:19">
      <c r="B1033" s="121" t="s">
        <v>1285</v>
      </c>
      <c r="C1033" s="429" t="s">
        <v>1257</v>
      </c>
      <c r="D1033" s="488">
        <v>2020</v>
      </c>
      <c r="E1033" s="488">
        <v>8.5599999999999996E-2</v>
      </c>
      <c r="F1033" s="517">
        <f t="shared" si="45"/>
        <v>1.183734939759036</v>
      </c>
      <c r="G1033" s="488"/>
      <c r="H1033" s="495" t="s">
        <v>1281</v>
      </c>
      <c r="I1033" s="518">
        <f t="shared" si="46"/>
        <v>72.313486005089061</v>
      </c>
      <c r="J1033" s="519"/>
      <c r="K1033" s="520"/>
      <c r="L1033" s="521">
        <f t="shared" si="44"/>
        <v>72.313486005089061</v>
      </c>
      <c r="M1033" s="171"/>
      <c r="N1033" s="519"/>
      <c r="O1033" s="171"/>
      <c r="P1033" s="171"/>
      <c r="Q1033" s="171"/>
      <c r="S1033" s="282" t="s">
        <v>1259</v>
      </c>
    </row>
    <row r="1034" spans="2:19">
      <c r="B1034" s="121" t="s">
        <v>1286</v>
      </c>
      <c r="C1034" s="429" t="s">
        <v>1257</v>
      </c>
      <c r="D1034" s="488">
        <v>2020</v>
      </c>
      <c r="E1034" s="488">
        <v>0.25679999999999997</v>
      </c>
      <c r="F1034" s="517">
        <f t="shared" si="45"/>
        <v>1.183734939759036</v>
      </c>
      <c r="G1034" s="488"/>
      <c r="H1034" s="495" t="s">
        <v>1281</v>
      </c>
      <c r="I1034" s="518">
        <f t="shared" si="46"/>
        <v>216.94045801526718</v>
      </c>
      <c r="J1034" s="519"/>
      <c r="K1034" s="520"/>
      <c r="L1034" s="521">
        <f t="shared" si="44"/>
        <v>216.94045801526718</v>
      </c>
      <c r="M1034" s="171"/>
      <c r="N1034" s="519"/>
      <c r="O1034" s="171"/>
      <c r="P1034" s="171"/>
      <c r="Q1034" s="171"/>
      <c r="S1034" s="282" t="s">
        <v>1259</v>
      </c>
    </row>
    <row r="1035" spans="2:19">
      <c r="B1035" s="121" t="s">
        <v>1287</v>
      </c>
      <c r="C1035" s="429" t="s">
        <v>1257</v>
      </c>
      <c r="D1035" s="488">
        <v>2019</v>
      </c>
      <c r="E1035" s="488">
        <v>0.28560000000000002</v>
      </c>
      <c r="F1035" s="517">
        <f>157.2/131.7</f>
        <v>1.1936218678815489</v>
      </c>
      <c r="G1035" s="488"/>
      <c r="H1035" s="495" t="s">
        <v>1281</v>
      </c>
      <c r="I1035" s="518">
        <f t="shared" si="46"/>
        <v>239.27175572519087</v>
      </c>
      <c r="J1035" s="519"/>
      <c r="K1035" s="520"/>
      <c r="L1035" s="521">
        <f t="shared" si="44"/>
        <v>239.27175572519087</v>
      </c>
      <c r="M1035" s="171"/>
      <c r="N1035" s="519"/>
      <c r="O1035" s="171"/>
      <c r="P1035" s="171"/>
      <c r="Q1035" s="171"/>
      <c r="S1035" s="282" t="s">
        <v>1259</v>
      </c>
    </row>
    <row r="1036" spans="2:19">
      <c r="B1036" s="121" t="s">
        <v>1288</v>
      </c>
      <c r="C1036" s="429" t="s">
        <v>1257</v>
      </c>
      <c r="D1036" s="488">
        <v>2020</v>
      </c>
      <c r="E1036" s="488">
        <v>9.0999999999999998E-2</v>
      </c>
      <c r="F1036" s="517">
        <f t="shared" si="45"/>
        <v>1.183734939759036</v>
      </c>
      <c r="G1036" s="488"/>
      <c r="H1036" s="495" t="s">
        <v>1281</v>
      </c>
      <c r="I1036" s="521">
        <f t="shared" si="46"/>
        <v>76.875318066157774</v>
      </c>
      <c r="J1036" s="523"/>
      <c r="K1036" s="523"/>
      <c r="L1036" s="521">
        <f t="shared" si="44"/>
        <v>76.875318066157774</v>
      </c>
      <c r="M1036" s="171"/>
      <c r="N1036" s="519"/>
      <c r="O1036" s="171"/>
      <c r="P1036" s="171"/>
      <c r="Q1036" s="171"/>
      <c r="S1036" s="282" t="s">
        <v>1259</v>
      </c>
    </row>
    <row r="1037" spans="2:19">
      <c r="B1037" s="121" t="s">
        <v>1289</v>
      </c>
      <c r="C1037" s="429" t="s">
        <v>1257</v>
      </c>
      <c r="D1037" s="488">
        <v>2020</v>
      </c>
      <c r="E1037" s="488">
        <v>0.1847</v>
      </c>
      <c r="F1037" s="517">
        <f t="shared" si="45"/>
        <v>1.183734939759036</v>
      </c>
      <c r="G1037" s="488"/>
      <c r="H1037" s="495" t="s">
        <v>1281</v>
      </c>
      <c r="I1037" s="521">
        <f>0.1686/$F1037 * (10^3)</f>
        <v>142.43053435114504</v>
      </c>
      <c r="J1037" s="523">
        <f>0.0003592/$F1037 * (10^3)</f>
        <v>0.30344631043257003</v>
      </c>
      <c r="K1037" s="523">
        <f>0.0000103/$F1037 * (10^3)</f>
        <v>8.701272264631044E-3</v>
      </c>
      <c r="L1037" s="521">
        <f>E1037/$F1037 * (10^3)</f>
        <v>156.03155216284989</v>
      </c>
      <c r="M1037" s="171"/>
      <c r="N1037" s="524">
        <f>0.002493/$F1037 * (10^3)</f>
        <v>2.1060458015267178</v>
      </c>
      <c r="O1037" s="171"/>
      <c r="P1037" s="171"/>
      <c r="Q1037" s="171"/>
      <c r="S1037" s="282"/>
    </row>
    <row r="1038" spans="2:19">
      <c r="B1038" s="121" t="s">
        <v>1290</v>
      </c>
      <c r="C1038" s="429" t="s">
        <v>1257</v>
      </c>
      <c r="D1038" s="488">
        <v>2020</v>
      </c>
      <c r="E1038" s="488">
        <v>0.13850000000000001</v>
      </c>
      <c r="F1038" s="517">
        <f t="shared" si="45"/>
        <v>1.183734939759036</v>
      </c>
      <c r="G1038" s="488"/>
      <c r="H1038" s="495" t="s">
        <v>1281</v>
      </c>
      <c r="I1038" s="521">
        <f>0.1102/$F1038 * (10^3)</f>
        <v>93.095165394402059</v>
      </c>
      <c r="J1038" s="523">
        <f>0.0005552/$F1038 * (10^3)</f>
        <v>0.4690239185750637</v>
      </c>
      <c r="K1038" s="523">
        <f>0.0000126/$F1038 * (10^3)</f>
        <v>1.0644274809160307E-2</v>
      </c>
      <c r="L1038" s="521">
        <f>E1038/$F1038 * (10^3)</f>
        <v>117.00254452926211</v>
      </c>
      <c r="M1038" s="171"/>
      <c r="N1038" s="524">
        <f>0.00795/$F1038 * (10^3)</f>
        <v>6.7160305343511464</v>
      </c>
      <c r="O1038" s="171"/>
      <c r="P1038" s="171"/>
      <c r="Q1038" s="171"/>
      <c r="S1038" s="282" t="s">
        <v>1291</v>
      </c>
    </row>
    <row r="1039" spans="2:19">
      <c r="B1039" s="121" t="s">
        <v>1292</v>
      </c>
      <c r="C1039" s="429" t="s">
        <v>1257</v>
      </c>
      <c r="D1039" s="488">
        <v>2018</v>
      </c>
      <c r="E1039" s="488">
        <v>9.6290000000000001E-2</v>
      </c>
      <c r="F1039" s="517">
        <f>160.9/133.4</f>
        <v>1.2061469265367317</v>
      </c>
      <c r="G1039" s="488"/>
      <c r="H1039" s="495" t="s">
        <v>1281</v>
      </c>
      <c r="I1039" s="521">
        <f>0.07501/$F1039 * (10^3)</f>
        <v>62.189770043505277</v>
      </c>
      <c r="J1039" s="523">
        <f>0.0004592/$F1039 * (10^3)</f>
        <v>0.38071646985705404</v>
      </c>
      <c r="K1039" s="523">
        <f>0.00000989/$F1039 * (10^3)</f>
        <v>8.199664387818521E-3</v>
      </c>
      <c r="L1039" s="521">
        <f>E1039/$F1039 * (10^3)</f>
        <v>79.832728402734617</v>
      </c>
      <c r="M1039" s="171"/>
      <c r="N1039" s="524">
        <f>0.004574/$F1039 * (10^3)</f>
        <v>3.7922411435674328</v>
      </c>
      <c r="O1039" s="171"/>
      <c r="P1039" s="171"/>
      <c r="Q1039" s="171"/>
      <c r="S1039" s="282" t="s">
        <v>1293</v>
      </c>
    </row>
    <row r="1040" spans="2:19">
      <c r="B1040" s="121" t="s">
        <v>1294</v>
      </c>
      <c r="C1040" s="429" t="s">
        <v>1257</v>
      </c>
      <c r="D1040" s="488">
        <v>2020</v>
      </c>
      <c r="E1040" s="488">
        <v>0.1014</v>
      </c>
      <c r="F1040" s="517">
        <f t="shared" si="45"/>
        <v>1.183734939759036</v>
      </c>
      <c r="G1040" s="488"/>
      <c r="H1040" s="495" t="s">
        <v>1281</v>
      </c>
      <c r="I1040" s="521">
        <f>0.08119/$F1040 * (10^3)</f>
        <v>68.587989821882957</v>
      </c>
      <c r="J1040" s="523">
        <f>0.0004178/$F1040 * (10^3)</f>
        <v>0.35295063613231559</v>
      </c>
      <c r="K1040" s="523">
        <f>0.0000115/$F1040 * (10^3)</f>
        <v>9.7150127226463111E-3</v>
      </c>
      <c r="L1040" s="521">
        <f>E1040/$F1040 * (10^3)</f>
        <v>85.661068702290095</v>
      </c>
      <c r="M1040" s="171"/>
      <c r="N1040" s="524">
        <f>0.004516/$F1040 * (10^3)</f>
        <v>3.8150432569974559</v>
      </c>
      <c r="O1040" s="171"/>
      <c r="P1040" s="171"/>
      <c r="Q1040" s="171"/>
      <c r="S1040" s="282" t="s">
        <v>1295</v>
      </c>
    </row>
    <row r="1041" spans="2:19">
      <c r="B1041" s="121"/>
      <c r="C1041" s="506"/>
      <c r="D1041" s="488"/>
      <c r="E1041" s="488"/>
      <c r="F1041" s="522"/>
      <c r="G1041" s="488"/>
      <c r="H1041" s="495" t="s">
        <v>1281</v>
      </c>
      <c r="I1041" s="521"/>
      <c r="J1041" s="523"/>
      <c r="K1041" s="523"/>
      <c r="L1041" s="521"/>
      <c r="M1041" s="171"/>
      <c r="N1041" s="519"/>
      <c r="O1041" s="171"/>
      <c r="P1041" s="171"/>
      <c r="Q1041" s="171"/>
      <c r="S1041" s="282"/>
    </row>
    <row r="1042" spans="2:19">
      <c r="B1042" s="121" t="s">
        <v>1296</v>
      </c>
      <c r="C1042" s="429" t="s">
        <v>1257</v>
      </c>
      <c r="D1042" s="488">
        <v>2020</v>
      </c>
      <c r="E1042" s="488">
        <v>0.36149999999999999</v>
      </c>
      <c r="F1042" s="517">
        <f t="shared" si="45"/>
        <v>1.183734939759036</v>
      </c>
      <c r="G1042" s="488"/>
      <c r="H1042" s="495" t="s">
        <v>1297</v>
      </c>
      <c r="I1042" s="521">
        <f>0.2262/$F1042 * (10^3)</f>
        <v>191.09007633587791</v>
      </c>
      <c r="J1042" s="523">
        <f>0.002346/$F1042 * (10^3)</f>
        <v>1.9818625954198477</v>
      </c>
      <c r="K1042" s="523">
        <f>0.0002028/$F1042 * (10^3)</f>
        <v>0.17132213740458019</v>
      </c>
      <c r="L1042" s="521">
        <f>E1042/$F1042 * (10^3)</f>
        <v>305.38931297709928</v>
      </c>
      <c r="M1042" s="171"/>
      <c r="N1042" s="524">
        <f>0.009625/$F1042 * (10^3)</f>
        <v>8.131043256997458</v>
      </c>
      <c r="O1042" s="171"/>
      <c r="P1042" s="171"/>
      <c r="Q1042" s="171"/>
      <c r="S1042" s="282"/>
    </row>
    <row r="1043" spans="2:19">
      <c r="B1043" s="121" t="s">
        <v>1298</v>
      </c>
      <c r="C1043" s="429" t="s">
        <v>1257</v>
      </c>
      <c r="D1043" s="488">
        <v>2020</v>
      </c>
      <c r="E1043" s="488">
        <v>0.34110000000000001</v>
      </c>
      <c r="F1043" s="517">
        <f t="shared" si="45"/>
        <v>1.183734939759036</v>
      </c>
      <c r="G1043" s="488"/>
      <c r="H1043" s="495" t="s">
        <v>1297</v>
      </c>
      <c r="I1043" s="521">
        <f>0.2133/$F1043 * (10^3)</f>
        <v>180.19236641221374</v>
      </c>
      <c r="J1043" s="523">
        <f>0.00216/$F1043 * (10^3)</f>
        <v>1.8247328244274812</v>
      </c>
      <c r="K1043" s="523">
        <f>0.0001966/$F1043 * (10^3)</f>
        <v>0.16608447837150131</v>
      </c>
      <c r="L1043" s="521">
        <f t="shared" si="44"/>
        <v>288.15572519083975</v>
      </c>
      <c r="M1043" s="171"/>
      <c r="N1043" s="524">
        <f>0.009354/$F1043 * (10^3)</f>
        <v>7.9021068702290078</v>
      </c>
      <c r="O1043" s="171"/>
      <c r="P1043" s="171"/>
      <c r="Q1043" s="171"/>
      <c r="S1043" s="282"/>
    </row>
    <row r="1044" spans="2:19">
      <c r="B1044" s="121" t="s">
        <v>1299</v>
      </c>
      <c r="C1044" s="429" t="s">
        <v>1257</v>
      </c>
      <c r="D1044" s="488">
        <v>2020</v>
      </c>
      <c r="E1044" s="488">
        <v>0.10100000000000001</v>
      </c>
      <c r="F1044" s="517">
        <f t="shared" si="45"/>
        <v>1.183734939759036</v>
      </c>
      <c r="G1044" s="488"/>
      <c r="H1044" s="495" t="s">
        <v>1297</v>
      </c>
      <c r="I1044" s="521">
        <f>0.08542/$F1044 * (10^3)</f>
        <v>72.16142493638678</v>
      </c>
      <c r="J1044" s="523">
        <f>0.0003481/$F1044 * (10^3)</f>
        <v>0.29406921119592877</v>
      </c>
      <c r="K1044" s="523">
        <f>0.00000711/$F1044 * (10^3)</f>
        <v>6.0064122137404585E-3</v>
      </c>
      <c r="L1044" s="521">
        <f t="shared" si="44"/>
        <v>85.323155216285002</v>
      </c>
      <c r="M1044" s="171"/>
      <c r="N1044" s="524">
        <f>0.003182/$F1044 * (10^3)</f>
        <v>2.6881017811704839</v>
      </c>
      <c r="O1044" s="171"/>
      <c r="P1044" s="171"/>
      <c r="Q1044" s="171"/>
      <c r="S1044" s="282"/>
    </row>
    <row r="1045" spans="2:19">
      <c r="B1045" s="121" t="s">
        <v>1300</v>
      </c>
      <c r="C1045" s="429" t="s">
        <v>1257</v>
      </c>
      <c r="D1045" s="488">
        <v>2020</v>
      </c>
      <c r="E1045" s="488">
        <v>0.14219999999999999</v>
      </c>
      <c r="F1045" s="517">
        <f t="shared" si="45"/>
        <v>1.183734939759036</v>
      </c>
      <c r="G1045" s="488"/>
      <c r="H1045" s="495" t="s">
        <v>1297</v>
      </c>
      <c r="I1045" s="521">
        <f>0.1128/$F1045 * (10^3)</f>
        <v>95.291603053435125</v>
      </c>
      <c r="J1045" s="523">
        <f>0.0006414/$F1045 * (10^3)</f>
        <v>0.54184427480916031</v>
      </c>
      <c r="K1045" s="523">
        <f>0.0000232/$F1045 * (10^3)</f>
        <v>1.9598982188295172E-2</v>
      </c>
      <c r="L1045" s="521">
        <f t="shared" si="44"/>
        <v>120.12824427480918</v>
      </c>
      <c r="M1045" s="171"/>
      <c r="N1045" s="524">
        <f>0.003797/$F1045 * (10^3)</f>
        <v>3.2076437659033084</v>
      </c>
      <c r="O1045" s="171"/>
      <c r="P1045" s="171"/>
      <c r="Q1045" s="171"/>
      <c r="S1045" s="282"/>
    </row>
    <row r="1046" spans="2:19">
      <c r="B1046" s="121" t="s">
        <v>1301</v>
      </c>
      <c r="C1046" s="429" t="s">
        <v>1257</v>
      </c>
      <c r="D1046" s="488">
        <v>2020</v>
      </c>
      <c r="E1046" s="488">
        <v>0.37340000000000001</v>
      </c>
      <c r="F1046" s="517">
        <f t="shared" si="45"/>
        <v>1.183734939759036</v>
      </c>
      <c r="G1046" s="488"/>
      <c r="H1046" s="495" t="s">
        <v>1297</v>
      </c>
      <c r="I1046" s="521">
        <f>0.2294/$F1046 * (10^3)</f>
        <v>193.79338422391859</v>
      </c>
      <c r="J1046" s="523">
        <f>0.002468/$F1046 * (10^3)</f>
        <v>2.0849262086514</v>
      </c>
      <c r="K1046" s="523">
        <f>0.0002197/$F1046 * (10^3)</f>
        <v>0.18559898218829518</v>
      </c>
      <c r="L1046" s="521">
        <f t="shared" si="44"/>
        <v>315.44223918575068</v>
      </c>
      <c r="M1046" s="171"/>
      <c r="N1046" s="524">
        <f>0.01009/$F1046 * (10^3)</f>
        <v>8.5238676844783718</v>
      </c>
      <c r="O1046" s="171"/>
      <c r="P1046" s="171"/>
      <c r="Q1046" s="171"/>
      <c r="S1046" s="282"/>
    </row>
    <row r="1047" spans="2:19">
      <c r="B1047" s="121" t="s">
        <v>1302</v>
      </c>
      <c r="C1047" s="429" t="s">
        <v>1257</v>
      </c>
      <c r="D1047" s="488">
        <v>2020</v>
      </c>
      <c r="E1047" s="488">
        <v>0.84809999999999997</v>
      </c>
      <c r="F1047" s="517">
        <f t="shared" si="45"/>
        <v>1.183734939759036</v>
      </c>
      <c r="G1047" s="488"/>
      <c r="H1047" s="495" t="s">
        <v>1297</v>
      </c>
      <c r="I1047" s="521">
        <f>0.4101/$F1047 * (10^3)</f>
        <v>346.44580152671762</v>
      </c>
      <c r="J1047" s="523">
        <f>0.001872/$F1047 * (10^3)</f>
        <v>1.581435114503817</v>
      </c>
      <c r="K1047" s="523">
        <f>0.00136/$F1047 * (10^3)</f>
        <v>1.148905852417303</v>
      </c>
      <c r="L1047" s="521">
        <f t="shared" si="44"/>
        <v>716.46106870229005</v>
      </c>
      <c r="M1047" s="171"/>
      <c r="N1047" s="524">
        <f>0.01065/$F1047 * (10^3)</f>
        <v>8.996946564885496</v>
      </c>
      <c r="O1047" s="171"/>
      <c r="P1047" s="171"/>
      <c r="Q1047" s="171"/>
      <c r="S1047" s="282"/>
    </row>
    <row r="1048" spans="2:19">
      <c r="B1048" s="121" t="s">
        <v>1303</v>
      </c>
      <c r="C1048" s="429" t="s">
        <v>1257</v>
      </c>
      <c r="D1048" s="488">
        <v>2020</v>
      </c>
      <c r="E1048" s="488">
        <v>0.35639999999999999</v>
      </c>
      <c r="F1048" s="517">
        <f t="shared" si="45"/>
        <v>1.183734939759036</v>
      </c>
      <c r="G1048" s="488"/>
      <c r="H1048" s="495" t="s">
        <v>1297</v>
      </c>
      <c r="I1048" s="521">
        <f>0.2287/$F1048 * (10^3)</f>
        <v>193.20203562340967</v>
      </c>
      <c r="J1048" s="523">
        <f>0.002216/$F1048 * (10^3)</f>
        <v>1.8720407124681937</v>
      </c>
      <c r="K1048" s="523">
        <f>0.0001902/$F1048 * (10^3)</f>
        <v>0.16067786259541986</v>
      </c>
      <c r="L1048" s="521">
        <f t="shared" si="44"/>
        <v>301.08091603053441</v>
      </c>
      <c r="M1048" s="171"/>
      <c r="N1048" s="524">
        <f>0.009458/$F1048 * (10^3)</f>
        <v>7.989964376590331</v>
      </c>
      <c r="O1048" s="171"/>
      <c r="P1048" s="171"/>
      <c r="Q1048" s="171"/>
      <c r="S1048" s="282"/>
    </row>
    <row r="1049" spans="2:19">
      <c r="B1049" s="121" t="s">
        <v>1304</v>
      </c>
      <c r="C1049" s="429" t="s">
        <v>1257</v>
      </c>
      <c r="D1049" s="488">
        <v>2020</v>
      </c>
      <c r="E1049" s="488">
        <v>0.30640000000000001</v>
      </c>
      <c r="F1049" s="517">
        <f t="shared" si="45"/>
        <v>1.183734939759036</v>
      </c>
      <c r="G1049" s="488"/>
      <c r="H1049" s="495" t="s">
        <v>1297</v>
      </c>
      <c r="I1049" s="521">
        <f>0.2192/$F1049 * (10^3)</f>
        <v>185.17659033078885</v>
      </c>
      <c r="J1049" s="523">
        <f>0.001358/$F1049 * (10^3)</f>
        <v>1.1472162849872776</v>
      </c>
      <c r="K1049" s="523">
        <f>0.0001373/$F1049 * (10^3)</f>
        <v>0.11598880407124684</v>
      </c>
      <c r="L1049" s="521">
        <f t="shared" si="44"/>
        <v>258.84173027989829</v>
      </c>
      <c r="M1049" s="171"/>
      <c r="N1049" s="524">
        <f>0.008939/$F1049 * (10^3)</f>
        <v>7.5515216284987288</v>
      </c>
      <c r="O1049" s="171"/>
      <c r="P1049" s="171"/>
      <c r="Q1049" s="171"/>
      <c r="S1049" s="282"/>
    </row>
    <row r="1050" spans="2:19">
      <c r="B1050" s="121" t="s">
        <v>1305</v>
      </c>
      <c r="C1050" s="429" t="s">
        <v>1257</v>
      </c>
      <c r="D1050" s="488">
        <v>2020</v>
      </c>
      <c r="E1050" s="488">
        <v>0.83450000000000002</v>
      </c>
      <c r="F1050" s="517">
        <f t="shared" si="45"/>
        <v>1.183734939759036</v>
      </c>
      <c r="G1050" s="488"/>
      <c r="H1050" s="495" t="s">
        <v>1297</v>
      </c>
      <c r="I1050" s="521">
        <f>0.2376/$F1050 * (10^3)</f>
        <v>200.72061068702294</v>
      </c>
      <c r="J1050" s="523">
        <f>0.01322/$F1050 * (10^3)</f>
        <v>11.168040712468196</v>
      </c>
      <c r="K1050" s="523">
        <f>0.0007098/$F1050 * (10^3)</f>
        <v>0.59962748091603069</v>
      </c>
      <c r="L1050" s="521">
        <f t="shared" si="44"/>
        <v>704.97201017811722</v>
      </c>
      <c r="M1050" s="171"/>
      <c r="N1050" s="524">
        <f>0.00911/$F1050 * (10^3)</f>
        <v>7.6959796437659049</v>
      </c>
      <c r="O1050" s="171"/>
      <c r="P1050" s="171"/>
      <c r="Q1050" s="171"/>
      <c r="S1050" s="282"/>
    </row>
    <row r="1051" spans="2:19">
      <c r="B1051" s="121" t="s">
        <v>1306</v>
      </c>
      <c r="C1051" s="429" t="s">
        <v>1257</v>
      </c>
      <c r="D1051" s="488">
        <v>2020</v>
      </c>
      <c r="E1051" s="488">
        <v>0.44059999999999999</v>
      </c>
      <c r="F1051" s="517">
        <f t="shared" si="45"/>
        <v>1.183734939759036</v>
      </c>
      <c r="G1051" s="488"/>
      <c r="H1051" s="495" t="s">
        <v>1297</v>
      </c>
      <c r="I1051" s="521">
        <f>0.35/$F1051 * (10^3)</f>
        <v>295.67430025445299</v>
      </c>
      <c r="J1051" s="523">
        <f>0.002256/$F1051 * (10^3)</f>
        <v>1.9058320610687027</v>
      </c>
      <c r="K1051" s="523">
        <f>0.0000523/$F1051 * (10^3)</f>
        <v>4.4182188295165403E-2</v>
      </c>
      <c r="L1051" s="521">
        <f t="shared" si="44"/>
        <v>372.21170483460565</v>
      </c>
      <c r="M1051" s="171"/>
      <c r="N1051" s="524">
        <f>0.008873/$F1051 * (10^3)</f>
        <v>7.4957659033078903</v>
      </c>
      <c r="O1051" s="171"/>
      <c r="P1051" s="171"/>
      <c r="Q1051" s="171"/>
      <c r="S1051" s="282"/>
    </row>
    <row r="1052" spans="2:19">
      <c r="B1052" s="121" t="s">
        <v>1307</v>
      </c>
      <c r="C1052" s="429" t="s">
        <v>1257</v>
      </c>
      <c r="D1052" s="488">
        <v>2020</v>
      </c>
      <c r="E1052" s="488">
        <v>5.2900000000000003E-2</v>
      </c>
      <c r="F1052" s="517">
        <f t="shared" si="45"/>
        <v>1.183734939759036</v>
      </c>
      <c r="G1052" s="488"/>
      <c r="H1052" s="495" t="s">
        <v>1297</v>
      </c>
      <c r="I1052" s="521">
        <f>0.04476/$F1052 * (10^3)</f>
        <v>37.81251908396947</v>
      </c>
      <c r="J1052" s="523">
        <f>0.0001882/$F1052 * (10^3)</f>
        <v>0.15898829516539442</v>
      </c>
      <c r="K1052" s="523">
        <f>0.00000395/$F1052 * (10^3)</f>
        <v>3.3368956743002553E-3</v>
      </c>
      <c r="L1052" s="521">
        <f t="shared" si="44"/>
        <v>44.689058524173035</v>
      </c>
      <c r="M1052" s="171"/>
      <c r="N1052" s="524">
        <f>0.001456/$F1052 * (10^3)</f>
        <v>1.2300050890585243</v>
      </c>
      <c r="O1052" s="171"/>
      <c r="P1052" s="171"/>
      <c r="Q1052" s="171"/>
      <c r="S1052" s="282"/>
    </row>
    <row r="1053" spans="2:19">
      <c r="B1053" s="121"/>
      <c r="C1053" s="429"/>
      <c r="D1053" s="488"/>
      <c r="E1053" s="488"/>
      <c r="F1053" s="517"/>
      <c r="G1053" s="488"/>
      <c r="H1053" s="495"/>
      <c r="I1053" s="521"/>
      <c r="J1053" s="523"/>
      <c r="K1053" s="523"/>
      <c r="L1053" s="521"/>
      <c r="M1053" s="171"/>
      <c r="N1053" s="524"/>
      <c r="O1053" s="171"/>
      <c r="P1053" s="171"/>
      <c r="Q1053" s="171"/>
      <c r="S1053" s="282"/>
    </row>
    <row r="1054" spans="2:19">
      <c r="B1054" s="121"/>
      <c r="C1054" s="429"/>
      <c r="D1054" s="488"/>
      <c r="E1054" s="488"/>
      <c r="F1054" s="517"/>
      <c r="G1054" s="488"/>
      <c r="H1054" s="495"/>
      <c r="I1054" s="521"/>
      <c r="J1054" s="523"/>
      <c r="K1054" s="523"/>
      <c r="L1054" s="521"/>
      <c r="M1054" s="171"/>
      <c r="N1054" s="524"/>
      <c r="O1054" s="171"/>
      <c r="P1054" s="171"/>
      <c r="Q1054" s="171"/>
      <c r="S1054" s="282"/>
    </row>
    <row r="1055" spans="2:19">
      <c r="B1055" s="121"/>
      <c r="C1055" s="429"/>
      <c r="D1055" s="488"/>
      <c r="E1055" s="488"/>
      <c r="F1055" s="517"/>
      <c r="G1055" s="488"/>
      <c r="H1055" s="495"/>
      <c r="I1055" s="521"/>
      <c r="J1055" s="523"/>
      <c r="K1055" s="523"/>
      <c r="L1055" s="521"/>
      <c r="M1055" s="171"/>
      <c r="N1055" s="524"/>
      <c r="O1055" s="171"/>
      <c r="P1055" s="171"/>
      <c r="Q1055" s="171"/>
      <c r="S1055" s="282"/>
    </row>
    <row r="1056" spans="2:19">
      <c r="B1056" s="121"/>
      <c r="C1056" s="429"/>
      <c r="D1056" s="488"/>
      <c r="E1056" s="488"/>
      <c r="F1056" s="517"/>
      <c r="G1056" s="488"/>
      <c r="H1056" s="495"/>
      <c r="I1056" s="521"/>
      <c r="J1056" s="523"/>
      <c r="K1056" s="523"/>
      <c r="L1056" s="521"/>
      <c r="M1056" s="171"/>
      <c r="N1056" s="524"/>
      <c r="O1056" s="171"/>
      <c r="P1056" s="171"/>
      <c r="Q1056" s="171"/>
      <c r="S1056" s="282"/>
    </row>
    <row r="1057" spans="1:19">
      <c r="B1057" s="121"/>
      <c r="C1057" s="429"/>
      <c r="D1057" s="488"/>
      <c r="E1057" s="488"/>
      <c r="F1057" s="517"/>
      <c r="G1057" s="488"/>
      <c r="H1057" s="495"/>
      <c r="I1057" s="521"/>
      <c r="J1057" s="523"/>
      <c r="K1057" s="523"/>
      <c r="L1057" s="521"/>
      <c r="M1057" s="171"/>
      <c r="N1057" s="524"/>
      <c r="O1057" s="171"/>
      <c r="P1057" s="171"/>
      <c r="Q1057" s="171"/>
      <c r="S1057" s="282"/>
    </row>
    <row r="1058" spans="1:19">
      <c r="B1058" s="121"/>
      <c r="C1058" s="429"/>
      <c r="D1058" s="488"/>
      <c r="E1058" s="488"/>
      <c r="F1058" s="517"/>
      <c r="G1058" s="488"/>
      <c r="H1058" s="495"/>
      <c r="I1058" s="521"/>
      <c r="J1058" s="523"/>
      <c r="K1058" s="523"/>
      <c r="L1058" s="521"/>
      <c r="M1058" s="171"/>
      <c r="N1058" s="524"/>
      <c r="O1058" s="171"/>
      <c r="P1058" s="171"/>
      <c r="Q1058" s="171"/>
      <c r="S1058" s="282"/>
    </row>
    <row r="1059" spans="1:19">
      <c r="B1059" s="121"/>
      <c r="C1059" s="429"/>
      <c r="D1059" s="488"/>
      <c r="E1059" s="488"/>
      <c r="F1059" s="517"/>
      <c r="G1059" s="488"/>
      <c r="H1059" s="495"/>
      <c r="I1059" s="521"/>
      <c r="J1059" s="523"/>
      <c r="K1059" s="523"/>
      <c r="L1059" s="521"/>
      <c r="M1059" s="171"/>
      <c r="N1059" s="524"/>
      <c r="O1059" s="171"/>
      <c r="P1059" s="171"/>
      <c r="Q1059" s="171"/>
      <c r="S1059" s="282"/>
    </row>
    <row r="1060" spans="1:19">
      <c r="B1060" s="121"/>
      <c r="C1060" s="429"/>
      <c r="D1060" s="488"/>
      <c r="E1060" s="488"/>
      <c r="F1060" s="517"/>
      <c r="G1060" s="488"/>
      <c r="H1060" s="495"/>
      <c r="I1060" s="521"/>
      <c r="J1060" s="523"/>
      <c r="K1060" s="523"/>
      <c r="L1060" s="521"/>
      <c r="M1060" s="171"/>
      <c r="N1060" s="524"/>
      <c r="O1060" s="171"/>
      <c r="P1060" s="171"/>
      <c r="Q1060" s="171"/>
      <c r="S1060" s="282"/>
    </row>
    <row r="1061" spans="1:19">
      <c r="B1061" s="121"/>
      <c r="C1061" s="429"/>
      <c r="D1061" s="488"/>
      <c r="E1061" s="488"/>
      <c r="F1061" s="517"/>
      <c r="G1061" s="488"/>
      <c r="H1061" s="495"/>
      <c r="I1061" s="521"/>
      <c r="J1061" s="523"/>
      <c r="K1061" s="523"/>
      <c r="L1061" s="521"/>
      <c r="M1061" s="171"/>
      <c r="N1061" s="524"/>
      <c r="O1061" s="171"/>
      <c r="P1061" s="171"/>
      <c r="Q1061" s="171"/>
      <c r="S1061" s="282"/>
    </row>
    <row r="1062" spans="1:19" ht="15.75" thickBot="1">
      <c r="B1062" s="121"/>
      <c r="C1062" s="429"/>
      <c r="D1062" s="488"/>
      <c r="E1062" s="488"/>
      <c r="F1062" s="517"/>
      <c r="G1062" s="488"/>
      <c r="H1062" s="495"/>
      <c r="I1062" s="521"/>
      <c r="J1062" s="523"/>
      <c r="K1062" s="523"/>
      <c r="L1062" s="521"/>
      <c r="M1062" s="171"/>
      <c r="N1062" s="524"/>
      <c r="O1062" s="171"/>
      <c r="P1062" s="171"/>
      <c r="Q1062" s="171"/>
      <c r="S1062" s="282"/>
    </row>
    <row r="1063" spans="1:19">
      <c r="A1063" s="86"/>
      <c r="B1063" s="508"/>
      <c r="C1063" s="508"/>
      <c r="D1063" s="508"/>
      <c r="E1063" s="508"/>
      <c r="F1063" s="508"/>
      <c r="G1063" s="508"/>
      <c r="H1063" s="508"/>
      <c r="I1063" s="508"/>
      <c r="J1063" s="508"/>
      <c r="K1063" s="508"/>
      <c r="L1063" s="508"/>
      <c r="M1063" s="508"/>
      <c r="N1063" s="508"/>
      <c r="O1063" s="508"/>
      <c r="P1063" s="508"/>
      <c r="Q1063" s="508"/>
      <c r="S1063" s="509"/>
    </row>
    <row r="1064" spans="1:19" ht="15.75" thickBot="1">
      <c r="A1064" s="86"/>
    </row>
    <row r="1065" spans="1:19" ht="18.75">
      <c r="B1065" s="148" t="s">
        <v>315</v>
      </c>
      <c r="C1065" s="149"/>
      <c r="D1065" s="149"/>
      <c r="E1065" s="149"/>
      <c r="F1065" s="149"/>
      <c r="G1065" s="149" t="s">
        <v>154</v>
      </c>
      <c r="H1065" s="150"/>
      <c r="I1065" s="348" t="s">
        <v>154</v>
      </c>
      <c r="J1065" s="349" t="s">
        <v>154</v>
      </c>
      <c r="K1065" s="348" t="s">
        <v>154</v>
      </c>
      <c r="L1065" s="152"/>
      <c r="M1065" s="153"/>
      <c r="N1065" s="153"/>
      <c r="O1065" s="153"/>
      <c r="P1065" s="153"/>
      <c r="Q1065" s="153"/>
      <c r="R1065" s="90"/>
      <c r="S1065" s="154"/>
    </row>
    <row r="1066" spans="1:19" ht="15.75" thickBot="1">
      <c r="S1066" s="57"/>
    </row>
    <row r="1067" spans="1:19" ht="19.5" thickBot="1">
      <c r="B1067" s="148" t="s">
        <v>1308</v>
      </c>
      <c r="C1067" s="149"/>
      <c r="D1067" s="149"/>
      <c r="E1067" s="149"/>
      <c r="F1067" s="149"/>
      <c r="G1067" s="149" t="s">
        <v>154</v>
      </c>
      <c r="H1067" s="150"/>
      <c r="I1067" s="348" t="s">
        <v>154</v>
      </c>
      <c r="J1067" s="349" t="s">
        <v>154</v>
      </c>
      <c r="K1067" s="348" t="s">
        <v>154</v>
      </c>
      <c r="L1067" s="152" t="s">
        <v>155</v>
      </c>
      <c r="M1067" s="153"/>
      <c r="N1067" s="153"/>
      <c r="O1067" s="153"/>
      <c r="P1067" s="153"/>
      <c r="Q1067" s="153"/>
      <c r="R1067" s="90"/>
      <c r="S1067" s="154" t="s">
        <v>156</v>
      </c>
    </row>
    <row r="1068" spans="1:19">
      <c r="B1068" s="92"/>
      <c r="C1068" s="93"/>
      <c r="D1068" s="97" t="s">
        <v>1309</v>
      </c>
      <c r="E1068" s="97" t="s">
        <v>1310</v>
      </c>
      <c r="F1068" s="97"/>
      <c r="G1068" s="97"/>
      <c r="H1068" s="156"/>
      <c r="I1068" s="158"/>
      <c r="J1068" s="97"/>
      <c r="K1068" s="93"/>
      <c r="L1068" s="98"/>
      <c r="M1068" s="159"/>
      <c r="N1068" s="159"/>
      <c r="O1068" s="159"/>
      <c r="P1068" s="159"/>
      <c r="Q1068" s="159"/>
      <c r="S1068" s="160"/>
    </row>
    <row r="1069" spans="1:19" ht="16.5" customHeight="1">
      <c r="B1069" s="161" t="s">
        <v>288</v>
      </c>
      <c r="C1069" s="163" t="s">
        <v>1311</v>
      </c>
      <c r="D1069" s="338" t="s">
        <v>168</v>
      </c>
      <c r="E1069" s="338" t="s">
        <v>1312</v>
      </c>
      <c r="F1069" s="338"/>
      <c r="G1069" s="338"/>
      <c r="H1069" s="212"/>
      <c r="I1069" s="164"/>
      <c r="J1069" s="163"/>
      <c r="K1069" s="162"/>
      <c r="L1069" s="109"/>
      <c r="M1069" s="159"/>
      <c r="N1069" s="159"/>
      <c r="O1069" s="159"/>
      <c r="P1069" s="159"/>
      <c r="Q1069" s="159"/>
      <c r="S1069" s="165"/>
    </row>
    <row r="1070" spans="1:19">
      <c r="B1070" s="121" t="s">
        <v>1313</v>
      </c>
      <c r="C1070" s="525">
        <v>1.6093440000000001</v>
      </c>
      <c r="D1070" s="279" t="s">
        <v>925</v>
      </c>
      <c r="E1070" s="279" t="s">
        <v>925</v>
      </c>
      <c r="F1070" s="279"/>
      <c r="G1070" s="279"/>
      <c r="H1070" s="196"/>
      <c r="I1070" s="170"/>
      <c r="J1070" s="167"/>
      <c r="K1070" s="167"/>
      <c r="L1070" s="127"/>
      <c r="M1070" s="171"/>
      <c r="N1070" s="171"/>
      <c r="O1070" s="171"/>
      <c r="P1070" s="171"/>
      <c r="Q1070" s="171"/>
      <c r="S1070" s="526" t="s">
        <v>1314</v>
      </c>
    </row>
    <row r="1071" spans="1:19">
      <c r="B1071" s="121" t="s">
        <v>1315</v>
      </c>
      <c r="C1071" s="525">
        <v>277.77999999999997</v>
      </c>
      <c r="D1071" s="279" t="s">
        <v>925</v>
      </c>
      <c r="E1071" s="279" t="s">
        <v>925</v>
      </c>
      <c r="F1071" s="279"/>
      <c r="G1071" s="279"/>
      <c r="H1071" s="196"/>
      <c r="I1071" s="170"/>
      <c r="J1071" s="167"/>
      <c r="K1071" s="167"/>
      <c r="L1071" s="127"/>
      <c r="M1071" s="171"/>
      <c r="N1071" s="171"/>
      <c r="O1071" s="171"/>
      <c r="P1071" s="171"/>
      <c r="Q1071" s="171"/>
      <c r="S1071" s="133" t="s">
        <v>178</v>
      </c>
    </row>
    <row r="1072" spans="1:19">
      <c r="B1072" s="121" t="s">
        <v>1316</v>
      </c>
      <c r="C1072" s="525">
        <v>2.2046226218</v>
      </c>
      <c r="D1072" s="279" t="s">
        <v>925</v>
      </c>
      <c r="E1072" s="279" t="s">
        <v>925</v>
      </c>
      <c r="F1072" s="279"/>
      <c r="G1072" s="279"/>
      <c r="H1072" s="196"/>
      <c r="I1072" s="170"/>
      <c r="J1072" s="167"/>
      <c r="K1072" s="167"/>
      <c r="L1072" s="127"/>
      <c r="M1072" s="171"/>
      <c r="N1072" s="171"/>
      <c r="O1072" s="171"/>
      <c r="P1072" s="171"/>
      <c r="Q1072" s="171"/>
      <c r="S1072" s="133" t="s">
        <v>1317</v>
      </c>
    </row>
    <row r="1073" spans="2:19">
      <c r="B1073" s="121"/>
      <c r="C1073" s="525"/>
      <c r="D1073" s="279"/>
      <c r="E1073" s="279"/>
      <c r="F1073" s="279"/>
      <c r="G1073" s="279"/>
      <c r="H1073" s="196"/>
      <c r="I1073" s="170"/>
      <c r="J1073" s="167"/>
      <c r="K1073" s="167"/>
      <c r="L1073" s="127"/>
      <c r="M1073" s="171"/>
      <c r="N1073" s="171"/>
      <c r="O1073" s="171"/>
      <c r="P1073" s="171"/>
      <c r="Q1073" s="171"/>
      <c r="S1073" s="133"/>
    </row>
    <row r="1074" spans="2:19">
      <c r="B1074" s="121" t="s">
        <v>1318</v>
      </c>
      <c r="C1074" s="525">
        <v>1.008</v>
      </c>
      <c r="D1074" s="279" t="s">
        <v>925</v>
      </c>
      <c r="E1074" s="279" t="s">
        <v>925</v>
      </c>
      <c r="F1074" s="279"/>
      <c r="G1074" s="279"/>
      <c r="H1074" s="196"/>
      <c r="I1074" s="170"/>
      <c r="J1074" s="167"/>
      <c r="K1074" s="167"/>
      <c r="L1074" s="127"/>
      <c r="M1074" s="171"/>
      <c r="N1074" s="171"/>
      <c r="O1074" s="171"/>
      <c r="P1074" s="171"/>
      <c r="Q1074" s="171"/>
      <c r="S1074" s="133" t="s">
        <v>1319</v>
      </c>
    </row>
    <row r="1075" spans="2:19">
      <c r="B1075" s="121" t="s">
        <v>1320</v>
      </c>
      <c r="C1075" s="525">
        <v>12.010999999999999</v>
      </c>
      <c r="D1075" s="279" t="s">
        <v>925</v>
      </c>
      <c r="E1075" s="279" t="s">
        <v>925</v>
      </c>
      <c r="F1075" s="279"/>
      <c r="G1075" s="279"/>
      <c r="H1075" s="196"/>
      <c r="I1075" s="170"/>
      <c r="J1075" s="167"/>
      <c r="K1075" s="167"/>
      <c r="L1075" s="127"/>
      <c r="M1075" s="171"/>
      <c r="N1075" s="171"/>
      <c r="O1075" s="171"/>
      <c r="P1075" s="171"/>
      <c r="Q1075" s="171"/>
      <c r="S1075" s="133" t="s">
        <v>1319</v>
      </c>
    </row>
    <row r="1076" spans="2:19">
      <c r="B1076" s="121" t="s">
        <v>1321</v>
      </c>
      <c r="C1076" s="525">
        <v>14.007</v>
      </c>
      <c r="D1076" s="279" t="s">
        <v>925</v>
      </c>
      <c r="E1076" s="279" t="s">
        <v>925</v>
      </c>
      <c r="F1076" s="279"/>
      <c r="G1076" s="279"/>
      <c r="H1076" s="196"/>
      <c r="I1076" s="170"/>
      <c r="J1076" s="167"/>
      <c r="K1076" s="167"/>
      <c r="L1076" s="127"/>
      <c r="M1076" s="171"/>
      <c r="N1076" s="171"/>
      <c r="O1076" s="171"/>
      <c r="P1076" s="171"/>
      <c r="Q1076" s="171"/>
      <c r="S1076" s="133" t="s">
        <v>1319</v>
      </c>
    </row>
    <row r="1077" spans="2:19">
      <c r="B1077" s="121" t="s">
        <v>1322</v>
      </c>
      <c r="C1077" s="525">
        <v>15.999000000000001</v>
      </c>
      <c r="D1077" s="279" t="s">
        <v>925</v>
      </c>
      <c r="E1077" s="279" t="s">
        <v>925</v>
      </c>
      <c r="F1077" s="279"/>
      <c r="G1077" s="279"/>
      <c r="H1077" s="196"/>
      <c r="I1077" s="170"/>
      <c r="J1077" s="167"/>
      <c r="K1077" s="167"/>
      <c r="L1077" s="127"/>
      <c r="M1077" s="171"/>
      <c r="N1077" s="171"/>
      <c r="O1077" s="171"/>
      <c r="P1077" s="171"/>
      <c r="Q1077" s="171"/>
      <c r="S1077" s="133" t="s">
        <v>1319</v>
      </c>
    </row>
    <row r="1078" spans="2:19">
      <c r="B1078" s="121" t="s">
        <v>1323</v>
      </c>
      <c r="C1078" s="525">
        <v>26.981999999999999</v>
      </c>
      <c r="D1078" s="279" t="s">
        <v>925</v>
      </c>
      <c r="E1078" s="279" t="s">
        <v>925</v>
      </c>
      <c r="F1078" s="279"/>
      <c r="G1078" s="279"/>
      <c r="H1078" s="196"/>
      <c r="I1078" s="170"/>
      <c r="J1078" s="167"/>
      <c r="K1078" s="167"/>
      <c r="L1078" s="127"/>
      <c r="M1078" s="171"/>
      <c r="N1078" s="171"/>
      <c r="O1078" s="171"/>
      <c r="P1078" s="171"/>
      <c r="Q1078" s="171"/>
      <c r="S1078" s="133"/>
    </row>
    <row r="1079" spans="2:19" ht="18">
      <c r="B1079" s="121" t="s">
        <v>1324</v>
      </c>
      <c r="C1079" s="525">
        <f>C1075+2*C1077</f>
        <v>44.009</v>
      </c>
      <c r="D1079" s="279" t="s">
        <v>925</v>
      </c>
      <c r="E1079" s="279" t="s">
        <v>925</v>
      </c>
      <c r="F1079" s="279"/>
      <c r="G1079" s="279"/>
      <c r="H1079" s="196"/>
      <c r="I1079" s="170"/>
      <c r="J1079" s="167"/>
      <c r="K1079" s="167"/>
      <c r="L1079" s="127"/>
      <c r="M1079" s="171"/>
      <c r="N1079" s="171"/>
      <c r="O1079" s="171"/>
      <c r="P1079" s="171"/>
      <c r="Q1079" s="171"/>
      <c r="S1079" s="133" t="s">
        <v>1319</v>
      </c>
    </row>
    <row r="1080" spans="2:19" ht="18">
      <c r="B1080" s="121" t="s">
        <v>1325</v>
      </c>
      <c r="C1080" s="525">
        <f>C1075+4*C1074</f>
        <v>16.042999999999999</v>
      </c>
      <c r="D1080" s="279" t="s">
        <v>925</v>
      </c>
      <c r="E1080" s="279" t="s">
        <v>925</v>
      </c>
      <c r="F1080" s="279"/>
      <c r="G1080" s="279"/>
      <c r="H1080" s="196"/>
      <c r="I1080" s="170"/>
      <c r="J1080" s="167"/>
      <c r="K1080" s="167"/>
      <c r="L1080" s="127"/>
      <c r="M1080" s="171"/>
      <c r="N1080" s="171"/>
      <c r="O1080" s="171"/>
      <c r="P1080" s="171"/>
      <c r="Q1080" s="171"/>
      <c r="S1080" s="133"/>
    </row>
    <row r="1081" spans="2:19" ht="18">
      <c r="B1081" s="121" t="s">
        <v>1326</v>
      </c>
      <c r="C1081" s="279" t="s">
        <v>925</v>
      </c>
      <c r="D1081" s="279" t="s">
        <v>925</v>
      </c>
      <c r="E1081" s="279">
        <v>0.71679999999999999</v>
      </c>
      <c r="F1081" s="279"/>
      <c r="G1081" s="279"/>
      <c r="H1081" s="196"/>
      <c r="I1081" s="170"/>
      <c r="J1081" s="167"/>
      <c r="K1081" s="167"/>
      <c r="L1081" s="127"/>
      <c r="M1081" s="171"/>
      <c r="N1081" s="171"/>
      <c r="O1081" s="171"/>
      <c r="P1081" s="171"/>
      <c r="Q1081" s="171"/>
      <c r="S1081" s="526" t="s">
        <v>1327</v>
      </c>
    </row>
    <row r="1082" spans="2:19" ht="18">
      <c r="B1082" s="121" t="s">
        <v>1328</v>
      </c>
      <c r="C1082" s="525">
        <f>2*C1074+2*C1075</f>
        <v>26.037999999999997</v>
      </c>
      <c r="D1082" s="279" t="s">
        <v>925</v>
      </c>
      <c r="E1082" s="279" t="s">
        <v>925</v>
      </c>
      <c r="F1082" s="279"/>
      <c r="G1082" s="279"/>
      <c r="H1082" s="196"/>
      <c r="I1082" s="170"/>
      <c r="J1082" s="167"/>
      <c r="K1082" s="167"/>
      <c r="L1082" s="127"/>
      <c r="M1082" s="171"/>
      <c r="N1082" s="171"/>
      <c r="O1082" s="171"/>
      <c r="P1082" s="171"/>
      <c r="Q1082" s="171"/>
      <c r="S1082" s="133" t="s">
        <v>190</v>
      </c>
    </row>
    <row r="1083" spans="2:19">
      <c r="B1083" s="121" t="s">
        <v>1329</v>
      </c>
      <c r="C1083" s="279" t="s">
        <v>925</v>
      </c>
      <c r="D1083" s="525">
        <v>1.39</v>
      </c>
      <c r="E1083" s="279">
        <v>1.69</v>
      </c>
      <c r="F1083" s="279"/>
      <c r="G1083" s="279"/>
      <c r="H1083" s="196"/>
      <c r="I1083" s="170"/>
      <c r="J1083" s="167"/>
      <c r="K1083" s="167"/>
      <c r="L1083" s="127"/>
      <c r="M1083" s="171"/>
      <c r="N1083" s="171"/>
      <c r="O1083" s="171"/>
      <c r="P1083" s="171"/>
      <c r="Q1083" s="171"/>
      <c r="S1083" s="133" t="s">
        <v>1330</v>
      </c>
    </row>
    <row r="1084" spans="2:19">
      <c r="B1084" s="121" t="s">
        <v>1331</v>
      </c>
      <c r="C1084" s="279" t="s">
        <v>925</v>
      </c>
      <c r="D1084" s="525">
        <v>0.8</v>
      </c>
      <c r="E1084" s="279">
        <v>1.19</v>
      </c>
      <c r="F1084" s="279"/>
      <c r="G1084" s="279"/>
      <c r="H1084" s="196"/>
      <c r="I1084" s="170"/>
      <c r="J1084" s="167"/>
      <c r="K1084" s="167"/>
      <c r="L1084" s="127"/>
      <c r="M1084" s="171"/>
      <c r="N1084" s="171"/>
      <c r="O1084" s="171"/>
      <c r="P1084" s="171"/>
      <c r="Q1084" s="171"/>
      <c r="S1084" s="133" t="s">
        <v>1330</v>
      </c>
    </row>
    <row r="1085" spans="2:19" ht="18">
      <c r="B1085" s="121" t="s">
        <v>585</v>
      </c>
      <c r="C1085" s="279" t="s">
        <v>925</v>
      </c>
      <c r="D1085" s="525">
        <v>1.03</v>
      </c>
      <c r="E1085" s="279">
        <v>1.87</v>
      </c>
      <c r="F1085" s="279"/>
      <c r="G1085" s="279"/>
      <c r="H1085" s="196"/>
      <c r="I1085" s="170"/>
      <c r="J1085" s="167"/>
      <c r="K1085" s="167"/>
      <c r="L1085" s="127"/>
      <c r="M1085" s="171"/>
      <c r="N1085" s="171"/>
      <c r="O1085" s="171"/>
      <c r="P1085" s="171"/>
      <c r="Q1085" s="171"/>
      <c r="S1085" s="133" t="s">
        <v>1330</v>
      </c>
    </row>
    <row r="1086" spans="2:19">
      <c r="B1086" s="121" t="s">
        <v>1332</v>
      </c>
      <c r="C1086" s="279" t="s">
        <v>925</v>
      </c>
      <c r="D1086" s="525">
        <v>7.0999999999999994E-2</v>
      </c>
      <c r="E1086" s="279">
        <v>8.5000000000000006E-2</v>
      </c>
      <c r="F1086" s="279"/>
      <c r="G1086" s="279"/>
      <c r="H1086" s="196"/>
      <c r="I1086" s="170"/>
      <c r="J1086" s="167"/>
      <c r="K1086" s="167"/>
      <c r="L1086" s="127"/>
      <c r="M1086" s="171"/>
      <c r="N1086" s="171"/>
      <c r="O1086" s="171"/>
      <c r="P1086" s="171"/>
      <c r="Q1086" s="171"/>
      <c r="S1086" s="133" t="s">
        <v>1330</v>
      </c>
    </row>
    <row r="1087" spans="2:19">
      <c r="B1087" s="121" t="s">
        <v>1333</v>
      </c>
      <c r="C1087" s="279" t="s">
        <v>925</v>
      </c>
      <c r="D1087" s="525">
        <v>1.1399999999999999</v>
      </c>
      <c r="E1087" s="279">
        <v>1.35</v>
      </c>
      <c r="F1087" s="279"/>
      <c r="G1087" s="279"/>
      <c r="H1087" s="196"/>
      <c r="I1087" s="170"/>
      <c r="J1087" s="167"/>
      <c r="K1087" s="167"/>
      <c r="L1087" s="127"/>
      <c r="M1087" s="171"/>
      <c r="N1087" s="171"/>
      <c r="O1087" s="171"/>
      <c r="P1087" s="171"/>
      <c r="Q1087" s="171"/>
      <c r="S1087" s="133" t="s">
        <v>1330</v>
      </c>
    </row>
    <row r="1088" spans="2:19">
      <c r="B1088" s="121"/>
      <c r="C1088" s="525"/>
      <c r="D1088" s="279"/>
      <c r="E1088" s="279"/>
      <c r="F1088" s="279"/>
      <c r="G1088" s="279"/>
      <c r="H1088" s="196"/>
      <c r="I1088" s="170"/>
      <c r="J1088" s="167"/>
      <c r="K1088" s="167"/>
      <c r="L1088" s="127"/>
      <c r="M1088" s="171"/>
      <c r="N1088" s="171"/>
      <c r="O1088" s="171"/>
      <c r="P1088" s="171"/>
      <c r="Q1088" s="171"/>
      <c r="S1088" s="133"/>
    </row>
    <row r="1089" spans="2:19" ht="15.75" thickBot="1"/>
    <row r="1090" spans="2:19" ht="19.5" thickBot="1">
      <c r="B1090" s="527" t="s">
        <v>1334</v>
      </c>
      <c r="C1090" s="88"/>
      <c r="D1090" s="88"/>
      <c r="E1090" s="88"/>
      <c r="F1090" s="88"/>
      <c r="G1090" s="88"/>
      <c r="H1090" s="88"/>
      <c r="I1090" s="88"/>
      <c r="J1090" s="88"/>
      <c r="K1090" s="88"/>
      <c r="L1090" s="88"/>
      <c r="M1090" s="88"/>
      <c r="N1090" s="88"/>
      <c r="O1090" s="88"/>
      <c r="P1090" s="88"/>
      <c r="Q1090" s="88"/>
      <c r="R1090" s="88"/>
      <c r="S1090" s="528"/>
    </row>
    <row r="1091" spans="2:19">
      <c r="B1091" s="529" t="s">
        <v>14</v>
      </c>
      <c r="C1091" s="530" t="s">
        <v>178</v>
      </c>
      <c r="D1091" s="531"/>
      <c r="E1091" s="531"/>
      <c r="F1091" s="531"/>
      <c r="G1091" s="531"/>
      <c r="H1091" s="531"/>
      <c r="I1091" s="531"/>
      <c r="J1091" s="531"/>
      <c r="K1091" s="531"/>
      <c r="L1091" s="531"/>
      <c r="M1091" s="531"/>
      <c r="N1091" s="531"/>
      <c r="O1091" s="531"/>
      <c r="P1091" s="531"/>
      <c r="Q1091" s="531"/>
      <c r="R1091" s="531"/>
      <c r="S1091" s="532"/>
    </row>
    <row r="1092" spans="2:19">
      <c r="B1092" s="129" t="s">
        <v>24</v>
      </c>
      <c r="C1092" s="533" t="s">
        <v>1335</v>
      </c>
      <c r="D1092" s="534"/>
      <c r="E1092" s="534"/>
      <c r="F1092" s="534"/>
      <c r="G1092" s="534"/>
      <c r="H1092" s="534"/>
      <c r="I1092" s="534"/>
      <c r="J1092" s="534"/>
      <c r="K1092" s="534"/>
      <c r="L1092" s="534"/>
      <c r="M1092" s="534"/>
      <c r="N1092" s="534"/>
      <c r="O1092" s="534"/>
      <c r="P1092" s="534"/>
      <c r="Q1092" s="534"/>
      <c r="R1092" s="534"/>
      <c r="S1092" s="535"/>
    </row>
    <row r="1093" spans="2:19">
      <c r="B1093" s="129" t="s">
        <v>35</v>
      </c>
      <c r="C1093" s="533" t="s">
        <v>1336</v>
      </c>
      <c r="D1093" s="534"/>
      <c r="E1093" s="534"/>
      <c r="F1093" s="534"/>
      <c r="G1093" s="534"/>
      <c r="H1093" s="534"/>
      <c r="I1093" s="534"/>
      <c r="J1093" s="534"/>
      <c r="K1093" s="534"/>
      <c r="L1093" s="534"/>
      <c r="M1093" s="534"/>
      <c r="N1093" s="534"/>
      <c r="O1093" s="534"/>
      <c r="P1093" s="534"/>
      <c r="Q1093" s="534"/>
      <c r="R1093" s="534"/>
      <c r="S1093" s="535"/>
    </row>
    <row r="1094" spans="2:19">
      <c r="B1094" s="129" t="s">
        <v>39</v>
      </c>
      <c r="C1094" s="533" t="s">
        <v>1337</v>
      </c>
      <c r="D1094" s="534"/>
      <c r="E1094" s="534"/>
      <c r="F1094" s="534"/>
      <c r="G1094" s="534"/>
      <c r="H1094" s="534"/>
      <c r="I1094" s="534"/>
      <c r="J1094" s="534"/>
      <c r="K1094" s="534"/>
      <c r="L1094" s="534"/>
      <c r="M1094" s="534"/>
      <c r="N1094" s="534"/>
      <c r="O1094" s="534"/>
      <c r="P1094" s="534"/>
      <c r="Q1094" s="534"/>
      <c r="R1094" s="534"/>
      <c r="S1094" s="535"/>
    </row>
    <row r="1095" spans="2:19">
      <c r="B1095" s="129" t="s">
        <v>71</v>
      </c>
      <c r="C1095" s="533" t="s">
        <v>1338</v>
      </c>
      <c r="D1095" s="534"/>
      <c r="E1095" s="534"/>
      <c r="F1095" s="534"/>
      <c r="G1095" s="534"/>
      <c r="H1095" s="534"/>
      <c r="I1095" s="534"/>
      <c r="J1095" s="534"/>
      <c r="K1095" s="534"/>
      <c r="L1095" s="534"/>
      <c r="M1095" s="534"/>
      <c r="N1095" s="534"/>
      <c r="O1095" s="534"/>
      <c r="P1095" s="534"/>
      <c r="Q1095" s="534"/>
      <c r="R1095" s="534"/>
      <c r="S1095" s="535"/>
    </row>
    <row r="1096" spans="2:19">
      <c r="B1096" s="129" t="s">
        <v>72</v>
      </c>
      <c r="C1096" s="533" t="s">
        <v>1339</v>
      </c>
      <c r="D1096" s="534"/>
      <c r="E1096" s="534"/>
      <c r="F1096" s="534"/>
      <c r="G1096" s="534"/>
      <c r="H1096" s="534"/>
      <c r="I1096" s="534"/>
      <c r="J1096" s="534"/>
      <c r="K1096" s="534"/>
      <c r="L1096" s="534"/>
      <c r="M1096" s="534"/>
      <c r="N1096" s="534"/>
      <c r="O1096" s="534"/>
      <c r="P1096" s="534"/>
      <c r="Q1096" s="534"/>
      <c r="R1096" s="534"/>
      <c r="S1096" s="535"/>
    </row>
    <row r="1097" spans="2:19">
      <c r="B1097" s="129" t="s">
        <v>75</v>
      </c>
      <c r="C1097" s="533" t="s">
        <v>1340</v>
      </c>
      <c r="D1097" s="534"/>
      <c r="E1097" s="534"/>
      <c r="F1097" s="534"/>
      <c r="G1097" s="534"/>
      <c r="H1097" s="534"/>
      <c r="I1097" s="534"/>
      <c r="J1097" s="534"/>
      <c r="K1097" s="534"/>
      <c r="L1097" s="534"/>
      <c r="M1097" s="534"/>
      <c r="N1097" s="534"/>
      <c r="O1097" s="534"/>
      <c r="P1097" s="534"/>
      <c r="Q1097" s="534"/>
      <c r="R1097" s="534"/>
      <c r="S1097" s="535"/>
    </row>
    <row r="1098" spans="2:19" ht="15.75" thickBot="1">
      <c r="B1098" s="145" t="s">
        <v>76</v>
      </c>
      <c r="C1098" s="536"/>
      <c r="D1098" s="537"/>
      <c r="E1098" s="537"/>
      <c r="F1098" s="537"/>
      <c r="G1098" s="537"/>
      <c r="H1098" s="537"/>
      <c r="I1098" s="537"/>
      <c r="J1098" s="537"/>
      <c r="K1098" s="537"/>
      <c r="L1098" s="537"/>
      <c r="M1098" s="537"/>
      <c r="N1098" s="537"/>
      <c r="O1098" s="537"/>
      <c r="P1098" s="537"/>
      <c r="Q1098" s="537"/>
      <c r="R1098" s="537"/>
      <c r="S1098" s="538"/>
    </row>
  </sheetData>
  <mergeCells count="32">
    <mergeCell ref="B709:G709"/>
    <mergeCell ref="E733:E734"/>
    <mergeCell ref="G733:G734"/>
    <mergeCell ref="B335:B346"/>
    <mergeCell ref="B2:Y3"/>
    <mergeCell ref="E24:F24"/>
    <mergeCell ref="B87:B89"/>
    <mergeCell ref="B93:B108"/>
    <mergeCell ref="B113:B324"/>
    <mergeCell ref="B644:G644"/>
    <mergeCell ref="B649:B653"/>
    <mergeCell ref="B656:G656"/>
    <mergeCell ref="B691:G691"/>
    <mergeCell ref="D692:E692"/>
    <mergeCell ref="H733:H734"/>
    <mergeCell ref="B818:B819"/>
    <mergeCell ref="F818:G818"/>
    <mergeCell ref="B880:B881"/>
    <mergeCell ref="F880:G880"/>
    <mergeCell ref="B846:B847"/>
    <mergeCell ref="F846:G846"/>
    <mergeCell ref="B894:B895"/>
    <mergeCell ref="B928:B930"/>
    <mergeCell ref="C928:E928"/>
    <mergeCell ref="F928:H928"/>
    <mergeCell ref="B1007:B1008"/>
    <mergeCell ref="B938:B939"/>
    <mergeCell ref="B946:B947"/>
    <mergeCell ref="B952:B953"/>
    <mergeCell ref="D952:D953"/>
    <mergeCell ref="B964:B965"/>
    <mergeCell ref="B972:B973"/>
  </mergeCells>
  <hyperlinks>
    <hyperlink ref="S1070" r:id="rId1" display="https://www.unitconverters.net/length/miles-to-km.htm" xr:uid="{3C58A712-71B3-4A70-B937-1A5F427C361A}"/>
    <hyperlink ref="S1081" r:id="rId2" display="https://www.aqua-calc.com/calculate/volume-to-weight" xr:uid="{F3A871AD-150C-4966-A6DC-1BDD78780A93}"/>
    <hyperlink ref="S597" r:id="rId3" display="https://uniboard.com/images/centre-de-documentation/ENG/Panels/Environment/2024/Password_Protected_Uniboard_PB_et_TFL_Translation_EPD_FR.pdf" xr:uid="{8C7F930A-EAD0-4091-BB58-1BD555983611}"/>
  </hyperlinks>
  <pageMargins left="0.7" right="0.7" top="0.75" bottom="0.75" header="0.3" footer="0.3"/>
  <legacyDrawing r:id="rId4"/>
  <tableParts count="1"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C669-A23D-42FE-9E15-13CA98065757}">
  <sheetPr codeName="Feuil12">
    <tabColor theme="0" tint="-0.14999847407452621"/>
  </sheetPr>
  <dimension ref="B2:P58"/>
  <sheetViews>
    <sheetView workbookViewId="0">
      <selection activeCell="B22" sqref="B22"/>
    </sheetView>
  </sheetViews>
  <sheetFormatPr baseColWidth="10" defaultRowHeight="15"/>
  <cols>
    <col min="1" max="1" width="3.140625" style="1" customWidth="1"/>
    <col min="2" max="2" width="26" style="1" bestFit="1" customWidth="1"/>
    <col min="3" max="3" width="52.7109375" style="1" bestFit="1" customWidth="1"/>
    <col min="4" max="4" width="29" style="1" bestFit="1" customWidth="1"/>
    <col min="5" max="5" width="27.42578125" style="1" bestFit="1" customWidth="1"/>
    <col min="6" max="6" width="13.140625" style="1" bestFit="1" customWidth="1"/>
    <col min="7" max="7" width="15.5703125" style="1" bestFit="1" customWidth="1"/>
    <col min="8" max="8" width="13.140625" style="1" bestFit="1" customWidth="1"/>
    <col min="9" max="9" width="18.5703125" style="1" bestFit="1" customWidth="1"/>
    <col min="10" max="10" width="36.140625" style="1" bestFit="1" customWidth="1"/>
    <col min="11" max="11" width="35.42578125" style="1" bestFit="1" customWidth="1"/>
    <col min="12" max="12" width="13.140625" style="1" bestFit="1" customWidth="1"/>
    <col min="13" max="13" width="36.85546875" style="1" bestFit="1" customWidth="1"/>
    <col min="14" max="14" width="27.28515625" style="1" bestFit="1" customWidth="1"/>
    <col min="15" max="16" width="13.140625" style="1" customWidth="1"/>
    <col min="17" max="16384" width="11.42578125" style="1"/>
  </cols>
  <sheetData>
    <row r="2" spans="2:16" ht="31.5">
      <c r="B2" s="1316" t="s">
        <v>6316</v>
      </c>
      <c r="C2" s="1316"/>
      <c r="D2" s="1316"/>
      <c r="E2" s="1316"/>
      <c r="F2" s="1316"/>
      <c r="G2" s="1316"/>
      <c r="H2" s="1316"/>
      <c r="I2" s="1316"/>
      <c r="J2" s="1316"/>
      <c r="K2" s="1316"/>
      <c r="L2" s="1316"/>
      <c r="M2" s="772"/>
      <c r="N2" s="772"/>
      <c r="O2" s="772"/>
      <c r="P2" s="772"/>
    </row>
    <row r="4" spans="2:16" ht="21">
      <c r="B4" s="650" t="s">
        <v>6317</v>
      </c>
      <c r="C4" s="650" t="s">
        <v>6320</v>
      </c>
      <c r="D4" s="650" t="s">
        <v>6318</v>
      </c>
      <c r="E4" s="650" t="s">
        <v>6321</v>
      </c>
      <c r="F4" s="650" t="s">
        <v>6322</v>
      </c>
      <c r="G4" s="650" t="s">
        <v>6327</v>
      </c>
      <c r="H4" s="650" t="s">
        <v>6323</v>
      </c>
      <c r="I4" s="1317" t="s">
        <v>6324</v>
      </c>
      <c r="J4" s="1317"/>
      <c r="K4" s="650" t="s">
        <v>6325</v>
      </c>
      <c r="L4" s="650"/>
      <c r="M4" s="1317" t="s">
        <v>6417</v>
      </c>
      <c r="N4" s="1317"/>
      <c r="O4" s="650"/>
      <c r="P4" s="650"/>
    </row>
    <row r="5" spans="2:16" ht="15.75">
      <c r="B5" s="651" t="s">
        <v>1415</v>
      </c>
      <c r="C5" s="651" t="s">
        <v>6326</v>
      </c>
      <c r="D5" s="651" t="s">
        <v>6319</v>
      </c>
      <c r="E5" s="651" t="s">
        <v>6328</v>
      </c>
      <c r="F5" s="651"/>
      <c r="G5" s="651"/>
      <c r="H5" s="651"/>
      <c r="I5" s="651" t="s">
        <v>6374</v>
      </c>
      <c r="J5" s="651" t="s">
        <v>6382</v>
      </c>
      <c r="K5" s="651" t="s">
        <v>6392</v>
      </c>
      <c r="L5" s="651"/>
      <c r="M5" s="651" t="s">
        <v>946</v>
      </c>
      <c r="N5" s="651" t="s">
        <v>6418</v>
      </c>
      <c r="O5" s="651"/>
      <c r="P5" s="651"/>
    </row>
    <row r="6" spans="2:16">
      <c r="B6" s="1" t="str" cm="1">
        <f t="array" ref="B6:B18">_xlfn.UNIQUE(Équipements_fixes)</f>
        <v>Chauffage - Gaz naturel [m3]</v>
      </c>
      <c r="C6" s="1" t="str" cm="1">
        <f t="array" ref="C6:C16">_xlfn.UNIQUE(Intensité_type_bâtiments)</f>
        <v>Moyenne canadienne</v>
      </c>
      <c r="D6" s="1" t="str" cm="1">
        <f t="array" ref="D6:D24">_xlfn.UNIQUE(Équipements_mobiles)</f>
        <v>Voiture légère - Essence [L]</v>
      </c>
      <c r="E6" s="1" t="str" cm="1">
        <f t="array" ref="E6:E16">_xlfn.UNIQUE(Moyennes_de_transport)</f>
        <v>Voiture</v>
      </c>
      <c r="I6" s="1" t="str" cm="1">
        <f t="array" ref="I6:I21">_xlfn.UNIQUE(FÉ!B365:B380)</f>
        <v>CFC-12</v>
      </c>
      <c r="J6" s="1" t="str" cm="1">
        <f t="array" ref="J6:J11">_xlfn.UNIQUE(FÉ!C367:C372)</f>
        <v>Climatisation commerciale/industrielle</v>
      </c>
      <c r="K6" s="1" t="str" cm="1">
        <f t="array" ref="K6:K58">_xlfn.UNIQUE(Grid)</f>
        <v>Québec</v>
      </c>
      <c r="M6" s="1" t="str" cm="1">
        <f t="array" ref="M6:M43">_xlfn.UNIQUE(FÉ!C762:C799)</f>
        <v>Bœuf (Troupeau de bœuf)</v>
      </c>
      <c r="N6" s="1" t="str" cm="1">
        <f t="array" ref="N6:N19">_xlfn.UNIQUE(FÉ!C801:C814)</f>
        <v>Repas végétalien</v>
      </c>
    </row>
    <row r="7" spans="2:16">
      <c r="B7" s="1" t="str">
        <v>Chauffage - Propane [L]</v>
      </c>
      <c r="C7" s="1" t="str">
        <v>Hôpitaux</v>
      </c>
      <c r="D7" s="1" t="str">
        <v>Camion léger - Essence [L]</v>
      </c>
      <c r="E7" s="1" t="str">
        <v xml:space="preserve">Véhicule utilitaire sport </v>
      </c>
      <c r="I7" s="1" t="str">
        <v>R-22</v>
      </c>
      <c r="J7" s="1" t="str">
        <v>Réfrigération - Commerciale / industriel</v>
      </c>
      <c r="K7" s="1" t="str">
        <v>Québec (Îles de la Madeleine)</v>
      </c>
      <c r="M7" s="1" t="str">
        <v>Chocolat noir</v>
      </c>
      <c r="N7" s="1" t="str">
        <v>Repas végétarien</v>
      </c>
    </row>
    <row r="8" spans="2:16">
      <c r="B8" s="1" t="str">
        <v>Chauffage - Mazout [L]</v>
      </c>
      <c r="C8" s="1" t="str">
        <v>Établissements de soins infirmiers</v>
      </c>
      <c r="D8" s="1" t="str">
        <v>Camion lourd - Essence [L]</v>
      </c>
      <c r="E8" s="1" t="str">
        <v xml:space="preserve">Pickup </v>
      </c>
      <c r="I8" s="1" t="str">
        <v>R-32</v>
      </c>
      <c r="J8" s="1" t="str">
        <v>Climatisation - Résidentiel</v>
      </c>
      <c r="K8" s="1" t="str">
        <v>Ontario</v>
      </c>
      <c r="M8" s="1" t="str">
        <v>Agneau et Mouton</v>
      </c>
      <c r="N8" s="1" t="str">
        <v>Repas avec du poisson gras</v>
      </c>
    </row>
    <row r="9" spans="2:16">
      <c r="B9" s="1" t="str">
        <v>Chauffage - Bois [kg]</v>
      </c>
      <c r="C9" s="1" t="str">
        <v>Immeubles à bureaux (services médicaux)</v>
      </c>
      <c r="D9" s="1" t="str">
        <v>Motocyclette  - Essence [L]</v>
      </c>
      <c r="E9" s="1" t="str">
        <v>Voiture électrique</v>
      </c>
      <c r="I9" s="1" t="str">
        <v>R-134a</v>
      </c>
      <c r="J9" s="1" t="str">
        <v>Réfrigération - Résidentiel</v>
      </c>
      <c r="K9" s="1" t="str">
        <v>Terre-Neuve Labrador</v>
      </c>
      <c r="M9" s="1" t="str">
        <v>Bœuf (Troupeau laitier)</v>
      </c>
      <c r="N9" s="1" t="str">
        <v>Repas avec du poulet</v>
      </c>
    </row>
    <row r="10" spans="2:16">
      <c r="B10" s="1" t="str">
        <v>Génératrice - Essence [L]</v>
      </c>
      <c r="C10" s="1" t="str">
        <v>Immeubles à bureaux (services non médicaux)</v>
      </c>
      <c r="D10" s="1" t="str">
        <v>Hors route 2 temps - Essence [L]</v>
      </c>
      <c r="E10" s="1" t="str">
        <v>Moto (600cc)</v>
      </c>
      <c r="I10" s="1" t="str">
        <v>R-404a</v>
      </c>
      <c r="J10" s="1" t="str">
        <v>Réfrigération - Transport commercial</v>
      </c>
      <c r="K10" s="1" t="str">
        <v>Nouvelle Écosse</v>
      </c>
      <c r="M10" s="1" t="str">
        <v>Crevettes (d'élevage)</v>
      </c>
      <c r="N10" s="1" t="str">
        <v>Repas avec du poisson blanc</v>
      </c>
    </row>
    <row r="11" spans="2:16">
      <c r="B11" s="1" t="str">
        <v>Génératrice - Diesel [L]</v>
      </c>
      <c r="C11" s="1" t="str">
        <v>Magasins d'alimentation (sauf les restaurants et les bars)</v>
      </c>
      <c r="D11" s="1" t="str">
        <v>Hors route 4 temps - Essence [L]</v>
      </c>
      <c r="E11" s="1" t="str">
        <v>Mobilette (125cc)</v>
      </c>
      <c r="I11" s="1" t="str">
        <v>R-407a</v>
      </c>
      <c r="J11" s="1" t="str">
        <v>Climatisation - Automobile</v>
      </c>
      <c r="K11" s="1" t="str">
        <v>Nouveau Brunswick</v>
      </c>
      <c r="M11" s="1" t="str">
        <v>Fromage</v>
      </c>
      <c r="N11" s="1" t="str">
        <v>Repas avec du bœuf</v>
      </c>
    </row>
    <row r="12" spans="2:16">
      <c r="B12" s="1" t="str">
        <v>Génératrice - Mazout [L]</v>
      </c>
      <c r="C12" s="1" t="str">
        <v>Magasins de détail (sauf les magasins d'alimentation)</v>
      </c>
      <c r="D12" s="1" t="str">
        <v>Bateau  - Essence [L]</v>
      </c>
      <c r="E12" s="1" t="str">
        <v xml:space="preserve">Covoiturage </v>
      </c>
      <c r="I12" s="1" t="str">
        <v>R-407c</v>
      </c>
      <c r="K12" s="1" t="str">
        <v>île du Prince Édouard</v>
      </c>
      <c r="M12" s="1" t="str">
        <v>Poisson (d'élevage)</v>
      </c>
      <c r="N12" s="1" t="str">
        <v>Thé (Par portion)</v>
      </c>
    </row>
    <row r="13" spans="2:16">
      <c r="B13" s="1" t="str">
        <v>Soudure - Acétylène [kg]</v>
      </c>
      <c r="C13" s="1" t="str">
        <v>École primaires ou secondaires</v>
      </c>
      <c r="D13" s="1" t="str">
        <v>Bateau  - Diesel [L]</v>
      </c>
      <c r="E13" s="1" t="str">
        <v xml:space="preserve">Autobus </v>
      </c>
      <c r="I13" s="1" t="str">
        <v>R-410a</v>
      </c>
      <c r="K13" s="1" t="str">
        <v>Manitoba</v>
      </c>
      <c r="M13" s="1" t="str">
        <v>Viande de volailles</v>
      </c>
      <c r="N13" s="1" t="str">
        <v>Bouteille d'eau</v>
      </c>
    </row>
    <row r="14" spans="2:16">
      <c r="B14" s="1" t="str">
        <v>Soudure - Argoshield [kg]</v>
      </c>
      <c r="C14" s="1" t="str">
        <v>Hôtels, motels et/ou auberges</v>
      </c>
      <c r="D14" s="1" t="str">
        <v>Bateau Cargo - Mazout [L]</v>
      </c>
      <c r="E14" s="1" t="str">
        <v>Autres transports en commun</v>
      </c>
      <c r="I14" s="1" t="str">
        <v>R-448a</v>
      </c>
      <c r="K14" s="1" t="str">
        <v>Saskatchewan</v>
      </c>
      <c r="M14" s="1" t="str">
        <v>Œufs</v>
      </c>
      <c r="N14" s="1" t="str">
        <v>Boisson au soja (Par portion)</v>
      </c>
    </row>
    <row r="15" spans="2:16">
      <c r="B15" s="1" t="str">
        <v>Autre - Gaz naturel [m3]</v>
      </c>
      <c r="C15" s="1" t="str">
        <v>Entrepôts</v>
      </c>
      <c r="D15" s="1" t="str">
        <v>Voiture légère - Diesel [L]</v>
      </c>
      <c r="E15" s="1" t="str">
        <v>Marche ou vélo</v>
      </c>
      <c r="I15" s="1" t="str">
        <v>R-449a</v>
      </c>
      <c r="K15" s="1" t="str">
        <v>Alberta</v>
      </c>
      <c r="M15" s="1" t="str">
        <v>Riz</v>
      </c>
      <c r="N15" s="1" t="str">
        <v>Soda (Par portion)</v>
      </c>
    </row>
    <row r="16" spans="2:16">
      <c r="B16" s="1" t="str">
        <v>Autre - Propane [L]</v>
      </c>
      <c r="C16" s="1" t="str">
        <v>Autres activités ou fonctions</v>
      </c>
      <c r="D16" s="1" t="str">
        <v>Camion léger - Diesel [L]</v>
      </c>
      <c r="E16" s="1" t="str">
        <v>Télétravail</v>
      </c>
      <c r="I16" s="1" t="str">
        <v>R-454B</v>
      </c>
      <c r="K16" s="1" t="str">
        <v>Colombie-Britanique</v>
      </c>
      <c r="M16" s="1" t="str">
        <v>Arachides</v>
      </c>
      <c r="N16" s="1" t="str">
        <v>Café (Par portion)</v>
      </c>
    </row>
    <row r="17" spans="2:14">
      <c r="B17" s="1" t="str">
        <v>Autre - Propane [kg]</v>
      </c>
      <c r="D17" s="1" t="str">
        <v>Camion lourd - Diesel [L]</v>
      </c>
      <c r="I17" s="1" t="str">
        <v>R-513a</v>
      </c>
      <c r="K17" s="1" t="str">
        <v>Yukon</v>
      </c>
      <c r="M17" s="1" t="str">
        <v>Sucre de canne</v>
      </c>
      <c r="N17" s="1" t="str">
        <v>Bière (Par portion)</v>
      </c>
    </row>
    <row r="18" spans="2:14">
      <c r="B18" s="1" t="str">
        <v>Autre - Propane [lbs]</v>
      </c>
      <c r="D18" s="1" t="str">
        <v>Train  - Diesel [L]</v>
      </c>
      <c r="I18" s="1" t="str">
        <v>R-290</v>
      </c>
      <c r="K18" s="1" t="str">
        <v>Territoires du Nord-Ouest</v>
      </c>
      <c r="M18" s="1" t="str">
        <v>Tofu</v>
      </c>
      <c r="N18" s="1" t="str">
        <v>Lait de vache (Par portion)</v>
      </c>
    </row>
    <row r="19" spans="2:14">
      <c r="D19" s="1" t="str">
        <v>Véhicule  - Propane [L]</v>
      </c>
      <c r="I19" s="1" t="str">
        <v>R-600a</v>
      </c>
      <c r="K19" s="1" t="str">
        <v>Nunavut</v>
      </c>
      <c r="M19" s="1" t="str">
        <v>Lait</v>
      </c>
      <c r="N19" s="1" t="str">
        <v>Vin (Par portion)</v>
      </c>
    </row>
    <row r="20" spans="2:14">
      <c r="D20" s="1" t="str">
        <v>Véhicule  - Propane [kg]</v>
      </c>
      <c r="I20" s="1" t="str">
        <v>CO2</v>
      </c>
      <c r="K20" s="1" t="str">
        <v>États-Unis (Moyenne)</v>
      </c>
      <c r="M20" s="1" t="str">
        <v>Café</v>
      </c>
    </row>
    <row r="21" spans="2:14">
      <c r="D21" s="1" t="str">
        <v>Véhicule  - Propane [lbs]</v>
      </c>
      <c r="I21" s="1" t="str">
        <v>NH3</v>
      </c>
      <c r="K21" s="1" t="str">
        <v>États-Unis - ASCC Alaska Grid</v>
      </c>
      <c r="M21" s="1" t="str">
        <v>Avoine</v>
      </c>
    </row>
    <row r="22" spans="2:14">
      <c r="D22" s="1" t="str">
        <v>Véhicule  - Électrique [kWh]</v>
      </c>
      <c r="K22" s="1" t="str">
        <v>États-Unis - ASCC Miscellaneous</v>
      </c>
      <c r="M22" s="1" t="str">
        <v>Tomates</v>
      </c>
    </row>
    <row r="23" spans="2:14">
      <c r="D23" s="1" t="str">
        <v>Aviation  - Kérosène [L]</v>
      </c>
      <c r="K23" s="1" t="str">
        <v>États-Unis - WECC Southwest</v>
      </c>
      <c r="M23" s="1" t="str">
        <v>Sucre de bettraves</v>
      </c>
    </row>
    <row r="24" spans="2:14">
      <c r="D24" s="1" t="str">
        <v>Aviation  - Essence [L]</v>
      </c>
      <c r="K24" s="1" t="str">
        <v>États-Unis - WECC California</v>
      </c>
      <c r="M24" s="1" t="str">
        <v>Autres légumineuses</v>
      </c>
    </row>
    <row r="25" spans="2:14">
      <c r="K25" s="1" t="str">
        <v>États-Unis - ERCOT All</v>
      </c>
      <c r="M25" s="1" t="str">
        <v>Vin</v>
      </c>
    </row>
    <row r="26" spans="2:14">
      <c r="K26" s="1" t="str">
        <v>États-Unis - FRCC All</v>
      </c>
      <c r="M26" s="1" t="str">
        <v>Maïs</v>
      </c>
    </row>
    <row r="27" spans="2:14">
      <c r="K27" s="1" t="str">
        <v>États-Unis - HICC Miscellaneous</v>
      </c>
      <c r="M27" s="1" t="str">
        <v>Blé et seigle</v>
      </c>
    </row>
    <row r="28" spans="2:14">
      <c r="K28" s="1" t="str">
        <v>États-Unis - HICC Oahu</v>
      </c>
      <c r="M28" s="1" t="str">
        <v>Raisins et baies</v>
      </c>
    </row>
    <row r="29" spans="2:14">
      <c r="K29" s="1" t="str">
        <v>États-Unis - MRO East</v>
      </c>
      <c r="M29" s="1" t="str">
        <v>Manioc</v>
      </c>
    </row>
    <row r="30" spans="2:14">
      <c r="K30" s="1" t="str">
        <v>États-Unis - MRO West</v>
      </c>
      <c r="M30" s="1" t="str">
        <v>Porc</v>
      </c>
    </row>
    <row r="31" spans="2:14">
      <c r="K31" s="1" t="str">
        <v>États-Unis - NPCC New England</v>
      </c>
      <c r="M31" s="1" t="str">
        <v>Orge</v>
      </c>
    </row>
    <row r="32" spans="2:14">
      <c r="K32" s="1" t="str">
        <v>États-Unis - WECC Northwest</v>
      </c>
      <c r="M32" s="1" t="str">
        <v>Autres fruits</v>
      </c>
    </row>
    <row r="33" spans="11:13">
      <c r="K33" s="1" t="str">
        <v>États-Unis - NPCC NYC/Westchester</v>
      </c>
      <c r="M33" s="1" t="str">
        <v>Pois vert</v>
      </c>
    </row>
    <row r="34" spans="11:13">
      <c r="K34" s="1" t="str">
        <v>États-Unis - NPCC Long Island</v>
      </c>
      <c r="M34" s="1" t="str">
        <v>Lait de soya</v>
      </c>
    </row>
    <row r="35" spans="11:13">
      <c r="K35" s="1" t="str">
        <v>États-Unis - NPCC Upstate NY</v>
      </c>
      <c r="M35" s="1" t="str">
        <v>Bananes</v>
      </c>
    </row>
    <row r="36" spans="11:13">
      <c r="K36" s="1" t="str">
        <v>États-Unis - Puerto Rico Miscellaneous</v>
      </c>
      <c r="M36" s="1" t="str">
        <v>Autres légumes</v>
      </c>
    </row>
    <row r="37" spans="11:13">
      <c r="K37" s="1" t="str">
        <v>États-Unis - RFC East</v>
      </c>
      <c r="M37" s="1" t="str">
        <v>Brassicacées (Brocoli, chouc-fleur, etc.)</v>
      </c>
    </row>
    <row r="38" spans="11:13">
      <c r="K38" s="1" t="str">
        <v>États-Unis - RFC Michigan</v>
      </c>
      <c r="M38" s="1" t="str">
        <v>Onion et poireau</v>
      </c>
    </row>
    <row r="39" spans="11:13">
      <c r="K39" s="1" t="str">
        <v>États-Unis - RFC West</v>
      </c>
      <c r="M39" s="1" t="str">
        <v>Noisettes</v>
      </c>
    </row>
    <row r="40" spans="11:13">
      <c r="K40" s="1" t="str">
        <v>États-Unis - WECC Rockies</v>
      </c>
      <c r="M40" s="1" t="str">
        <v>Patates</v>
      </c>
    </row>
    <row r="41" spans="11:13">
      <c r="K41" s="1" t="str">
        <v>États-Unis - SPP North</v>
      </c>
      <c r="M41" s="1" t="str">
        <v>Pommes</v>
      </c>
    </row>
    <row r="42" spans="11:13">
      <c r="K42" s="1" t="str">
        <v>États-Unis - SPP South</v>
      </c>
      <c r="M42" s="1" t="str">
        <v>Légumes racines</v>
      </c>
    </row>
    <row r="43" spans="11:13">
      <c r="K43" s="1" t="str">
        <v>États-Unis - SERC Mississippi Valley</v>
      </c>
      <c r="M43" s="1" t="str">
        <v>Agrumes</v>
      </c>
    </row>
    <row r="44" spans="11:13">
      <c r="K44" s="1" t="str">
        <v>États-Unis - SERC Midwest</v>
      </c>
    </row>
    <row r="45" spans="11:13">
      <c r="K45" s="1" t="str">
        <v>États-Unis - SERC South</v>
      </c>
    </row>
    <row r="46" spans="11:13">
      <c r="K46" s="1" t="str">
        <v>États-Unis - SERC Tennessee Valley</v>
      </c>
    </row>
    <row r="47" spans="11:13">
      <c r="K47" s="1" t="str">
        <v>États-Unis - SERC Virginia/Carolina</v>
      </c>
    </row>
    <row r="48" spans="11:13">
      <c r="K48" s="1" t="str">
        <v>Australie</v>
      </c>
    </row>
    <row r="49" spans="11:11">
      <c r="K49" s="1" t="str">
        <v>Azerbaïdjan</v>
      </c>
    </row>
    <row r="50" spans="11:11">
      <c r="K50" s="1" t="str">
        <v>Bangladesh</v>
      </c>
    </row>
    <row r="51" spans="11:11">
      <c r="K51" s="1" t="str">
        <v>Chine</v>
      </c>
    </row>
    <row r="52" spans="11:11">
      <c r="K52" s="1" t="str">
        <v>Inde</v>
      </c>
    </row>
    <row r="53" spans="11:11">
      <c r="K53" s="1" t="str">
        <v>Indonésie</v>
      </c>
    </row>
    <row r="54" spans="11:11">
      <c r="K54" s="1" t="str">
        <v>Mexique</v>
      </c>
    </row>
    <row r="55" spans="11:11">
      <c r="K55" s="1" t="str">
        <v>Pakistan</v>
      </c>
    </row>
    <row r="56" spans="11:11">
      <c r="K56" s="1" t="str">
        <v>Sénégal</v>
      </c>
    </row>
    <row r="57" spans="11:11">
      <c r="K57" s="1" t="str">
        <v>Slovanie</v>
      </c>
    </row>
    <row r="58" spans="11:11">
      <c r="K58" s="1" t="str">
        <v>Taiwan</v>
      </c>
    </row>
  </sheetData>
  <mergeCells count="3">
    <mergeCell ref="B2:L2"/>
    <mergeCell ref="I4:J4"/>
    <mergeCell ref="M4:N4"/>
  </mergeCells>
  <phoneticPr fontId="5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4B32D-CDB8-4473-949C-379561C1175C}">
  <sheetPr codeName="Feuil7">
    <tabColor theme="0" tint="-0.14999847407452621"/>
  </sheetPr>
  <dimension ref="A2:K4822"/>
  <sheetViews>
    <sheetView workbookViewId="0">
      <selection activeCell="J15" sqref="J15"/>
    </sheetView>
  </sheetViews>
  <sheetFormatPr baseColWidth="10" defaultRowHeight="15"/>
  <cols>
    <col min="1" max="1" width="22.5703125" style="1" bestFit="1" customWidth="1"/>
    <col min="2" max="2" width="28" style="600" bestFit="1" customWidth="1"/>
    <col min="3" max="3" width="28" style="600" customWidth="1"/>
    <col min="4" max="4" width="6.85546875" style="600" bestFit="1" customWidth="1"/>
    <col min="5" max="5" width="14.28515625" style="600" bestFit="1" customWidth="1"/>
    <col min="6" max="6" width="47" style="600" bestFit="1" customWidth="1"/>
    <col min="7" max="7" width="13.28515625" style="600" bestFit="1" customWidth="1"/>
    <col min="8" max="8" width="11.42578125" style="600"/>
    <col min="9" max="9" width="3" style="600" bestFit="1" customWidth="1"/>
    <col min="10" max="10" width="26.28515625" style="600" customWidth="1"/>
    <col min="11" max="11" width="11.42578125" style="600"/>
    <col min="12" max="16384" width="11.42578125" style="1"/>
  </cols>
  <sheetData>
    <row r="2" spans="1:11" ht="31.5">
      <c r="B2" s="1320" t="s">
        <v>6315</v>
      </c>
      <c r="C2" s="1320"/>
      <c r="D2" s="1320"/>
      <c r="E2" s="1320"/>
      <c r="F2" s="1320"/>
      <c r="G2" s="1320"/>
      <c r="H2" s="1320"/>
      <c r="I2" s="1320"/>
      <c r="J2" s="1320"/>
      <c r="K2" s="1320"/>
    </row>
    <row r="3" spans="1:11">
      <c r="B3" s="1"/>
    </row>
    <row r="4" spans="1:11">
      <c r="A4" s="776" t="s">
        <v>6404</v>
      </c>
      <c r="B4" s="778" t="str">
        <f>_xlfn.CONCAT("=liste ",B8,"_""_",B9,"_""_",B10,"_""_",B11,"_""_",B12)</f>
        <v>=liste État d'inventaire_"_N/A_"_À ajouter_"_Complet_"_À améliorer</v>
      </c>
    </row>
    <row r="5" spans="1:11" ht="21">
      <c r="B5" s="675" t="s">
        <v>1404</v>
      </c>
      <c r="C5" s="675"/>
      <c r="D5" s="1318" t="s">
        <v>1436</v>
      </c>
      <c r="E5" s="1318"/>
      <c r="F5" s="1318"/>
      <c r="G5" s="1318"/>
      <c r="H5" s="1321" t="s">
        <v>6351</v>
      </c>
      <c r="I5" s="1322"/>
      <c r="J5" s="676" t="s">
        <v>6409</v>
      </c>
      <c r="K5" s="677"/>
    </row>
    <row r="6" spans="1:11" ht="21">
      <c r="B6" s="675"/>
      <c r="C6" s="675"/>
      <c r="D6" s="1319" t="s">
        <v>6304</v>
      </c>
      <c r="E6" s="1319"/>
      <c r="F6" s="1319"/>
      <c r="G6" s="1319"/>
      <c r="H6" s="1323"/>
      <c r="I6" s="1324"/>
      <c r="J6" s="676"/>
      <c r="K6" s="677"/>
    </row>
    <row r="7" spans="1:11" ht="21">
      <c r="B7" s="675"/>
      <c r="C7" s="675"/>
      <c r="D7" s="764"/>
      <c r="E7" s="764"/>
      <c r="F7" s="764"/>
      <c r="G7" s="764"/>
      <c r="H7" s="677"/>
      <c r="I7" s="675"/>
      <c r="J7" s="676"/>
      <c r="K7" s="677"/>
    </row>
    <row r="8" spans="1:11" ht="15.75">
      <c r="A8" s="777" t="s">
        <v>6403</v>
      </c>
      <c r="B8" s="678" t="s">
        <v>1395</v>
      </c>
      <c r="C8" s="678" t="s">
        <v>6334</v>
      </c>
      <c r="D8" s="679" t="s">
        <v>1428</v>
      </c>
      <c r="E8" s="679" t="s">
        <v>1429</v>
      </c>
      <c r="F8" s="679" t="s">
        <v>1430</v>
      </c>
      <c r="G8" s="679" t="s">
        <v>1431</v>
      </c>
      <c r="H8" s="679"/>
      <c r="I8" s="679"/>
      <c r="J8" s="679"/>
      <c r="K8" s="680"/>
    </row>
    <row r="9" spans="1:11">
      <c r="B9" s="600" t="s">
        <v>1400</v>
      </c>
      <c r="C9" s="600" t="s">
        <v>1446</v>
      </c>
      <c r="D9" s="600">
        <v>1995</v>
      </c>
      <c r="E9" s="600" t="s">
        <v>1451</v>
      </c>
      <c r="F9" s="600" t="s">
        <v>1512</v>
      </c>
      <c r="G9" s="600" t="s">
        <v>1442</v>
      </c>
      <c r="H9" s="600" t="s">
        <v>6336</v>
      </c>
      <c r="I9" s="600">
        <v>1</v>
      </c>
      <c r="J9" s="600" t="s">
        <v>286</v>
      </c>
    </row>
    <row r="10" spans="1:11">
      <c r="B10" s="600" t="s">
        <v>1401</v>
      </c>
      <c r="C10" s="600" t="s">
        <v>1445</v>
      </c>
      <c r="D10" s="600">
        <v>1996</v>
      </c>
      <c r="E10" s="600" t="s">
        <v>1452</v>
      </c>
      <c r="F10" s="600" t="s">
        <v>1513</v>
      </c>
      <c r="G10" s="600" t="s">
        <v>1439</v>
      </c>
      <c r="H10" s="600" t="s">
        <v>6337</v>
      </c>
      <c r="I10" s="600">
        <v>2</v>
      </c>
      <c r="J10" s="600" t="s">
        <v>247</v>
      </c>
    </row>
    <row r="11" spans="1:11">
      <c r="B11" s="600" t="s">
        <v>1402</v>
      </c>
      <c r="D11" s="600">
        <v>1997</v>
      </c>
      <c r="E11" s="600" t="s">
        <v>1453</v>
      </c>
      <c r="F11" s="600" t="s">
        <v>1514</v>
      </c>
      <c r="H11" s="600" t="s">
        <v>6338</v>
      </c>
      <c r="I11" s="600">
        <v>3</v>
      </c>
      <c r="J11" s="600" t="s">
        <v>6642</v>
      </c>
    </row>
    <row r="12" spans="1:11">
      <c r="B12" s="600" t="s">
        <v>1403</v>
      </c>
      <c r="D12" s="600">
        <v>1998</v>
      </c>
      <c r="E12" s="600" t="s">
        <v>1454</v>
      </c>
      <c r="F12" s="600" t="s">
        <v>1515</v>
      </c>
      <c r="H12" s="600" t="s">
        <v>6339</v>
      </c>
      <c r="I12" s="600">
        <v>4</v>
      </c>
    </row>
    <row r="13" spans="1:11">
      <c r="D13" s="600">
        <v>1999</v>
      </c>
      <c r="E13" s="600" t="s">
        <v>1455</v>
      </c>
      <c r="F13" s="600" t="s">
        <v>1516</v>
      </c>
      <c r="H13" s="600" t="s">
        <v>6340</v>
      </c>
      <c r="I13" s="600">
        <v>5</v>
      </c>
    </row>
    <row r="14" spans="1:11">
      <c r="D14" s="600">
        <v>2000</v>
      </c>
      <c r="E14" s="600" t="s">
        <v>1456</v>
      </c>
      <c r="F14" s="600" t="s">
        <v>1517</v>
      </c>
      <c r="H14" s="600" t="s">
        <v>6341</v>
      </c>
      <c r="I14" s="600">
        <v>6</v>
      </c>
    </row>
    <row r="15" spans="1:11">
      <c r="D15" s="600">
        <v>2001</v>
      </c>
      <c r="E15" s="600" t="s">
        <v>1457</v>
      </c>
      <c r="F15" s="600">
        <v>90</v>
      </c>
      <c r="H15" s="600" t="s">
        <v>6342</v>
      </c>
      <c r="I15" s="600">
        <v>7</v>
      </c>
    </row>
    <row r="16" spans="1:11">
      <c r="D16" s="600">
        <v>2002</v>
      </c>
      <c r="E16" s="600" t="s">
        <v>1458</v>
      </c>
      <c r="F16" s="600" t="s">
        <v>1518</v>
      </c>
      <c r="H16" s="600" t="s">
        <v>6343</v>
      </c>
      <c r="I16" s="600">
        <v>8</v>
      </c>
    </row>
    <row r="17" spans="4:9">
      <c r="D17" s="600">
        <v>2003</v>
      </c>
      <c r="E17" s="600" t="s">
        <v>1459</v>
      </c>
      <c r="F17" s="600" t="s">
        <v>1519</v>
      </c>
      <c r="H17" s="600" t="s">
        <v>6344</v>
      </c>
      <c r="I17" s="600">
        <v>9</v>
      </c>
    </row>
    <row r="18" spans="4:9">
      <c r="D18" s="600">
        <v>2004</v>
      </c>
      <c r="E18" s="600" t="s">
        <v>1460</v>
      </c>
      <c r="F18" s="600" t="s">
        <v>1520</v>
      </c>
      <c r="H18" s="600" t="s">
        <v>6345</v>
      </c>
      <c r="I18" s="600">
        <v>10</v>
      </c>
    </row>
    <row r="19" spans="4:9">
      <c r="D19" s="600">
        <v>2005</v>
      </c>
      <c r="E19" s="600" t="s">
        <v>1461</v>
      </c>
      <c r="F19" s="600" t="s">
        <v>1521</v>
      </c>
      <c r="H19" s="600" t="s">
        <v>6346</v>
      </c>
      <c r="I19" s="600">
        <v>11</v>
      </c>
    </row>
    <row r="20" spans="4:9">
      <c r="D20" s="600">
        <v>2006</v>
      </c>
      <c r="E20" s="600" t="s">
        <v>1462</v>
      </c>
      <c r="F20" s="600" t="s">
        <v>1522</v>
      </c>
      <c r="H20" s="600" t="s">
        <v>6347</v>
      </c>
      <c r="I20" s="600">
        <v>12</v>
      </c>
    </row>
    <row r="21" spans="4:9">
      <c r="D21" s="600">
        <v>2007</v>
      </c>
      <c r="E21" s="600" t="s">
        <v>1463</v>
      </c>
      <c r="F21" s="600" t="s">
        <v>1523</v>
      </c>
      <c r="H21" s="600" t="s">
        <v>6369</v>
      </c>
      <c r="I21" s="600" t="str">
        <f>""</f>
        <v/>
      </c>
    </row>
    <row r="22" spans="4:9">
      <c r="D22" s="600">
        <v>2008</v>
      </c>
      <c r="E22" s="600" t="s">
        <v>1464</v>
      </c>
      <c r="F22" s="600" t="s">
        <v>1524</v>
      </c>
    </row>
    <row r="23" spans="4:9">
      <c r="D23" s="600">
        <v>2009</v>
      </c>
      <c r="E23" s="600" t="s">
        <v>1465</v>
      </c>
      <c r="F23" s="600" t="s">
        <v>1525</v>
      </c>
    </row>
    <row r="24" spans="4:9">
      <c r="D24" s="600">
        <v>2010</v>
      </c>
      <c r="E24" s="600" t="s">
        <v>1437</v>
      </c>
      <c r="F24" s="600" t="s">
        <v>1526</v>
      </c>
    </row>
    <row r="25" spans="4:9">
      <c r="D25" s="600">
        <v>2011</v>
      </c>
      <c r="E25" s="600" t="s">
        <v>1466</v>
      </c>
      <c r="F25" s="600" t="s">
        <v>1527</v>
      </c>
    </row>
    <row r="26" spans="4:9">
      <c r="D26" s="600">
        <v>2012</v>
      </c>
      <c r="E26" s="600" t="s">
        <v>1467</v>
      </c>
      <c r="F26" s="600" t="s">
        <v>1528</v>
      </c>
    </row>
    <row r="27" spans="4:9">
      <c r="D27" s="600">
        <v>2013</v>
      </c>
      <c r="E27" s="600" t="s">
        <v>1468</v>
      </c>
      <c r="F27" s="600" t="s">
        <v>1529</v>
      </c>
    </row>
    <row r="28" spans="4:9">
      <c r="D28" s="600">
        <v>2014</v>
      </c>
      <c r="E28" s="600" t="s">
        <v>1469</v>
      </c>
      <c r="F28" s="600" t="s">
        <v>1530</v>
      </c>
    </row>
    <row r="29" spans="4:9">
      <c r="D29" s="600">
        <v>2015</v>
      </c>
      <c r="E29" s="600" t="s">
        <v>1470</v>
      </c>
      <c r="F29" s="600" t="s">
        <v>1531</v>
      </c>
    </row>
    <row r="30" spans="4:9">
      <c r="D30" s="600">
        <v>2016</v>
      </c>
      <c r="E30" s="600" t="s">
        <v>1471</v>
      </c>
      <c r="F30" s="600" t="s">
        <v>1532</v>
      </c>
    </row>
    <row r="31" spans="4:9">
      <c r="D31" s="600">
        <v>2017</v>
      </c>
      <c r="E31" s="600" t="s">
        <v>1472</v>
      </c>
      <c r="F31" s="600" t="s">
        <v>1533</v>
      </c>
    </row>
    <row r="32" spans="4:9">
      <c r="D32" s="600">
        <v>2018</v>
      </c>
      <c r="E32" s="600" t="s">
        <v>1473</v>
      </c>
      <c r="F32" s="600" t="s">
        <v>1534</v>
      </c>
    </row>
    <row r="33" spans="4:6">
      <c r="D33" s="600">
        <v>2019</v>
      </c>
      <c r="E33" s="600" t="s">
        <v>1474</v>
      </c>
      <c r="F33" s="600" t="s">
        <v>1535</v>
      </c>
    </row>
    <row r="34" spans="4:6">
      <c r="D34" s="600">
        <v>2020</v>
      </c>
      <c r="E34" s="600" t="s">
        <v>1475</v>
      </c>
      <c r="F34" s="600" t="s">
        <v>1536</v>
      </c>
    </row>
    <row r="35" spans="4:6">
      <c r="D35" s="600">
        <v>2021</v>
      </c>
      <c r="E35" s="600" t="s">
        <v>1476</v>
      </c>
      <c r="F35" s="600" t="s">
        <v>1537</v>
      </c>
    </row>
    <row r="36" spans="4:6">
      <c r="D36" s="600">
        <v>2022</v>
      </c>
      <c r="E36" s="600" t="s">
        <v>1440</v>
      </c>
      <c r="F36" s="600" t="s">
        <v>1538</v>
      </c>
    </row>
    <row r="37" spans="4:6">
      <c r="D37" s="600">
        <v>2023</v>
      </c>
      <c r="E37" s="600" t="s">
        <v>1477</v>
      </c>
      <c r="F37" s="600" t="s">
        <v>1539</v>
      </c>
    </row>
    <row r="38" spans="4:6">
      <c r="D38" s="600">
        <v>2024</v>
      </c>
      <c r="E38" s="600" t="s">
        <v>1478</v>
      </c>
      <c r="F38" s="600" t="s">
        <v>1540</v>
      </c>
    </row>
    <row r="39" spans="4:6">
      <c r="E39" s="600" t="s">
        <v>1479</v>
      </c>
      <c r="F39" s="600" t="s">
        <v>1541</v>
      </c>
    </row>
    <row r="40" spans="4:6">
      <c r="E40" s="600" t="s">
        <v>1480</v>
      </c>
      <c r="F40" s="600" t="s">
        <v>1542</v>
      </c>
    </row>
    <row r="41" spans="4:6">
      <c r="E41" s="600" t="s">
        <v>1481</v>
      </c>
      <c r="F41" s="600" t="s">
        <v>1543</v>
      </c>
    </row>
    <row r="42" spans="4:6">
      <c r="E42" s="600" t="s">
        <v>1482</v>
      </c>
      <c r="F42" s="600" t="s">
        <v>1544</v>
      </c>
    </row>
    <row r="43" spans="4:6">
      <c r="E43" s="600" t="s">
        <v>1483</v>
      </c>
      <c r="F43" s="600" t="s">
        <v>1545</v>
      </c>
    </row>
    <row r="44" spans="4:6">
      <c r="E44" s="600" t="s">
        <v>1484</v>
      </c>
      <c r="F44" s="600" t="s">
        <v>1546</v>
      </c>
    </row>
    <row r="45" spans="4:6">
      <c r="E45" s="600" t="s">
        <v>1485</v>
      </c>
      <c r="F45" s="600" t="s">
        <v>1547</v>
      </c>
    </row>
    <row r="46" spans="4:6">
      <c r="E46" s="600" t="s">
        <v>1486</v>
      </c>
      <c r="F46" s="600" t="s">
        <v>1548</v>
      </c>
    </row>
    <row r="47" spans="4:6">
      <c r="E47" s="600" t="s">
        <v>1487</v>
      </c>
      <c r="F47" s="600" t="s">
        <v>1549</v>
      </c>
    </row>
    <row r="48" spans="4:6">
      <c r="E48" s="600" t="s">
        <v>1488</v>
      </c>
      <c r="F48" s="600" t="s">
        <v>1550</v>
      </c>
    </row>
    <row r="49" spans="5:6">
      <c r="E49" s="600" t="s">
        <v>1489</v>
      </c>
      <c r="F49" s="600" t="s">
        <v>1551</v>
      </c>
    </row>
    <row r="50" spans="5:6">
      <c r="E50" s="600" t="s">
        <v>1490</v>
      </c>
      <c r="F50" s="600" t="s">
        <v>1552</v>
      </c>
    </row>
    <row r="51" spans="5:6">
      <c r="E51" s="600" t="s">
        <v>1491</v>
      </c>
      <c r="F51" s="600" t="s">
        <v>1553</v>
      </c>
    </row>
    <row r="52" spans="5:6">
      <c r="E52" s="600" t="s">
        <v>1492</v>
      </c>
      <c r="F52" s="600" t="s">
        <v>1554</v>
      </c>
    </row>
    <row r="53" spans="5:6">
      <c r="E53" s="600" t="s">
        <v>1493</v>
      </c>
      <c r="F53" s="600" t="s">
        <v>1555</v>
      </c>
    </row>
    <row r="54" spans="5:6">
      <c r="E54" s="600" t="s">
        <v>1494</v>
      </c>
      <c r="F54" s="600" t="s">
        <v>1556</v>
      </c>
    </row>
    <row r="55" spans="5:6">
      <c r="E55" s="600" t="s">
        <v>1495</v>
      </c>
      <c r="F55" s="600" t="s">
        <v>1557</v>
      </c>
    </row>
    <row r="56" spans="5:6">
      <c r="E56" s="600" t="s">
        <v>1496</v>
      </c>
      <c r="F56" s="600" t="s">
        <v>1558</v>
      </c>
    </row>
    <row r="57" spans="5:6">
      <c r="E57" s="600" t="s">
        <v>1497</v>
      </c>
      <c r="F57" s="600" t="s">
        <v>1559</v>
      </c>
    </row>
    <row r="58" spans="5:6">
      <c r="E58" s="600" t="s">
        <v>1498</v>
      </c>
      <c r="F58" s="600" t="s">
        <v>1560</v>
      </c>
    </row>
    <row r="59" spans="5:6">
      <c r="E59" s="600" t="s">
        <v>1499</v>
      </c>
      <c r="F59" s="600" t="s">
        <v>1561</v>
      </c>
    </row>
    <row r="60" spans="5:6">
      <c r="E60" s="600" t="s">
        <v>1500</v>
      </c>
      <c r="F60" s="600" t="s">
        <v>1562</v>
      </c>
    </row>
    <row r="61" spans="5:6">
      <c r="E61" s="600" t="s">
        <v>1501</v>
      </c>
      <c r="F61" s="600" t="s">
        <v>1563</v>
      </c>
    </row>
    <row r="62" spans="5:6">
      <c r="E62" s="600" t="s">
        <v>1502</v>
      </c>
      <c r="F62" s="600" t="s">
        <v>1564</v>
      </c>
    </row>
    <row r="63" spans="5:6">
      <c r="E63" s="600" t="s">
        <v>1503</v>
      </c>
      <c r="F63" s="600" t="s">
        <v>1565</v>
      </c>
    </row>
    <row r="64" spans="5:6">
      <c r="E64" s="600" t="s">
        <v>1504</v>
      </c>
      <c r="F64" s="600" t="s">
        <v>1566</v>
      </c>
    </row>
    <row r="65" spans="5:6">
      <c r="E65" s="600" t="s">
        <v>1505</v>
      </c>
      <c r="F65" s="600" t="s">
        <v>1567</v>
      </c>
    </row>
    <row r="66" spans="5:6">
      <c r="E66" s="600" t="s">
        <v>1506</v>
      </c>
      <c r="F66" s="600" t="s">
        <v>1568</v>
      </c>
    </row>
    <row r="67" spans="5:6">
      <c r="E67" s="600" t="s">
        <v>1507</v>
      </c>
      <c r="F67" s="600" t="s">
        <v>1569</v>
      </c>
    </row>
    <row r="68" spans="5:6">
      <c r="E68" s="600" t="s">
        <v>1508</v>
      </c>
      <c r="F68" s="600" t="s">
        <v>1570</v>
      </c>
    </row>
    <row r="69" spans="5:6">
      <c r="E69" s="600" t="s">
        <v>1509</v>
      </c>
      <c r="F69" s="600" t="s">
        <v>1571</v>
      </c>
    </row>
    <row r="70" spans="5:6">
      <c r="E70" s="600" t="s">
        <v>1510</v>
      </c>
      <c r="F70" s="600" t="s">
        <v>1572</v>
      </c>
    </row>
    <row r="71" spans="5:6">
      <c r="E71" s="600" t="s">
        <v>1511</v>
      </c>
      <c r="F71" s="600" t="s">
        <v>1573</v>
      </c>
    </row>
    <row r="72" spans="5:6">
      <c r="F72" s="600" t="s">
        <v>1574</v>
      </c>
    </row>
    <row r="73" spans="5:6">
      <c r="F73" s="600" t="s">
        <v>1575</v>
      </c>
    </row>
    <row r="74" spans="5:6">
      <c r="F74" s="600" t="s">
        <v>1576</v>
      </c>
    </row>
    <row r="75" spans="5:6">
      <c r="F75" s="600" t="s">
        <v>1577</v>
      </c>
    </row>
    <row r="76" spans="5:6">
      <c r="F76" s="600" t="s">
        <v>1578</v>
      </c>
    </row>
    <row r="77" spans="5:6">
      <c r="F77" s="600" t="s">
        <v>1579</v>
      </c>
    </row>
    <row r="78" spans="5:6">
      <c r="F78" s="600" t="s">
        <v>1580</v>
      </c>
    </row>
    <row r="79" spans="5:6">
      <c r="F79" s="600" t="s">
        <v>1581</v>
      </c>
    </row>
    <row r="80" spans="5:6">
      <c r="F80" s="600" t="s">
        <v>1582</v>
      </c>
    </row>
    <row r="81" spans="6:6">
      <c r="F81" s="600" t="s">
        <v>1583</v>
      </c>
    </row>
    <row r="82" spans="6:6">
      <c r="F82" s="600" t="s">
        <v>1584</v>
      </c>
    </row>
    <row r="83" spans="6:6">
      <c r="F83" s="600" t="s">
        <v>1585</v>
      </c>
    </row>
    <row r="84" spans="6:6">
      <c r="F84" s="600" t="s">
        <v>1586</v>
      </c>
    </row>
    <row r="85" spans="6:6">
      <c r="F85" s="600" t="s">
        <v>1587</v>
      </c>
    </row>
    <row r="86" spans="6:6">
      <c r="F86" s="600" t="s">
        <v>1588</v>
      </c>
    </row>
    <row r="87" spans="6:6">
      <c r="F87" s="600" t="s">
        <v>1589</v>
      </c>
    </row>
    <row r="88" spans="6:6">
      <c r="F88" s="600" t="s">
        <v>1590</v>
      </c>
    </row>
    <row r="89" spans="6:6">
      <c r="F89" s="600" t="s">
        <v>1591</v>
      </c>
    </row>
    <row r="90" spans="6:6">
      <c r="F90" s="600" t="s">
        <v>1592</v>
      </c>
    </row>
    <row r="91" spans="6:6">
      <c r="F91" s="600" t="s">
        <v>1593</v>
      </c>
    </row>
    <row r="92" spans="6:6">
      <c r="F92" s="600" t="s">
        <v>1594</v>
      </c>
    </row>
    <row r="93" spans="6:6">
      <c r="F93" s="600" t="s">
        <v>1595</v>
      </c>
    </row>
    <row r="94" spans="6:6">
      <c r="F94" s="600" t="s">
        <v>1596</v>
      </c>
    </row>
    <row r="95" spans="6:6">
      <c r="F95" s="600" t="s">
        <v>1597</v>
      </c>
    </row>
    <row r="96" spans="6:6">
      <c r="F96" s="600" t="s">
        <v>1598</v>
      </c>
    </row>
    <row r="97" spans="6:6">
      <c r="F97" s="600" t="s">
        <v>1599</v>
      </c>
    </row>
    <row r="98" spans="6:6">
      <c r="F98" s="600" t="s">
        <v>1600</v>
      </c>
    </row>
    <row r="99" spans="6:6">
      <c r="F99" s="600" t="s">
        <v>1601</v>
      </c>
    </row>
    <row r="100" spans="6:6">
      <c r="F100" s="600" t="s">
        <v>1602</v>
      </c>
    </row>
    <row r="101" spans="6:6">
      <c r="F101" s="600" t="s">
        <v>1603</v>
      </c>
    </row>
    <row r="102" spans="6:6">
      <c r="F102" s="600" t="s">
        <v>1604</v>
      </c>
    </row>
    <row r="103" spans="6:6">
      <c r="F103" s="600" t="s">
        <v>1605</v>
      </c>
    </row>
    <row r="104" spans="6:6">
      <c r="F104" s="600" t="s">
        <v>1606</v>
      </c>
    </row>
    <row r="105" spans="6:6">
      <c r="F105" s="600" t="s">
        <v>1607</v>
      </c>
    </row>
    <row r="106" spans="6:6">
      <c r="F106" s="600" t="s">
        <v>1608</v>
      </c>
    </row>
    <row r="107" spans="6:6">
      <c r="F107" s="600" t="s">
        <v>1609</v>
      </c>
    </row>
    <row r="108" spans="6:6">
      <c r="F108" s="600" t="s">
        <v>1610</v>
      </c>
    </row>
    <row r="109" spans="6:6">
      <c r="F109" s="600" t="s">
        <v>1611</v>
      </c>
    </row>
    <row r="110" spans="6:6">
      <c r="F110" s="600" t="s">
        <v>1612</v>
      </c>
    </row>
    <row r="111" spans="6:6">
      <c r="F111" s="600" t="s">
        <v>1613</v>
      </c>
    </row>
    <row r="112" spans="6:6">
      <c r="F112" s="600" t="s">
        <v>1614</v>
      </c>
    </row>
    <row r="113" spans="6:6">
      <c r="F113" s="600" t="s">
        <v>1615</v>
      </c>
    </row>
    <row r="114" spans="6:6">
      <c r="F114" s="600" t="s">
        <v>1616</v>
      </c>
    </row>
    <row r="115" spans="6:6">
      <c r="F115" s="600" t="s">
        <v>1617</v>
      </c>
    </row>
    <row r="116" spans="6:6">
      <c r="F116" s="600" t="s">
        <v>1618</v>
      </c>
    </row>
    <row r="117" spans="6:6">
      <c r="F117" s="600" t="s">
        <v>1619</v>
      </c>
    </row>
    <row r="118" spans="6:6">
      <c r="F118" s="600" t="s">
        <v>1620</v>
      </c>
    </row>
    <row r="119" spans="6:6">
      <c r="F119" s="600" t="s">
        <v>1621</v>
      </c>
    </row>
    <row r="120" spans="6:6">
      <c r="F120" s="600" t="s">
        <v>1622</v>
      </c>
    </row>
    <row r="121" spans="6:6">
      <c r="F121" s="600" t="s">
        <v>1623</v>
      </c>
    </row>
    <row r="122" spans="6:6">
      <c r="F122" s="600" t="s">
        <v>1624</v>
      </c>
    </row>
    <row r="123" spans="6:6">
      <c r="F123" s="600" t="s">
        <v>1625</v>
      </c>
    </row>
    <row r="124" spans="6:6">
      <c r="F124" s="600" t="s">
        <v>1626</v>
      </c>
    </row>
    <row r="125" spans="6:6">
      <c r="F125" s="600" t="s">
        <v>1627</v>
      </c>
    </row>
    <row r="126" spans="6:6">
      <c r="F126" s="600" t="s">
        <v>1628</v>
      </c>
    </row>
    <row r="127" spans="6:6">
      <c r="F127" s="600" t="s">
        <v>1629</v>
      </c>
    </row>
    <row r="128" spans="6:6">
      <c r="F128" s="600" t="s">
        <v>1630</v>
      </c>
    </row>
    <row r="129" spans="6:6">
      <c r="F129" s="600" t="s">
        <v>1631</v>
      </c>
    </row>
    <row r="130" spans="6:6">
      <c r="F130" s="600" t="s">
        <v>1632</v>
      </c>
    </row>
    <row r="131" spans="6:6">
      <c r="F131" s="600" t="s">
        <v>1633</v>
      </c>
    </row>
    <row r="132" spans="6:6">
      <c r="F132" s="600" t="s">
        <v>1634</v>
      </c>
    </row>
    <row r="133" spans="6:6">
      <c r="F133" s="600" t="s">
        <v>1635</v>
      </c>
    </row>
    <row r="134" spans="6:6">
      <c r="F134" s="600" t="s">
        <v>1636</v>
      </c>
    </row>
    <row r="135" spans="6:6">
      <c r="F135" s="600" t="s">
        <v>1637</v>
      </c>
    </row>
    <row r="136" spans="6:6">
      <c r="F136" s="600" t="s">
        <v>1638</v>
      </c>
    </row>
    <row r="137" spans="6:6">
      <c r="F137" s="600" t="s">
        <v>1639</v>
      </c>
    </row>
    <row r="138" spans="6:6">
      <c r="F138" s="600" t="s">
        <v>1640</v>
      </c>
    </row>
    <row r="139" spans="6:6">
      <c r="F139" s="600" t="s">
        <v>1641</v>
      </c>
    </row>
    <row r="140" spans="6:6">
      <c r="F140" s="600" t="s">
        <v>1642</v>
      </c>
    </row>
    <row r="141" spans="6:6">
      <c r="F141" s="600" t="s">
        <v>1643</v>
      </c>
    </row>
    <row r="142" spans="6:6">
      <c r="F142" s="600" t="s">
        <v>1644</v>
      </c>
    </row>
    <row r="143" spans="6:6">
      <c r="F143" s="600" t="s">
        <v>1645</v>
      </c>
    </row>
    <row r="144" spans="6:6">
      <c r="F144" s="600" t="s">
        <v>1646</v>
      </c>
    </row>
    <row r="145" spans="6:6">
      <c r="F145" s="600" t="s">
        <v>1647</v>
      </c>
    </row>
    <row r="146" spans="6:6">
      <c r="F146" s="600" t="s">
        <v>1648</v>
      </c>
    </row>
    <row r="147" spans="6:6">
      <c r="F147" s="600" t="s">
        <v>1649</v>
      </c>
    </row>
    <row r="148" spans="6:6">
      <c r="F148" s="600" t="s">
        <v>1650</v>
      </c>
    </row>
    <row r="149" spans="6:6">
      <c r="F149" s="600" t="s">
        <v>1651</v>
      </c>
    </row>
    <row r="150" spans="6:6">
      <c r="F150" s="600" t="s">
        <v>1652</v>
      </c>
    </row>
    <row r="151" spans="6:6">
      <c r="F151" s="600" t="s">
        <v>1653</v>
      </c>
    </row>
    <row r="152" spans="6:6">
      <c r="F152" s="600" t="s">
        <v>1654</v>
      </c>
    </row>
    <row r="153" spans="6:6">
      <c r="F153" s="600" t="s">
        <v>1655</v>
      </c>
    </row>
    <row r="154" spans="6:6">
      <c r="F154" s="600" t="s">
        <v>1656</v>
      </c>
    </row>
    <row r="155" spans="6:6">
      <c r="F155" s="600" t="s">
        <v>1657</v>
      </c>
    </row>
    <row r="156" spans="6:6">
      <c r="F156" s="600" t="s">
        <v>1658</v>
      </c>
    </row>
    <row r="157" spans="6:6">
      <c r="F157" s="600" t="s">
        <v>1659</v>
      </c>
    </row>
    <row r="158" spans="6:6">
      <c r="F158" s="600" t="s">
        <v>1660</v>
      </c>
    </row>
    <row r="159" spans="6:6">
      <c r="F159" s="600" t="s">
        <v>1661</v>
      </c>
    </row>
    <row r="160" spans="6:6">
      <c r="F160" s="600" t="s">
        <v>1662</v>
      </c>
    </row>
    <row r="161" spans="6:6">
      <c r="F161" s="600" t="s">
        <v>1663</v>
      </c>
    </row>
    <row r="162" spans="6:6">
      <c r="F162" s="600" t="s">
        <v>1664</v>
      </c>
    </row>
    <row r="163" spans="6:6">
      <c r="F163" s="600" t="s">
        <v>1665</v>
      </c>
    </row>
    <row r="164" spans="6:6">
      <c r="F164" s="600" t="s">
        <v>1666</v>
      </c>
    </row>
    <row r="165" spans="6:6">
      <c r="F165" s="600" t="s">
        <v>1667</v>
      </c>
    </row>
    <row r="166" spans="6:6">
      <c r="F166" s="600" t="s">
        <v>1668</v>
      </c>
    </row>
    <row r="167" spans="6:6">
      <c r="F167" s="600" t="s">
        <v>1669</v>
      </c>
    </row>
    <row r="168" spans="6:6">
      <c r="F168" s="600" t="s">
        <v>1670</v>
      </c>
    </row>
    <row r="169" spans="6:6">
      <c r="F169" s="600" t="s">
        <v>1671</v>
      </c>
    </row>
    <row r="170" spans="6:6">
      <c r="F170" s="600" t="s">
        <v>1672</v>
      </c>
    </row>
    <row r="171" spans="6:6">
      <c r="F171" s="600" t="s">
        <v>1673</v>
      </c>
    </row>
    <row r="172" spans="6:6">
      <c r="F172" s="600" t="s">
        <v>1674</v>
      </c>
    </row>
    <row r="173" spans="6:6">
      <c r="F173" s="600" t="s">
        <v>1675</v>
      </c>
    </row>
    <row r="174" spans="6:6">
      <c r="F174" s="600" t="s">
        <v>1676</v>
      </c>
    </row>
    <row r="175" spans="6:6">
      <c r="F175" s="600" t="s">
        <v>1677</v>
      </c>
    </row>
    <row r="176" spans="6:6">
      <c r="F176" s="600" t="s">
        <v>1678</v>
      </c>
    </row>
    <row r="177" spans="6:6">
      <c r="F177" s="600" t="s">
        <v>1679</v>
      </c>
    </row>
    <row r="178" spans="6:6">
      <c r="F178" s="600" t="s">
        <v>1680</v>
      </c>
    </row>
    <row r="179" spans="6:6">
      <c r="F179" s="600" t="s">
        <v>1681</v>
      </c>
    </row>
    <row r="180" spans="6:6">
      <c r="F180" s="600" t="s">
        <v>1682</v>
      </c>
    </row>
    <row r="181" spans="6:6">
      <c r="F181" s="600" t="s">
        <v>1683</v>
      </c>
    </row>
    <row r="182" spans="6:6">
      <c r="F182" s="600" t="s">
        <v>1684</v>
      </c>
    </row>
    <row r="183" spans="6:6">
      <c r="F183" s="600" t="s">
        <v>1685</v>
      </c>
    </row>
    <row r="184" spans="6:6">
      <c r="F184" s="600" t="s">
        <v>1686</v>
      </c>
    </row>
    <row r="185" spans="6:6">
      <c r="F185" s="600" t="s">
        <v>1687</v>
      </c>
    </row>
    <row r="186" spans="6:6">
      <c r="F186" s="600" t="s">
        <v>1688</v>
      </c>
    </row>
    <row r="187" spans="6:6">
      <c r="F187" s="600" t="s">
        <v>1689</v>
      </c>
    </row>
    <row r="188" spans="6:6">
      <c r="F188" s="600" t="s">
        <v>1690</v>
      </c>
    </row>
    <row r="189" spans="6:6">
      <c r="F189" s="600" t="s">
        <v>1691</v>
      </c>
    </row>
    <row r="190" spans="6:6">
      <c r="F190" s="600" t="s">
        <v>1692</v>
      </c>
    </row>
    <row r="191" spans="6:6">
      <c r="F191" s="600" t="s">
        <v>1693</v>
      </c>
    </row>
    <row r="192" spans="6:6">
      <c r="F192" s="600" t="s">
        <v>1694</v>
      </c>
    </row>
    <row r="193" spans="6:6">
      <c r="F193" s="600" t="s">
        <v>1695</v>
      </c>
    </row>
    <row r="194" spans="6:6">
      <c r="F194" s="600" t="s">
        <v>1696</v>
      </c>
    </row>
    <row r="195" spans="6:6">
      <c r="F195" s="600" t="s">
        <v>1697</v>
      </c>
    </row>
    <row r="196" spans="6:6">
      <c r="F196" s="600" t="s">
        <v>1698</v>
      </c>
    </row>
    <row r="197" spans="6:6">
      <c r="F197" s="600" t="s">
        <v>1699</v>
      </c>
    </row>
    <row r="198" spans="6:6">
      <c r="F198" s="600" t="s">
        <v>1700</v>
      </c>
    </row>
    <row r="199" spans="6:6">
      <c r="F199" s="600" t="s">
        <v>1701</v>
      </c>
    </row>
    <row r="200" spans="6:6">
      <c r="F200" s="600" t="s">
        <v>1702</v>
      </c>
    </row>
    <row r="201" spans="6:6">
      <c r="F201" s="600" t="s">
        <v>1703</v>
      </c>
    </row>
    <row r="202" spans="6:6">
      <c r="F202" s="600" t="s">
        <v>1704</v>
      </c>
    </row>
    <row r="203" spans="6:6">
      <c r="F203" s="600" t="s">
        <v>1705</v>
      </c>
    </row>
    <row r="204" spans="6:6">
      <c r="F204" s="600" t="s">
        <v>1706</v>
      </c>
    </row>
    <row r="205" spans="6:6">
      <c r="F205" s="600" t="s">
        <v>1707</v>
      </c>
    </row>
    <row r="206" spans="6:6">
      <c r="F206" s="600" t="s">
        <v>1708</v>
      </c>
    </row>
    <row r="207" spans="6:6">
      <c r="F207" s="600" t="s">
        <v>1709</v>
      </c>
    </row>
    <row r="208" spans="6:6">
      <c r="F208" s="600" t="s">
        <v>1710</v>
      </c>
    </row>
    <row r="209" spans="6:6">
      <c r="F209" s="600" t="s">
        <v>1711</v>
      </c>
    </row>
    <row r="210" spans="6:6">
      <c r="F210" s="600" t="s">
        <v>1712</v>
      </c>
    </row>
    <row r="211" spans="6:6">
      <c r="F211" s="600" t="s">
        <v>1713</v>
      </c>
    </row>
    <row r="212" spans="6:6">
      <c r="F212" s="600" t="s">
        <v>1714</v>
      </c>
    </row>
    <row r="213" spans="6:6">
      <c r="F213" s="600" t="s">
        <v>1715</v>
      </c>
    </row>
    <row r="214" spans="6:6">
      <c r="F214" s="600" t="s">
        <v>1716</v>
      </c>
    </row>
    <row r="215" spans="6:6">
      <c r="F215" s="600" t="s">
        <v>1717</v>
      </c>
    </row>
    <row r="216" spans="6:6">
      <c r="F216" s="600" t="s">
        <v>1718</v>
      </c>
    </row>
    <row r="217" spans="6:6">
      <c r="F217" s="600" t="s">
        <v>1719</v>
      </c>
    </row>
    <row r="218" spans="6:6">
      <c r="F218" s="600" t="s">
        <v>1720</v>
      </c>
    </row>
    <row r="219" spans="6:6">
      <c r="F219" s="600" t="s">
        <v>1721</v>
      </c>
    </row>
    <row r="220" spans="6:6">
      <c r="F220" s="600" t="s">
        <v>1722</v>
      </c>
    </row>
    <row r="221" spans="6:6">
      <c r="F221" s="600" t="s">
        <v>1723</v>
      </c>
    </row>
    <row r="222" spans="6:6">
      <c r="F222" s="600" t="s">
        <v>1724</v>
      </c>
    </row>
    <row r="223" spans="6:6">
      <c r="F223" s="600" t="s">
        <v>1725</v>
      </c>
    </row>
    <row r="224" spans="6:6">
      <c r="F224" s="600" t="s">
        <v>1726</v>
      </c>
    </row>
    <row r="225" spans="6:6">
      <c r="F225" s="600" t="s">
        <v>1727</v>
      </c>
    </row>
    <row r="226" spans="6:6">
      <c r="F226" s="600" t="s">
        <v>1728</v>
      </c>
    </row>
    <row r="227" spans="6:6">
      <c r="F227" s="600" t="s">
        <v>1729</v>
      </c>
    </row>
    <row r="228" spans="6:6">
      <c r="F228" s="600" t="s">
        <v>1730</v>
      </c>
    </row>
    <row r="229" spans="6:6">
      <c r="F229" s="600" t="s">
        <v>1731</v>
      </c>
    </row>
    <row r="230" spans="6:6">
      <c r="F230" s="600" t="s">
        <v>1732</v>
      </c>
    </row>
    <row r="231" spans="6:6">
      <c r="F231" s="600" t="s">
        <v>1733</v>
      </c>
    </row>
    <row r="232" spans="6:6">
      <c r="F232" s="600" t="s">
        <v>1734</v>
      </c>
    </row>
    <row r="233" spans="6:6">
      <c r="F233" s="600" t="s">
        <v>1735</v>
      </c>
    </row>
    <row r="234" spans="6:6">
      <c r="F234" s="600" t="s">
        <v>1736</v>
      </c>
    </row>
    <row r="235" spans="6:6">
      <c r="F235" s="600" t="s">
        <v>1737</v>
      </c>
    </row>
    <row r="236" spans="6:6">
      <c r="F236" s="600" t="s">
        <v>1738</v>
      </c>
    </row>
    <row r="237" spans="6:6">
      <c r="F237" s="600" t="s">
        <v>1739</v>
      </c>
    </row>
    <row r="238" spans="6:6">
      <c r="F238" s="600" t="s">
        <v>1740</v>
      </c>
    </row>
    <row r="239" spans="6:6">
      <c r="F239" s="600" t="s">
        <v>1741</v>
      </c>
    </row>
    <row r="240" spans="6:6">
      <c r="F240" s="600" t="s">
        <v>1742</v>
      </c>
    </row>
    <row r="241" spans="6:6">
      <c r="F241" s="600" t="s">
        <v>1743</v>
      </c>
    </row>
    <row r="242" spans="6:6">
      <c r="F242" s="600" t="s">
        <v>1744</v>
      </c>
    </row>
    <row r="243" spans="6:6">
      <c r="F243" s="600" t="s">
        <v>1745</v>
      </c>
    </row>
    <row r="244" spans="6:6">
      <c r="F244" s="600" t="s">
        <v>1746</v>
      </c>
    </row>
    <row r="245" spans="6:6">
      <c r="F245" s="600" t="s">
        <v>1747</v>
      </c>
    </row>
    <row r="246" spans="6:6">
      <c r="F246" s="600" t="s">
        <v>1748</v>
      </c>
    </row>
    <row r="247" spans="6:6">
      <c r="F247" s="600" t="s">
        <v>1749</v>
      </c>
    </row>
    <row r="248" spans="6:6">
      <c r="F248" s="600" t="s">
        <v>1750</v>
      </c>
    </row>
    <row r="249" spans="6:6">
      <c r="F249" s="600" t="s">
        <v>1751</v>
      </c>
    </row>
    <row r="250" spans="6:6">
      <c r="F250" s="600" t="s">
        <v>1752</v>
      </c>
    </row>
    <row r="251" spans="6:6">
      <c r="F251" s="600" t="s">
        <v>1753</v>
      </c>
    </row>
    <row r="252" spans="6:6">
      <c r="F252" s="600" t="s">
        <v>1754</v>
      </c>
    </row>
    <row r="253" spans="6:6">
      <c r="F253" s="600">
        <v>323</v>
      </c>
    </row>
    <row r="254" spans="6:6">
      <c r="F254" s="600" t="s">
        <v>1755</v>
      </c>
    </row>
    <row r="255" spans="6:6">
      <c r="F255" s="600" t="s">
        <v>1756</v>
      </c>
    </row>
    <row r="256" spans="6:6">
      <c r="F256" s="600">
        <v>626</v>
      </c>
    </row>
    <row r="257" spans="6:6">
      <c r="F257" s="600" t="s">
        <v>1757</v>
      </c>
    </row>
    <row r="258" spans="6:6">
      <c r="F258" s="600" t="s">
        <v>1758</v>
      </c>
    </row>
    <row r="259" spans="6:6">
      <c r="F259" s="600" t="s">
        <v>1759</v>
      </c>
    </row>
    <row r="260" spans="6:6">
      <c r="F260" s="600" t="s">
        <v>1760</v>
      </c>
    </row>
    <row r="261" spans="6:6">
      <c r="F261" s="600" t="s">
        <v>1761</v>
      </c>
    </row>
    <row r="262" spans="6:6">
      <c r="F262" s="600" t="s">
        <v>1762</v>
      </c>
    </row>
    <row r="263" spans="6:6">
      <c r="F263" s="600" t="s">
        <v>1763</v>
      </c>
    </row>
    <row r="264" spans="6:6">
      <c r="F264" s="600" t="s">
        <v>1764</v>
      </c>
    </row>
    <row r="265" spans="6:6">
      <c r="F265" s="600" t="s">
        <v>1765</v>
      </c>
    </row>
    <row r="266" spans="6:6">
      <c r="F266" s="600" t="s">
        <v>1766</v>
      </c>
    </row>
    <row r="267" spans="6:6">
      <c r="F267" s="600" t="s">
        <v>1767</v>
      </c>
    </row>
    <row r="268" spans="6:6">
      <c r="F268" s="600" t="s">
        <v>1768</v>
      </c>
    </row>
    <row r="269" spans="6:6">
      <c r="F269" s="600" t="s">
        <v>1769</v>
      </c>
    </row>
    <row r="270" spans="6:6">
      <c r="F270" s="600" t="s">
        <v>1770</v>
      </c>
    </row>
    <row r="271" spans="6:6">
      <c r="F271" s="600" t="s">
        <v>1771</v>
      </c>
    </row>
    <row r="272" spans="6:6">
      <c r="F272" s="600" t="s">
        <v>1772</v>
      </c>
    </row>
    <row r="273" spans="6:6">
      <c r="F273" s="600" t="s">
        <v>1773</v>
      </c>
    </row>
    <row r="274" spans="6:6">
      <c r="F274" s="600" t="s">
        <v>1774</v>
      </c>
    </row>
    <row r="275" spans="6:6">
      <c r="F275" s="600" t="s">
        <v>1775</v>
      </c>
    </row>
    <row r="276" spans="6:6">
      <c r="F276" s="600" t="s">
        <v>1776</v>
      </c>
    </row>
    <row r="277" spans="6:6">
      <c r="F277" s="600" t="s">
        <v>1777</v>
      </c>
    </row>
    <row r="278" spans="6:6">
      <c r="F278" s="600" t="s">
        <v>1778</v>
      </c>
    </row>
    <row r="279" spans="6:6">
      <c r="F279" s="600" t="s">
        <v>1779</v>
      </c>
    </row>
    <row r="280" spans="6:6">
      <c r="F280" s="600" t="s">
        <v>1780</v>
      </c>
    </row>
    <row r="281" spans="6:6">
      <c r="F281" s="600" t="s">
        <v>1781</v>
      </c>
    </row>
    <row r="282" spans="6:6">
      <c r="F282" s="600" t="s">
        <v>1782</v>
      </c>
    </row>
    <row r="283" spans="6:6">
      <c r="F283" s="600" t="s">
        <v>1783</v>
      </c>
    </row>
    <row r="284" spans="6:6">
      <c r="F284" s="600" t="s">
        <v>1784</v>
      </c>
    </row>
    <row r="285" spans="6:6">
      <c r="F285" s="600" t="s">
        <v>1785</v>
      </c>
    </row>
    <row r="286" spans="6:6">
      <c r="F286" s="600" t="s">
        <v>1786</v>
      </c>
    </row>
    <row r="287" spans="6:6">
      <c r="F287" s="600" t="s">
        <v>1787</v>
      </c>
    </row>
    <row r="288" spans="6:6">
      <c r="F288" s="600" t="s">
        <v>1788</v>
      </c>
    </row>
    <row r="289" spans="6:6">
      <c r="F289" s="600" t="s">
        <v>1789</v>
      </c>
    </row>
    <row r="290" spans="6:6">
      <c r="F290" s="600" t="s">
        <v>1790</v>
      </c>
    </row>
    <row r="291" spans="6:6">
      <c r="F291" s="600" t="s">
        <v>1791</v>
      </c>
    </row>
    <row r="292" spans="6:6">
      <c r="F292" s="600" t="s">
        <v>1792</v>
      </c>
    </row>
    <row r="293" spans="6:6">
      <c r="F293" s="600" t="s">
        <v>1793</v>
      </c>
    </row>
    <row r="294" spans="6:6">
      <c r="F294" s="600" t="s">
        <v>1794</v>
      </c>
    </row>
    <row r="295" spans="6:6">
      <c r="F295" s="600" t="s">
        <v>1795</v>
      </c>
    </row>
    <row r="296" spans="6:6">
      <c r="F296" s="600" t="s">
        <v>1796</v>
      </c>
    </row>
    <row r="297" spans="6:6">
      <c r="F297" s="600" t="s">
        <v>1797</v>
      </c>
    </row>
    <row r="298" spans="6:6">
      <c r="F298" s="600" t="s">
        <v>1798</v>
      </c>
    </row>
    <row r="299" spans="6:6">
      <c r="F299" s="600" t="s">
        <v>1799</v>
      </c>
    </row>
    <row r="300" spans="6:6">
      <c r="F300" s="600" t="s">
        <v>1800</v>
      </c>
    </row>
    <row r="301" spans="6:6">
      <c r="F301" s="600" t="s">
        <v>1801</v>
      </c>
    </row>
    <row r="302" spans="6:6">
      <c r="F302" s="600" t="s">
        <v>1802</v>
      </c>
    </row>
    <row r="303" spans="6:6">
      <c r="F303" s="600" t="s">
        <v>1803</v>
      </c>
    </row>
    <row r="304" spans="6:6">
      <c r="F304" s="600" t="s">
        <v>1804</v>
      </c>
    </row>
    <row r="305" spans="6:6">
      <c r="F305" s="600" t="s">
        <v>1805</v>
      </c>
    </row>
    <row r="306" spans="6:6">
      <c r="F306" s="600" t="s">
        <v>1806</v>
      </c>
    </row>
    <row r="307" spans="6:6">
      <c r="F307" s="600" t="s">
        <v>1807</v>
      </c>
    </row>
    <row r="308" spans="6:6">
      <c r="F308" s="600" t="s">
        <v>1808</v>
      </c>
    </row>
    <row r="309" spans="6:6">
      <c r="F309" s="600" t="s">
        <v>1809</v>
      </c>
    </row>
    <row r="310" spans="6:6">
      <c r="F310" s="600" t="s">
        <v>1810</v>
      </c>
    </row>
    <row r="311" spans="6:6">
      <c r="F311" s="600" t="s">
        <v>1811</v>
      </c>
    </row>
    <row r="312" spans="6:6">
      <c r="F312" s="600" t="s">
        <v>1812</v>
      </c>
    </row>
    <row r="313" spans="6:6">
      <c r="F313" s="600" t="s">
        <v>1813</v>
      </c>
    </row>
    <row r="314" spans="6:6">
      <c r="F314" s="600" t="s">
        <v>1814</v>
      </c>
    </row>
    <row r="315" spans="6:6">
      <c r="F315" s="600" t="s">
        <v>1815</v>
      </c>
    </row>
    <row r="316" spans="6:6">
      <c r="F316" s="600" t="s">
        <v>1816</v>
      </c>
    </row>
    <row r="317" spans="6:6">
      <c r="F317" s="600" t="s">
        <v>1817</v>
      </c>
    </row>
    <row r="318" spans="6:6">
      <c r="F318" s="600" t="s">
        <v>1818</v>
      </c>
    </row>
    <row r="319" spans="6:6">
      <c r="F319" s="600" t="s">
        <v>1819</v>
      </c>
    </row>
    <row r="320" spans="6:6">
      <c r="F320" s="600" t="s">
        <v>1820</v>
      </c>
    </row>
    <row r="321" spans="6:6">
      <c r="F321" s="600" t="s">
        <v>1821</v>
      </c>
    </row>
    <row r="322" spans="6:6">
      <c r="F322" s="600" t="s">
        <v>1822</v>
      </c>
    </row>
    <row r="323" spans="6:6">
      <c r="F323" s="600" t="s">
        <v>1823</v>
      </c>
    </row>
    <row r="324" spans="6:6">
      <c r="F324" s="600" t="s">
        <v>1824</v>
      </c>
    </row>
    <row r="325" spans="6:6">
      <c r="F325" s="600" t="s">
        <v>1825</v>
      </c>
    </row>
    <row r="326" spans="6:6">
      <c r="F326" s="600" t="s">
        <v>1826</v>
      </c>
    </row>
    <row r="327" spans="6:6">
      <c r="F327" s="600" t="s">
        <v>1827</v>
      </c>
    </row>
    <row r="328" spans="6:6">
      <c r="F328" s="600" t="s">
        <v>1828</v>
      </c>
    </row>
    <row r="329" spans="6:6">
      <c r="F329" s="600" t="s">
        <v>1829</v>
      </c>
    </row>
    <row r="330" spans="6:6">
      <c r="F330" s="600" t="s">
        <v>1830</v>
      </c>
    </row>
    <row r="331" spans="6:6">
      <c r="F331" s="600" t="s">
        <v>1831</v>
      </c>
    </row>
    <row r="332" spans="6:6">
      <c r="F332" s="600" t="s">
        <v>1832</v>
      </c>
    </row>
    <row r="333" spans="6:6">
      <c r="F333" s="600" t="s">
        <v>1833</v>
      </c>
    </row>
    <row r="334" spans="6:6">
      <c r="F334" s="600" t="s">
        <v>1834</v>
      </c>
    </row>
    <row r="335" spans="6:6">
      <c r="F335" s="600" t="s">
        <v>1835</v>
      </c>
    </row>
    <row r="336" spans="6:6">
      <c r="F336" s="600" t="s">
        <v>1836</v>
      </c>
    </row>
    <row r="337" spans="6:6">
      <c r="F337" s="600" t="s">
        <v>1837</v>
      </c>
    </row>
    <row r="338" spans="6:6">
      <c r="F338" s="600" t="s">
        <v>1838</v>
      </c>
    </row>
    <row r="339" spans="6:6">
      <c r="F339" s="600" t="s">
        <v>1839</v>
      </c>
    </row>
    <row r="340" spans="6:6">
      <c r="F340" s="600">
        <v>968</v>
      </c>
    </row>
    <row r="341" spans="6:6">
      <c r="F341" s="600" t="s">
        <v>1840</v>
      </c>
    </row>
    <row r="342" spans="6:6">
      <c r="F342" s="600" t="s">
        <v>1841</v>
      </c>
    </row>
    <row r="343" spans="6:6">
      <c r="F343" s="600" t="s">
        <v>1842</v>
      </c>
    </row>
    <row r="344" spans="6:6">
      <c r="F344" s="600" t="s">
        <v>1843</v>
      </c>
    </row>
    <row r="345" spans="6:6">
      <c r="F345" s="600" t="s">
        <v>1844</v>
      </c>
    </row>
    <row r="346" spans="6:6">
      <c r="F346" s="600" t="s">
        <v>1845</v>
      </c>
    </row>
    <row r="347" spans="6:6">
      <c r="F347" s="600" t="s">
        <v>531</v>
      </c>
    </row>
    <row r="348" spans="6:6">
      <c r="F348" s="600" t="s">
        <v>1846</v>
      </c>
    </row>
    <row r="349" spans="6:6">
      <c r="F349" s="600" t="s">
        <v>1847</v>
      </c>
    </row>
    <row r="350" spans="6:6">
      <c r="F350" s="600" t="s">
        <v>1848</v>
      </c>
    </row>
    <row r="351" spans="6:6">
      <c r="F351" s="600" t="s">
        <v>1849</v>
      </c>
    </row>
    <row r="352" spans="6:6">
      <c r="F352" s="600" t="s">
        <v>1850</v>
      </c>
    </row>
    <row r="353" spans="6:6">
      <c r="F353" s="600" t="s">
        <v>1851</v>
      </c>
    </row>
    <row r="354" spans="6:6">
      <c r="F354" s="600" t="s">
        <v>1852</v>
      </c>
    </row>
    <row r="355" spans="6:6">
      <c r="F355" s="600" t="s">
        <v>1853</v>
      </c>
    </row>
    <row r="356" spans="6:6">
      <c r="F356" s="600" t="s">
        <v>1854</v>
      </c>
    </row>
    <row r="357" spans="6:6">
      <c r="F357" s="600" t="s">
        <v>1855</v>
      </c>
    </row>
    <row r="358" spans="6:6">
      <c r="F358" s="600" t="s">
        <v>1856</v>
      </c>
    </row>
    <row r="359" spans="6:6">
      <c r="F359" s="600" t="s">
        <v>1857</v>
      </c>
    </row>
    <row r="360" spans="6:6">
      <c r="F360" s="600" t="s">
        <v>1858</v>
      </c>
    </row>
    <row r="361" spans="6:6">
      <c r="F361" s="600" t="s">
        <v>1859</v>
      </c>
    </row>
    <row r="362" spans="6:6">
      <c r="F362" s="600" t="s">
        <v>1860</v>
      </c>
    </row>
    <row r="363" spans="6:6">
      <c r="F363" s="600" t="s">
        <v>1861</v>
      </c>
    </row>
    <row r="364" spans="6:6">
      <c r="F364" s="600" t="s">
        <v>1862</v>
      </c>
    </row>
    <row r="365" spans="6:6">
      <c r="F365" s="600" t="s">
        <v>1863</v>
      </c>
    </row>
    <row r="366" spans="6:6">
      <c r="F366" s="600" t="s">
        <v>1864</v>
      </c>
    </row>
    <row r="367" spans="6:6">
      <c r="F367" s="600" t="s">
        <v>1865</v>
      </c>
    </row>
    <row r="368" spans="6:6">
      <c r="F368" s="600" t="s">
        <v>1866</v>
      </c>
    </row>
    <row r="369" spans="6:6">
      <c r="F369" s="600" t="s">
        <v>1867</v>
      </c>
    </row>
    <row r="370" spans="6:6">
      <c r="F370" s="600" t="s">
        <v>1868</v>
      </c>
    </row>
    <row r="371" spans="6:6">
      <c r="F371" s="600" t="s">
        <v>1869</v>
      </c>
    </row>
    <row r="372" spans="6:6">
      <c r="F372" s="600" t="s">
        <v>1870</v>
      </c>
    </row>
    <row r="373" spans="6:6">
      <c r="F373" s="600" t="s">
        <v>1871</v>
      </c>
    </row>
    <row r="374" spans="6:6">
      <c r="F374" s="600" t="s">
        <v>1872</v>
      </c>
    </row>
    <row r="375" spans="6:6">
      <c r="F375" s="600" t="s">
        <v>1873</v>
      </c>
    </row>
    <row r="376" spans="6:6">
      <c r="F376" s="600" t="s">
        <v>1874</v>
      </c>
    </row>
    <row r="377" spans="6:6">
      <c r="F377" s="600" t="s">
        <v>1875</v>
      </c>
    </row>
    <row r="378" spans="6:6">
      <c r="F378" s="600" t="s">
        <v>1876</v>
      </c>
    </row>
    <row r="379" spans="6:6">
      <c r="F379" s="600" t="s">
        <v>1877</v>
      </c>
    </row>
    <row r="380" spans="6:6">
      <c r="F380" s="600" t="s">
        <v>1878</v>
      </c>
    </row>
    <row r="381" spans="6:6">
      <c r="F381" s="600" t="s">
        <v>1879</v>
      </c>
    </row>
    <row r="382" spans="6:6">
      <c r="F382" s="600" t="s">
        <v>1880</v>
      </c>
    </row>
    <row r="383" spans="6:6">
      <c r="F383" s="600" t="s">
        <v>1881</v>
      </c>
    </row>
    <row r="384" spans="6:6">
      <c r="F384" s="600" t="s">
        <v>1882</v>
      </c>
    </row>
    <row r="385" spans="6:6">
      <c r="F385" s="600" t="s">
        <v>1883</v>
      </c>
    </row>
    <row r="386" spans="6:6">
      <c r="F386" s="600" t="s">
        <v>1884</v>
      </c>
    </row>
    <row r="387" spans="6:6">
      <c r="F387" s="600" t="s">
        <v>1885</v>
      </c>
    </row>
    <row r="388" spans="6:6">
      <c r="F388" s="600" t="s">
        <v>1886</v>
      </c>
    </row>
    <row r="389" spans="6:6">
      <c r="F389" s="600" t="s">
        <v>1887</v>
      </c>
    </row>
    <row r="390" spans="6:6">
      <c r="F390" s="600" t="s">
        <v>1888</v>
      </c>
    </row>
    <row r="391" spans="6:6">
      <c r="F391" s="600" t="s">
        <v>1889</v>
      </c>
    </row>
    <row r="392" spans="6:6">
      <c r="F392" s="600" t="s">
        <v>1890</v>
      </c>
    </row>
    <row r="393" spans="6:6">
      <c r="F393" s="600" t="s">
        <v>1891</v>
      </c>
    </row>
    <row r="394" spans="6:6">
      <c r="F394" s="600" t="s">
        <v>1892</v>
      </c>
    </row>
    <row r="395" spans="6:6">
      <c r="F395" s="600" t="s">
        <v>1893</v>
      </c>
    </row>
    <row r="396" spans="6:6">
      <c r="F396" s="600" t="s">
        <v>1894</v>
      </c>
    </row>
    <row r="397" spans="6:6">
      <c r="F397" s="600" t="s">
        <v>1895</v>
      </c>
    </row>
    <row r="398" spans="6:6">
      <c r="F398" s="600" t="s">
        <v>1896</v>
      </c>
    </row>
    <row r="399" spans="6:6">
      <c r="F399" s="600" t="s">
        <v>1897</v>
      </c>
    </row>
    <row r="400" spans="6:6">
      <c r="F400" s="600" t="s">
        <v>1898</v>
      </c>
    </row>
    <row r="401" spans="6:6">
      <c r="F401" s="600" t="s">
        <v>1899</v>
      </c>
    </row>
    <row r="402" spans="6:6">
      <c r="F402" s="600" t="s">
        <v>1900</v>
      </c>
    </row>
    <row r="403" spans="6:6">
      <c r="F403" s="600" t="s">
        <v>1901</v>
      </c>
    </row>
    <row r="404" spans="6:6">
      <c r="F404" s="600" t="s">
        <v>1902</v>
      </c>
    </row>
    <row r="405" spans="6:6">
      <c r="F405" s="600" t="s">
        <v>1903</v>
      </c>
    </row>
    <row r="406" spans="6:6">
      <c r="F406" s="600" t="s">
        <v>1904</v>
      </c>
    </row>
    <row r="407" spans="6:6">
      <c r="F407" s="600" t="s">
        <v>1905</v>
      </c>
    </row>
    <row r="408" spans="6:6">
      <c r="F408" s="600" t="s">
        <v>1906</v>
      </c>
    </row>
    <row r="409" spans="6:6">
      <c r="F409" s="600" t="s">
        <v>1907</v>
      </c>
    </row>
    <row r="410" spans="6:6">
      <c r="F410" s="600" t="s">
        <v>1908</v>
      </c>
    </row>
    <row r="411" spans="6:6">
      <c r="F411" s="600" t="s">
        <v>1909</v>
      </c>
    </row>
    <row r="412" spans="6:6">
      <c r="F412" s="600" t="s">
        <v>1910</v>
      </c>
    </row>
    <row r="413" spans="6:6">
      <c r="F413" s="600" t="s">
        <v>1911</v>
      </c>
    </row>
    <row r="414" spans="6:6">
      <c r="F414" s="600" t="s">
        <v>1912</v>
      </c>
    </row>
    <row r="415" spans="6:6">
      <c r="F415" s="600" t="s">
        <v>1913</v>
      </c>
    </row>
    <row r="416" spans="6:6">
      <c r="F416" s="600" t="s">
        <v>1914</v>
      </c>
    </row>
    <row r="417" spans="6:6">
      <c r="F417" s="600" t="s">
        <v>1915</v>
      </c>
    </row>
    <row r="418" spans="6:6">
      <c r="F418" s="600" t="s">
        <v>1916</v>
      </c>
    </row>
    <row r="419" spans="6:6">
      <c r="F419" s="600" t="s">
        <v>1917</v>
      </c>
    </row>
    <row r="420" spans="6:6">
      <c r="F420" s="600" t="s">
        <v>1918</v>
      </c>
    </row>
    <row r="421" spans="6:6">
      <c r="F421" s="600" t="s">
        <v>1919</v>
      </c>
    </row>
    <row r="422" spans="6:6">
      <c r="F422" s="600">
        <v>940</v>
      </c>
    </row>
    <row r="423" spans="6:6">
      <c r="F423" s="600" t="s">
        <v>1920</v>
      </c>
    </row>
    <row r="424" spans="6:6">
      <c r="F424" s="600" t="s">
        <v>1921</v>
      </c>
    </row>
    <row r="425" spans="6:6">
      <c r="F425" s="600" t="s">
        <v>1922</v>
      </c>
    </row>
    <row r="426" spans="6:6">
      <c r="F426" s="600">
        <v>960</v>
      </c>
    </row>
    <row r="427" spans="6:6">
      <c r="F427" s="600" t="s">
        <v>1923</v>
      </c>
    </row>
    <row r="428" spans="6:6">
      <c r="F428" s="600" t="s">
        <v>1924</v>
      </c>
    </row>
    <row r="429" spans="6:6">
      <c r="F429" s="600" t="s">
        <v>1925</v>
      </c>
    </row>
    <row r="430" spans="6:6">
      <c r="F430" s="600" t="s">
        <v>1926</v>
      </c>
    </row>
    <row r="431" spans="6:6">
      <c r="F431" s="600" t="s">
        <v>1927</v>
      </c>
    </row>
    <row r="432" spans="6:6">
      <c r="F432" s="600" t="s">
        <v>1928</v>
      </c>
    </row>
    <row r="433" spans="6:6">
      <c r="F433" s="600" t="s">
        <v>1929</v>
      </c>
    </row>
    <row r="434" spans="6:6">
      <c r="F434" s="600" t="s">
        <v>1930</v>
      </c>
    </row>
    <row r="435" spans="6:6">
      <c r="F435" s="600" t="s">
        <v>1931</v>
      </c>
    </row>
    <row r="436" spans="6:6">
      <c r="F436" s="600" t="s">
        <v>1932</v>
      </c>
    </row>
    <row r="437" spans="6:6">
      <c r="F437" s="600" t="s">
        <v>1933</v>
      </c>
    </row>
    <row r="438" spans="6:6">
      <c r="F438" s="600" t="s">
        <v>1934</v>
      </c>
    </row>
    <row r="439" spans="6:6">
      <c r="F439" s="600" t="s">
        <v>1935</v>
      </c>
    </row>
    <row r="440" spans="6:6">
      <c r="F440" s="600" t="s">
        <v>1936</v>
      </c>
    </row>
    <row r="441" spans="6:6">
      <c r="F441" s="600" t="s">
        <v>1937</v>
      </c>
    </row>
    <row r="442" spans="6:6">
      <c r="F442" s="600" t="s">
        <v>1938</v>
      </c>
    </row>
    <row r="443" spans="6:6">
      <c r="F443" s="600" t="s">
        <v>1939</v>
      </c>
    </row>
    <row r="444" spans="6:6">
      <c r="F444" s="600" t="s">
        <v>1940</v>
      </c>
    </row>
    <row r="445" spans="6:6">
      <c r="F445" s="600" t="s">
        <v>1941</v>
      </c>
    </row>
    <row r="446" spans="6:6">
      <c r="F446" s="600" t="s">
        <v>1942</v>
      </c>
    </row>
    <row r="447" spans="6:6">
      <c r="F447" s="600" t="s">
        <v>1943</v>
      </c>
    </row>
    <row r="448" spans="6:6">
      <c r="F448" s="600" t="s">
        <v>1944</v>
      </c>
    </row>
    <row r="449" spans="6:6">
      <c r="F449" s="600" t="s">
        <v>1945</v>
      </c>
    </row>
    <row r="450" spans="6:6">
      <c r="F450" s="600" t="s">
        <v>1946</v>
      </c>
    </row>
    <row r="451" spans="6:6">
      <c r="F451" s="600" t="s">
        <v>1947</v>
      </c>
    </row>
    <row r="452" spans="6:6">
      <c r="F452" s="600" t="s">
        <v>1948</v>
      </c>
    </row>
    <row r="453" spans="6:6">
      <c r="F453" s="600" t="s">
        <v>1949</v>
      </c>
    </row>
    <row r="454" spans="6:6">
      <c r="F454" s="600" t="s">
        <v>1950</v>
      </c>
    </row>
    <row r="455" spans="6:6">
      <c r="F455" s="600" t="s">
        <v>1951</v>
      </c>
    </row>
    <row r="456" spans="6:6">
      <c r="F456" s="600" t="s">
        <v>1952</v>
      </c>
    </row>
    <row r="457" spans="6:6">
      <c r="F457" s="600" t="s">
        <v>1953</v>
      </c>
    </row>
    <row r="458" spans="6:6">
      <c r="F458" s="600" t="s">
        <v>1954</v>
      </c>
    </row>
    <row r="459" spans="6:6">
      <c r="F459" s="600" t="s">
        <v>1955</v>
      </c>
    </row>
    <row r="460" spans="6:6">
      <c r="F460" s="600" t="s">
        <v>1956</v>
      </c>
    </row>
    <row r="461" spans="6:6">
      <c r="F461" s="600" t="s">
        <v>1957</v>
      </c>
    </row>
    <row r="462" spans="6:6">
      <c r="F462" s="600" t="s">
        <v>1958</v>
      </c>
    </row>
    <row r="463" spans="6:6">
      <c r="F463" s="600" t="s">
        <v>1959</v>
      </c>
    </row>
    <row r="464" spans="6:6">
      <c r="F464" s="600" t="s">
        <v>1960</v>
      </c>
    </row>
    <row r="465" spans="6:6">
      <c r="F465" s="600" t="s">
        <v>1961</v>
      </c>
    </row>
    <row r="466" spans="6:6">
      <c r="F466" s="600" t="s">
        <v>1962</v>
      </c>
    </row>
    <row r="467" spans="6:6">
      <c r="F467" s="600" t="s">
        <v>1963</v>
      </c>
    </row>
    <row r="468" spans="6:6">
      <c r="F468" s="600" t="s">
        <v>1964</v>
      </c>
    </row>
    <row r="469" spans="6:6">
      <c r="F469" s="600" t="s">
        <v>1965</v>
      </c>
    </row>
    <row r="470" spans="6:6">
      <c r="F470" s="600" t="s">
        <v>1966</v>
      </c>
    </row>
    <row r="471" spans="6:6">
      <c r="F471" s="600" t="s">
        <v>1967</v>
      </c>
    </row>
    <row r="472" spans="6:6">
      <c r="F472" s="600" t="s">
        <v>1968</v>
      </c>
    </row>
    <row r="473" spans="6:6">
      <c r="F473" s="600" t="s">
        <v>1969</v>
      </c>
    </row>
    <row r="474" spans="6:6">
      <c r="F474" s="600" t="s">
        <v>1970</v>
      </c>
    </row>
    <row r="475" spans="6:6">
      <c r="F475" s="600" t="s">
        <v>1971</v>
      </c>
    </row>
    <row r="476" spans="6:6">
      <c r="F476" s="600" t="s">
        <v>1972</v>
      </c>
    </row>
    <row r="477" spans="6:6">
      <c r="F477" s="600" t="s">
        <v>1973</v>
      </c>
    </row>
    <row r="478" spans="6:6">
      <c r="F478" s="600" t="s">
        <v>1974</v>
      </c>
    </row>
    <row r="479" spans="6:6">
      <c r="F479" s="600" t="s">
        <v>1975</v>
      </c>
    </row>
    <row r="480" spans="6:6">
      <c r="F480" s="600" t="s">
        <v>1976</v>
      </c>
    </row>
    <row r="481" spans="6:6">
      <c r="F481" s="600" t="s">
        <v>1977</v>
      </c>
    </row>
    <row r="482" spans="6:6">
      <c r="F482" s="600" t="s">
        <v>1978</v>
      </c>
    </row>
    <row r="483" spans="6:6">
      <c r="F483" s="600" t="s">
        <v>1979</v>
      </c>
    </row>
    <row r="484" spans="6:6">
      <c r="F484" s="600" t="s">
        <v>1980</v>
      </c>
    </row>
    <row r="485" spans="6:6">
      <c r="F485" s="600" t="s">
        <v>1981</v>
      </c>
    </row>
    <row r="486" spans="6:6">
      <c r="F486" s="600" t="s">
        <v>1982</v>
      </c>
    </row>
    <row r="487" spans="6:6">
      <c r="F487" s="600" t="s">
        <v>1983</v>
      </c>
    </row>
    <row r="488" spans="6:6">
      <c r="F488" s="600" t="s">
        <v>1984</v>
      </c>
    </row>
    <row r="489" spans="6:6">
      <c r="F489" s="600" t="s">
        <v>1985</v>
      </c>
    </row>
    <row r="490" spans="6:6">
      <c r="F490" s="600" t="s">
        <v>1986</v>
      </c>
    </row>
    <row r="491" spans="6:6">
      <c r="F491" s="600" t="s">
        <v>1987</v>
      </c>
    </row>
    <row r="492" spans="6:6">
      <c r="F492" s="600" t="s">
        <v>1988</v>
      </c>
    </row>
    <row r="493" spans="6:6">
      <c r="F493" s="600" t="s">
        <v>1989</v>
      </c>
    </row>
    <row r="494" spans="6:6">
      <c r="F494" s="600" t="s">
        <v>1990</v>
      </c>
    </row>
    <row r="495" spans="6:6">
      <c r="F495" s="600" t="s">
        <v>1991</v>
      </c>
    </row>
    <row r="496" spans="6:6">
      <c r="F496" s="600" t="s">
        <v>1992</v>
      </c>
    </row>
    <row r="497" spans="6:6">
      <c r="F497" s="600" t="s">
        <v>1993</v>
      </c>
    </row>
    <row r="498" spans="6:6">
      <c r="F498" s="600" t="s">
        <v>1994</v>
      </c>
    </row>
    <row r="499" spans="6:6">
      <c r="F499" s="600" t="s">
        <v>1995</v>
      </c>
    </row>
    <row r="500" spans="6:6">
      <c r="F500" s="600" t="s">
        <v>1996</v>
      </c>
    </row>
    <row r="501" spans="6:6">
      <c r="F501" s="600" t="s">
        <v>1997</v>
      </c>
    </row>
    <row r="502" spans="6:6">
      <c r="F502" s="600" t="s">
        <v>1998</v>
      </c>
    </row>
    <row r="503" spans="6:6">
      <c r="F503" s="600" t="s">
        <v>1999</v>
      </c>
    </row>
    <row r="504" spans="6:6">
      <c r="F504" s="600" t="s">
        <v>2000</v>
      </c>
    </row>
    <row r="505" spans="6:6">
      <c r="F505" s="600" t="s">
        <v>2001</v>
      </c>
    </row>
    <row r="506" spans="6:6">
      <c r="F506" s="600" t="s">
        <v>2002</v>
      </c>
    </row>
    <row r="507" spans="6:6">
      <c r="F507" s="600" t="s">
        <v>2003</v>
      </c>
    </row>
    <row r="508" spans="6:6">
      <c r="F508" s="600" t="s">
        <v>2004</v>
      </c>
    </row>
    <row r="509" spans="6:6">
      <c r="F509" s="600" t="s">
        <v>2005</v>
      </c>
    </row>
    <row r="510" spans="6:6">
      <c r="F510" s="600" t="s">
        <v>2006</v>
      </c>
    </row>
    <row r="511" spans="6:6">
      <c r="F511" s="600" t="s">
        <v>2007</v>
      </c>
    </row>
    <row r="512" spans="6:6">
      <c r="F512" s="600" t="s">
        <v>2008</v>
      </c>
    </row>
    <row r="513" spans="6:6">
      <c r="F513" s="600" t="s">
        <v>2009</v>
      </c>
    </row>
    <row r="514" spans="6:6">
      <c r="F514" s="600" t="s">
        <v>2010</v>
      </c>
    </row>
    <row r="515" spans="6:6">
      <c r="F515" s="600" t="s">
        <v>2011</v>
      </c>
    </row>
    <row r="516" spans="6:6">
      <c r="F516" s="600" t="s">
        <v>2012</v>
      </c>
    </row>
    <row r="517" spans="6:6">
      <c r="F517" s="600" t="s">
        <v>2013</v>
      </c>
    </row>
    <row r="518" spans="6:6">
      <c r="F518" s="600" t="s">
        <v>2014</v>
      </c>
    </row>
    <row r="519" spans="6:6">
      <c r="F519" s="600" t="s">
        <v>2015</v>
      </c>
    </row>
    <row r="520" spans="6:6">
      <c r="F520" s="600" t="s">
        <v>2016</v>
      </c>
    </row>
    <row r="521" spans="6:6">
      <c r="F521" s="600" t="s">
        <v>2017</v>
      </c>
    </row>
    <row r="522" spans="6:6">
      <c r="F522" s="600" t="s">
        <v>2018</v>
      </c>
    </row>
    <row r="523" spans="6:6">
      <c r="F523" s="600" t="s">
        <v>2019</v>
      </c>
    </row>
    <row r="524" spans="6:6">
      <c r="F524" s="600" t="s">
        <v>2020</v>
      </c>
    </row>
    <row r="525" spans="6:6">
      <c r="F525" s="600" t="s">
        <v>2021</v>
      </c>
    </row>
    <row r="526" spans="6:6">
      <c r="F526" s="600" t="s">
        <v>2022</v>
      </c>
    </row>
    <row r="527" spans="6:6">
      <c r="F527" s="600" t="s">
        <v>2023</v>
      </c>
    </row>
    <row r="528" spans="6:6">
      <c r="F528" s="600" t="s">
        <v>2024</v>
      </c>
    </row>
    <row r="529" spans="6:6">
      <c r="F529" s="600" t="s">
        <v>2025</v>
      </c>
    </row>
    <row r="530" spans="6:6">
      <c r="F530" s="600" t="s">
        <v>2026</v>
      </c>
    </row>
    <row r="531" spans="6:6">
      <c r="F531" s="600" t="s">
        <v>2027</v>
      </c>
    </row>
    <row r="532" spans="6:6">
      <c r="F532" s="600" t="s">
        <v>2028</v>
      </c>
    </row>
    <row r="533" spans="6:6">
      <c r="F533" s="600" t="s">
        <v>2029</v>
      </c>
    </row>
    <row r="534" spans="6:6">
      <c r="F534" s="600" t="s">
        <v>2030</v>
      </c>
    </row>
    <row r="535" spans="6:6">
      <c r="F535" s="600" t="s">
        <v>2031</v>
      </c>
    </row>
    <row r="536" spans="6:6">
      <c r="F536" s="600" t="s">
        <v>2032</v>
      </c>
    </row>
    <row r="537" spans="6:6">
      <c r="F537" s="600" t="s">
        <v>2033</v>
      </c>
    </row>
    <row r="538" spans="6:6">
      <c r="F538" s="600" t="s">
        <v>2034</v>
      </c>
    </row>
    <row r="539" spans="6:6">
      <c r="F539" s="600" t="s">
        <v>2035</v>
      </c>
    </row>
    <row r="540" spans="6:6">
      <c r="F540" s="600" t="s">
        <v>2036</v>
      </c>
    </row>
    <row r="541" spans="6:6">
      <c r="F541" s="600" t="s">
        <v>2037</v>
      </c>
    </row>
    <row r="542" spans="6:6">
      <c r="F542" s="600" t="s">
        <v>2038</v>
      </c>
    </row>
    <row r="543" spans="6:6">
      <c r="F543" s="600" t="s">
        <v>2039</v>
      </c>
    </row>
    <row r="544" spans="6:6">
      <c r="F544" s="600" t="s">
        <v>2040</v>
      </c>
    </row>
    <row r="545" spans="6:6">
      <c r="F545" s="600" t="s">
        <v>2041</v>
      </c>
    </row>
    <row r="546" spans="6:6">
      <c r="F546" s="600" t="s">
        <v>2042</v>
      </c>
    </row>
    <row r="547" spans="6:6">
      <c r="F547" s="600" t="s">
        <v>2043</v>
      </c>
    </row>
    <row r="548" spans="6:6">
      <c r="F548" s="600" t="s">
        <v>2044</v>
      </c>
    </row>
    <row r="549" spans="6:6">
      <c r="F549" s="600" t="s">
        <v>2045</v>
      </c>
    </row>
    <row r="550" spans="6:6">
      <c r="F550" s="600" t="s">
        <v>2046</v>
      </c>
    </row>
    <row r="551" spans="6:6">
      <c r="F551" s="600" t="s">
        <v>2047</v>
      </c>
    </row>
    <row r="552" spans="6:6">
      <c r="F552" s="600" t="s">
        <v>2048</v>
      </c>
    </row>
    <row r="553" spans="6:6">
      <c r="F553" s="600" t="s">
        <v>2049</v>
      </c>
    </row>
    <row r="554" spans="6:6">
      <c r="F554" s="600" t="s">
        <v>2050</v>
      </c>
    </row>
    <row r="555" spans="6:6">
      <c r="F555" s="600" t="s">
        <v>2051</v>
      </c>
    </row>
    <row r="556" spans="6:6">
      <c r="F556" s="600" t="s">
        <v>2052</v>
      </c>
    </row>
    <row r="557" spans="6:6">
      <c r="F557" s="600">
        <v>456</v>
      </c>
    </row>
    <row r="558" spans="6:6">
      <c r="F558" s="600" t="s">
        <v>2053</v>
      </c>
    </row>
    <row r="559" spans="6:6">
      <c r="F559" s="600" t="s">
        <v>2054</v>
      </c>
    </row>
    <row r="560" spans="6:6">
      <c r="F560" s="600" t="s">
        <v>2055</v>
      </c>
    </row>
    <row r="561" spans="6:6">
      <c r="F561" s="600" t="s">
        <v>2056</v>
      </c>
    </row>
    <row r="562" spans="6:6">
      <c r="F562" s="600" t="s">
        <v>2057</v>
      </c>
    </row>
    <row r="563" spans="6:6">
      <c r="F563" s="600" t="s">
        <v>2058</v>
      </c>
    </row>
    <row r="564" spans="6:6">
      <c r="F564" s="600" t="s">
        <v>2059</v>
      </c>
    </row>
    <row r="565" spans="6:6">
      <c r="F565" s="600" t="s">
        <v>2060</v>
      </c>
    </row>
    <row r="566" spans="6:6">
      <c r="F566" s="600" t="s">
        <v>2061</v>
      </c>
    </row>
    <row r="567" spans="6:6">
      <c r="F567" s="600" t="s">
        <v>2062</v>
      </c>
    </row>
    <row r="568" spans="6:6">
      <c r="F568" s="600" t="s">
        <v>2063</v>
      </c>
    </row>
    <row r="569" spans="6:6">
      <c r="F569" s="600" t="s">
        <v>2064</v>
      </c>
    </row>
    <row r="570" spans="6:6">
      <c r="F570" s="600" t="s">
        <v>2065</v>
      </c>
    </row>
    <row r="571" spans="6:6">
      <c r="F571" s="600" t="s">
        <v>2066</v>
      </c>
    </row>
    <row r="572" spans="6:6">
      <c r="F572" s="600" t="s">
        <v>2067</v>
      </c>
    </row>
    <row r="573" spans="6:6">
      <c r="F573" s="600" t="s">
        <v>2068</v>
      </c>
    </row>
    <row r="574" spans="6:6">
      <c r="F574" s="600" t="s">
        <v>2069</v>
      </c>
    </row>
    <row r="575" spans="6:6">
      <c r="F575" s="600" t="s">
        <v>2070</v>
      </c>
    </row>
    <row r="576" spans="6:6">
      <c r="F576" s="600" t="s">
        <v>2071</v>
      </c>
    </row>
    <row r="577" spans="6:6">
      <c r="F577" s="600" t="s">
        <v>2072</v>
      </c>
    </row>
    <row r="578" spans="6:6">
      <c r="F578" s="600" t="s">
        <v>2073</v>
      </c>
    </row>
    <row r="579" spans="6:6">
      <c r="F579" s="600" t="s">
        <v>2074</v>
      </c>
    </row>
    <row r="580" spans="6:6">
      <c r="F580" s="600" t="s">
        <v>2075</v>
      </c>
    </row>
    <row r="581" spans="6:6">
      <c r="F581" s="600" t="s">
        <v>2076</v>
      </c>
    </row>
    <row r="582" spans="6:6">
      <c r="F582" s="600" t="s">
        <v>2077</v>
      </c>
    </row>
    <row r="583" spans="6:6">
      <c r="F583" s="600" t="s">
        <v>2078</v>
      </c>
    </row>
    <row r="584" spans="6:6">
      <c r="F584" s="600" t="s">
        <v>2079</v>
      </c>
    </row>
    <row r="585" spans="6:6">
      <c r="F585" s="600" t="s">
        <v>2080</v>
      </c>
    </row>
    <row r="586" spans="6:6">
      <c r="F586" s="600">
        <v>900</v>
      </c>
    </row>
    <row r="587" spans="6:6">
      <c r="F587" s="600" t="s">
        <v>2081</v>
      </c>
    </row>
    <row r="588" spans="6:6">
      <c r="F588" s="600" t="s">
        <v>2082</v>
      </c>
    </row>
    <row r="589" spans="6:6">
      <c r="F589" s="600" t="s">
        <v>2083</v>
      </c>
    </row>
    <row r="590" spans="6:6">
      <c r="F590" s="600" t="s">
        <v>2084</v>
      </c>
    </row>
    <row r="591" spans="6:6">
      <c r="F591" s="600" t="s">
        <v>2085</v>
      </c>
    </row>
    <row r="592" spans="6:6">
      <c r="F592" s="600" t="s">
        <v>2086</v>
      </c>
    </row>
    <row r="593" spans="6:6">
      <c r="F593" s="600" t="s">
        <v>2087</v>
      </c>
    </row>
    <row r="594" spans="6:6">
      <c r="F594" s="600" t="s">
        <v>2088</v>
      </c>
    </row>
    <row r="595" spans="6:6">
      <c r="F595" s="600" t="s">
        <v>2089</v>
      </c>
    </row>
    <row r="596" spans="6:6">
      <c r="F596" s="600" t="s">
        <v>2090</v>
      </c>
    </row>
    <row r="597" spans="6:6">
      <c r="F597" s="600" t="s">
        <v>2091</v>
      </c>
    </row>
    <row r="598" spans="6:6">
      <c r="F598" s="600" t="s">
        <v>2092</v>
      </c>
    </row>
    <row r="599" spans="6:6">
      <c r="F599" s="600" t="s">
        <v>2093</v>
      </c>
    </row>
    <row r="600" spans="6:6">
      <c r="F600" s="600" t="s">
        <v>2094</v>
      </c>
    </row>
    <row r="601" spans="6:6">
      <c r="F601" s="600" t="s">
        <v>2095</v>
      </c>
    </row>
    <row r="602" spans="6:6">
      <c r="F602" s="600" t="s">
        <v>2096</v>
      </c>
    </row>
    <row r="603" spans="6:6">
      <c r="F603" s="600">
        <v>850</v>
      </c>
    </row>
    <row r="604" spans="6:6">
      <c r="F604" s="600" t="s">
        <v>2097</v>
      </c>
    </row>
    <row r="605" spans="6:6">
      <c r="F605" s="600" t="s">
        <v>2098</v>
      </c>
    </row>
    <row r="606" spans="6:6">
      <c r="F606" s="600" t="s">
        <v>2099</v>
      </c>
    </row>
    <row r="607" spans="6:6">
      <c r="F607" s="600" t="s">
        <v>2100</v>
      </c>
    </row>
    <row r="608" spans="6:6">
      <c r="F608" s="600" t="s">
        <v>2101</v>
      </c>
    </row>
    <row r="609" spans="6:6">
      <c r="F609" s="600" t="s">
        <v>2102</v>
      </c>
    </row>
    <row r="610" spans="6:6">
      <c r="F610" s="600" t="s">
        <v>2103</v>
      </c>
    </row>
    <row r="611" spans="6:6">
      <c r="F611" s="600" t="s">
        <v>2104</v>
      </c>
    </row>
    <row r="612" spans="6:6">
      <c r="F612" s="600" t="s">
        <v>2105</v>
      </c>
    </row>
    <row r="613" spans="6:6">
      <c r="F613" s="600" t="s">
        <v>2106</v>
      </c>
    </row>
    <row r="614" spans="6:6">
      <c r="F614" s="600" t="s">
        <v>2107</v>
      </c>
    </row>
    <row r="615" spans="6:6">
      <c r="F615" s="600" t="s">
        <v>2108</v>
      </c>
    </row>
    <row r="616" spans="6:6">
      <c r="F616" s="600" t="s">
        <v>2109</v>
      </c>
    </row>
    <row r="617" spans="6:6">
      <c r="F617" s="600" t="s">
        <v>2110</v>
      </c>
    </row>
    <row r="618" spans="6:6">
      <c r="F618" s="600" t="s">
        <v>2111</v>
      </c>
    </row>
    <row r="619" spans="6:6">
      <c r="F619" s="600" t="s">
        <v>2112</v>
      </c>
    </row>
    <row r="620" spans="6:6">
      <c r="F620" s="600" t="s">
        <v>2113</v>
      </c>
    </row>
    <row r="621" spans="6:6">
      <c r="F621" s="600" t="s">
        <v>2114</v>
      </c>
    </row>
    <row r="622" spans="6:6">
      <c r="F622" s="600" t="s">
        <v>2115</v>
      </c>
    </row>
    <row r="623" spans="6:6">
      <c r="F623" s="600" t="s">
        <v>2116</v>
      </c>
    </row>
    <row r="624" spans="6:6">
      <c r="F624" s="600" t="s">
        <v>2117</v>
      </c>
    </row>
    <row r="625" spans="6:6">
      <c r="F625" s="600" t="s">
        <v>2118</v>
      </c>
    </row>
    <row r="626" spans="6:6">
      <c r="F626" s="600" t="s">
        <v>2119</v>
      </c>
    </row>
    <row r="627" spans="6:6">
      <c r="F627" s="600" t="s">
        <v>2120</v>
      </c>
    </row>
    <row r="628" spans="6:6">
      <c r="F628" s="600" t="s">
        <v>2121</v>
      </c>
    </row>
    <row r="629" spans="6:6">
      <c r="F629" s="600" t="s">
        <v>2122</v>
      </c>
    </row>
    <row r="630" spans="6:6">
      <c r="F630" s="600" t="s">
        <v>2123</v>
      </c>
    </row>
    <row r="631" spans="6:6">
      <c r="F631" s="600" t="s">
        <v>2124</v>
      </c>
    </row>
    <row r="632" spans="6:6">
      <c r="F632" s="600" t="s">
        <v>2125</v>
      </c>
    </row>
    <row r="633" spans="6:6">
      <c r="F633" s="600" t="s">
        <v>2126</v>
      </c>
    </row>
    <row r="634" spans="6:6">
      <c r="F634" s="600" t="s">
        <v>2127</v>
      </c>
    </row>
    <row r="635" spans="6:6">
      <c r="F635" s="600" t="s">
        <v>2128</v>
      </c>
    </row>
    <row r="636" spans="6:6">
      <c r="F636" s="600" t="s">
        <v>2129</v>
      </c>
    </row>
    <row r="637" spans="6:6">
      <c r="F637" s="600" t="s">
        <v>2130</v>
      </c>
    </row>
    <row r="638" spans="6:6">
      <c r="F638" s="600" t="s">
        <v>2131</v>
      </c>
    </row>
    <row r="639" spans="6:6">
      <c r="F639" s="600" t="s">
        <v>2132</v>
      </c>
    </row>
    <row r="640" spans="6:6">
      <c r="F640" s="600" t="s">
        <v>2133</v>
      </c>
    </row>
    <row r="641" spans="6:6">
      <c r="F641" s="600" t="s">
        <v>2134</v>
      </c>
    </row>
    <row r="642" spans="6:6">
      <c r="F642" s="600" t="s">
        <v>2135</v>
      </c>
    </row>
    <row r="643" spans="6:6">
      <c r="F643" s="600" t="s">
        <v>2136</v>
      </c>
    </row>
    <row r="644" spans="6:6">
      <c r="F644" s="600" t="s">
        <v>2137</v>
      </c>
    </row>
    <row r="645" spans="6:6">
      <c r="F645" s="600" t="s">
        <v>2138</v>
      </c>
    </row>
    <row r="646" spans="6:6">
      <c r="F646" s="600" t="s">
        <v>2139</v>
      </c>
    </row>
    <row r="647" spans="6:6">
      <c r="F647" s="600" t="s">
        <v>2140</v>
      </c>
    </row>
    <row r="648" spans="6:6">
      <c r="F648" s="600" t="s">
        <v>2141</v>
      </c>
    </row>
    <row r="649" spans="6:6">
      <c r="F649" s="600" t="s">
        <v>2142</v>
      </c>
    </row>
    <row r="650" spans="6:6">
      <c r="F650" s="600" t="s">
        <v>2143</v>
      </c>
    </row>
    <row r="651" spans="6:6">
      <c r="F651" s="600" t="s">
        <v>2144</v>
      </c>
    </row>
    <row r="652" spans="6:6">
      <c r="F652" s="600" t="s">
        <v>2145</v>
      </c>
    </row>
    <row r="653" spans="6:6">
      <c r="F653" s="600" t="s">
        <v>2146</v>
      </c>
    </row>
    <row r="654" spans="6:6">
      <c r="F654" s="600" t="s">
        <v>2147</v>
      </c>
    </row>
    <row r="655" spans="6:6">
      <c r="F655" s="600" t="s">
        <v>2148</v>
      </c>
    </row>
    <row r="656" spans="6:6">
      <c r="F656" s="600" t="s">
        <v>2149</v>
      </c>
    </row>
    <row r="657" spans="6:6">
      <c r="F657" s="600" t="s">
        <v>2150</v>
      </c>
    </row>
    <row r="658" spans="6:6">
      <c r="F658" s="600" t="s">
        <v>2151</v>
      </c>
    </row>
    <row r="659" spans="6:6">
      <c r="F659" s="600" t="s">
        <v>2152</v>
      </c>
    </row>
    <row r="660" spans="6:6">
      <c r="F660" s="600" t="s">
        <v>2153</v>
      </c>
    </row>
    <row r="661" spans="6:6">
      <c r="F661" s="600" t="s">
        <v>2154</v>
      </c>
    </row>
    <row r="662" spans="6:6">
      <c r="F662" s="600" t="s">
        <v>2155</v>
      </c>
    </row>
    <row r="663" spans="6:6">
      <c r="F663" s="600" t="s">
        <v>2156</v>
      </c>
    </row>
    <row r="664" spans="6:6">
      <c r="F664" s="600" t="s">
        <v>2157</v>
      </c>
    </row>
    <row r="665" spans="6:6">
      <c r="F665" s="600" t="s">
        <v>2158</v>
      </c>
    </row>
    <row r="666" spans="6:6">
      <c r="F666" s="600" t="s">
        <v>2159</v>
      </c>
    </row>
    <row r="667" spans="6:6">
      <c r="F667" s="600" t="s">
        <v>2160</v>
      </c>
    </row>
    <row r="668" spans="6:6">
      <c r="F668" s="600" t="s">
        <v>2161</v>
      </c>
    </row>
    <row r="669" spans="6:6">
      <c r="F669" s="600" t="s">
        <v>2162</v>
      </c>
    </row>
    <row r="670" spans="6:6">
      <c r="F670" s="600" t="s">
        <v>2163</v>
      </c>
    </row>
    <row r="671" spans="6:6">
      <c r="F671" s="600" t="s">
        <v>2164</v>
      </c>
    </row>
    <row r="672" spans="6:6">
      <c r="F672" s="600" t="s">
        <v>2165</v>
      </c>
    </row>
    <row r="673" spans="6:6">
      <c r="F673" s="600" t="s">
        <v>2166</v>
      </c>
    </row>
    <row r="674" spans="6:6">
      <c r="F674" s="600" t="s">
        <v>2167</v>
      </c>
    </row>
    <row r="675" spans="6:6">
      <c r="F675" s="600" t="s">
        <v>2168</v>
      </c>
    </row>
    <row r="676" spans="6:6">
      <c r="F676" s="600" t="s">
        <v>2169</v>
      </c>
    </row>
    <row r="677" spans="6:6">
      <c r="F677" s="600" t="s">
        <v>2170</v>
      </c>
    </row>
    <row r="678" spans="6:6">
      <c r="F678" s="600" t="s">
        <v>2171</v>
      </c>
    </row>
    <row r="679" spans="6:6">
      <c r="F679" s="600" t="s">
        <v>2172</v>
      </c>
    </row>
    <row r="680" spans="6:6">
      <c r="F680" s="600" t="s">
        <v>2173</v>
      </c>
    </row>
    <row r="681" spans="6:6">
      <c r="F681" s="600" t="s">
        <v>2174</v>
      </c>
    </row>
    <row r="682" spans="6:6">
      <c r="F682" s="600" t="s">
        <v>2175</v>
      </c>
    </row>
    <row r="683" spans="6:6">
      <c r="F683" s="600" t="s">
        <v>2176</v>
      </c>
    </row>
    <row r="684" spans="6:6">
      <c r="F684" s="600" t="s">
        <v>2177</v>
      </c>
    </row>
    <row r="685" spans="6:6">
      <c r="F685" s="600" t="s">
        <v>2178</v>
      </c>
    </row>
    <row r="686" spans="6:6">
      <c r="F686" s="600" t="s">
        <v>2179</v>
      </c>
    </row>
    <row r="687" spans="6:6">
      <c r="F687" s="600" t="s">
        <v>2180</v>
      </c>
    </row>
    <row r="688" spans="6:6">
      <c r="F688" s="600" t="s">
        <v>2181</v>
      </c>
    </row>
    <row r="689" spans="6:6">
      <c r="F689" s="600" t="s">
        <v>2182</v>
      </c>
    </row>
    <row r="690" spans="6:6">
      <c r="F690" s="600" t="s">
        <v>2183</v>
      </c>
    </row>
    <row r="691" spans="6:6">
      <c r="F691" s="600" t="s">
        <v>2184</v>
      </c>
    </row>
    <row r="692" spans="6:6">
      <c r="F692" s="600" t="s">
        <v>2185</v>
      </c>
    </row>
    <row r="693" spans="6:6">
      <c r="F693" s="600" t="s">
        <v>2186</v>
      </c>
    </row>
    <row r="694" spans="6:6">
      <c r="F694" s="600" t="s">
        <v>2187</v>
      </c>
    </row>
    <row r="695" spans="6:6">
      <c r="F695" s="600" t="s">
        <v>2188</v>
      </c>
    </row>
    <row r="696" spans="6:6">
      <c r="F696" s="600" t="s">
        <v>2189</v>
      </c>
    </row>
    <row r="697" spans="6:6">
      <c r="F697" s="600" t="s">
        <v>2190</v>
      </c>
    </row>
    <row r="698" spans="6:6">
      <c r="F698" s="600" t="s">
        <v>2191</v>
      </c>
    </row>
    <row r="699" spans="6:6">
      <c r="F699" s="600" t="s">
        <v>2192</v>
      </c>
    </row>
    <row r="700" spans="6:6">
      <c r="F700" s="600" t="s">
        <v>2193</v>
      </c>
    </row>
    <row r="701" spans="6:6">
      <c r="F701" s="600" t="s">
        <v>2194</v>
      </c>
    </row>
    <row r="702" spans="6:6">
      <c r="F702" s="600" t="s">
        <v>2195</v>
      </c>
    </row>
    <row r="703" spans="6:6">
      <c r="F703" s="600" t="s">
        <v>2196</v>
      </c>
    </row>
    <row r="704" spans="6:6">
      <c r="F704" s="600" t="s">
        <v>2197</v>
      </c>
    </row>
    <row r="705" spans="6:6">
      <c r="F705" s="600" t="s">
        <v>2198</v>
      </c>
    </row>
    <row r="706" spans="6:6">
      <c r="F706" s="600" t="s">
        <v>2199</v>
      </c>
    </row>
    <row r="707" spans="6:6">
      <c r="F707" s="600" t="s">
        <v>2200</v>
      </c>
    </row>
    <row r="708" spans="6:6">
      <c r="F708" s="600" t="s">
        <v>2201</v>
      </c>
    </row>
    <row r="709" spans="6:6">
      <c r="F709" s="600" t="s">
        <v>2202</v>
      </c>
    </row>
    <row r="710" spans="6:6">
      <c r="F710" s="600" t="s">
        <v>2203</v>
      </c>
    </row>
    <row r="711" spans="6:6">
      <c r="F711" s="600" t="s">
        <v>2204</v>
      </c>
    </row>
    <row r="712" spans="6:6">
      <c r="F712" s="600" t="s">
        <v>2205</v>
      </c>
    </row>
    <row r="713" spans="6:6">
      <c r="F713" s="600" t="s">
        <v>2206</v>
      </c>
    </row>
    <row r="714" spans="6:6">
      <c r="F714" s="600" t="s">
        <v>2207</v>
      </c>
    </row>
    <row r="715" spans="6:6">
      <c r="F715" s="600" t="s">
        <v>2208</v>
      </c>
    </row>
    <row r="716" spans="6:6">
      <c r="F716" s="600" t="s">
        <v>2209</v>
      </c>
    </row>
    <row r="717" spans="6:6">
      <c r="F717" s="600" t="s">
        <v>2210</v>
      </c>
    </row>
    <row r="718" spans="6:6">
      <c r="F718" s="600" t="s">
        <v>2211</v>
      </c>
    </row>
    <row r="719" spans="6:6">
      <c r="F719" s="600" t="s">
        <v>2212</v>
      </c>
    </row>
    <row r="720" spans="6:6">
      <c r="F720" s="600" t="s">
        <v>2213</v>
      </c>
    </row>
    <row r="721" spans="6:6">
      <c r="F721" s="600" t="s">
        <v>2214</v>
      </c>
    </row>
    <row r="722" spans="6:6">
      <c r="F722" s="600" t="s">
        <v>2215</v>
      </c>
    </row>
    <row r="723" spans="6:6">
      <c r="F723" s="600" t="s">
        <v>2216</v>
      </c>
    </row>
    <row r="724" spans="6:6">
      <c r="F724" s="600" t="s">
        <v>2217</v>
      </c>
    </row>
    <row r="725" spans="6:6">
      <c r="F725" s="600" t="s">
        <v>2218</v>
      </c>
    </row>
    <row r="726" spans="6:6">
      <c r="F726" s="600" t="s">
        <v>2219</v>
      </c>
    </row>
    <row r="727" spans="6:6">
      <c r="F727" s="600" t="s">
        <v>2220</v>
      </c>
    </row>
    <row r="728" spans="6:6">
      <c r="F728" s="600" t="s">
        <v>2221</v>
      </c>
    </row>
    <row r="729" spans="6:6">
      <c r="F729" s="600" t="s">
        <v>2222</v>
      </c>
    </row>
    <row r="730" spans="6:6">
      <c r="F730" s="600" t="s">
        <v>2223</v>
      </c>
    </row>
    <row r="731" spans="6:6">
      <c r="F731" s="600" t="s">
        <v>2224</v>
      </c>
    </row>
    <row r="732" spans="6:6">
      <c r="F732" s="600" t="s">
        <v>2225</v>
      </c>
    </row>
    <row r="733" spans="6:6">
      <c r="F733" s="600" t="s">
        <v>2226</v>
      </c>
    </row>
    <row r="734" spans="6:6">
      <c r="F734" s="600" t="s">
        <v>2227</v>
      </c>
    </row>
    <row r="735" spans="6:6">
      <c r="F735" s="600" t="s">
        <v>2228</v>
      </c>
    </row>
    <row r="736" spans="6:6">
      <c r="F736" s="600" t="s">
        <v>2229</v>
      </c>
    </row>
    <row r="737" spans="6:6">
      <c r="F737" s="600" t="s">
        <v>2230</v>
      </c>
    </row>
    <row r="738" spans="6:6">
      <c r="F738" s="600" t="s">
        <v>2231</v>
      </c>
    </row>
    <row r="739" spans="6:6">
      <c r="F739" s="600" t="s">
        <v>2232</v>
      </c>
    </row>
    <row r="740" spans="6:6">
      <c r="F740" s="600" t="s">
        <v>2233</v>
      </c>
    </row>
    <row r="741" spans="6:6">
      <c r="F741" s="600" t="s">
        <v>2234</v>
      </c>
    </row>
    <row r="742" spans="6:6">
      <c r="F742" s="600" t="s">
        <v>2235</v>
      </c>
    </row>
    <row r="743" spans="6:6">
      <c r="F743" s="600" t="s">
        <v>2236</v>
      </c>
    </row>
    <row r="744" spans="6:6">
      <c r="F744" s="600" t="s">
        <v>2237</v>
      </c>
    </row>
    <row r="745" spans="6:6">
      <c r="F745" s="600" t="s">
        <v>2238</v>
      </c>
    </row>
    <row r="746" spans="6:6">
      <c r="F746" s="600" t="s">
        <v>2239</v>
      </c>
    </row>
    <row r="747" spans="6:6">
      <c r="F747" s="600" t="s">
        <v>2240</v>
      </c>
    </row>
    <row r="748" spans="6:6">
      <c r="F748" s="600" t="s">
        <v>2241</v>
      </c>
    </row>
    <row r="749" spans="6:6">
      <c r="F749" s="600" t="s">
        <v>2242</v>
      </c>
    </row>
    <row r="750" spans="6:6">
      <c r="F750" s="600" t="s">
        <v>2243</v>
      </c>
    </row>
    <row r="751" spans="6:6">
      <c r="F751" s="600" t="s">
        <v>2244</v>
      </c>
    </row>
    <row r="752" spans="6:6">
      <c r="F752" s="600" t="s">
        <v>2245</v>
      </c>
    </row>
    <row r="753" spans="6:6">
      <c r="F753" s="600" t="s">
        <v>2246</v>
      </c>
    </row>
    <row r="754" spans="6:6">
      <c r="F754" s="600" t="s">
        <v>2247</v>
      </c>
    </row>
    <row r="755" spans="6:6">
      <c r="F755" s="600" t="s">
        <v>2248</v>
      </c>
    </row>
    <row r="756" spans="6:6">
      <c r="F756" s="600" t="s">
        <v>2249</v>
      </c>
    </row>
    <row r="757" spans="6:6">
      <c r="F757" s="600" t="s">
        <v>2250</v>
      </c>
    </row>
    <row r="758" spans="6:6">
      <c r="F758" s="600" t="s">
        <v>2251</v>
      </c>
    </row>
    <row r="759" spans="6:6">
      <c r="F759" s="600" t="s">
        <v>2252</v>
      </c>
    </row>
    <row r="760" spans="6:6">
      <c r="F760" s="600" t="s">
        <v>2253</v>
      </c>
    </row>
    <row r="761" spans="6:6">
      <c r="F761" s="600" t="s">
        <v>2254</v>
      </c>
    </row>
    <row r="762" spans="6:6">
      <c r="F762" s="600" t="s">
        <v>2255</v>
      </c>
    </row>
    <row r="763" spans="6:6">
      <c r="F763" s="600" t="s">
        <v>2256</v>
      </c>
    </row>
    <row r="764" spans="6:6">
      <c r="F764" s="600" t="s">
        <v>2257</v>
      </c>
    </row>
    <row r="765" spans="6:6">
      <c r="F765" s="600" t="s">
        <v>2258</v>
      </c>
    </row>
    <row r="766" spans="6:6">
      <c r="F766" s="600" t="s">
        <v>2259</v>
      </c>
    </row>
    <row r="767" spans="6:6">
      <c r="F767" s="600" t="s">
        <v>2260</v>
      </c>
    </row>
    <row r="768" spans="6:6">
      <c r="F768" s="600" t="s">
        <v>2261</v>
      </c>
    </row>
    <row r="769" spans="6:6">
      <c r="F769" s="600" t="s">
        <v>2262</v>
      </c>
    </row>
    <row r="770" spans="6:6">
      <c r="F770" s="600" t="s">
        <v>2263</v>
      </c>
    </row>
    <row r="771" spans="6:6">
      <c r="F771" s="600" t="s">
        <v>2264</v>
      </c>
    </row>
    <row r="772" spans="6:6">
      <c r="F772" s="600" t="s">
        <v>2265</v>
      </c>
    </row>
    <row r="773" spans="6:6">
      <c r="F773" s="600" t="s">
        <v>2266</v>
      </c>
    </row>
    <row r="774" spans="6:6">
      <c r="F774" s="600" t="s">
        <v>2267</v>
      </c>
    </row>
    <row r="775" spans="6:6">
      <c r="F775" s="600" t="s">
        <v>2268</v>
      </c>
    </row>
    <row r="776" spans="6:6">
      <c r="F776" s="600" t="s">
        <v>2269</v>
      </c>
    </row>
    <row r="777" spans="6:6">
      <c r="F777" s="600" t="s">
        <v>2270</v>
      </c>
    </row>
    <row r="778" spans="6:6">
      <c r="F778" s="600" t="s">
        <v>2271</v>
      </c>
    </row>
    <row r="779" spans="6:6">
      <c r="F779" s="600" t="s">
        <v>2272</v>
      </c>
    </row>
    <row r="780" spans="6:6">
      <c r="F780" s="600" t="s">
        <v>2273</v>
      </c>
    </row>
    <row r="781" spans="6:6">
      <c r="F781" s="600" t="s">
        <v>2274</v>
      </c>
    </row>
    <row r="782" spans="6:6">
      <c r="F782" s="600" t="s">
        <v>2275</v>
      </c>
    </row>
    <row r="783" spans="6:6">
      <c r="F783" s="600" t="s">
        <v>2276</v>
      </c>
    </row>
    <row r="784" spans="6:6">
      <c r="F784" s="600" t="s">
        <v>2277</v>
      </c>
    </row>
    <row r="785" spans="6:6">
      <c r="F785" s="600" t="s">
        <v>2278</v>
      </c>
    </row>
    <row r="786" spans="6:6">
      <c r="F786" s="600" t="s">
        <v>2279</v>
      </c>
    </row>
    <row r="787" spans="6:6">
      <c r="F787" s="600" t="s">
        <v>2280</v>
      </c>
    </row>
    <row r="788" spans="6:6">
      <c r="F788" s="600" t="s">
        <v>2281</v>
      </c>
    </row>
    <row r="789" spans="6:6">
      <c r="F789" s="600" t="s">
        <v>2282</v>
      </c>
    </row>
    <row r="790" spans="6:6">
      <c r="F790" s="600" t="s">
        <v>2283</v>
      </c>
    </row>
    <row r="791" spans="6:6">
      <c r="F791" s="600" t="s">
        <v>2284</v>
      </c>
    </row>
    <row r="792" spans="6:6">
      <c r="F792" s="600" t="s">
        <v>2285</v>
      </c>
    </row>
    <row r="793" spans="6:6">
      <c r="F793" s="600" t="s">
        <v>2286</v>
      </c>
    </row>
    <row r="794" spans="6:6">
      <c r="F794" s="600" t="s">
        <v>2287</v>
      </c>
    </row>
    <row r="795" spans="6:6">
      <c r="F795" s="600" t="s">
        <v>2288</v>
      </c>
    </row>
    <row r="796" spans="6:6">
      <c r="F796" s="600" t="s">
        <v>2289</v>
      </c>
    </row>
    <row r="797" spans="6:6">
      <c r="F797" s="600" t="s">
        <v>2290</v>
      </c>
    </row>
    <row r="798" spans="6:6">
      <c r="F798" s="600" t="s">
        <v>2291</v>
      </c>
    </row>
    <row r="799" spans="6:6">
      <c r="F799" s="600" t="s">
        <v>2292</v>
      </c>
    </row>
    <row r="800" spans="6:6">
      <c r="F800" s="600" t="s">
        <v>2293</v>
      </c>
    </row>
    <row r="801" spans="6:6">
      <c r="F801" s="600" t="s">
        <v>2294</v>
      </c>
    </row>
    <row r="802" spans="6:6">
      <c r="F802" s="600" t="s">
        <v>2295</v>
      </c>
    </row>
    <row r="803" spans="6:6">
      <c r="F803" s="600" t="s">
        <v>2296</v>
      </c>
    </row>
    <row r="804" spans="6:6">
      <c r="F804" s="600" t="s">
        <v>2297</v>
      </c>
    </row>
    <row r="805" spans="6:6">
      <c r="F805" s="600" t="s">
        <v>2298</v>
      </c>
    </row>
    <row r="806" spans="6:6">
      <c r="F806" s="600" t="s">
        <v>2299</v>
      </c>
    </row>
    <row r="807" spans="6:6">
      <c r="F807" s="600" t="s">
        <v>2300</v>
      </c>
    </row>
    <row r="808" spans="6:6">
      <c r="F808" s="600" t="s">
        <v>2301</v>
      </c>
    </row>
    <row r="809" spans="6:6">
      <c r="F809" s="600" t="s">
        <v>2302</v>
      </c>
    </row>
    <row r="810" spans="6:6">
      <c r="F810" s="600" t="s">
        <v>2303</v>
      </c>
    </row>
    <row r="811" spans="6:6">
      <c r="F811" s="600" t="s">
        <v>2304</v>
      </c>
    </row>
    <row r="812" spans="6:6">
      <c r="F812" s="600" t="s">
        <v>2305</v>
      </c>
    </row>
    <row r="813" spans="6:6">
      <c r="F813" s="600" t="s">
        <v>2306</v>
      </c>
    </row>
    <row r="814" spans="6:6">
      <c r="F814" s="600" t="s">
        <v>2307</v>
      </c>
    </row>
    <row r="815" spans="6:6">
      <c r="F815" s="600" t="s">
        <v>2308</v>
      </c>
    </row>
    <row r="816" spans="6:6">
      <c r="F816" s="600" t="s">
        <v>2309</v>
      </c>
    </row>
    <row r="817" spans="6:6">
      <c r="F817" s="600" t="s">
        <v>2310</v>
      </c>
    </row>
    <row r="818" spans="6:6">
      <c r="F818" s="600" t="s">
        <v>2311</v>
      </c>
    </row>
    <row r="819" spans="6:6">
      <c r="F819" s="600" t="s">
        <v>2312</v>
      </c>
    </row>
    <row r="820" spans="6:6">
      <c r="F820" s="600" t="s">
        <v>2313</v>
      </c>
    </row>
    <row r="821" spans="6:6">
      <c r="F821" s="600" t="s">
        <v>2314</v>
      </c>
    </row>
    <row r="822" spans="6:6">
      <c r="F822" s="600" t="s">
        <v>2315</v>
      </c>
    </row>
    <row r="823" spans="6:6">
      <c r="F823" s="600" t="s">
        <v>2316</v>
      </c>
    </row>
    <row r="824" spans="6:6">
      <c r="F824" s="600" t="s">
        <v>2317</v>
      </c>
    </row>
    <row r="825" spans="6:6">
      <c r="F825" s="600" t="s">
        <v>2318</v>
      </c>
    </row>
    <row r="826" spans="6:6">
      <c r="F826" s="600" t="s">
        <v>2319</v>
      </c>
    </row>
    <row r="827" spans="6:6">
      <c r="F827" s="600" t="s">
        <v>2320</v>
      </c>
    </row>
    <row r="828" spans="6:6">
      <c r="F828" s="600" t="s">
        <v>2321</v>
      </c>
    </row>
    <row r="829" spans="6:6">
      <c r="F829" s="600" t="s">
        <v>2322</v>
      </c>
    </row>
    <row r="830" spans="6:6">
      <c r="F830" s="600" t="s">
        <v>2323</v>
      </c>
    </row>
    <row r="831" spans="6:6">
      <c r="F831" s="600" t="s">
        <v>2324</v>
      </c>
    </row>
    <row r="832" spans="6:6">
      <c r="F832" s="600" t="s">
        <v>2325</v>
      </c>
    </row>
    <row r="833" spans="6:6">
      <c r="F833" s="600" t="s">
        <v>2326</v>
      </c>
    </row>
    <row r="834" spans="6:6">
      <c r="F834" s="600" t="s">
        <v>2327</v>
      </c>
    </row>
    <row r="835" spans="6:6">
      <c r="F835" s="600" t="s">
        <v>2328</v>
      </c>
    </row>
    <row r="836" spans="6:6">
      <c r="F836" s="600" t="s">
        <v>2329</v>
      </c>
    </row>
    <row r="837" spans="6:6">
      <c r="F837" s="600" t="s">
        <v>2330</v>
      </c>
    </row>
    <row r="838" spans="6:6">
      <c r="F838" s="600" t="s">
        <v>2331</v>
      </c>
    </row>
    <row r="839" spans="6:6">
      <c r="F839" s="600" t="s">
        <v>2332</v>
      </c>
    </row>
    <row r="840" spans="6:6">
      <c r="F840" s="600" t="s">
        <v>2333</v>
      </c>
    </row>
    <row r="841" spans="6:6">
      <c r="F841" s="600" t="s">
        <v>2334</v>
      </c>
    </row>
    <row r="842" spans="6:6">
      <c r="F842" s="600" t="s">
        <v>2335</v>
      </c>
    </row>
    <row r="843" spans="6:6">
      <c r="F843" s="600" t="s">
        <v>2336</v>
      </c>
    </row>
    <row r="844" spans="6:6">
      <c r="F844" s="600" t="s">
        <v>2337</v>
      </c>
    </row>
    <row r="845" spans="6:6">
      <c r="F845" s="600" t="s">
        <v>2338</v>
      </c>
    </row>
    <row r="846" spans="6:6">
      <c r="F846" s="600" t="s">
        <v>2339</v>
      </c>
    </row>
    <row r="847" spans="6:6">
      <c r="F847" s="600" t="s">
        <v>2340</v>
      </c>
    </row>
    <row r="848" spans="6:6">
      <c r="F848" s="600" t="s">
        <v>2341</v>
      </c>
    </row>
    <row r="849" spans="6:6">
      <c r="F849" s="600" t="s">
        <v>2342</v>
      </c>
    </row>
    <row r="850" spans="6:6">
      <c r="F850" s="600" t="s">
        <v>2343</v>
      </c>
    </row>
    <row r="851" spans="6:6">
      <c r="F851" s="600" t="s">
        <v>2344</v>
      </c>
    </row>
    <row r="852" spans="6:6">
      <c r="F852" s="600" t="s">
        <v>2345</v>
      </c>
    </row>
    <row r="853" spans="6:6">
      <c r="F853" s="600" t="s">
        <v>2346</v>
      </c>
    </row>
    <row r="854" spans="6:6">
      <c r="F854" s="600" t="s">
        <v>2347</v>
      </c>
    </row>
    <row r="855" spans="6:6">
      <c r="F855" s="600" t="s">
        <v>2348</v>
      </c>
    </row>
    <row r="856" spans="6:6">
      <c r="F856" s="600" t="s">
        <v>2349</v>
      </c>
    </row>
    <row r="857" spans="6:6">
      <c r="F857" s="600" t="s">
        <v>2350</v>
      </c>
    </row>
    <row r="858" spans="6:6">
      <c r="F858" s="600" t="s">
        <v>2351</v>
      </c>
    </row>
    <row r="859" spans="6:6">
      <c r="F859" s="600" t="s">
        <v>2352</v>
      </c>
    </row>
    <row r="860" spans="6:6">
      <c r="F860" s="600" t="s">
        <v>2353</v>
      </c>
    </row>
    <row r="861" spans="6:6">
      <c r="F861" s="600" t="s">
        <v>2354</v>
      </c>
    </row>
    <row r="862" spans="6:6">
      <c r="F862" s="600" t="s">
        <v>2355</v>
      </c>
    </row>
    <row r="863" spans="6:6">
      <c r="F863" s="600" t="s">
        <v>2356</v>
      </c>
    </row>
    <row r="864" spans="6:6">
      <c r="F864" s="600" t="s">
        <v>2357</v>
      </c>
    </row>
    <row r="865" spans="6:6">
      <c r="F865" s="600" t="s">
        <v>2358</v>
      </c>
    </row>
    <row r="866" spans="6:6">
      <c r="F866" s="600" t="s">
        <v>2359</v>
      </c>
    </row>
    <row r="867" spans="6:6">
      <c r="F867" s="600" t="s">
        <v>2360</v>
      </c>
    </row>
    <row r="868" spans="6:6">
      <c r="F868" s="600" t="s">
        <v>2361</v>
      </c>
    </row>
    <row r="869" spans="6:6">
      <c r="F869" s="600" t="s">
        <v>2362</v>
      </c>
    </row>
    <row r="870" spans="6:6">
      <c r="F870" s="600" t="s">
        <v>2363</v>
      </c>
    </row>
    <row r="871" spans="6:6">
      <c r="F871" s="600" t="s">
        <v>2364</v>
      </c>
    </row>
    <row r="872" spans="6:6">
      <c r="F872" s="600" t="s">
        <v>2365</v>
      </c>
    </row>
    <row r="873" spans="6:6">
      <c r="F873" s="600" t="s">
        <v>2366</v>
      </c>
    </row>
    <row r="874" spans="6:6">
      <c r="F874" s="600" t="s">
        <v>2367</v>
      </c>
    </row>
    <row r="875" spans="6:6">
      <c r="F875" s="600" t="s">
        <v>2368</v>
      </c>
    </row>
    <row r="876" spans="6:6">
      <c r="F876" s="600" t="s">
        <v>2369</v>
      </c>
    </row>
    <row r="877" spans="6:6">
      <c r="F877" s="600" t="s">
        <v>2370</v>
      </c>
    </row>
    <row r="878" spans="6:6">
      <c r="F878" s="600" t="s">
        <v>2371</v>
      </c>
    </row>
    <row r="879" spans="6:6">
      <c r="F879" s="600" t="s">
        <v>2372</v>
      </c>
    </row>
    <row r="880" spans="6:6">
      <c r="F880" s="600" t="s">
        <v>2373</v>
      </c>
    </row>
    <row r="881" spans="6:6">
      <c r="F881" s="600" t="s">
        <v>2374</v>
      </c>
    </row>
    <row r="882" spans="6:6">
      <c r="F882" s="600" t="s">
        <v>2375</v>
      </c>
    </row>
    <row r="883" spans="6:6">
      <c r="F883" s="600" t="s">
        <v>2376</v>
      </c>
    </row>
    <row r="884" spans="6:6">
      <c r="F884" s="600" t="s">
        <v>2377</v>
      </c>
    </row>
    <row r="885" spans="6:6">
      <c r="F885" s="600" t="s">
        <v>2378</v>
      </c>
    </row>
    <row r="886" spans="6:6">
      <c r="F886" s="600" t="s">
        <v>2379</v>
      </c>
    </row>
    <row r="887" spans="6:6">
      <c r="F887" s="600" t="s">
        <v>2380</v>
      </c>
    </row>
    <row r="888" spans="6:6">
      <c r="F888" s="600" t="s">
        <v>2381</v>
      </c>
    </row>
    <row r="889" spans="6:6">
      <c r="F889" s="600" t="s">
        <v>2382</v>
      </c>
    </row>
    <row r="890" spans="6:6">
      <c r="F890" s="600" t="s">
        <v>2383</v>
      </c>
    </row>
    <row r="891" spans="6:6">
      <c r="F891" s="600" t="s">
        <v>2384</v>
      </c>
    </row>
    <row r="892" spans="6:6">
      <c r="F892" s="600" t="s">
        <v>2385</v>
      </c>
    </row>
    <row r="893" spans="6:6">
      <c r="F893" s="600" t="s">
        <v>2386</v>
      </c>
    </row>
    <row r="894" spans="6:6">
      <c r="F894" s="600" t="s">
        <v>2387</v>
      </c>
    </row>
    <row r="895" spans="6:6">
      <c r="F895" s="600" t="s">
        <v>2388</v>
      </c>
    </row>
    <row r="896" spans="6:6">
      <c r="F896" s="600" t="s">
        <v>2389</v>
      </c>
    </row>
    <row r="897" spans="6:6">
      <c r="F897" s="600" t="s">
        <v>2390</v>
      </c>
    </row>
    <row r="898" spans="6:6">
      <c r="F898" s="600" t="s">
        <v>2391</v>
      </c>
    </row>
    <row r="899" spans="6:6">
      <c r="F899" s="600" t="s">
        <v>2392</v>
      </c>
    </row>
    <row r="900" spans="6:6">
      <c r="F900" s="600" t="s">
        <v>2393</v>
      </c>
    </row>
    <row r="901" spans="6:6">
      <c r="F901" s="600" t="s">
        <v>2394</v>
      </c>
    </row>
    <row r="902" spans="6:6">
      <c r="F902" s="600" t="s">
        <v>2395</v>
      </c>
    </row>
    <row r="903" spans="6:6">
      <c r="F903" s="600" t="s">
        <v>2396</v>
      </c>
    </row>
    <row r="904" spans="6:6">
      <c r="F904" s="600" t="s">
        <v>2397</v>
      </c>
    </row>
    <row r="905" spans="6:6">
      <c r="F905" s="600" t="s">
        <v>2398</v>
      </c>
    </row>
    <row r="906" spans="6:6">
      <c r="F906" s="600" t="s">
        <v>2399</v>
      </c>
    </row>
    <row r="907" spans="6:6">
      <c r="F907" s="600" t="s">
        <v>2400</v>
      </c>
    </row>
    <row r="908" spans="6:6">
      <c r="F908" s="600" t="s">
        <v>2401</v>
      </c>
    </row>
    <row r="909" spans="6:6">
      <c r="F909" s="600" t="s">
        <v>2402</v>
      </c>
    </row>
    <row r="910" spans="6:6">
      <c r="F910" s="600" t="s">
        <v>2403</v>
      </c>
    </row>
    <row r="911" spans="6:6">
      <c r="F911" s="600" t="s">
        <v>2404</v>
      </c>
    </row>
    <row r="912" spans="6:6">
      <c r="F912" s="600" t="s">
        <v>2405</v>
      </c>
    </row>
    <row r="913" spans="6:6">
      <c r="F913" s="600" t="s">
        <v>2406</v>
      </c>
    </row>
    <row r="914" spans="6:6">
      <c r="F914" s="600" t="s">
        <v>2407</v>
      </c>
    </row>
    <row r="915" spans="6:6">
      <c r="F915" s="600" t="s">
        <v>2408</v>
      </c>
    </row>
    <row r="916" spans="6:6">
      <c r="F916" s="600" t="s">
        <v>2409</v>
      </c>
    </row>
    <row r="917" spans="6:6">
      <c r="F917" s="600" t="s">
        <v>2410</v>
      </c>
    </row>
    <row r="918" spans="6:6">
      <c r="F918" s="600" t="s">
        <v>2411</v>
      </c>
    </row>
    <row r="919" spans="6:6">
      <c r="F919" s="600" t="s">
        <v>2412</v>
      </c>
    </row>
    <row r="920" spans="6:6">
      <c r="F920" s="600" t="s">
        <v>2413</v>
      </c>
    </row>
    <row r="921" spans="6:6">
      <c r="F921" s="600" t="s">
        <v>2414</v>
      </c>
    </row>
    <row r="922" spans="6:6">
      <c r="F922" s="600" t="s">
        <v>2415</v>
      </c>
    </row>
    <row r="923" spans="6:6">
      <c r="F923" s="600" t="s">
        <v>2416</v>
      </c>
    </row>
    <row r="924" spans="6:6">
      <c r="F924" s="600" t="s">
        <v>2417</v>
      </c>
    </row>
    <row r="925" spans="6:6">
      <c r="F925" s="600" t="s">
        <v>2418</v>
      </c>
    </row>
    <row r="926" spans="6:6">
      <c r="F926" s="600" t="s">
        <v>2419</v>
      </c>
    </row>
    <row r="927" spans="6:6">
      <c r="F927" s="600" t="s">
        <v>2420</v>
      </c>
    </row>
    <row r="928" spans="6:6">
      <c r="F928" s="600" t="s">
        <v>2421</v>
      </c>
    </row>
    <row r="929" spans="6:6">
      <c r="F929" s="600" t="s">
        <v>2422</v>
      </c>
    </row>
    <row r="930" spans="6:6">
      <c r="F930" s="600" t="s">
        <v>2423</v>
      </c>
    </row>
    <row r="931" spans="6:6">
      <c r="F931" s="600" t="s">
        <v>2424</v>
      </c>
    </row>
    <row r="932" spans="6:6">
      <c r="F932" s="600" t="s">
        <v>2425</v>
      </c>
    </row>
    <row r="933" spans="6:6">
      <c r="F933" s="600" t="s">
        <v>2426</v>
      </c>
    </row>
    <row r="934" spans="6:6">
      <c r="F934" s="600" t="s">
        <v>2427</v>
      </c>
    </row>
    <row r="935" spans="6:6">
      <c r="F935" s="600" t="s">
        <v>2428</v>
      </c>
    </row>
    <row r="936" spans="6:6">
      <c r="F936" s="600" t="s">
        <v>2429</v>
      </c>
    </row>
    <row r="937" spans="6:6">
      <c r="F937" s="600" t="s">
        <v>2430</v>
      </c>
    </row>
    <row r="938" spans="6:6">
      <c r="F938" s="600" t="s">
        <v>2431</v>
      </c>
    </row>
    <row r="939" spans="6:6">
      <c r="F939" s="600" t="s">
        <v>2432</v>
      </c>
    </row>
    <row r="940" spans="6:6">
      <c r="F940" s="600" t="s">
        <v>2433</v>
      </c>
    </row>
    <row r="941" spans="6:6">
      <c r="F941" s="600" t="s">
        <v>2434</v>
      </c>
    </row>
    <row r="942" spans="6:6">
      <c r="F942" s="600" t="s">
        <v>2435</v>
      </c>
    </row>
    <row r="943" spans="6:6">
      <c r="F943" s="600" t="s">
        <v>2436</v>
      </c>
    </row>
    <row r="944" spans="6:6">
      <c r="F944" s="600" t="s">
        <v>2437</v>
      </c>
    </row>
    <row r="945" spans="6:6">
      <c r="F945" s="600" t="s">
        <v>2438</v>
      </c>
    </row>
    <row r="946" spans="6:6">
      <c r="F946" s="600" t="s">
        <v>2439</v>
      </c>
    </row>
    <row r="947" spans="6:6">
      <c r="F947" s="600" t="s">
        <v>2440</v>
      </c>
    </row>
    <row r="948" spans="6:6">
      <c r="F948" s="600" t="s">
        <v>2441</v>
      </c>
    </row>
    <row r="949" spans="6:6">
      <c r="F949" s="600" t="s">
        <v>2442</v>
      </c>
    </row>
    <row r="950" spans="6:6">
      <c r="F950" s="600" t="s">
        <v>2443</v>
      </c>
    </row>
    <row r="951" spans="6:6">
      <c r="F951" s="600" t="s">
        <v>2444</v>
      </c>
    </row>
    <row r="952" spans="6:6">
      <c r="F952" s="600" t="s">
        <v>2445</v>
      </c>
    </row>
    <row r="953" spans="6:6">
      <c r="F953" s="600" t="s">
        <v>2446</v>
      </c>
    </row>
    <row r="954" spans="6:6">
      <c r="F954" s="600" t="s">
        <v>2447</v>
      </c>
    </row>
    <row r="955" spans="6:6">
      <c r="F955" s="600" t="s">
        <v>2448</v>
      </c>
    </row>
    <row r="956" spans="6:6">
      <c r="F956" s="600" t="s">
        <v>2449</v>
      </c>
    </row>
    <row r="957" spans="6:6">
      <c r="F957" s="600" t="s">
        <v>2450</v>
      </c>
    </row>
    <row r="958" spans="6:6">
      <c r="F958" s="600" t="s">
        <v>2451</v>
      </c>
    </row>
    <row r="959" spans="6:6">
      <c r="F959" s="600" t="s">
        <v>2452</v>
      </c>
    </row>
    <row r="960" spans="6:6">
      <c r="F960" s="600" t="s">
        <v>2453</v>
      </c>
    </row>
    <row r="961" spans="6:6">
      <c r="F961" s="600" t="s">
        <v>2454</v>
      </c>
    </row>
    <row r="962" spans="6:6">
      <c r="F962" s="600" t="s">
        <v>2455</v>
      </c>
    </row>
    <row r="963" spans="6:6">
      <c r="F963" s="600" t="s">
        <v>2456</v>
      </c>
    </row>
    <row r="964" spans="6:6">
      <c r="F964" s="600" t="s">
        <v>2457</v>
      </c>
    </row>
    <row r="965" spans="6:6">
      <c r="F965" s="600" t="s">
        <v>2458</v>
      </c>
    </row>
    <row r="966" spans="6:6">
      <c r="F966" s="600" t="s">
        <v>2459</v>
      </c>
    </row>
    <row r="967" spans="6:6">
      <c r="F967" s="600" t="s">
        <v>2460</v>
      </c>
    </row>
    <row r="968" spans="6:6">
      <c r="F968" s="600" t="s">
        <v>2461</v>
      </c>
    </row>
    <row r="969" spans="6:6">
      <c r="F969" s="600" t="s">
        <v>2462</v>
      </c>
    </row>
    <row r="970" spans="6:6">
      <c r="F970" s="600" t="s">
        <v>2463</v>
      </c>
    </row>
    <row r="971" spans="6:6">
      <c r="F971" s="600" t="s">
        <v>2464</v>
      </c>
    </row>
    <row r="972" spans="6:6">
      <c r="F972" s="600" t="s">
        <v>2465</v>
      </c>
    </row>
    <row r="973" spans="6:6">
      <c r="F973" s="600" t="s">
        <v>2466</v>
      </c>
    </row>
    <row r="974" spans="6:6">
      <c r="F974" s="600" t="s">
        <v>2467</v>
      </c>
    </row>
    <row r="975" spans="6:6">
      <c r="F975" s="600" t="s">
        <v>2468</v>
      </c>
    </row>
    <row r="976" spans="6:6">
      <c r="F976" s="600" t="s">
        <v>2469</v>
      </c>
    </row>
    <row r="977" spans="6:6">
      <c r="F977" s="600" t="s">
        <v>2470</v>
      </c>
    </row>
    <row r="978" spans="6:6">
      <c r="F978" s="600" t="s">
        <v>2471</v>
      </c>
    </row>
    <row r="979" spans="6:6">
      <c r="F979" s="600" t="s">
        <v>2472</v>
      </c>
    </row>
    <row r="980" spans="6:6">
      <c r="F980" s="600" t="s">
        <v>2473</v>
      </c>
    </row>
    <row r="981" spans="6:6">
      <c r="F981" s="600" t="s">
        <v>2474</v>
      </c>
    </row>
    <row r="982" spans="6:6">
      <c r="F982" s="600" t="s">
        <v>2475</v>
      </c>
    </row>
    <row r="983" spans="6:6">
      <c r="F983" s="600" t="s">
        <v>2476</v>
      </c>
    </row>
    <row r="984" spans="6:6">
      <c r="F984" s="600" t="s">
        <v>2477</v>
      </c>
    </row>
    <row r="985" spans="6:6">
      <c r="F985" s="600" t="s">
        <v>2478</v>
      </c>
    </row>
    <row r="986" spans="6:6">
      <c r="F986" s="600" t="s">
        <v>2479</v>
      </c>
    </row>
    <row r="987" spans="6:6">
      <c r="F987" s="600" t="s">
        <v>2480</v>
      </c>
    </row>
    <row r="988" spans="6:6">
      <c r="F988" s="600" t="s">
        <v>2481</v>
      </c>
    </row>
    <row r="989" spans="6:6">
      <c r="F989" s="600" t="s">
        <v>2482</v>
      </c>
    </row>
    <row r="990" spans="6:6">
      <c r="F990" s="600" t="s">
        <v>2483</v>
      </c>
    </row>
    <row r="991" spans="6:6">
      <c r="F991" s="600" t="s">
        <v>2484</v>
      </c>
    </row>
    <row r="992" spans="6:6">
      <c r="F992" s="600" t="s">
        <v>2485</v>
      </c>
    </row>
    <row r="993" spans="6:6">
      <c r="F993" s="600" t="s">
        <v>2486</v>
      </c>
    </row>
    <row r="994" spans="6:6">
      <c r="F994" s="600" t="s">
        <v>2487</v>
      </c>
    </row>
    <row r="995" spans="6:6">
      <c r="F995" s="600" t="s">
        <v>2488</v>
      </c>
    </row>
    <row r="996" spans="6:6">
      <c r="F996" s="600" t="s">
        <v>2489</v>
      </c>
    </row>
    <row r="997" spans="6:6">
      <c r="F997" s="600" t="s">
        <v>2490</v>
      </c>
    </row>
    <row r="998" spans="6:6">
      <c r="F998" s="600" t="s">
        <v>2491</v>
      </c>
    </row>
    <row r="999" spans="6:6">
      <c r="F999" s="600" t="s">
        <v>2492</v>
      </c>
    </row>
    <row r="1000" spans="6:6">
      <c r="F1000" s="600" t="s">
        <v>2493</v>
      </c>
    </row>
    <row r="1001" spans="6:6">
      <c r="F1001" s="600" t="s">
        <v>2494</v>
      </c>
    </row>
    <row r="1002" spans="6:6">
      <c r="F1002" s="600" t="s">
        <v>2495</v>
      </c>
    </row>
    <row r="1003" spans="6:6">
      <c r="F1003" s="600" t="s">
        <v>2496</v>
      </c>
    </row>
    <row r="1004" spans="6:6">
      <c r="F1004" s="600" t="s">
        <v>2497</v>
      </c>
    </row>
    <row r="1005" spans="6:6">
      <c r="F1005" s="600" t="s">
        <v>2498</v>
      </c>
    </row>
    <row r="1006" spans="6:6">
      <c r="F1006" s="600" t="s">
        <v>2499</v>
      </c>
    </row>
    <row r="1007" spans="6:6">
      <c r="F1007" s="600" t="s">
        <v>2500</v>
      </c>
    </row>
    <row r="1008" spans="6:6">
      <c r="F1008" s="600" t="s">
        <v>2501</v>
      </c>
    </row>
    <row r="1009" spans="6:6">
      <c r="F1009" s="600" t="s">
        <v>2502</v>
      </c>
    </row>
    <row r="1010" spans="6:6">
      <c r="F1010" s="600" t="s">
        <v>2503</v>
      </c>
    </row>
    <row r="1011" spans="6:6">
      <c r="F1011" s="600" t="s">
        <v>2504</v>
      </c>
    </row>
    <row r="1012" spans="6:6">
      <c r="F1012" s="600" t="s">
        <v>2505</v>
      </c>
    </row>
    <row r="1013" spans="6:6">
      <c r="F1013" s="600" t="s">
        <v>2506</v>
      </c>
    </row>
    <row r="1014" spans="6:6">
      <c r="F1014" s="600" t="s">
        <v>2507</v>
      </c>
    </row>
    <row r="1015" spans="6:6">
      <c r="F1015" s="600" t="s">
        <v>2508</v>
      </c>
    </row>
    <row r="1016" spans="6:6">
      <c r="F1016" s="600" t="s">
        <v>2509</v>
      </c>
    </row>
    <row r="1017" spans="6:6">
      <c r="F1017" s="600" t="s">
        <v>2510</v>
      </c>
    </row>
    <row r="1018" spans="6:6">
      <c r="F1018" s="600" t="s">
        <v>2511</v>
      </c>
    </row>
    <row r="1019" spans="6:6">
      <c r="F1019" s="600" t="s">
        <v>2512</v>
      </c>
    </row>
    <row r="1020" spans="6:6">
      <c r="F1020" s="600" t="s">
        <v>2513</v>
      </c>
    </row>
    <row r="1021" spans="6:6">
      <c r="F1021" s="600" t="s">
        <v>2514</v>
      </c>
    </row>
    <row r="1022" spans="6:6">
      <c r="F1022" s="600" t="s">
        <v>2515</v>
      </c>
    </row>
    <row r="1023" spans="6:6">
      <c r="F1023" s="600" t="s">
        <v>2516</v>
      </c>
    </row>
    <row r="1024" spans="6:6">
      <c r="F1024" s="600" t="s">
        <v>2517</v>
      </c>
    </row>
    <row r="1025" spans="6:6">
      <c r="F1025" s="600" t="s">
        <v>2518</v>
      </c>
    </row>
    <row r="1026" spans="6:6">
      <c r="F1026" s="600" t="s">
        <v>2519</v>
      </c>
    </row>
    <row r="1027" spans="6:6">
      <c r="F1027" s="600" t="s">
        <v>2520</v>
      </c>
    </row>
    <row r="1028" spans="6:6">
      <c r="F1028" s="600" t="s">
        <v>2521</v>
      </c>
    </row>
    <row r="1029" spans="6:6">
      <c r="F1029" s="600" t="s">
        <v>2522</v>
      </c>
    </row>
    <row r="1030" spans="6:6">
      <c r="F1030" s="600" t="s">
        <v>2523</v>
      </c>
    </row>
    <row r="1031" spans="6:6">
      <c r="F1031" s="600" t="s">
        <v>2524</v>
      </c>
    </row>
    <row r="1032" spans="6:6">
      <c r="F1032" s="600" t="s">
        <v>2525</v>
      </c>
    </row>
    <row r="1033" spans="6:6">
      <c r="F1033" s="600" t="s">
        <v>2526</v>
      </c>
    </row>
    <row r="1034" spans="6:6">
      <c r="F1034" s="600" t="s">
        <v>2527</v>
      </c>
    </row>
    <row r="1035" spans="6:6">
      <c r="F1035" s="600" t="s">
        <v>2528</v>
      </c>
    </row>
    <row r="1036" spans="6:6">
      <c r="F1036" s="600" t="s">
        <v>2529</v>
      </c>
    </row>
    <row r="1037" spans="6:6">
      <c r="F1037" s="600" t="s">
        <v>2530</v>
      </c>
    </row>
    <row r="1038" spans="6:6">
      <c r="F1038" s="600" t="s">
        <v>2531</v>
      </c>
    </row>
    <row r="1039" spans="6:6">
      <c r="F1039" s="600" t="s">
        <v>2532</v>
      </c>
    </row>
    <row r="1040" spans="6:6">
      <c r="F1040" s="600" t="s">
        <v>2533</v>
      </c>
    </row>
    <row r="1041" spans="6:6">
      <c r="F1041" s="600" t="s">
        <v>2534</v>
      </c>
    </row>
    <row r="1042" spans="6:6">
      <c r="F1042" s="600" t="s">
        <v>2535</v>
      </c>
    </row>
    <row r="1043" spans="6:6">
      <c r="F1043" s="600" t="s">
        <v>2536</v>
      </c>
    </row>
    <row r="1044" spans="6:6">
      <c r="F1044" s="600" t="s">
        <v>2537</v>
      </c>
    </row>
    <row r="1045" spans="6:6">
      <c r="F1045" s="600" t="s">
        <v>2538</v>
      </c>
    </row>
    <row r="1046" spans="6:6">
      <c r="F1046" s="600" t="s">
        <v>2539</v>
      </c>
    </row>
    <row r="1047" spans="6:6">
      <c r="F1047" s="600" t="s">
        <v>2540</v>
      </c>
    </row>
    <row r="1048" spans="6:6">
      <c r="F1048" s="600" t="s">
        <v>2541</v>
      </c>
    </row>
    <row r="1049" spans="6:6">
      <c r="F1049" s="600" t="s">
        <v>2542</v>
      </c>
    </row>
    <row r="1050" spans="6:6">
      <c r="F1050" s="600" t="s">
        <v>2543</v>
      </c>
    </row>
    <row r="1051" spans="6:6">
      <c r="F1051" s="600" t="s">
        <v>2544</v>
      </c>
    </row>
    <row r="1052" spans="6:6">
      <c r="F1052" s="600" t="s">
        <v>2545</v>
      </c>
    </row>
    <row r="1053" spans="6:6">
      <c r="F1053" s="600" t="s">
        <v>2546</v>
      </c>
    </row>
    <row r="1054" spans="6:6">
      <c r="F1054" s="600" t="s">
        <v>2547</v>
      </c>
    </row>
    <row r="1055" spans="6:6">
      <c r="F1055" s="600" t="s">
        <v>2548</v>
      </c>
    </row>
    <row r="1056" spans="6:6">
      <c r="F1056" s="600" t="s">
        <v>2549</v>
      </c>
    </row>
    <row r="1057" spans="6:6">
      <c r="F1057" s="600" t="s">
        <v>2550</v>
      </c>
    </row>
    <row r="1058" spans="6:6">
      <c r="F1058" s="600" t="s">
        <v>2551</v>
      </c>
    </row>
    <row r="1059" spans="6:6">
      <c r="F1059" s="600" t="s">
        <v>2552</v>
      </c>
    </row>
    <row r="1060" spans="6:6">
      <c r="F1060" s="600" t="s">
        <v>2553</v>
      </c>
    </row>
    <row r="1061" spans="6:6">
      <c r="F1061" s="600" t="s">
        <v>2554</v>
      </c>
    </row>
    <row r="1062" spans="6:6">
      <c r="F1062" s="600" t="s">
        <v>2555</v>
      </c>
    </row>
    <row r="1063" spans="6:6">
      <c r="F1063" s="600" t="s">
        <v>2556</v>
      </c>
    </row>
    <row r="1064" spans="6:6">
      <c r="F1064" s="600" t="s">
        <v>2557</v>
      </c>
    </row>
    <row r="1065" spans="6:6">
      <c r="F1065" s="600" t="s">
        <v>2558</v>
      </c>
    </row>
    <row r="1066" spans="6:6">
      <c r="F1066" s="600" t="s">
        <v>2559</v>
      </c>
    </row>
    <row r="1067" spans="6:6">
      <c r="F1067" s="600" t="s">
        <v>2560</v>
      </c>
    </row>
    <row r="1068" spans="6:6">
      <c r="F1068" s="600" t="s">
        <v>2561</v>
      </c>
    </row>
    <row r="1069" spans="6:6">
      <c r="F1069" s="600" t="s">
        <v>2562</v>
      </c>
    </row>
    <row r="1070" spans="6:6">
      <c r="F1070" s="600" t="s">
        <v>2563</v>
      </c>
    </row>
    <row r="1071" spans="6:6">
      <c r="F1071" s="600" t="s">
        <v>2564</v>
      </c>
    </row>
    <row r="1072" spans="6:6">
      <c r="F1072" s="600" t="s">
        <v>2565</v>
      </c>
    </row>
    <row r="1073" spans="6:6">
      <c r="F1073" s="600" t="s">
        <v>2566</v>
      </c>
    </row>
    <row r="1074" spans="6:6">
      <c r="F1074" s="600" t="s">
        <v>2567</v>
      </c>
    </row>
    <row r="1075" spans="6:6">
      <c r="F1075" s="600" t="s">
        <v>2568</v>
      </c>
    </row>
    <row r="1076" spans="6:6">
      <c r="F1076" s="600" t="s">
        <v>2569</v>
      </c>
    </row>
    <row r="1077" spans="6:6">
      <c r="F1077" s="600" t="s">
        <v>2570</v>
      </c>
    </row>
    <row r="1078" spans="6:6">
      <c r="F1078" s="600" t="s">
        <v>2571</v>
      </c>
    </row>
    <row r="1079" spans="6:6">
      <c r="F1079" s="600" t="s">
        <v>2572</v>
      </c>
    </row>
    <row r="1080" spans="6:6">
      <c r="F1080" s="600" t="s">
        <v>2573</v>
      </c>
    </row>
    <row r="1081" spans="6:6">
      <c r="F1081" s="600" t="s">
        <v>2574</v>
      </c>
    </row>
    <row r="1082" spans="6:6">
      <c r="F1082" s="600" t="s">
        <v>2575</v>
      </c>
    </row>
    <row r="1083" spans="6:6">
      <c r="F1083" s="600" t="s">
        <v>2576</v>
      </c>
    </row>
    <row r="1084" spans="6:6">
      <c r="F1084" s="600" t="s">
        <v>2577</v>
      </c>
    </row>
    <row r="1085" spans="6:6">
      <c r="F1085" s="600" t="s">
        <v>2578</v>
      </c>
    </row>
    <row r="1086" spans="6:6">
      <c r="F1086" s="600" t="s">
        <v>2579</v>
      </c>
    </row>
    <row r="1087" spans="6:6">
      <c r="F1087" s="600" t="s">
        <v>2580</v>
      </c>
    </row>
    <row r="1088" spans="6:6">
      <c r="F1088" s="600" t="s">
        <v>2581</v>
      </c>
    </row>
    <row r="1089" spans="6:6">
      <c r="F1089" s="600" t="s">
        <v>2582</v>
      </c>
    </row>
    <row r="1090" spans="6:6">
      <c r="F1090" s="600" t="s">
        <v>2583</v>
      </c>
    </row>
    <row r="1091" spans="6:6">
      <c r="F1091" s="600" t="s">
        <v>2584</v>
      </c>
    </row>
    <row r="1092" spans="6:6">
      <c r="F1092" s="600" t="s">
        <v>2585</v>
      </c>
    </row>
    <row r="1093" spans="6:6">
      <c r="F1093" s="600" t="s">
        <v>2586</v>
      </c>
    </row>
    <row r="1094" spans="6:6">
      <c r="F1094" s="600" t="s">
        <v>2587</v>
      </c>
    </row>
    <row r="1095" spans="6:6">
      <c r="F1095" s="600" t="s">
        <v>2588</v>
      </c>
    </row>
    <row r="1096" spans="6:6">
      <c r="F1096" s="600" t="s">
        <v>2589</v>
      </c>
    </row>
    <row r="1097" spans="6:6">
      <c r="F1097" s="600" t="s">
        <v>2590</v>
      </c>
    </row>
    <row r="1098" spans="6:6">
      <c r="F1098" s="600" t="s">
        <v>2591</v>
      </c>
    </row>
    <row r="1099" spans="6:6">
      <c r="F1099" s="600" t="s">
        <v>2592</v>
      </c>
    </row>
    <row r="1100" spans="6:6">
      <c r="F1100" s="600" t="s">
        <v>2593</v>
      </c>
    </row>
    <row r="1101" spans="6:6">
      <c r="F1101" s="600" t="s">
        <v>2594</v>
      </c>
    </row>
    <row r="1102" spans="6:6">
      <c r="F1102" s="600" t="s">
        <v>2595</v>
      </c>
    </row>
    <row r="1103" spans="6:6">
      <c r="F1103" s="600" t="s">
        <v>2596</v>
      </c>
    </row>
    <row r="1104" spans="6:6">
      <c r="F1104" s="600" t="s">
        <v>2597</v>
      </c>
    </row>
    <row r="1105" spans="6:6">
      <c r="F1105" s="600" t="s">
        <v>2598</v>
      </c>
    </row>
    <row r="1106" spans="6:6">
      <c r="F1106" s="600" t="s">
        <v>2599</v>
      </c>
    </row>
    <row r="1107" spans="6:6">
      <c r="F1107" s="600" t="s">
        <v>2600</v>
      </c>
    </row>
    <row r="1108" spans="6:6">
      <c r="F1108" s="600" t="s">
        <v>2601</v>
      </c>
    </row>
    <row r="1109" spans="6:6">
      <c r="F1109" s="600" t="s">
        <v>2602</v>
      </c>
    </row>
    <row r="1110" spans="6:6">
      <c r="F1110" s="600" t="s">
        <v>2603</v>
      </c>
    </row>
    <row r="1111" spans="6:6">
      <c r="F1111" s="600" t="s">
        <v>2604</v>
      </c>
    </row>
    <row r="1112" spans="6:6">
      <c r="F1112" s="600" t="s">
        <v>2605</v>
      </c>
    </row>
    <row r="1113" spans="6:6">
      <c r="F1113" s="600" t="s">
        <v>2606</v>
      </c>
    </row>
    <row r="1114" spans="6:6">
      <c r="F1114" s="600" t="s">
        <v>2607</v>
      </c>
    </row>
    <row r="1115" spans="6:6">
      <c r="F1115" s="600" t="s">
        <v>2608</v>
      </c>
    </row>
    <row r="1116" spans="6:6">
      <c r="F1116" s="600" t="s">
        <v>2609</v>
      </c>
    </row>
    <row r="1117" spans="6:6">
      <c r="F1117" s="600" t="s">
        <v>2610</v>
      </c>
    </row>
    <row r="1118" spans="6:6">
      <c r="F1118" s="600" t="s">
        <v>2611</v>
      </c>
    </row>
    <row r="1119" spans="6:6">
      <c r="F1119" s="600" t="s">
        <v>2612</v>
      </c>
    </row>
    <row r="1120" spans="6:6">
      <c r="F1120" s="600" t="s">
        <v>2613</v>
      </c>
    </row>
    <row r="1121" spans="6:6">
      <c r="F1121" s="600" t="s">
        <v>2614</v>
      </c>
    </row>
    <row r="1122" spans="6:6">
      <c r="F1122" s="600" t="s">
        <v>2615</v>
      </c>
    </row>
    <row r="1123" spans="6:6">
      <c r="F1123" s="600" t="s">
        <v>2616</v>
      </c>
    </row>
    <row r="1124" spans="6:6">
      <c r="F1124" s="600" t="s">
        <v>2617</v>
      </c>
    </row>
    <row r="1125" spans="6:6">
      <c r="F1125" s="600" t="s">
        <v>2618</v>
      </c>
    </row>
    <row r="1126" spans="6:6">
      <c r="F1126" s="600" t="s">
        <v>2619</v>
      </c>
    </row>
    <row r="1127" spans="6:6">
      <c r="F1127" s="600" t="s">
        <v>2620</v>
      </c>
    </row>
    <row r="1128" spans="6:6">
      <c r="F1128" s="600" t="s">
        <v>2621</v>
      </c>
    </row>
    <row r="1129" spans="6:6">
      <c r="F1129" s="600" t="s">
        <v>2622</v>
      </c>
    </row>
    <row r="1130" spans="6:6">
      <c r="F1130" s="600" t="s">
        <v>2623</v>
      </c>
    </row>
    <row r="1131" spans="6:6">
      <c r="F1131" s="600" t="s">
        <v>2624</v>
      </c>
    </row>
    <row r="1132" spans="6:6">
      <c r="F1132" s="600" t="s">
        <v>2625</v>
      </c>
    </row>
    <row r="1133" spans="6:6">
      <c r="F1133" s="600" t="s">
        <v>2626</v>
      </c>
    </row>
    <row r="1134" spans="6:6">
      <c r="F1134" s="600" t="s">
        <v>2627</v>
      </c>
    </row>
    <row r="1135" spans="6:6">
      <c r="F1135" s="600" t="s">
        <v>2628</v>
      </c>
    </row>
    <row r="1136" spans="6:6">
      <c r="F1136" s="600" t="s">
        <v>2629</v>
      </c>
    </row>
    <row r="1137" spans="6:6">
      <c r="F1137" s="600" t="s">
        <v>2630</v>
      </c>
    </row>
    <row r="1138" spans="6:6">
      <c r="F1138" s="600" t="s">
        <v>2631</v>
      </c>
    </row>
    <row r="1139" spans="6:6">
      <c r="F1139" s="600" t="s">
        <v>2632</v>
      </c>
    </row>
    <row r="1140" spans="6:6">
      <c r="F1140" s="600" t="s">
        <v>2633</v>
      </c>
    </row>
    <row r="1141" spans="6:6">
      <c r="F1141" s="600" t="s">
        <v>2634</v>
      </c>
    </row>
    <row r="1142" spans="6:6">
      <c r="F1142" s="600" t="s">
        <v>2635</v>
      </c>
    </row>
    <row r="1143" spans="6:6">
      <c r="F1143" s="600" t="s">
        <v>2636</v>
      </c>
    </row>
    <row r="1144" spans="6:6">
      <c r="F1144" s="600" t="s">
        <v>2637</v>
      </c>
    </row>
    <row r="1145" spans="6:6">
      <c r="F1145" s="600" t="s">
        <v>2638</v>
      </c>
    </row>
    <row r="1146" spans="6:6">
      <c r="F1146" s="600" t="s">
        <v>2639</v>
      </c>
    </row>
    <row r="1147" spans="6:6">
      <c r="F1147" s="600" t="s">
        <v>2640</v>
      </c>
    </row>
    <row r="1148" spans="6:6">
      <c r="F1148" s="600" t="s">
        <v>2641</v>
      </c>
    </row>
    <row r="1149" spans="6:6">
      <c r="F1149" s="600" t="s">
        <v>2642</v>
      </c>
    </row>
    <row r="1150" spans="6:6">
      <c r="F1150" s="600" t="s">
        <v>2643</v>
      </c>
    </row>
    <row r="1151" spans="6:6">
      <c r="F1151" s="600" t="s">
        <v>2644</v>
      </c>
    </row>
    <row r="1152" spans="6:6">
      <c r="F1152" s="600" t="s">
        <v>2645</v>
      </c>
    </row>
    <row r="1153" spans="6:6">
      <c r="F1153" s="600" t="s">
        <v>2646</v>
      </c>
    </row>
    <row r="1154" spans="6:6">
      <c r="F1154" s="600" t="s">
        <v>2647</v>
      </c>
    </row>
    <row r="1155" spans="6:6">
      <c r="F1155" s="600" t="s">
        <v>2648</v>
      </c>
    </row>
    <row r="1156" spans="6:6">
      <c r="F1156" s="600" t="s">
        <v>2649</v>
      </c>
    </row>
    <row r="1157" spans="6:6">
      <c r="F1157" s="600" t="s">
        <v>2650</v>
      </c>
    </row>
    <row r="1158" spans="6:6">
      <c r="F1158" s="600" t="s">
        <v>2651</v>
      </c>
    </row>
    <row r="1159" spans="6:6">
      <c r="F1159" s="600" t="s">
        <v>2652</v>
      </c>
    </row>
    <row r="1160" spans="6:6">
      <c r="F1160" s="600" t="s">
        <v>2653</v>
      </c>
    </row>
    <row r="1161" spans="6:6">
      <c r="F1161" s="600" t="s">
        <v>2654</v>
      </c>
    </row>
    <row r="1162" spans="6:6">
      <c r="F1162" s="600" t="s">
        <v>2655</v>
      </c>
    </row>
    <row r="1163" spans="6:6">
      <c r="F1163" s="600" t="s">
        <v>2656</v>
      </c>
    </row>
    <row r="1164" spans="6:6">
      <c r="F1164" s="600" t="s">
        <v>2657</v>
      </c>
    </row>
    <row r="1165" spans="6:6">
      <c r="F1165" s="600" t="s">
        <v>2658</v>
      </c>
    </row>
    <row r="1166" spans="6:6">
      <c r="F1166" s="600" t="s">
        <v>2659</v>
      </c>
    </row>
    <row r="1167" spans="6:6">
      <c r="F1167" s="600" t="s">
        <v>2660</v>
      </c>
    </row>
    <row r="1168" spans="6:6">
      <c r="F1168" s="600" t="s">
        <v>2661</v>
      </c>
    </row>
    <row r="1169" spans="6:6">
      <c r="F1169" s="600" t="s">
        <v>2662</v>
      </c>
    </row>
    <row r="1170" spans="6:6">
      <c r="F1170" s="600" t="s">
        <v>2663</v>
      </c>
    </row>
    <row r="1171" spans="6:6">
      <c r="F1171" s="600" t="s">
        <v>2664</v>
      </c>
    </row>
    <row r="1172" spans="6:6">
      <c r="F1172" s="600" t="s">
        <v>2665</v>
      </c>
    </row>
    <row r="1173" spans="6:6">
      <c r="F1173" s="600" t="s">
        <v>2666</v>
      </c>
    </row>
    <row r="1174" spans="6:6">
      <c r="F1174" s="600" t="s">
        <v>2667</v>
      </c>
    </row>
    <row r="1175" spans="6:6">
      <c r="F1175" s="600" t="s">
        <v>2668</v>
      </c>
    </row>
    <row r="1176" spans="6:6">
      <c r="F1176" s="600" t="s">
        <v>2669</v>
      </c>
    </row>
    <row r="1177" spans="6:6">
      <c r="F1177" s="600" t="s">
        <v>2670</v>
      </c>
    </row>
    <row r="1178" spans="6:6">
      <c r="F1178" s="600" t="s">
        <v>2671</v>
      </c>
    </row>
    <row r="1179" spans="6:6">
      <c r="F1179" s="600" t="s">
        <v>2672</v>
      </c>
    </row>
    <row r="1180" spans="6:6">
      <c r="F1180" s="600" t="s">
        <v>2673</v>
      </c>
    </row>
    <row r="1181" spans="6:6">
      <c r="F1181" s="600" t="s">
        <v>2674</v>
      </c>
    </row>
    <row r="1182" spans="6:6">
      <c r="F1182" s="600" t="s">
        <v>2675</v>
      </c>
    </row>
    <row r="1183" spans="6:6">
      <c r="F1183" s="600" t="s">
        <v>2676</v>
      </c>
    </row>
    <row r="1184" spans="6:6">
      <c r="F1184" s="600" t="s">
        <v>2677</v>
      </c>
    </row>
    <row r="1185" spans="6:6">
      <c r="F1185" s="600" t="s">
        <v>2678</v>
      </c>
    </row>
    <row r="1186" spans="6:6">
      <c r="F1186" s="600" t="s">
        <v>2679</v>
      </c>
    </row>
    <row r="1187" spans="6:6">
      <c r="F1187" s="600" t="s">
        <v>2680</v>
      </c>
    </row>
    <row r="1188" spans="6:6">
      <c r="F1188" s="600" t="s">
        <v>2681</v>
      </c>
    </row>
    <row r="1189" spans="6:6">
      <c r="F1189" s="600" t="s">
        <v>2682</v>
      </c>
    </row>
    <row r="1190" spans="6:6">
      <c r="F1190" s="600" t="s">
        <v>2683</v>
      </c>
    </row>
    <row r="1191" spans="6:6">
      <c r="F1191" s="600" t="s">
        <v>2684</v>
      </c>
    </row>
    <row r="1192" spans="6:6">
      <c r="F1192" s="600" t="s">
        <v>2685</v>
      </c>
    </row>
    <row r="1193" spans="6:6">
      <c r="F1193" s="600" t="s">
        <v>2686</v>
      </c>
    </row>
    <row r="1194" spans="6:6">
      <c r="F1194" s="600" t="s">
        <v>2687</v>
      </c>
    </row>
    <row r="1195" spans="6:6">
      <c r="F1195" s="600" t="s">
        <v>2688</v>
      </c>
    </row>
    <row r="1196" spans="6:6">
      <c r="F1196" s="600" t="s">
        <v>2689</v>
      </c>
    </row>
    <row r="1197" spans="6:6">
      <c r="F1197" s="600" t="s">
        <v>2690</v>
      </c>
    </row>
    <row r="1198" spans="6:6">
      <c r="F1198" s="600" t="s">
        <v>2691</v>
      </c>
    </row>
    <row r="1199" spans="6:6">
      <c r="F1199" s="600" t="s">
        <v>2692</v>
      </c>
    </row>
    <row r="1200" spans="6:6">
      <c r="F1200" s="600" t="s">
        <v>2693</v>
      </c>
    </row>
    <row r="1201" spans="6:6">
      <c r="F1201" s="600" t="s">
        <v>2694</v>
      </c>
    </row>
    <row r="1202" spans="6:6">
      <c r="F1202" s="600" t="s">
        <v>2695</v>
      </c>
    </row>
    <row r="1203" spans="6:6">
      <c r="F1203" s="600" t="s">
        <v>2696</v>
      </c>
    </row>
    <row r="1204" spans="6:6">
      <c r="F1204" s="600" t="s">
        <v>2697</v>
      </c>
    </row>
    <row r="1205" spans="6:6">
      <c r="F1205" s="600" t="s">
        <v>2698</v>
      </c>
    </row>
    <row r="1206" spans="6:6">
      <c r="F1206" s="600" t="s">
        <v>2699</v>
      </c>
    </row>
    <row r="1207" spans="6:6">
      <c r="F1207" s="600" t="s">
        <v>2700</v>
      </c>
    </row>
    <row r="1208" spans="6:6">
      <c r="F1208" s="600" t="s">
        <v>2701</v>
      </c>
    </row>
    <row r="1209" spans="6:6">
      <c r="F1209" s="600" t="s">
        <v>2702</v>
      </c>
    </row>
    <row r="1210" spans="6:6">
      <c r="F1210" s="600" t="s">
        <v>2703</v>
      </c>
    </row>
    <row r="1211" spans="6:6">
      <c r="F1211" s="600" t="s">
        <v>2704</v>
      </c>
    </row>
    <row r="1212" spans="6:6">
      <c r="F1212" s="600" t="s">
        <v>2705</v>
      </c>
    </row>
    <row r="1213" spans="6:6">
      <c r="F1213" s="600" t="s">
        <v>2706</v>
      </c>
    </row>
    <row r="1214" spans="6:6">
      <c r="F1214" s="600" t="s">
        <v>2707</v>
      </c>
    </row>
    <row r="1215" spans="6:6">
      <c r="F1215" s="600" t="s">
        <v>2708</v>
      </c>
    </row>
    <row r="1216" spans="6:6">
      <c r="F1216" s="600" t="s">
        <v>2709</v>
      </c>
    </row>
    <row r="1217" spans="6:6">
      <c r="F1217" s="600" t="s">
        <v>2710</v>
      </c>
    </row>
    <row r="1218" spans="6:6">
      <c r="F1218" s="600" t="s">
        <v>2711</v>
      </c>
    </row>
    <row r="1219" spans="6:6">
      <c r="F1219" s="600" t="s">
        <v>2712</v>
      </c>
    </row>
    <row r="1220" spans="6:6">
      <c r="F1220" s="600" t="s">
        <v>2713</v>
      </c>
    </row>
    <row r="1221" spans="6:6">
      <c r="F1221" s="600" t="s">
        <v>2714</v>
      </c>
    </row>
    <row r="1222" spans="6:6">
      <c r="F1222" s="600" t="s">
        <v>2715</v>
      </c>
    </row>
    <row r="1223" spans="6:6">
      <c r="F1223" s="600" t="s">
        <v>2716</v>
      </c>
    </row>
    <row r="1224" spans="6:6">
      <c r="F1224" s="600" t="s">
        <v>2717</v>
      </c>
    </row>
    <row r="1225" spans="6:6">
      <c r="F1225" s="600" t="s">
        <v>2718</v>
      </c>
    </row>
    <row r="1226" spans="6:6">
      <c r="F1226" s="600" t="s">
        <v>2719</v>
      </c>
    </row>
    <row r="1227" spans="6:6">
      <c r="F1227" s="600" t="s">
        <v>2720</v>
      </c>
    </row>
    <row r="1228" spans="6:6">
      <c r="F1228" s="600" t="s">
        <v>2721</v>
      </c>
    </row>
    <row r="1229" spans="6:6">
      <c r="F1229" s="600" t="s">
        <v>2722</v>
      </c>
    </row>
    <row r="1230" spans="6:6">
      <c r="F1230" s="600" t="s">
        <v>2723</v>
      </c>
    </row>
    <row r="1231" spans="6:6">
      <c r="F1231" s="600" t="s">
        <v>2724</v>
      </c>
    </row>
    <row r="1232" spans="6:6">
      <c r="F1232" s="600" t="s">
        <v>2725</v>
      </c>
    </row>
    <row r="1233" spans="6:6">
      <c r="F1233" s="600" t="s">
        <v>2726</v>
      </c>
    </row>
    <row r="1234" spans="6:6">
      <c r="F1234" s="600" t="s">
        <v>2727</v>
      </c>
    </row>
    <row r="1235" spans="6:6">
      <c r="F1235" s="600" t="s">
        <v>2728</v>
      </c>
    </row>
    <row r="1236" spans="6:6">
      <c r="F1236" s="600" t="s">
        <v>2729</v>
      </c>
    </row>
    <row r="1237" spans="6:6">
      <c r="F1237" s="600" t="s">
        <v>2730</v>
      </c>
    </row>
    <row r="1238" spans="6:6">
      <c r="F1238" s="600" t="s">
        <v>2731</v>
      </c>
    </row>
    <row r="1239" spans="6:6">
      <c r="F1239" s="600" t="s">
        <v>2732</v>
      </c>
    </row>
    <row r="1240" spans="6:6">
      <c r="F1240" s="600" t="s">
        <v>2733</v>
      </c>
    </row>
    <row r="1241" spans="6:6">
      <c r="F1241" s="600" t="s">
        <v>2734</v>
      </c>
    </row>
    <row r="1242" spans="6:6">
      <c r="F1242" s="600" t="s">
        <v>2735</v>
      </c>
    </row>
    <row r="1243" spans="6:6">
      <c r="F1243" s="600" t="s">
        <v>2736</v>
      </c>
    </row>
    <row r="1244" spans="6:6">
      <c r="F1244" s="600" t="s">
        <v>2737</v>
      </c>
    </row>
    <row r="1245" spans="6:6">
      <c r="F1245" s="600" t="s">
        <v>2738</v>
      </c>
    </row>
    <row r="1246" spans="6:6">
      <c r="F1246" s="600" t="s">
        <v>2739</v>
      </c>
    </row>
    <row r="1247" spans="6:6">
      <c r="F1247" s="600" t="s">
        <v>2740</v>
      </c>
    </row>
    <row r="1248" spans="6:6">
      <c r="F1248" s="600" t="s">
        <v>2741</v>
      </c>
    </row>
    <row r="1249" spans="6:6">
      <c r="F1249" s="600" t="s">
        <v>2742</v>
      </c>
    </row>
    <row r="1250" spans="6:6">
      <c r="F1250" s="600" t="s">
        <v>2743</v>
      </c>
    </row>
    <row r="1251" spans="6:6">
      <c r="F1251" s="600" t="s">
        <v>2744</v>
      </c>
    </row>
    <row r="1252" spans="6:6">
      <c r="F1252" s="600" t="s">
        <v>2745</v>
      </c>
    </row>
    <row r="1253" spans="6:6">
      <c r="F1253" s="600" t="s">
        <v>2746</v>
      </c>
    </row>
    <row r="1254" spans="6:6">
      <c r="F1254" s="600" t="s">
        <v>2747</v>
      </c>
    </row>
    <row r="1255" spans="6:6">
      <c r="F1255" s="600" t="s">
        <v>2748</v>
      </c>
    </row>
    <row r="1256" spans="6:6">
      <c r="F1256" s="600" t="s">
        <v>2749</v>
      </c>
    </row>
    <row r="1257" spans="6:6">
      <c r="F1257" s="600" t="s">
        <v>2750</v>
      </c>
    </row>
    <row r="1258" spans="6:6">
      <c r="F1258" s="600" t="s">
        <v>2751</v>
      </c>
    </row>
    <row r="1259" spans="6:6">
      <c r="F1259" s="600" t="s">
        <v>2752</v>
      </c>
    </row>
    <row r="1260" spans="6:6">
      <c r="F1260" s="600" t="s">
        <v>2753</v>
      </c>
    </row>
    <row r="1261" spans="6:6">
      <c r="F1261" s="600" t="s">
        <v>2754</v>
      </c>
    </row>
    <row r="1262" spans="6:6">
      <c r="F1262" s="600" t="s">
        <v>2755</v>
      </c>
    </row>
    <row r="1263" spans="6:6">
      <c r="F1263" s="600" t="s">
        <v>2756</v>
      </c>
    </row>
    <row r="1264" spans="6:6">
      <c r="F1264" s="600" t="s">
        <v>2757</v>
      </c>
    </row>
    <row r="1265" spans="6:6">
      <c r="F1265" s="600" t="s">
        <v>2758</v>
      </c>
    </row>
    <row r="1266" spans="6:6">
      <c r="F1266" s="600" t="s">
        <v>2759</v>
      </c>
    </row>
    <row r="1267" spans="6:6">
      <c r="F1267" s="600" t="s">
        <v>2760</v>
      </c>
    </row>
    <row r="1268" spans="6:6">
      <c r="F1268" s="600" t="s">
        <v>2761</v>
      </c>
    </row>
    <row r="1269" spans="6:6">
      <c r="F1269" s="600" t="s">
        <v>2762</v>
      </c>
    </row>
    <row r="1270" spans="6:6">
      <c r="F1270" s="600" t="s">
        <v>2763</v>
      </c>
    </row>
    <row r="1271" spans="6:6">
      <c r="F1271" s="600" t="s">
        <v>2764</v>
      </c>
    </row>
    <row r="1272" spans="6:6">
      <c r="F1272" s="600" t="s">
        <v>2765</v>
      </c>
    </row>
    <row r="1273" spans="6:6">
      <c r="F1273" s="600" t="s">
        <v>2766</v>
      </c>
    </row>
    <row r="1274" spans="6:6">
      <c r="F1274" s="600" t="s">
        <v>2767</v>
      </c>
    </row>
    <row r="1275" spans="6:6">
      <c r="F1275" s="600" t="s">
        <v>2768</v>
      </c>
    </row>
    <row r="1276" spans="6:6">
      <c r="F1276" s="600" t="s">
        <v>2769</v>
      </c>
    </row>
    <row r="1277" spans="6:6">
      <c r="F1277" s="600" t="s">
        <v>2770</v>
      </c>
    </row>
    <row r="1278" spans="6:6">
      <c r="F1278" s="600" t="s">
        <v>2771</v>
      </c>
    </row>
    <row r="1279" spans="6:6">
      <c r="F1279" s="600" t="s">
        <v>2772</v>
      </c>
    </row>
    <row r="1280" spans="6:6">
      <c r="F1280" s="600" t="s">
        <v>2773</v>
      </c>
    </row>
    <row r="1281" spans="6:6">
      <c r="F1281" s="600" t="s">
        <v>2774</v>
      </c>
    </row>
    <row r="1282" spans="6:6">
      <c r="F1282" s="600" t="s">
        <v>2775</v>
      </c>
    </row>
    <row r="1283" spans="6:6">
      <c r="F1283" s="600" t="s">
        <v>2776</v>
      </c>
    </row>
    <row r="1284" spans="6:6">
      <c r="F1284" s="600" t="s">
        <v>2777</v>
      </c>
    </row>
    <row r="1285" spans="6:6">
      <c r="F1285" s="600" t="s">
        <v>2778</v>
      </c>
    </row>
    <row r="1286" spans="6:6">
      <c r="F1286" s="600" t="s">
        <v>2779</v>
      </c>
    </row>
    <row r="1287" spans="6:6">
      <c r="F1287" s="600" t="s">
        <v>2780</v>
      </c>
    </row>
    <row r="1288" spans="6:6">
      <c r="F1288" s="600" t="s">
        <v>2781</v>
      </c>
    </row>
    <row r="1289" spans="6:6">
      <c r="F1289" s="600" t="s">
        <v>2782</v>
      </c>
    </row>
    <row r="1290" spans="6:6">
      <c r="F1290" s="600" t="s">
        <v>2783</v>
      </c>
    </row>
    <row r="1291" spans="6:6">
      <c r="F1291" s="600" t="s">
        <v>2784</v>
      </c>
    </row>
    <row r="1292" spans="6:6">
      <c r="F1292" s="600" t="s">
        <v>2785</v>
      </c>
    </row>
    <row r="1293" spans="6:6">
      <c r="F1293" s="600" t="s">
        <v>2786</v>
      </c>
    </row>
    <row r="1294" spans="6:6">
      <c r="F1294" s="600" t="s">
        <v>2787</v>
      </c>
    </row>
    <row r="1295" spans="6:6">
      <c r="F1295" s="600" t="s">
        <v>2788</v>
      </c>
    </row>
    <row r="1296" spans="6:6">
      <c r="F1296" s="600" t="s">
        <v>2789</v>
      </c>
    </row>
    <row r="1297" spans="6:6">
      <c r="F1297" s="600" t="s">
        <v>2790</v>
      </c>
    </row>
    <row r="1298" spans="6:6">
      <c r="F1298" s="600" t="s">
        <v>2791</v>
      </c>
    </row>
    <row r="1299" spans="6:6">
      <c r="F1299" s="600" t="s">
        <v>2792</v>
      </c>
    </row>
    <row r="1300" spans="6:6">
      <c r="F1300" s="600" t="s">
        <v>2793</v>
      </c>
    </row>
    <row r="1301" spans="6:6">
      <c r="F1301" s="600" t="s">
        <v>2794</v>
      </c>
    </row>
    <row r="1302" spans="6:6">
      <c r="F1302" s="600" t="s">
        <v>2795</v>
      </c>
    </row>
    <row r="1303" spans="6:6">
      <c r="F1303" s="600" t="s">
        <v>2796</v>
      </c>
    </row>
    <row r="1304" spans="6:6">
      <c r="F1304" s="600" t="s">
        <v>2797</v>
      </c>
    </row>
    <row r="1305" spans="6:6">
      <c r="F1305" s="600" t="s">
        <v>2798</v>
      </c>
    </row>
    <row r="1306" spans="6:6">
      <c r="F1306" s="600" t="s">
        <v>2799</v>
      </c>
    </row>
    <row r="1307" spans="6:6">
      <c r="F1307" s="600" t="s">
        <v>2800</v>
      </c>
    </row>
    <row r="1308" spans="6:6">
      <c r="F1308" s="600" t="s">
        <v>2801</v>
      </c>
    </row>
    <row r="1309" spans="6:6">
      <c r="F1309" s="600" t="s">
        <v>2802</v>
      </c>
    </row>
    <row r="1310" spans="6:6">
      <c r="F1310" s="600" t="s">
        <v>2803</v>
      </c>
    </row>
    <row r="1311" spans="6:6">
      <c r="F1311" s="600" t="s">
        <v>2804</v>
      </c>
    </row>
    <row r="1312" spans="6:6">
      <c r="F1312" s="600" t="s">
        <v>2805</v>
      </c>
    </row>
    <row r="1313" spans="6:6">
      <c r="F1313" s="600" t="s">
        <v>2806</v>
      </c>
    </row>
    <row r="1314" spans="6:6">
      <c r="F1314" s="600" t="s">
        <v>2807</v>
      </c>
    </row>
    <row r="1315" spans="6:6">
      <c r="F1315" s="600" t="s">
        <v>2808</v>
      </c>
    </row>
    <row r="1316" spans="6:6">
      <c r="F1316" s="600" t="s">
        <v>2809</v>
      </c>
    </row>
    <row r="1317" spans="6:6">
      <c r="F1317" s="600" t="s">
        <v>2810</v>
      </c>
    </row>
    <row r="1318" spans="6:6">
      <c r="F1318" s="600" t="s">
        <v>2811</v>
      </c>
    </row>
    <row r="1319" spans="6:6">
      <c r="F1319" s="600" t="s">
        <v>2812</v>
      </c>
    </row>
    <row r="1320" spans="6:6">
      <c r="F1320" s="600" t="s">
        <v>2813</v>
      </c>
    </row>
    <row r="1321" spans="6:6">
      <c r="F1321" s="600" t="s">
        <v>2814</v>
      </c>
    </row>
    <row r="1322" spans="6:6">
      <c r="F1322" s="600" t="s">
        <v>2815</v>
      </c>
    </row>
    <row r="1323" spans="6:6">
      <c r="F1323" s="600" t="s">
        <v>2816</v>
      </c>
    </row>
    <row r="1324" spans="6:6">
      <c r="F1324" s="600" t="s">
        <v>2817</v>
      </c>
    </row>
    <row r="1325" spans="6:6">
      <c r="F1325" s="600" t="s">
        <v>2818</v>
      </c>
    </row>
    <row r="1326" spans="6:6">
      <c r="F1326" s="600" t="s">
        <v>2819</v>
      </c>
    </row>
    <row r="1327" spans="6:6">
      <c r="F1327" s="600" t="s">
        <v>2820</v>
      </c>
    </row>
    <row r="1328" spans="6:6">
      <c r="F1328" s="600" t="s">
        <v>2821</v>
      </c>
    </row>
    <row r="1329" spans="6:6">
      <c r="F1329" s="600" t="s">
        <v>2822</v>
      </c>
    </row>
    <row r="1330" spans="6:6">
      <c r="F1330" s="600" t="s">
        <v>2823</v>
      </c>
    </row>
    <row r="1331" spans="6:6">
      <c r="F1331" s="600" t="s">
        <v>2824</v>
      </c>
    </row>
    <row r="1332" spans="6:6">
      <c r="F1332" s="600" t="s">
        <v>2825</v>
      </c>
    </row>
    <row r="1333" spans="6:6">
      <c r="F1333" s="600" t="s">
        <v>2826</v>
      </c>
    </row>
    <row r="1334" spans="6:6">
      <c r="F1334" s="600" t="s">
        <v>2827</v>
      </c>
    </row>
    <row r="1335" spans="6:6">
      <c r="F1335" s="600" t="s">
        <v>2828</v>
      </c>
    </row>
    <row r="1336" spans="6:6">
      <c r="F1336" s="600" t="s">
        <v>2829</v>
      </c>
    </row>
    <row r="1337" spans="6:6">
      <c r="F1337" s="600" t="s">
        <v>2830</v>
      </c>
    </row>
    <row r="1338" spans="6:6">
      <c r="F1338" s="600" t="s">
        <v>2831</v>
      </c>
    </row>
    <row r="1339" spans="6:6">
      <c r="F1339" s="600">
        <v>300</v>
      </c>
    </row>
    <row r="1340" spans="6:6">
      <c r="F1340" s="600" t="s">
        <v>2832</v>
      </c>
    </row>
    <row r="1341" spans="6:6">
      <c r="F1341" s="600" t="s">
        <v>2833</v>
      </c>
    </row>
    <row r="1342" spans="6:6">
      <c r="F1342" s="600" t="s">
        <v>2834</v>
      </c>
    </row>
    <row r="1343" spans="6:6">
      <c r="F1343" s="600" t="s">
        <v>2835</v>
      </c>
    </row>
    <row r="1344" spans="6:6">
      <c r="F1344" s="600" t="s">
        <v>2836</v>
      </c>
    </row>
    <row r="1345" spans="6:6">
      <c r="F1345" s="600" t="s">
        <v>2837</v>
      </c>
    </row>
    <row r="1346" spans="6:6">
      <c r="F1346" s="600" t="s">
        <v>2838</v>
      </c>
    </row>
    <row r="1347" spans="6:6">
      <c r="F1347" s="600" t="s">
        <v>2839</v>
      </c>
    </row>
    <row r="1348" spans="6:6">
      <c r="F1348" s="600" t="s">
        <v>2840</v>
      </c>
    </row>
    <row r="1349" spans="6:6">
      <c r="F1349" s="600" t="s">
        <v>2841</v>
      </c>
    </row>
    <row r="1350" spans="6:6">
      <c r="F1350" s="600" t="s">
        <v>2842</v>
      </c>
    </row>
    <row r="1351" spans="6:6">
      <c r="F1351" s="600" t="s">
        <v>2843</v>
      </c>
    </row>
    <row r="1352" spans="6:6">
      <c r="F1352" s="600" t="s">
        <v>2844</v>
      </c>
    </row>
    <row r="1353" spans="6:6">
      <c r="F1353" s="600" t="s">
        <v>2845</v>
      </c>
    </row>
    <row r="1354" spans="6:6">
      <c r="F1354" s="600" t="s">
        <v>2846</v>
      </c>
    </row>
    <row r="1355" spans="6:6">
      <c r="F1355" s="600" t="s">
        <v>2847</v>
      </c>
    </row>
    <row r="1356" spans="6:6">
      <c r="F1356" s="600" t="s">
        <v>2848</v>
      </c>
    </row>
    <row r="1357" spans="6:6">
      <c r="F1357" s="600" t="s">
        <v>2849</v>
      </c>
    </row>
    <row r="1358" spans="6:6">
      <c r="F1358" s="600" t="s">
        <v>2850</v>
      </c>
    </row>
    <row r="1359" spans="6:6">
      <c r="F1359" s="600" t="s">
        <v>2851</v>
      </c>
    </row>
    <row r="1360" spans="6:6">
      <c r="F1360" s="600" t="s">
        <v>2852</v>
      </c>
    </row>
    <row r="1361" spans="6:6">
      <c r="F1361" s="600" t="s">
        <v>2853</v>
      </c>
    </row>
    <row r="1362" spans="6:6">
      <c r="F1362" s="600" t="s">
        <v>2854</v>
      </c>
    </row>
    <row r="1363" spans="6:6">
      <c r="F1363" s="600" t="s">
        <v>2855</v>
      </c>
    </row>
    <row r="1364" spans="6:6">
      <c r="F1364" s="600" t="s">
        <v>2856</v>
      </c>
    </row>
    <row r="1365" spans="6:6">
      <c r="F1365" s="600" t="s">
        <v>2857</v>
      </c>
    </row>
    <row r="1366" spans="6:6">
      <c r="F1366" s="600" t="s">
        <v>2858</v>
      </c>
    </row>
    <row r="1367" spans="6:6">
      <c r="F1367" s="600" t="s">
        <v>2859</v>
      </c>
    </row>
    <row r="1368" spans="6:6">
      <c r="F1368" s="600" t="s">
        <v>2860</v>
      </c>
    </row>
    <row r="1369" spans="6:6">
      <c r="F1369" s="600" t="s">
        <v>2861</v>
      </c>
    </row>
    <row r="1370" spans="6:6">
      <c r="F1370" s="600" t="s">
        <v>2862</v>
      </c>
    </row>
    <row r="1371" spans="6:6">
      <c r="F1371" s="600" t="s">
        <v>2863</v>
      </c>
    </row>
    <row r="1372" spans="6:6">
      <c r="F1372" s="600" t="s">
        <v>2864</v>
      </c>
    </row>
    <row r="1373" spans="6:6">
      <c r="F1373" s="600" t="s">
        <v>2865</v>
      </c>
    </row>
    <row r="1374" spans="6:6">
      <c r="F1374" s="600" t="s">
        <v>2866</v>
      </c>
    </row>
    <row r="1375" spans="6:6">
      <c r="F1375" s="600" t="s">
        <v>2867</v>
      </c>
    </row>
    <row r="1376" spans="6:6">
      <c r="F1376" s="600" t="s">
        <v>2868</v>
      </c>
    </row>
    <row r="1377" spans="6:6">
      <c r="F1377" s="600" t="s">
        <v>2869</v>
      </c>
    </row>
    <row r="1378" spans="6:6">
      <c r="F1378" s="600" t="s">
        <v>2870</v>
      </c>
    </row>
    <row r="1379" spans="6:6">
      <c r="F1379" s="600" t="s">
        <v>2871</v>
      </c>
    </row>
    <row r="1380" spans="6:6">
      <c r="F1380" s="600" t="s">
        <v>2872</v>
      </c>
    </row>
    <row r="1381" spans="6:6">
      <c r="F1381" s="600" t="s">
        <v>2873</v>
      </c>
    </row>
    <row r="1382" spans="6:6">
      <c r="F1382" s="600" t="s">
        <v>2874</v>
      </c>
    </row>
    <row r="1383" spans="6:6">
      <c r="F1383" s="600" t="s">
        <v>2875</v>
      </c>
    </row>
    <row r="1384" spans="6:6">
      <c r="F1384" s="600" t="s">
        <v>2876</v>
      </c>
    </row>
    <row r="1385" spans="6:6">
      <c r="F1385" s="600" t="s">
        <v>2877</v>
      </c>
    </row>
    <row r="1386" spans="6:6">
      <c r="F1386" s="600" t="s">
        <v>2878</v>
      </c>
    </row>
    <row r="1387" spans="6:6">
      <c r="F1387" s="600" t="s">
        <v>2879</v>
      </c>
    </row>
    <row r="1388" spans="6:6">
      <c r="F1388" s="600" t="s">
        <v>2880</v>
      </c>
    </row>
    <row r="1389" spans="6:6">
      <c r="F1389" s="600" t="s">
        <v>2881</v>
      </c>
    </row>
    <row r="1390" spans="6:6">
      <c r="F1390" s="600" t="s">
        <v>2882</v>
      </c>
    </row>
    <row r="1391" spans="6:6">
      <c r="F1391" s="600" t="s">
        <v>2883</v>
      </c>
    </row>
    <row r="1392" spans="6:6">
      <c r="F1392" s="600" t="s">
        <v>2884</v>
      </c>
    </row>
    <row r="1393" spans="6:6">
      <c r="F1393" s="600" t="s">
        <v>2885</v>
      </c>
    </row>
    <row r="1394" spans="6:6">
      <c r="F1394" s="600" t="s">
        <v>2886</v>
      </c>
    </row>
    <row r="1395" spans="6:6">
      <c r="F1395" s="600" t="s">
        <v>2887</v>
      </c>
    </row>
    <row r="1396" spans="6:6">
      <c r="F1396" s="600" t="s">
        <v>2888</v>
      </c>
    </row>
    <row r="1397" spans="6:6">
      <c r="F1397" s="600" t="s">
        <v>2889</v>
      </c>
    </row>
    <row r="1398" spans="6:6">
      <c r="F1398" s="600" t="s">
        <v>2890</v>
      </c>
    </row>
    <row r="1399" spans="6:6">
      <c r="F1399" s="600" t="s">
        <v>2891</v>
      </c>
    </row>
    <row r="1400" spans="6:6">
      <c r="F1400" s="600" t="s">
        <v>2892</v>
      </c>
    </row>
    <row r="1401" spans="6:6">
      <c r="F1401" s="600" t="s">
        <v>2893</v>
      </c>
    </row>
    <row r="1402" spans="6:6">
      <c r="F1402" s="600" t="s">
        <v>2894</v>
      </c>
    </row>
    <row r="1403" spans="6:6">
      <c r="F1403" s="600" t="s">
        <v>2895</v>
      </c>
    </row>
    <row r="1404" spans="6:6">
      <c r="F1404" s="600" t="s">
        <v>2896</v>
      </c>
    </row>
    <row r="1405" spans="6:6">
      <c r="F1405" s="600" t="s">
        <v>2897</v>
      </c>
    </row>
    <row r="1406" spans="6:6">
      <c r="F1406" s="600" t="s">
        <v>2898</v>
      </c>
    </row>
    <row r="1407" spans="6:6">
      <c r="F1407" s="600" t="s">
        <v>2899</v>
      </c>
    </row>
    <row r="1408" spans="6:6">
      <c r="F1408" s="600" t="s">
        <v>2900</v>
      </c>
    </row>
    <row r="1409" spans="6:6">
      <c r="F1409" s="600" t="s">
        <v>2901</v>
      </c>
    </row>
    <row r="1410" spans="6:6">
      <c r="F1410" s="600" t="s">
        <v>2902</v>
      </c>
    </row>
    <row r="1411" spans="6:6">
      <c r="F1411" s="600" t="s">
        <v>2903</v>
      </c>
    </row>
    <row r="1412" spans="6:6">
      <c r="F1412" s="600" t="s">
        <v>2904</v>
      </c>
    </row>
    <row r="1413" spans="6:6">
      <c r="F1413" s="600" t="s">
        <v>2905</v>
      </c>
    </row>
    <row r="1414" spans="6:6">
      <c r="F1414" s="600" t="s">
        <v>2906</v>
      </c>
    </row>
    <row r="1415" spans="6:6">
      <c r="F1415" s="600" t="s">
        <v>2907</v>
      </c>
    </row>
    <row r="1416" spans="6:6">
      <c r="F1416" s="600" t="s">
        <v>2908</v>
      </c>
    </row>
    <row r="1417" spans="6:6">
      <c r="F1417" s="600" t="s">
        <v>2909</v>
      </c>
    </row>
    <row r="1418" spans="6:6">
      <c r="F1418" s="600" t="s">
        <v>2910</v>
      </c>
    </row>
    <row r="1419" spans="6:6">
      <c r="F1419" s="600" t="s">
        <v>2911</v>
      </c>
    </row>
    <row r="1420" spans="6:6">
      <c r="F1420" s="600" t="s">
        <v>2912</v>
      </c>
    </row>
    <row r="1421" spans="6:6">
      <c r="F1421" s="600" t="s">
        <v>2913</v>
      </c>
    </row>
    <row r="1422" spans="6:6">
      <c r="F1422" s="600" t="s">
        <v>2914</v>
      </c>
    </row>
    <row r="1423" spans="6:6">
      <c r="F1423" s="600" t="s">
        <v>2915</v>
      </c>
    </row>
    <row r="1424" spans="6:6">
      <c r="F1424" s="600" t="s">
        <v>2916</v>
      </c>
    </row>
    <row r="1425" spans="6:6">
      <c r="F1425" s="600" t="s">
        <v>2917</v>
      </c>
    </row>
    <row r="1426" spans="6:6">
      <c r="F1426" s="600" t="s">
        <v>2918</v>
      </c>
    </row>
    <row r="1427" spans="6:6">
      <c r="F1427" s="600" t="s">
        <v>2919</v>
      </c>
    </row>
    <row r="1428" spans="6:6">
      <c r="F1428" s="600" t="s">
        <v>2920</v>
      </c>
    </row>
    <row r="1429" spans="6:6">
      <c r="F1429" s="600" t="s">
        <v>2921</v>
      </c>
    </row>
    <row r="1430" spans="6:6">
      <c r="F1430" s="600" t="s">
        <v>2922</v>
      </c>
    </row>
    <row r="1431" spans="6:6">
      <c r="F1431" s="600" t="s">
        <v>2923</v>
      </c>
    </row>
    <row r="1432" spans="6:6">
      <c r="F1432" s="600" t="s">
        <v>2924</v>
      </c>
    </row>
    <row r="1433" spans="6:6">
      <c r="F1433" s="600" t="s">
        <v>2925</v>
      </c>
    </row>
    <row r="1434" spans="6:6">
      <c r="F1434" s="600" t="s">
        <v>2926</v>
      </c>
    </row>
    <row r="1435" spans="6:6">
      <c r="F1435" s="600" t="s">
        <v>2927</v>
      </c>
    </row>
    <row r="1436" spans="6:6">
      <c r="F1436" s="600" t="s">
        <v>2928</v>
      </c>
    </row>
    <row r="1437" spans="6:6">
      <c r="F1437" s="600" t="s">
        <v>2929</v>
      </c>
    </row>
    <row r="1438" spans="6:6">
      <c r="F1438" s="600" t="s">
        <v>2930</v>
      </c>
    </row>
    <row r="1439" spans="6:6">
      <c r="F1439" s="600" t="s">
        <v>2931</v>
      </c>
    </row>
    <row r="1440" spans="6:6">
      <c r="F1440" s="600" t="s">
        <v>2932</v>
      </c>
    </row>
    <row r="1441" spans="6:6">
      <c r="F1441" s="600" t="s">
        <v>2933</v>
      </c>
    </row>
    <row r="1442" spans="6:6">
      <c r="F1442" s="600" t="s">
        <v>2934</v>
      </c>
    </row>
    <row r="1443" spans="6:6">
      <c r="F1443" s="600" t="s">
        <v>2935</v>
      </c>
    </row>
    <row r="1444" spans="6:6">
      <c r="F1444" s="600" t="s">
        <v>2936</v>
      </c>
    </row>
    <row r="1445" spans="6:6">
      <c r="F1445" s="600" t="s">
        <v>2937</v>
      </c>
    </row>
    <row r="1446" spans="6:6">
      <c r="F1446" s="600" t="s">
        <v>2938</v>
      </c>
    </row>
    <row r="1447" spans="6:6">
      <c r="F1447" s="600" t="s">
        <v>2939</v>
      </c>
    </row>
    <row r="1448" spans="6:6">
      <c r="F1448" s="600" t="s">
        <v>2940</v>
      </c>
    </row>
    <row r="1449" spans="6:6">
      <c r="F1449" s="600" t="s">
        <v>2941</v>
      </c>
    </row>
    <row r="1450" spans="6:6">
      <c r="F1450" s="600" t="s">
        <v>2942</v>
      </c>
    </row>
    <row r="1451" spans="6:6">
      <c r="F1451" s="600" t="s">
        <v>2943</v>
      </c>
    </row>
    <row r="1452" spans="6:6">
      <c r="F1452" s="600" t="s">
        <v>2944</v>
      </c>
    </row>
    <row r="1453" spans="6:6">
      <c r="F1453" s="600" t="s">
        <v>2945</v>
      </c>
    </row>
    <row r="1454" spans="6:6">
      <c r="F1454" s="600" t="s">
        <v>2946</v>
      </c>
    </row>
    <row r="1455" spans="6:6">
      <c r="F1455" s="600" t="s">
        <v>2947</v>
      </c>
    </row>
    <row r="1456" spans="6:6">
      <c r="F1456" s="600" t="s">
        <v>2948</v>
      </c>
    </row>
    <row r="1457" spans="6:6">
      <c r="F1457" s="600" t="s">
        <v>2949</v>
      </c>
    </row>
    <row r="1458" spans="6:6">
      <c r="F1458" s="600" t="s">
        <v>2950</v>
      </c>
    </row>
    <row r="1459" spans="6:6">
      <c r="F1459" s="600" t="s">
        <v>2951</v>
      </c>
    </row>
    <row r="1460" spans="6:6">
      <c r="F1460" s="600" t="s">
        <v>2952</v>
      </c>
    </row>
    <row r="1461" spans="6:6">
      <c r="F1461" s="600" t="s">
        <v>2953</v>
      </c>
    </row>
    <row r="1462" spans="6:6">
      <c r="F1462" s="600" t="s">
        <v>2954</v>
      </c>
    </row>
    <row r="1463" spans="6:6">
      <c r="F1463" s="600" t="s">
        <v>2955</v>
      </c>
    </row>
    <row r="1464" spans="6:6">
      <c r="F1464" s="600" t="s">
        <v>2956</v>
      </c>
    </row>
    <row r="1465" spans="6:6">
      <c r="F1465" s="600" t="s">
        <v>2957</v>
      </c>
    </row>
    <row r="1466" spans="6:6">
      <c r="F1466" s="600" t="s">
        <v>2958</v>
      </c>
    </row>
    <row r="1467" spans="6:6">
      <c r="F1467" s="600" t="s">
        <v>2959</v>
      </c>
    </row>
    <row r="1468" spans="6:6">
      <c r="F1468" s="600" t="s">
        <v>2960</v>
      </c>
    </row>
    <row r="1469" spans="6:6">
      <c r="F1469" s="600" t="s">
        <v>2961</v>
      </c>
    </row>
    <row r="1470" spans="6:6">
      <c r="F1470" s="600" t="s">
        <v>2962</v>
      </c>
    </row>
    <row r="1471" spans="6:6">
      <c r="F1471" s="600" t="s">
        <v>2963</v>
      </c>
    </row>
    <row r="1472" spans="6:6">
      <c r="F1472" s="600" t="s">
        <v>2964</v>
      </c>
    </row>
    <row r="1473" spans="6:6">
      <c r="F1473" s="600" t="s">
        <v>2965</v>
      </c>
    </row>
    <row r="1474" spans="6:6">
      <c r="F1474" s="600" t="s">
        <v>2966</v>
      </c>
    </row>
    <row r="1475" spans="6:6">
      <c r="F1475" s="600" t="s">
        <v>2967</v>
      </c>
    </row>
    <row r="1476" spans="6:6">
      <c r="F1476" s="600" t="s">
        <v>2968</v>
      </c>
    </row>
    <row r="1477" spans="6:6">
      <c r="F1477" s="600" t="s">
        <v>2969</v>
      </c>
    </row>
    <row r="1478" spans="6:6">
      <c r="F1478" s="600" t="s">
        <v>2970</v>
      </c>
    </row>
    <row r="1479" spans="6:6">
      <c r="F1479" s="600" t="s">
        <v>2971</v>
      </c>
    </row>
    <row r="1480" spans="6:6">
      <c r="F1480" s="600" t="s">
        <v>2972</v>
      </c>
    </row>
    <row r="1481" spans="6:6">
      <c r="F1481" s="600" t="s">
        <v>2973</v>
      </c>
    </row>
    <row r="1482" spans="6:6">
      <c r="F1482" s="600" t="s">
        <v>2974</v>
      </c>
    </row>
    <row r="1483" spans="6:6">
      <c r="F1483" s="600" t="s">
        <v>2975</v>
      </c>
    </row>
    <row r="1484" spans="6:6">
      <c r="F1484" s="600" t="s">
        <v>2976</v>
      </c>
    </row>
    <row r="1485" spans="6:6">
      <c r="F1485" s="600" t="s">
        <v>2977</v>
      </c>
    </row>
    <row r="1486" spans="6:6">
      <c r="F1486" s="600" t="s">
        <v>2978</v>
      </c>
    </row>
    <row r="1487" spans="6:6">
      <c r="F1487" s="600" t="s">
        <v>2979</v>
      </c>
    </row>
    <row r="1488" spans="6:6">
      <c r="F1488" s="600" t="s">
        <v>2980</v>
      </c>
    </row>
    <row r="1489" spans="6:6">
      <c r="F1489" s="600" t="s">
        <v>2981</v>
      </c>
    </row>
    <row r="1490" spans="6:6">
      <c r="F1490" s="600" t="s">
        <v>2982</v>
      </c>
    </row>
    <row r="1491" spans="6:6">
      <c r="F1491" s="600" t="s">
        <v>2983</v>
      </c>
    </row>
    <row r="1492" spans="6:6">
      <c r="F1492" s="600" t="s">
        <v>2984</v>
      </c>
    </row>
    <row r="1493" spans="6:6">
      <c r="F1493" s="600" t="s">
        <v>2985</v>
      </c>
    </row>
    <row r="1494" spans="6:6">
      <c r="F1494" s="600" t="s">
        <v>2986</v>
      </c>
    </row>
    <row r="1495" spans="6:6">
      <c r="F1495" s="600" t="s">
        <v>2987</v>
      </c>
    </row>
    <row r="1496" spans="6:6">
      <c r="F1496" s="600" t="s">
        <v>2988</v>
      </c>
    </row>
    <row r="1497" spans="6:6">
      <c r="F1497" s="600" t="s">
        <v>2989</v>
      </c>
    </row>
    <row r="1498" spans="6:6">
      <c r="F1498" s="600" t="s">
        <v>2990</v>
      </c>
    </row>
    <row r="1499" spans="6:6">
      <c r="F1499" s="600" t="s">
        <v>2991</v>
      </c>
    </row>
    <row r="1500" spans="6:6">
      <c r="F1500" s="600" t="s">
        <v>2992</v>
      </c>
    </row>
    <row r="1501" spans="6:6">
      <c r="F1501" s="600" t="s">
        <v>2993</v>
      </c>
    </row>
    <row r="1502" spans="6:6">
      <c r="F1502" s="600" t="s">
        <v>2994</v>
      </c>
    </row>
    <row r="1503" spans="6:6">
      <c r="F1503" s="600" t="s">
        <v>2995</v>
      </c>
    </row>
    <row r="1504" spans="6:6">
      <c r="F1504" s="600" t="s">
        <v>2996</v>
      </c>
    </row>
    <row r="1505" spans="6:6">
      <c r="F1505" s="600" t="s">
        <v>2997</v>
      </c>
    </row>
    <row r="1506" spans="6:6">
      <c r="F1506" s="600" t="s">
        <v>2998</v>
      </c>
    </row>
    <row r="1507" spans="6:6">
      <c r="F1507" s="600" t="s">
        <v>2999</v>
      </c>
    </row>
    <row r="1508" spans="6:6">
      <c r="F1508" s="600" t="s">
        <v>3000</v>
      </c>
    </row>
    <row r="1509" spans="6:6">
      <c r="F1509" s="600" t="s">
        <v>3001</v>
      </c>
    </row>
    <row r="1510" spans="6:6">
      <c r="F1510" s="600" t="s">
        <v>3002</v>
      </c>
    </row>
    <row r="1511" spans="6:6">
      <c r="F1511" s="600" t="s">
        <v>3003</v>
      </c>
    </row>
    <row r="1512" spans="6:6">
      <c r="F1512" s="600" t="s">
        <v>3004</v>
      </c>
    </row>
    <row r="1513" spans="6:6">
      <c r="F1513" s="600" t="s">
        <v>3005</v>
      </c>
    </row>
    <row r="1514" spans="6:6">
      <c r="F1514" s="600" t="s">
        <v>3006</v>
      </c>
    </row>
    <row r="1515" spans="6:6">
      <c r="F1515" s="600" t="s">
        <v>3007</v>
      </c>
    </row>
    <row r="1516" spans="6:6">
      <c r="F1516" s="600" t="s">
        <v>3008</v>
      </c>
    </row>
    <row r="1517" spans="6:6">
      <c r="F1517" s="600" t="s">
        <v>3009</v>
      </c>
    </row>
    <row r="1518" spans="6:6">
      <c r="F1518" s="600" t="s">
        <v>3010</v>
      </c>
    </row>
    <row r="1519" spans="6:6">
      <c r="F1519" s="600" t="s">
        <v>3011</v>
      </c>
    </row>
    <row r="1520" spans="6:6">
      <c r="F1520" s="600" t="s">
        <v>3012</v>
      </c>
    </row>
    <row r="1521" spans="6:6">
      <c r="F1521" s="600" t="s">
        <v>3013</v>
      </c>
    </row>
    <row r="1522" spans="6:6">
      <c r="F1522" s="600" t="s">
        <v>3014</v>
      </c>
    </row>
    <row r="1523" spans="6:6">
      <c r="F1523" s="600" t="s">
        <v>3015</v>
      </c>
    </row>
    <row r="1524" spans="6:6">
      <c r="F1524" s="600" t="s">
        <v>3016</v>
      </c>
    </row>
    <row r="1525" spans="6:6">
      <c r="F1525" s="600" t="s">
        <v>3017</v>
      </c>
    </row>
    <row r="1526" spans="6:6">
      <c r="F1526" s="600" t="s">
        <v>3018</v>
      </c>
    </row>
    <row r="1527" spans="6:6">
      <c r="F1527" s="600" t="s">
        <v>3019</v>
      </c>
    </row>
    <row r="1528" spans="6:6">
      <c r="F1528" s="600" t="s">
        <v>3020</v>
      </c>
    </row>
    <row r="1529" spans="6:6">
      <c r="F1529" s="600" t="s">
        <v>3021</v>
      </c>
    </row>
    <row r="1530" spans="6:6">
      <c r="F1530" s="600" t="s">
        <v>3022</v>
      </c>
    </row>
    <row r="1531" spans="6:6">
      <c r="F1531" s="600" t="s">
        <v>3023</v>
      </c>
    </row>
    <row r="1532" spans="6:6">
      <c r="F1532" s="600" t="s">
        <v>3024</v>
      </c>
    </row>
    <row r="1533" spans="6:6">
      <c r="F1533" s="600" t="s">
        <v>3025</v>
      </c>
    </row>
    <row r="1534" spans="6:6">
      <c r="F1534" s="600" t="s">
        <v>3026</v>
      </c>
    </row>
    <row r="1535" spans="6:6">
      <c r="F1535" s="600" t="s">
        <v>3027</v>
      </c>
    </row>
    <row r="1536" spans="6:6">
      <c r="F1536" s="600" t="s">
        <v>3028</v>
      </c>
    </row>
    <row r="1537" spans="6:6">
      <c r="F1537" s="600" t="s">
        <v>3029</v>
      </c>
    </row>
    <row r="1538" spans="6:6">
      <c r="F1538" s="600" t="s">
        <v>3030</v>
      </c>
    </row>
    <row r="1539" spans="6:6">
      <c r="F1539" s="600" t="s">
        <v>3031</v>
      </c>
    </row>
    <row r="1540" spans="6:6">
      <c r="F1540" s="600" t="s">
        <v>3032</v>
      </c>
    </row>
    <row r="1541" spans="6:6">
      <c r="F1541" s="600" t="s">
        <v>3033</v>
      </c>
    </row>
    <row r="1542" spans="6:6">
      <c r="F1542" s="600" t="s">
        <v>3034</v>
      </c>
    </row>
    <row r="1543" spans="6:6">
      <c r="F1543" s="600" t="s">
        <v>3035</v>
      </c>
    </row>
    <row r="1544" spans="6:6">
      <c r="F1544" s="600" t="s">
        <v>3036</v>
      </c>
    </row>
    <row r="1545" spans="6:6">
      <c r="F1545" s="600" t="s">
        <v>3037</v>
      </c>
    </row>
    <row r="1546" spans="6:6">
      <c r="F1546" s="600" t="s">
        <v>3038</v>
      </c>
    </row>
    <row r="1547" spans="6:6">
      <c r="F1547" s="600" t="s">
        <v>3039</v>
      </c>
    </row>
    <row r="1548" spans="6:6">
      <c r="F1548" s="600" t="s">
        <v>3040</v>
      </c>
    </row>
    <row r="1549" spans="6:6">
      <c r="F1549" s="600" t="s">
        <v>3041</v>
      </c>
    </row>
    <row r="1550" spans="6:6">
      <c r="F1550" s="600" t="s">
        <v>3042</v>
      </c>
    </row>
    <row r="1551" spans="6:6">
      <c r="F1551" s="600" t="s">
        <v>3043</v>
      </c>
    </row>
    <row r="1552" spans="6:6">
      <c r="F1552" s="600" t="s">
        <v>3044</v>
      </c>
    </row>
    <row r="1553" spans="6:6">
      <c r="F1553" s="600" t="s">
        <v>3045</v>
      </c>
    </row>
    <row r="1554" spans="6:6">
      <c r="F1554" s="600" t="s">
        <v>3046</v>
      </c>
    </row>
    <row r="1555" spans="6:6">
      <c r="F1555" s="600" t="s">
        <v>3047</v>
      </c>
    </row>
    <row r="1556" spans="6:6">
      <c r="F1556" s="600" t="s">
        <v>3048</v>
      </c>
    </row>
    <row r="1557" spans="6:6">
      <c r="F1557" s="600" t="s">
        <v>3049</v>
      </c>
    </row>
    <row r="1558" spans="6:6">
      <c r="F1558" s="600" t="s">
        <v>3050</v>
      </c>
    </row>
    <row r="1559" spans="6:6">
      <c r="F1559" s="600" t="s">
        <v>3051</v>
      </c>
    </row>
    <row r="1560" spans="6:6">
      <c r="F1560" s="600" t="s">
        <v>3052</v>
      </c>
    </row>
    <row r="1561" spans="6:6">
      <c r="F1561" s="600" t="s">
        <v>3053</v>
      </c>
    </row>
    <row r="1562" spans="6:6">
      <c r="F1562" s="600" t="s">
        <v>3054</v>
      </c>
    </row>
    <row r="1563" spans="6:6">
      <c r="F1563" s="600" t="s">
        <v>3055</v>
      </c>
    </row>
    <row r="1564" spans="6:6">
      <c r="F1564" s="600" t="s">
        <v>3056</v>
      </c>
    </row>
    <row r="1565" spans="6:6">
      <c r="F1565" s="600" t="s">
        <v>3057</v>
      </c>
    </row>
    <row r="1566" spans="6:6">
      <c r="F1566" s="600" t="s">
        <v>3058</v>
      </c>
    </row>
    <row r="1567" spans="6:6">
      <c r="F1567" s="600" t="s">
        <v>3059</v>
      </c>
    </row>
    <row r="1568" spans="6:6">
      <c r="F1568" s="600" t="s">
        <v>3060</v>
      </c>
    </row>
    <row r="1569" spans="6:6">
      <c r="F1569" s="600" t="s">
        <v>3061</v>
      </c>
    </row>
    <row r="1570" spans="6:6">
      <c r="F1570" s="600" t="s">
        <v>3062</v>
      </c>
    </row>
    <row r="1571" spans="6:6">
      <c r="F1571" s="600" t="s">
        <v>3063</v>
      </c>
    </row>
    <row r="1572" spans="6:6">
      <c r="F1572" s="600" t="s">
        <v>3064</v>
      </c>
    </row>
    <row r="1573" spans="6:6">
      <c r="F1573" s="600" t="s">
        <v>3065</v>
      </c>
    </row>
    <row r="1574" spans="6:6">
      <c r="F1574" s="600" t="s">
        <v>3066</v>
      </c>
    </row>
    <row r="1575" spans="6:6">
      <c r="F1575" s="600" t="s">
        <v>3067</v>
      </c>
    </row>
    <row r="1576" spans="6:6">
      <c r="F1576" s="600" t="s">
        <v>3068</v>
      </c>
    </row>
    <row r="1577" spans="6:6">
      <c r="F1577" s="600" t="s">
        <v>3069</v>
      </c>
    </row>
    <row r="1578" spans="6:6">
      <c r="F1578" s="600" t="s">
        <v>3070</v>
      </c>
    </row>
    <row r="1579" spans="6:6">
      <c r="F1579" s="600" t="s">
        <v>3071</v>
      </c>
    </row>
    <row r="1580" spans="6:6">
      <c r="F1580" s="600" t="s">
        <v>3072</v>
      </c>
    </row>
    <row r="1581" spans="6:6">
      <c r="F1581" s="600" t="s">
        <v>3073</v>
      </c>
    </row>
    <row r="1582" spans="6:6">
      <c r="F1582" s="600" t="s">
        <v>3074</v>
      </c>
    </row>
    <row r="1583" spans="6:6">
      <c r="F1583" s="600" t="s">
        <v>3075</v>
      </c>
    </row>
    <row r="1584" spans="6:6">
      <c r="F1584" s="600" t="s">
        <v>3076</v>
      </c>
    </row>
    <row r="1585" spans="6:6">
      <c r="F1585" s="600" t="s">
        <v>3077</v>
      </c>
    </row>
    <row r="1586" spans="6:6">
      <c r="F1586" s="600" t="s">
        <v>3078</v>
      </c>
    </row>
    <row r="1587" spans="6:6">
      <c r="F1587" s="600" t="s">
        <v>3079</v>
      </c>
    </row>
    <row r="1588" spans="6:6">
      <c r="F1588" s="600" t="s">
        <v>3080</v>
      </c>
    </row>
    <row r="1589" spans="6:6">
      <c r="F1589" s="600" t="s">
        <v>3081</v>
      </c>
    </row>
    <row r="1590" spans="6:6">
      <c r="F1590" s="600" t="s">
        <v>3082</v>
      </c>
    </row>
    <row r="1591" spans="6:6">
      <c r="F1591" s="600" t="s">
        <v>3083</v>
      </c>
    </row>
    <row r="1592" spans="6:6">
      <c r="F1592" s="600" t="s">
        <v>3084</v>
      </c>
    </row>
    <row r="1593" spans="6:6">
      <c r="F1593" s="600" t="s">
        <v>3085</v>
      </c>
    </row>
    <row r="1594" spans="6:6">
      <c r="F1594" s="600" t="s">
        <v>3086</v>
      </c>
    </row>
    <row r="1595" spans="6:6">
      <c r="F1595" s="600" t="s">
        <v>3087</v>
      </c>
    </row>
    <row r="1596" spans="6:6">
      <c r="F1596" s="600" t="s">
        <v>3088</v>
      </c>
    </row>
    <row r="1597" spans="6:6">
      <c r="F1597" s="600" t="s">
        <v>3089</v>
      </c>
    </row>
    <row r="1598" spans="6:6">
      <c r="F1598" s="600" t="s">
        <v>3090</v>
      </c>
    </row>
    <row r="1599" spans="6:6">
      <c r="F1599" s="600" t="s">
        <v>3091</v>
      </c>
    </row>
    <row r="1600" spans="6:6">
      <c r="F1600" s="600" t="s">
        <v>3092</v>
      </c>
    </row>
    <row r="1601" spans="6:6">
      <c r="F1601" s="600" t="s">
        <v>3093</v>
      </c>
    </row>
    <row r="1602" spans="6:6">
      <c r="F1602" s="600" t="s">
        <v>3094</v>
      </c>
    </row>
    <row r="1603" spans="6:6">
      <c r="F1603" s="600" t="s">
        <v>3095</v>
      </c>
    </row>
    <row r="1604" spans="6:6">
      <c r="F1604" s="600" t="s">
        <v>3096</v>
      </c>
    </row>
    <row r="1605" spans="6:6">
      <c r="F1605" s="600" t="s">
        <v>3097</v>
      </c>
    </row>
    <row r="1606" spans="6:6">
      <c r="F1606" s="600" t="s">
        <v>3098</v>
      </c>
    </row>
    <row r="1607" spans="6:6">
      <c r="F1607" s="600" t="s">
        <v>3099</v>
      </c>
    </row>
    <row r="1608" spans="6:6">
      <c r="F1608" s="600" t="s">
        <v>3100</v>
      </c>
    </row>
    <row r="1609" spans="6:6">
      <c r="F1609" s="600" t="s">
        <v>3101</v>
      </c>
    </row>
    <row r="1610" spans="6:6">
      <c r="F1610" s="600" t="s">
        <v>3102</v>
      </c>
    </row>
    <row r="1611" spans="6:6">
      <c r="F1611" s="600" t="s">
        <v>3103</v>
      </c>
    </row>
    <row r="1612" spans="6:6">
      <c r="F1612" s="600" t="s">
        <v>3104</v>
      </c>
    </row>
    <row r="1613" spans="6:6">
      <c r="F1613" s="600" t="s">
        <v>3105</v>
      </c>
    </row>
    <row r="1614" spans="6:6">
      <c r="F1614" s="600" t="s">
        <v>3106</v>
      </c>
    </row>
    <row r="1615" spans="6:6">
      <c r="F1615" s="600" t="s">
        <v>3107</v>
      </c>
    </row>
    <row r="1616" spans="6:6">
      <c r="F1616" s="600" t="s">
        <v>3108</v>
      </c>
    </row>
    <row r="1617" spans="6:6">
      <c r="F1617" s="600" t="s">
        <v>3109</v>
      </c>
    </row>
    <row r="1618" spans="6:6">
      <c r="F1618" s="600" t="s">
        <v>3110</v>
      </c>
    </row>
    <row r="1619" spans="6:6">
      <c r="F1619" s="600" t="s">
        <v>3111</v>
      </c>
    </row>
    <row r="1620" spans="6:6">
      <c r="F1620" s="600" t="s">
        <v>3112</v>
      </c>
    </row>
    <row r="1621" spans="6:6">
      <c r="F1621" s="600" t="s">
        <v>3113</v>
      </c>
    </row>
    <row r="1622" spans="6:6">
      <c r="F1622" s="600" t="s">
        <v>3114</v>
      </c>
    </row>
    <row r="1623" spans="6:6">
      <c r="F1623" s="600" t="s">
        <v>3115</v>
      </c>
    </row>
    <row r="1624" spans="6:6">
      <c r="F1624" s="600" t="s">
        <v>3116</v>
      </c>
    </row>
    <row r="1625" spans="6:6">
      <c r="F1625" s="600" t="s">
        <v>3117</v>
      </c>
    </row>
    <row r="1626" spans="6:6">
      <c r="F1626" s="600" t="s">
        <v>3118</v>
      </c>
    </row>
    <row r="1627" spans="6:6">
      <c r="F1627" s="600" t="s">
        <v>3119</v>
      </c>
    </row>
    <row r="1628" spans="6:6">
      <c r="F1628" s="600" t="s">
        <v>3120</v>
      </c>
    </row>
    <row r="1629" spans="6:6">
      <c r="F1629" s="600" t="s">
        <v>3121</v>
      </c>
    </row>
    <row r="1630" spans="6:6">
      <c r="F1630" s="600" t="s">
        <v>3122</v>
      </c>
    </row>
    <row r="1631" spans="6:6">
      <c r="F1631" s="600" t="s">
        <v>3123</v>
      </c>
    </row>
    <row r="1632" spans="6:6">
      <c r="F1632" s="600" t="s">
        <v>3124</v>
      </c>
    </row>
    <row r="1633" spans="6:6">
      <c r="F1633" s="600" t="s">
        <v>3125</v>
      </c>
    </row>
    <row r="1634" spans="6:6">
      <c r="F1634" s="600" t="s">
        <v>3126</v>
      </c>
    </row>
    <row r="1635" spans="6:6">
      <c r="F1635" s="600" t="s">
        <v>3127</v>
      </c>
    </row>
    <row r="1636" spans="6:6">
      <c r="F1636" s="600" t="s">
        <v>3128</v>
      </c>
    </row>
    <row r="1637" spans="6:6">
      <c r="F1637" s="600" t="s">
        <v>3129</v>
      </c>
    </row>
    <row r="1638" spans="6:6">
      <c r="F1638" s="600" t="s">
        <v>3130</v>
      </c>
    </row>
    <row r="1639" spans="6:6">
      <c r="F1639" s="600" t="s">
        <v>3131</v>
      </c>
    </row>
    <row r="1640" spans="6:6">
      <c r="F1640" s="600" t="s">
        <v>3132</v>
      </c>
    </row>
    <row r="1641" spans="6:6">
      <c r="F1641" s="600" t="s">
        <v>3133</v>
      </c>
    </row>
    <row r="1642" spans="6:6">
      <c r="F1642" s="600" t="s">
        <v>3134</v>
      </c>
    </row>
    <row r="1643" spans="6:6">
      <c r="F1643" s="600" t="s">
        <v>3135</v>
      </c>
    </row>
    <row r="1644" spans="6:6">
      <c r="F1644" s="600" t="s">
        <v>3136</v>
      </c>
    </row>
    <row r="1645" spans="6:6">
      <c r="F1645" s="600" t="s">
        <v>3137</v>
      </c>
    </row>
    <row r="1646" spans="6:6">
      <c r="F1646" s="600" t="s">
        <v>3138</v>
      </c>
    </row>
    <row r="1647" spans="6:6">
      <c r="F1647" s="600" t="s">
        <v>3139</v>
      </c>
    </row>
    <row r="1648" spans="6:6">
      <c r="F1648" s="600" t="s">
        <v>3140</v>
      </c>
    </row>
    <row r="1649" spans="6:6">
      <c r="F1649" s="600" t="s">
        <v>3141</v>
      </c>
    </row>
    <row r="1650" spans="6:6">
      <c r="F1650" s="600" t="s">
        <v>3142</v>
      </c>
    </row>
    <row r="1651" spans="6:6">
      <c r="F1651" s="600" t="s">
        <v>3143</v>
      </c>
    </row>
    <row r="1652" spans="6:6">
      <c r="F1652" s="600" t="s">
        <v>3144</v>
      </c>
    </row>
    <row r="1653" spans="6:6">
      <c r="F1653" s="600" t="s">
        <v>3145</v>
      </c>
    </row>
    <row r="1654" spans="6:6">
      <c r="F1654" s="600" t="s">
        <v>3146</v>
      </c>
    </row>
    <row r="1655" spans="6:6">
      <c r="F1655" s="600" t="s">
        <v>3147</v>
      </c>
    </row>
    <row r="1656" spans="6:6">
      <c r="F1656" s="600" t="s">
        <v>3148</v>
      </c>
    </row>
    <row r="1657" spans="6:6">
      <c r="F1657" s="600" t="s">
        <v>3149</v>
      </c>
    </row>
    <row r="1658" spans="6:6">
      <c r="F1658" s="600" t="s">
        <v>3150</v>
      </c>
    </row>
    <row r="1659" spans="6:6">
      <c r="F1659" s="600" t="s">
        <v>3151</v>
      </c>
    </row>
    <row r="1660" spans="6:6">
      <c r="F1660" s="600" t="s">
        <v>3152</v>
      </c>
    </row>
    <row r="1661" spans="6:6">
      <c r="F1661" s="600" t="s">
        <v>3153</v>
      </c>
    </row>
    <row r="1662" spans="6:6">
      <c r="F1662" s="600" t="s">
        <v>3154</v>
      </c>
    </row>
    <row r="1663" spans="6:6">
      <c r="F1663" s="600" t="s">
        <v>3155</v>
      </c>
    </row>
    <row r="1664" spans="6:6">
      <c r="F1664" s="600" t="s">
        <v>3156</v>
      </c>
    </row>
    <row r="1665" spans="6:6">
      <c r="F1665" s="600" t="s">
        <v>3157</v>
      </c>
    </row>
    <row r="1666" spans="6:6">
      <c r="F1666" s="600" t="s">
        <v>3158</v>
      </c>
    </row>
    <row r="1667" spans="6:6">
      <c r="F1667" s="600" t="s">
        <v>3159</v>
      </c>
    </row>
    <row r="1668" spans="6:6">
      <c r="F1668" s="600" t="s">
        <v>3160</v>
      </c>
    </row>
    <row r="1669" spans="6:6">
      <c r="F1669" s="600" t="s">
        <v>3161</v>
      </c>
    </row>
    <row r="1670" spans="6:6">
      <c r="F1670" s="600" t="s">
        <v>3162</v>
      </c>
    </row>
    <row r="1671" spans="6:6">
      <c r="F1671" s="600" t="s">
        <v>3163</v>
      </c>
    </row>
    <row r="1672" spans="6:6">
      <c r="F1672" s="600" t="s">
        <v>3164</v>
      </c>
    </row>
    <row r="1673" spans="6:6">
      <c r="F1673" s="600" t="s">
        <v>3165</v>
      </c>
    </row>
    <row r="1674" spans="6:6">
      <c r="F1674" s="600" t="s">
        <v>3166</v>
      </c>
    </row>
    <row r="1675" spans="6:6">
      <c r="F1675" s="600" t="s">
        <v>3167</v>
      </c>
    </row>
    <row r="1676" spans="6:6">
      <c r="F1676" s="600" t="s">
        <v>3168</v>
      </c>
    </row>
    <row r="1677" spans="6:6">
      <c r="F1677" s="600" t="s">
        <v>3169</v>
      </c>
    </row>
    <row r="1678" spans="6:6">
      <c r="F1678" s="600" t="s">
        <v>3170</v>
      </c>
    </row>
    <row r="1679" spans="6:6">
      <c r="F1679" s="600" t="s">
        <v>3171</v>
      </c>
    </row>
    <row r="1680" spans="6:6">
      <c r="F1680" s="600" t="s">
        <v>3172</v>
      </c>
    </row>
    <row r="1681" spans="6:6">
      <c r="F1681" s="600" t="s">
        <v>3173</v>
      </c>
    </row>
    <row r="1682" spans="6:6">
      <c r="F1682" s="600" t="s">
        <v>3174</v>
      </c>
    </row>
    <row r="1683" spans="6:6">
      <c r="F1683" s="600" t="s">
        <v>3175</v>
      </c>
    </row>
    <row r="1684" spans="6:6">
      <c r="F1684" s="600" t="s">
        <v>3176</v>
      </c>
    </row>
    <row r="1685" spans="6:6">
      <c r="F1685" s="600" t="s">
        <v>3177</v>
      </c>
    </row>
    <row r="1686" spans="6:6">
      <c r="F1686" s="600" t="s">
        <v>3178</v>
      </c>
    </row>
    <row r="1687" spans="6:6">
      <c r="F1687" s="600" t="s">
        <v>3179</v>
      </c>
    </row>
    <row r="1688" spans="6:6">
      <c r="F1688" s="600" t="s">
        <v>3180</v>
      </c>
    </row>
    <row r="1689" spans="6:6">
      <c r="F1689" s="600" t="s">
        <v>3181</v>
      </c>
    </row>
    <row r="1690" spans="6:6">
      <c r="F1690" s="600" t="s">
        <v>3182</v>
      </c>
    </row>
    <row r="1691" spans="6:6">
      <c r="F1691" s="600" t="s">
        <v>3183</v>
      </c>
    </row>
    <row r="1692" spans="6:6">
      <c r="F1692" s="600" t="s">
        <v>3184</v>
      </c>
    </row>
    <row r="1693" spans="6:6">
      <c r="F1693" s="600" t="s">
        <v>3185</v>
      </c>
    </row>
    <row r="1694" spans="6:6">
      <c r="F1694" s="600" t="s">
        <v>3186</v>
      </c>
    </row>
    <row r="1695" spans="6:6">
      <c r="F1695" s="600" t="s">
        <v>3187</v>
      </c>
    </row>
    <row r="1696" spans="6:6">
      <c r="F1696" s="600" t="s">
        <v>3188</v>
      </c>
    </row>
    <row r="1697" spans="6:6">
      <c r="F1697" s="600" t="s">
        <v>3189</v>
      </c>
    </row>
    <row r="1698" spans="6:6">
      <c r="F1698" s="600" t="s">
        <v>3190</v>
      </c>
    </row>
    <row r="1699" spans="6:6">
      <c r="F1699" s="600" t="s">
        <v>3191</v>
      </c>
    </row>
    <row r="1700" spans="6:6">
      <c r="F1700" s="600" t="s">
        <v>3192</v>
      </c>
    </row>
    <row r="1701" spans="6:6">
      <c r="F1701" s="600" t="s">
        <v>3193</v>
      </c>
    </row>
    <row r="1702" spans="6:6">
      <c r="F1702" s="600" t="s">
        <v>3194</v>
      </c>
    </row>
    <row r="1703" spans="6:6">
      <c r="F1703" s="600" t="s">
        <v>3195</v>
      </c>
    </row>
    <row r="1704" spans="6:6">
      <c r="F1704" s="600" t="s">
        <v>3196</v>
      </c>
    </row>
    <row r="1705" spans="6:6">
      <c r="F1705" s="600" t="s">
        <v>3197</v>
      </c>
    </row>
    <row r="1706" spans="6:6">
      <c r="F1706" s="600" t="s">
        <v>3198</v>
      </c>
    </row>
    <row r="1707" spans="6:6">
      <c r="F1707" s="600" t="s">
        <v>3199</v>
      </c>
    </row>
    <row r="1708" spans="6:6">
      <c r="F1708" s="600" t="s">
        <v>3200</v>
      </c>
    </row>
    <row r="1709" spans="6:6">
      <c r="F1709" s="600" t="s">
        <v>3201</v>
      </c>
    </row>
    <row r="1710" spans="6:6">
      <c r="F1710" s="600" t="s">
        <v>3202</v>
      </c>
    </row>
    <row r="1711" spans="6:6">
      <c r="F1711" s="600" t="s">
        <v>3203</v>
      </c>
    </row>
    <row r="1712" spans="6:6">
      <c r="F1712" s="600" t="s">
        <v>3204</v>
      </c>
    </row>
    <row r="1713" spans="6:6">
      <c r="F1713" s="600" t="s">
        <v>3205</v>
      </c>
    </row>
    <row r="1714" spans="6:6">
      <c r="F1714" s="600" t="s">
        <v>3206</v>
      </c>
    </row>
    <row r="1715" spans="6:6">
      <c r="F1715" s="600" t="s">
        <v>3207</v>
      </c>
    </row>
    <row r="1716" spans="6:6">
      <c r="F1716" s="600" t="s">
        <v>3208</v>
      </c>
    </row>
    <row r="1717" spans="6:6">
      <c r="F1717" s="600" t="s">
        <v>3209</v>
      </c>
    </row>
    <row r="1718" spans="6:6">
      <c r="F1718" s="600" t="s">
        <v>3210</v>
      </c>
    </row>
    <row r="1719" spans="6:6">
      <c r="F1719" s="600" t="s">
        <v>3211</v>
      </c>
    </row>
    <row r="1720" spans="6:6">
      <c r="F1720" s="600" t="s">
        <v>3212</v>
      </c>
    </row>
    <row r="1721" spans="6:6">
      <c r="F1721" s="600" t="s">
        <v>3213</v>
      </c>
    </row>
    <row r="1722" spans="6:6">
      <c r="F1722" s="600" t="s">
        <v>3214</v>
      </c>
    </row>
    <row r="1723" spans="6:6">
      <c r="F1723" s="600" t="s">
        <v>3215</v>
      </c>
    </row>
    <row r="1724" spans="6:6">
      <c r="F1724" s="600" t="s">
        <v>3216</v>
      </c>
    </row>
    <row r="1725" spans="6:6">
      <c r="F1725" s="600" t="s">
        <v>3217</v>
      </c>
    </row>
    <row r="1726" spans="6:6">
      <c r="F1726" s="600" t="s">
        <v>3218</v>
      </c>
    </row>
    <row r="1727" spans="6:6">
      <c r="F1727" s="600" t="s">
        <v>3219</v>
      </c>
    </row>
    <row r="1728" spans="6:6">
      <c r="F1728" s="600" t="s">
        <v>3220</v>
      </c>
    </row>
    <row r="1729" spans="6:6">
      <c r="F1729" s="600" t="s">
        <v>3221</v>
      </c>
    </row>
    <row r="1730" spans="6:6">
      <c r="F1730" s="600" t="s">
        <v>3222</v>
      </c>
    </row>
    <row r="1731" spans="6:6">
      <c r="F1731" s="600" t="s">
        <v>3223</v>
      </c>
    </row>
    <row r="1732" spans="6:6">
      <c r="F1732" s="600" t="s">
        <v>3224</v>
      </c>
    </row>
    <row r="1733" spans="6:6">
      <c r="F1733" s="600" t="s">
        <v>3225</v>
      </c>
    </row>
    <row r="1734" spans="6:6">
      <c r="F1734" s="600" t="s">
        <v>3226</v>
      </c>
    </row>
    <row r="1735" spans="6:6">
      <c r="F1735" s="600" t="s">
        <v>3227</v>
      </c>
    </row>
    <row r="1736" spans="6:6">
      <c r="F1736" s="600" t="s">
        <v>3228</v>
      </c>
    </row>
    <row r="1737" spans="6:6">
      <c r="F1737" s="600" t="s">
        <v>3229</v>
      </c>
    </row>
    <row r="1738" spans="6:6">
      <c r="F1738" s="600" t="s">
        <v>3230</v>
      </c>
    </row>
    <row r="1739" spans="6:6">
      <c r="F1739" s="600" t="s">
        <v>3231</v>
      </c>
    </row>
    <row r="1740" spans="6:6">
      <c r="F1740" s="600" t="s">
        <v>3232</v>
      </c>
    </row>
    <row r="1741" spans="6:6">
      <c r="F1741" s="600" t="s">
        <v>3233</v>
      </c>
    </row>
    <row r="1742" spans="6:6">
      <c r="F1742" s="600" t="s">
        <v>3234</v>
      </c>
    </row>
    <row r="1743" spans="6:6">
      <c r="F1743" s="600" t="s">
        <v>3235</v>
      </c>
    </row>
    <row r="1744" spans="6:6">
      <c r="F1744" s="600" t="s">
        <v>3236</v>
      </c>
    </row>
    <row r="1745" spans="6:6">
      <c r="F1745" s="600" t="s">
        <v>3237</v>
      </c>
    </row>
    <row r="1746" spans="6:6">
      <c r="F1746" s="600" t="s">
        <v>3238</v>
      </c>
    </row>
    <row r="1747" spans="6:6">
      <c r="F1747" s="600" t="s">
        <v>3239</v>
      </c>
    </row>
    <row r="1748" spans="6:6">
      <c r="F1748" s="600" t="s">
        <v>3240</v>
      </c>
    </row>
    <row r="1749" spans="6:6">
      <c r="F1749" s="600" t="s">
        <v>3241</v>
      </c>
    </row>
    <row r="1750" spans="6:6">
      <c r="F1750" s="600" t="s">
        <v>3242</v>
      </c>
    </row>
    <row r="1751" spans="6:6">
      <c r="F1751" s="600" t="s">
        <v>3243</v>
      </c>
    </row>
    <row r="1752" spans="6:6">
      <c r="F1752" s="600" t="s">
        <v>3244</v>
      </c>
    </row>
    <row r="1753" spans="6:6">
      <c r="F1753" s="600" t="s">
        <v>3245</v>
      </c>
    </row>
    <row r="1754" spans="6:6">
      <c r="F1754" s="600" t="s">
        <v>3246</v>
      </c>
    </row>
    <row r="1755" spans="6:6">
      <c r="F1755" s="600" t="s">
        <v>3247</v>
      </c>
    </row>
    <row r="1756" spans="6:6">
      <c r="F1756" s="600" t="s">
        <v>3248</v>
      </c>
    </row>
    <row r="1757" spans="6:6">
      <c r="F1757" s="600" t="s">
        <v>3249</v>
      </c>
    </row>
    <row r="1758" spans="6:6">
      <c r="F1758" s="600" t="s">
        <v>3250</v>
      </c>
    </row>
    <row r="1759" spans="6:6">
      <c r="F1759" s="600" t="s">
        <v>3251</v>
      </c>
    </row>
    <row r="1760" spans="6:6">
      <c r="F1760" s="600" t="s">
        <v>3252</v>
      </c>
    </row>
    <row r="1761" spans="6:6">
      <c r="F1761" s="600" t="s">
        <v>3253</v>
      </c>
    </row>
    <row r="1762" spans="6:6">
      <c r="F1762" s="600" t="s">
        <v>3254</v>
      </c>
    </row>
    <row r="1763" spans="6:6">
      <c r="F1763" s="600" t="s">
        <v>3255</v>
      </c>
    </row>
    <row r="1764" spans="6:6">
      <c r="F1764" s="600" t="s">
        <v>3256</v>
      </c>
    </row>
    <row r="1765" spans="6:6">
      <c r="F1765" s="600" t="s">
        <v>3257</v>
      </c>
    </row>
    <row r="1766" spans="6:6">
      <c r="F1766" s="600" t="s">
        <v>3258</v>
      </c>
    </row>
    <row r="1767" spans="6:6">
      <c r="F1767" s="600" t="s">
        <v>3259</v>
      </c>
    </row>
    <row r="1768" spans="6:6">
      <c r="F1768" s="600" t="s">
        <v>3260</v>
      </c>
    </row>
    <row r="1769" spans="6:6">
      <c r="F1769" s="600" t="s">
        <v>3261</v>
      </c>
    </row>
    <row r="1770" spans="6:6">
      <c r="F1770" s="600" t="s">
        <v>3262</v>
      </c>
    </row>
    <row r="1771" spans="6:6">
      <c r="F1771" s="600" t="s">
        <v>3263</v>
      </c>
    </row>
    <row r="1772" spans="6:6">
      <c r="F1772" s="600" t="s">
        <v>3264</v>
      </c>
    </row>
    <row r="1773" spans="6:6">
      <c r="F1773" s="600" t="s">
        <v>3265</v>
      </c>
    </row>
    <row r="1774" spans="6:6">
      <c r="F1774" s="600" t="s">
        <v>3266</v>
      </c>
    </row>
    <row r="1775" spans="6:6">
      <c r="F1775" s="600" t="s">
        <v>3267</v>
      </c>
    </row>
    <row r="1776" spans="6:6">
      <c r="F1776" s="600" t="s">
        <v>3268</v>
      </c>
    </row>
    <row r="1777" spans="6:6">
      <c r="F1777" s="600" t="s">
        <v>3269</v>
      </c>
    </row>
    <row r="1778" spans="6:6">
      <c r="F1778" s="600" t="s">
        <v>3270</v>
      </c>
    </row>
    <row r="1779" spans="6:6">
      <c r="F1779" s="600" t="s">
        <v>619</v>
      </c>
    </row>
    <row r="1780" spans="6:6">
      <c r="F1780" s="600" t="s">
        <v>3271</v>
      </c>
    </row>
    <row r="1781" spans="6:6">
      <c r="F1781" s="600" t="s">
        <v>3272</v>
      </c>
    </row>
    <row r="1782" spans="6:6">
      <c r="F1782" s="600" t="s">
        <v>3273</v>
      </c>
    </row>
    <row r="1783" spans="6:6">
      <c r="F1783" s="600" t="s">
        <v>3274</v>
      </c>
    </row>
    <row r="1784" spans="6:6">
      <c r="F1784" s="600" t="s">
        <v>3275</v>
      </c>
    </row>
    <row r="1785" spans="6:6">
      <c r="F1785" s="600" t="s">
        <v>3276</v>
      </c>
    </row>
    <row r="1786" spans="6:6">
      <c r="F1786" s="600" t="s">
        <v>3277</v>
      </c>
    </row>
    <row r="1787" spans="6:6">
      <c r="F1787" s="600" t="s">
        <v>3278</v>
      </c>
    </row>
    <row r="1788" spans="6:6">
      <c r="F1788" s="600" t="s">
        <v>1438</v>
      </c>
    </row>
    <row r="1789" spans="6:6">
      <c r="F1789" s="600" t="s">
        <v>3279</v>
      </c>
    </row>
    <row r="1790" spans="6:6">
      <c r="F1790" s="600" t="s">
        <v>3280</v>
      </c>
    </row>
    <row r="1791" spans="6:6">
      <c r="F1791" s="600" t="s">
        <v>3281</v>
      </c>
    </row>
    <row r="1792" spans="6:6">
      <c r="F1792" s="600" t="s">
        <v>3282</v>
      </c>
    </row>
    <row r="1793" spans="6:6">
      <c r="F1793" s="600" t="s">
        <v>3283</v>
      </c>
    </row>
    <row r="1794" spans="6:6">
      <c r="F1794" s="600" t="s">
        <v>3284</v>
      </c>
    </row>
    <row r="1795" spans="6:6">
      <c r="F1795" s="600" t="s">
        <v>3285</v>
      </c>
    </row>
    <row r="1796" spans="6:6">
      <c r="F1796" s="600" t="s">
        <v>3286</v>
      </c>
    </row>
    <row r="1797" spans="6:6">
      <c r="F1797" s="600" t="s">
        <v>3287</v>
      </c>
    </row>
    <row r="1798" spans="6:6">
      <c r="F1798" s="600" t="s">
        <v>3288</v>
      </c>
    </row>
    <row r="1799" spans="6:6">
      <c r="F1799" s="600" t="s">
        <v>3289</v>
      </c>
    </row>
    <row r="1800" spans="6:6">
      <c r="F1800" s="600" t="s">
        <v>3290</v>
      </c>
    </row>
    <row r="1801" spans="6:6">
      <c r="F1801" s="600" t="s">
        <v>3291</v>
      </c>
    </row>
    <row r="1802" spans="6:6">
      <c r="F1802" s="600" t="s">
        <v>3292</v>
      </c>
    </row>
    <row r="1803" spans="6:6">
      <c r="F1803" s="600" t="s">
        <v>3293</v>
      </c>
    </row>
    <row r="1804" spans="6:6">
      <c r="F1804" s="600" t="s">
        <v>3294</v>
      </c>
    </row>
    <row r="1805" spans="6:6">
      <c r="F1805" s="600" t="s">
        <v>3295</v>
      </c>
    </row>
    <row r="1806" spans="6:6">
      <c r="F1806" s="600" t="s">
        <v>3296</v>
      </c>
    </row>
    <row r="1807" spans="6:6">
      <c r="F1807" s="600" t="s">
        <v>3297</v>
      </c>
    </row>
    <row r="1808" spans="6:6">
      <c r="F1808" s="600" t="s">
        <v>3298</v>
      </c>
    </row>
    <row r="1809" spans="6:6">
      <c r="F1809" s="600" t="s">
        <v>3299</v>
      </c>
    </row>
    <row r="1810" spans="6:6">
      <c r="F1810" s="600" t="s">
        <v>3300</v>
      </c>
    </row>
    <row r="1811" spans="6:6">
      <c r="F1811" s="600" t="s">
        <v>3301</v>
      </c>
    </row>
    <row r="1812" spans="6:6">
      <c r="F1812" s="600" t="s">
        <v>3302</v>
      </c>
    </row>
    <row r="1813" spans="6:6">
      <c r="F1813" s="600" t="s">
        <v>3303</v>
      </c>
    </row>
    <row r="1814" spans="6:6">
      <c r="F1814" s="600" t="s">
        <v>3304</v>
      </c>
    </row>
    <row r="1815" spans="6:6">
      <c r="F1815" s="600" t="s">
        <v>3305</v>
      </c>
    </row>
    <row r="1816" spans="6:6">
      <c r="F1816" s="600" t="s">
        <v>3306</v>
      </c>
    </row>
    <row r="1817" spans="6:6">
      <c r="F1817" s="600" t="s">
        <v>3307</v>
      </c>
    </row>
    <row r="1818" spans="6:6">
      <c r="F1818" s="600" t="s">
        <v>3308</v>
      </c>
    </row>
    <row r="1819" spans="6:6">
      <c r="F1819" s="600" t="s">
        <v>3309</v>
      </c>
    </row>
    <row r="1820" spans="6:6">
      <c r="F1820" s="600" t="s">
        <v>3310</v>
      </c>
    </row>
    <row r="1821" spans="6:6">
      <c r="F1821" s="600" t="s">
        <v>3311</v>
      </c>
    </row>
    <row r="1822" spans="6:6">
      <c r="F1822" s="600" t="s">
        <v>3312</v>
      </c>
    </row>
    <row r="1823" spans="6:6">
      <c r="F1823" s="600" t="s">
        <v>3313</v>
      </c>
    </row>
    <row r="1824" spans="6:6">
      <c r="F1824" s="600" t="s">
        <v>3314</v>
      </c>
    </row>
    <row r="1825" spans="6:6">
      <c r="F1825" s="600" t="s">
        <v>3315</v>
      </c>
    </row>
    <row r="1826" spans="6:6">
      <c r="F1826" s="600" t="s">
        <v>3316</v>
      </c>
    </row>
    <row r="1827" spans="6:6">
      <c r="F1827" s="600" t="s">
        <v>3317</v>
      </c>
    </row>
    <row r="1828" spans="6:6">
      <c r="F1828" s="600" t="s">
        <v>3318</v>
      </c>
    </row>
    <row r="1829" spans="6:6">
      <c r="F1829" s="600" t="s">
        <v>3319</v>
      </c>
    </row>
    <row r="1830" spans="6:6">
      <c r="F1830" s="600" t="s">
        <v>3320</v>
      </c>
    </row>
    <row r="1831" spans="6:6">
      <c r="F1831" s="600" t="s">
        <v>3321</v>
      </c>
    </row>
    <row r="1832" spans="6:6">
      <c r="F1832" s="600" t="s">
        <v>3322</v>
      </c>
    </row>
    <row r="1833" spans="6:6">
      <c r="F1833" s="600" t="s">
        <v>3323</v>
      </c>
    </row>
    <row r="1834" spans="6:6">
      <c r="F1834" s="600" t="s">
        <v>3324</v>
      </c>
    </row>
    <row r="1835" spans="6:6">
      <c r="F1835" s="600" t="s">
        <v>3325</v>
      </c>
    </row>
    <row r="1836" spans="6:6">
      <c r="F1836" s="600" t="s">
        <v>3326</v>
      </c>
    </row>
    <row r="1837" spans="6:6">
      <c r="F1837" s="600" t="s">
        <v>3327</v>
      </c>
    </row>
    <row r="1838" spans="6:6">
      <c r="F1838" s="600" t="s">
        <v>3328</v>
      </c>
    </row>
    <row r="1839" spans="6:6">
      <c r="F1839" s="600" t="s">
        <v>3329</v>
      </c>
    </row>
    <row r="1840" spans="6:6">
      <c r="F1840" s="600" t="s">
        <v>3330</v>
      </c>
    </row>
    <row r="1841" spans="6:6">
      <c r="F1841" s="600" t="s">
        <v>3331</v>
      </c>
    </row>
    <row r="1842" spans="6:6">
      <c r="F1842" s="600" t="s">
        <v>3332</v>
      </c>
    </row>
    <row r="1843" spans="6:6">
      <c r="F1843" s="600" t="s">
        <v>3333</v>
      </c>
    </row>
    <row r="1844" spans="6:6">
      <c r="F1844" s="600" t="s">
        <v>3334</v>
      </c>
    </row>
    <row r="1845" spans="6:6">
      <c r="F1845" s="600" t="s">
        <v>3335</v>
      </c>
    </row>
    <row r="1846" spans="6:6">
      <c r="F1846" s="600" t="s">
        <v>3336</v>
      </c>
    </row>
    <row r="1847" spans="6:6">
      <c r="F1847" s="600" t="s">
        <v>3337</v>
      </c>
    </row>
    <row r="1848" spans="6:6">
      <c r="F1848" s="600" t="s">
        <v>3338</v>
      </c>
    </row>
    <row r="1849" spans="6:6">
      <c r="F1849" s="600" t="s">
        <v>3339</v>
      </c>
    </row>
    <row r="1850" spans="6:6">
      <c r="F1850" s="600" t="s">
        <v>3340</v>
      </c>
    </row>
    <row r="1851" spans="6:6">
      <c r="F1851" s="600" t="s">
        <v>3341</v>
      </c>
    </row>
    <row r="1852" spans="6:6">
      <c r="F1852" s="600" t="s">
        <v>3342</v>
      </c>
    </row>
    <row r="1853" spans="6:6">
      <c r="F1853" s="600" t="s">
        <v>3343</v>
      </c>
    </row>
    <row r="1854" spans="6:6">
      <c r="F1854" s="600" t="s">
        <v>3344</v>
      </c>
    </row>
    <row r="1855" spans="6:6">
      <c r="F1855" s="600" t="s">
        <v>3345</v>
      </c>
    </row>
    <row r="1856" spans="6:6">
      <c r="F1856" s="600" t="s">
        <v>3346</v>
      </c>
    </row>
    <row r="1857" spans="6:6">
      <c r="F1857" s="600" t="s">
        <v>3347</v>
      </c>
    </row>
    <row r="1858" spans="6:6">
      <c r="F1858" s="600" t="s">
        <v>3348</v>
      </c>
    </row>
    <row r="1859" spans="6:6">
      <c r="F1859" s="600" t="s">
        <v>3349</v>
      </c>
    </row>
    <row r="1860" spans="6:6">
      <c r="F1860" s="600" t="s">
        <v>3350</v>
      </c>
    </row>
    <row r="1861" spans="6:6">
      <c r="F1861" s="600" t="s">
        <v>3351</v>
      </c>
    </row>
    <row r="1862" spans="6:6">
      <c r="F1862" s="600" t="s">
        <v>3352</v>
      </c>
    </row>
    <row r="1863" spans="6:6">
      <c r="F1863" s="600" t="s">
        <v>3353</v>
      </c>
    </row>
    <row r="1864" spans="6:6">
      <c r="F1864" s="600" t="s">
        <v>3354</v>
      </c>
    </row>
    <row r="1865" spans="6:6">
      <c r="F1865" s="600" t="s">
        <v>3355</v>
      </c>
    </row>
    <row r="1866" spans="6:6">
      <c r="F1866" s="600" t="s">
        <v>3356</v>
      </c>
    </row>
    <row r="1867" spans="6:6">
      <c r="F1867" s="600" t="s">
        <v>3357</v>
      </c>
    </row>
    <row r="1868" spans="6:6">
      <c r="F1868" s="600" t="s">
        <v>3358</v>
      </c>
    </row>
    <row r="1869" spans="6:6">
      <c r="F1869" s="600" t="s">
        <v>3359</v>
      </c>
    </row>
    <row r="1870" spans="6:6">
      <c r="F1870" s="600" t="s">
        <v>3360</v>
      </c>
    </row>
    <row r="1871" spans="6:6">
      <c r="F1871" s="600" t="s">
        <v>3361</v>
      </c>
    </row>
    <row r="1872" spans="6:6">
      <c r="F1872" s="600" t="s">
        <v>3362</v>
      </c>
    </row>
    <row r="1873" spans="6:6">
      <c r="F1873" s="600" t="s">
        <v>3363</v>
      </c>
    </row>
    <row r="1874" spans="6:6">
      <c r="F1874" s="600" t="s">
        <v>3364</v>
      </c>
    </row>
    <row r="1875" spans="6:6">
      <c r="F1875" s="600" t="s">
        <v>3365</v>
      </c>
    </row>
    <row r="1876" spans="6:6">
      <c r="F1876" s="600" t="s">
        <v>3366</v>
      </c>
    </row>
    <row r="1877" spans="6:6">
      <c r="F1877" s="600" t="s">
        <v>3367</v>
      </c>
    </row>
    <row r="1878" spans="6:6">
      <c r="F1878" s="600" t="s">
        <v>3368</v>
      </c>
    </row>
    <row r="1879" spans="6:6">
      <c r="F1879" s="600" t="s">
        <v>3369</v>
      </c>
    </row>
    <row r="1880" spans="6:6">
      <c r="F1880" s="600" t="s">
        <v>3370</v>
      </c>
    </row>
    <row r="1881" spans="6:6">
      <c r="F1881" s="600" t="s">
        <v>3371</v>
      </c>
    </row>
    <row r="1882" spans="6:6">
      <c r="F1882" s="600" t="s">
        <v>3372</v>
      </c>
    </row>
    <row r="1883" spans="6:6">
      <c r="F1883" s="600" t="s">
        <v>3373</v>
      </c>
    </row>
    <row r="1884" spans="6:6">
      <c r="F1884" s="600" t="s">
        <v>3374</v>
      </c>
    </row>
    <row r="1885" spans="6:6">
      <c r="F1885" s="600" t="s">
        <v>3375</v>
      </c>
    </row>
    <row r="1886" spans="6:6">
      <c r="F1886" s="600" t="s">
        <v>3376</v>
      </c>
    </row>
    <row r="1887" spans="6:6">
      <c r="F1887" s="600" t="s">
        <v>3377</v>
      </c>
    </row>
    <row r="1888" spans="6:6">
      <c r="F1888" s="600" t="s">
        <v>3378</v>
      </c>
    </row>
    <row r="1889" spans="6:6">
      <c r="F1889" s="600" t="s">
        <v>3379</v>
      </c>
    </row>
    <row r="1890" spans="6:6">
      <c r="F1890" s="600" t="s">
        <v>3380</v>
      </c>
    </row>
    <row r="1891" spans="6:6">
      <c r="F1891" s="600" t="s">
        <v>3381</v>
      </c>
    </row>
    <row r="1892" spans="6:6">
      <c r="F1892" s="600" t="s">
        <v>3382</v>
      </c>
    </row>
    <row r="1893" spans="6:6">
      <c r="F1893" s="600" t="s">
        <v>3383</v>
      </c>
    </row>
    <row r="1894" spans="6:6">
      <c r="F1894" s="600" t="s">
        <v>3384</v>
      </c>
    </row>
    <row r="1895" spans="6:6">
      <c r="F1895" s="600" t="s">
        <v>3385</v>
      </c>
    </row>
    <row r="1896" spans="6:6">
      <c r="F1896" s="600" t="s">
        <v>3386</v>
      </c>
    </row>
    <row r="1897" spans="6:6">
      <c r="F1897" s="600" t="s">
        <v>3387</v>
      </c>
    </row>
    <row r="1898" spans="6:6">
      <c r="F1898" s="600" t="s">
        <v>3388</v>
      </c>
    </row>
    <row r="1899" spans="6:6">
      <c r="F1899" s="600" t="s">
        <v>3389</v>
      </c>
    </row>
    <row r="1900" spans="6:6">
      <c r="F1900" s="600" t="s">
        <v>3390</v>
      </c>
    </row>
    <row r="1901" spans="6:6">
      <c r="F1901" s="600" t="s">
        <v>3391</v>
      </c>
    </row>
    <row r="1902" spans="6:6">
      <c r="F1902" s="600" t="s">
        <v>3392</v>
      </c>
    </row>
    <row r="1903" spans="6:6">
      <c r="F1903" s="600" t="s">
        <v>3393</v>
      </c>
    </row>
    <row r="1904" spans="6:6">
      <c r="F1904" s="600" t="s">
        <v>3394</v>
      </c>
    </row>
    <row r="1905" spans="6:6">
      <c r="F1905" s="600" t="s">
        <v>3395</v>
      </c>
    </row>
    <row r="1906" spans="6:6">
      <c r="F1906" s="600" t="s">
        <v>3396</v>
      </c>
    </row>
    <row r="1907" spans="6:6">
      <c r="F1907" s="600" t="s">
        <v>3397</v>
      </c>
    </row>
    <row r="1908" spans="6:6">
      <c r="F1908" s="600" t="s">
        <v>3398</v>
      </c>
    </row>
    <row r="1909" spans="6:6">
      <c r="F1909" s="600" t="s">
        <v>3399</v>
      </c>
    </row>
    <row r="1910" spans="6:6">
      <c r="F1910" s="600" t="s">
        <v>3400</v>
      </c>
    </row>
    <row r="1911" spans="6:6">
      <c r="F1911" s="600" t="s">
        <v>3401</v>
      </c>
    </row>
    <row r="1912" spans="6:6">
      <c r="F1912" s="600" t="s">
        <v>3402</v>
      </c>
    </row>
    <row r="1913" spans="6:6">
      <c r="F1913" s="600" t="s">
        <v>3403</v>
      </c>
    </row>
    <row r="1914" spans="6:6">
      <c r="F1914" s="600" t="s">
        <v>3404</v>
      </c>
    </row>
    <row r="1915" spans="6:6">
      <c r="F1915" s="600" t="s">
        <v>3405</v>
      </c>
    </row>
    <row r="1916" spans="6:6">
      <c r="F1916" s="600" t="s">
        <v>3406</v>
      </c>
    </row>
    <row r="1917" spans="6:6">
      <c r="F1917" s="600" t="s">
        <v>3407</v>
      </c>
    </row>
    <row r="1918" spans="6:6">
      <c r="F1918" s="600" t="s">
        <v>3408</v>
      </c>
    </row>
    <row r="1919" spans="6:6">
      <c r="F1919" s="600" t="s">
        <v>3409</v>
      </c>
    </row>
    <row r="1920" spans="6:6">
      <c r="F1920" s="600" t="s">
        <v>3410</v>
      </c>
    </row>
    <row r="1921" spans="6:6">
      <c r="F1921" s="600" t="s">
        <v>3411</v>
      </c>
    </row>
    <row r="1922" spans="6:6">
      <c r="F1922" s="600" t="s">
        <v>3412</v>
      </c>
    </row>
    <row r="1923" spans="6:6">
      <c r="F1923" s="600" t="s">
        <v>3413</v>
      </c>
    </row>
    <row r="1924" spans="6:6">
      <c r="F1924" s="600" t="s">
        <v>3414</v>
      </c>
    </row>
    <row r="1925" spans="6:6">
      <c r="F1925" s="600" t="s">
        <v>3415</v>
      </c>
    </row>
    <row r="1926" spans="6:6">
      <c r="F1926" s="600" t="s">
        <v>3416</v>
      </c>
    </row>
    <row r="1927" spans="6:6">
      <c r="F1927" s="600" t="s">
        <v>3417</v>
      </c>
    </row>
    <row r="1928" spans="6:6">
      <c r="F1928" s="600" t="s">
        <v>3418</v>
      </c>
    </row>
    <row r="1929" spans="6:6">
      <c r="F1929" s="600" t="s">
        <v>3419</v>
      </c>
    </row>
    <row r="1930" spans="6:6">
      <c r="F1930" s="600" t="s">
        <v>3420</v>
      </c>
    </row>
    <row r="1931" spans="6:6">
      <c r="F1931" s="600" t="s">
        <v>3421</v>
      </c>
    </row>
    <row r="1932" spans="6:6">
      <c r="F1932" s="600" t="s">
        <v>3422</v>
      </c>
    </row>
    <row r="1933" spans="6:6">
      <c r="F1933" s="600" t="s">
        <v>3423</v>
      </c>
    </row>
    <row r="1934" spans="6:6">
      <c r="F1934" s="600" t="s">
        <v>3424</v>
      </c>
    </row>
    <row r="1935" spans="6:6">
      <c r="F1935" s="600" t="s">
        <v>3425</v>
      </c>
    </row>
    <row r="1936" spans="6:6">
      <c r="F1936" s="600" t="s">
        <v>3426</v>
      </c>
    </row>
    <row r="1937" spans="6:6">
      <c r="F1937" s="600" t="s">
        <v>3427</v>
      </c>
    </row>
    <row r="1938" spans="6:6">
      <c r="F1938" s="600" t="s">
        <v>3428</v>
      </c>
    </row>
    <row r="1939" spans="6:6">
      <c r="F1939" s="600" t="s">
        <v>3429</v>
      </c>
    </row>
    <row r="1940" spans="6:6">
      <c r="F1940" s="600" t="s">
        <v>3430</v>
      </c>
    </row>
    <row r="1941" spans="6:6">
      <c r="F1941" s="600" t="s">
        <v>3431</v>
      </c>
    </row>
    <row r="1942" spans="6:6">
      <c r="F1942" s="600" t="s">
        <v>3432</v>
      </c>
    </row>
    <row r="1943" spans="6:6">
      <c r="F1943" s="600" t="s">
        <v>3433</v>
      </c>
    </row>
    <row r="1944" spans="6:6">
      <c r="F1944" s="600" t="s">
        <v>3434</v>
      </c>
    </row>
    <row r="1945" spans="6:6">
      <c r="F1945" s="600" t="s">
        <v>3435</v>
      </c>
    </row>
    <row r="1946" spans="6:6">
      <c r="F1946" s="600" t="s">
        <v>3436</v>
      </c>
    </row>
    <row r="1947" spans="6:6">
      <c r="F1947" s="600" t="s">
        <v>3437</v>
      </c>
    </row>
    <row r="1948" spans="6:6">
      <c r="F1948" s="600" t="s">
        <v>3438</v>
      </c>
    </row>
    <row r="1949" spans="6:6">
      <c r="F1949" s="600" t="s">
        <v>3439</v>
      </c>
    </row>
    <row r="1950" spans="6:6">
      <c r="F1950" s="600" t="s">
        <v>3440</v>
      </c>
    </row>
    <row r="1951" spans="6:6">
      <c r="F1951" s="600" t="s">
        <v>3441</v>
      </c>
    </row>
    <row r="1952" spans="6:6">
      <c r="F1952" s="600" t="s">
        <v>3442</v>
      </c>
    </row>
    <row r="1953" spans="6:6">
      <c r="F1953" s="600" t="s">
        <v>3443</v>
      </c>
    </row>
    <row r="1954" spans="6:6">
      <c r="F1954" s="600" t="s">
        <v>3444</v>
      </c>
    </row>
    <row r="1955" spans="6:6">
      <c r="F1955" s="600" t="s">
        <v>3445</v>
      </c>
    </row>
    <row r="1956" spans="6:6">
      <c r="F1956" s="600" t="s">
        <v>3446</v>
      </c>
    </row>
    <row r="1957" spans="6:6">
      <c r="F1957" s="600" t="s">
        <v>3447</v>
      </c>
    </row>
    <row r="1958" spans="6:6">
      <c r="F1958" s="600" t="s">
        <v>3448</v>
      </c>
    </row>
    <row r="1959" spans="6:6">
      <c r="F1959" s="600" t="s">
        <v>3449</v>
      </c>
    </row>
    <row r="1960" spans="6:6">
      <c r="F1960" s="600" t="s">
        <v>3450</v>
      </c>
    </row>
    <row r="1961" spans="6:6">
      <c r="F1961" s="600" t="s">
        <v>3451</v>
      </c>
    </row>
    <row r="1962" spans="6:6">
      <c r="F1962" s="600" t="s">
        <v>3452</v>
      </c>
    </row>
    <row r="1963" spans="6:6">
      <c r="F1963" s="600" t="s">
        <v>3453</v>
      </c>
    </row>
    <row r="1964" spans="6:6">
      <c r="F1964" s="600" t="s">
        <v>3454</v>
      </c>
    </row>
    <row r="1965" spans="6:6">
      <c r="F1965" s="600" t="s">
        <v>3455</v>
      </c>
    </row>
    <row r="1966" spans="6:6">
      <c r="F1966" s="600" t="s">
        <v>3456</v>
      </c>
    </row>
    <row r="1967" spans="6:6">
      <c r="F1967" s="600" t="s">
        <v>3457</v>
      </c>
    </row>
    <row r="1968" spans="6:6">
      <c r="F1968" s="600" t="s">
        <v>3458</v>
      </c>
    </row>
    <row r="1969" spans="6:6">
      <c r="F1969" s="600" t="s">
        <v>3459</v>
      </c>
    </row>
    <row r="1970" spans="6:6">
      <c r="F1970" s="600" t="s">
        <v>3460</v>
      </c>
    </row>
    <row r="1971" spans="6:6">
      <c r="F1971" s="600" t="s">
        <v>3461</v>
      </c>
    </row>
    <row r="1972" spans="6:6">
      <c r="F1972" s="600" t="s">
        <v>3462</v>
      </c>
    </row>
    <row r="1973" spans="6:6">
      <c r="F1973" s="600" t="s">
        <v>3463</v>
      </c>
    </row>
    <row r="1974" spans="6:6">
      <c r="F1974" s="600" t="s">
        <v>3464</v>
      </c>
    </row>
    <row r="1975" spans="6:6">
      <c r="F1975" s="600" t="s">
        <v>3465</v>
      </c>
    </row>
    <row r="1976" spans="6:6">
      <c r="F1976" s="600" t="s">
        <v>3466</v>
      </c>
    </row>
    <row r="1977" spans="6:6">
      <c r="F1977" s="600" t="s">
        <v>3467</v>
      </c>
    </row>
    <row r="1978" spans="6:6">
      <c r="F1978" s="600" t="s">
        <v>3468</v>
      </c>
    </row>
    <row r="1979" spans="6:6">
      <c r="F1979" s="600" t="s">
        <v>3469</v>
      </c>
    </row>
    <row r="1980" spans="6:6">
      <c r="F1980" s="600" t="s">
        <v>3470</v>
      </c>
    </row>
    <row r="1981" spans="6:6">
      <c r="F1981" s="600" t="s">
        <v>3471</v>
      </c>
    </row>
    <row r="1982" spans="6:6">
      <c r="F1982" s="600" t="s">
        <v>3472</v>
      </c>
    </row>
    <row r="1983" spans="6:6">
      <c r="F1983" s="600" t="s">
        <v>3473</v>
      </c>
    </row>
    <row r="1984" spans="6:6">
      <c r="F1984" s="600" t="s">
        <v>3474</v>
      </c>
    </row>
    <row r="1985" spans="6:6">
      <c r="F1985" s="600" t="s">
        <v>3475</v>
      </c>
    </row>
    <row r="1986" spans="6:6">
      <c r="F1986" s="600" t="s">
        <v>3476</v>
      </c>
    </row>
    <row r="1987" spans="6:6">
      <c r="F1987" s="600" t="s">
        <v>3477</v>
      </c>
    </row>
    <row r="1988" spans="6:6">
      <c r="F1988" s="600" t="s">
        <v>3478</v>
      </c>
    </row>
    <row r="1989" spans="6:6">
      <c r="F1989" s="600" t="s">
        <v>3479</v>
      </c>
    </row>
    <row r="1990" spans="6:6">
      <c r="F1990" s="600" t="s">
        <v>3480</v>
      </c>
    </row>
    <row r="1991" spans="6:6">
      <c r="F1991" s="600" t="s">
        <v>3481</v>
      </c>
    </row>
    <row r="1992" spans="6:6">
      <c r="F1992" s="600" t="s">
        <v>3482</v>
      </c>
    </row>
    <row r="1993" spans="6:6">
      <c r="F1993" s="600" t="s">
        <v>3483</v>
      </c>
    </row>
    <row r="1994" spans="6:6">
      <c r="F1994" s="600" t="s">
        <v>3484</v>
      </c>
    </row>
    <row r="1995" spans="6:6">
      <c r="F1995" s="600" t="s">
        <v>3485</v>
      </c>
    </row>
    <row r="1996" spans="6:6">
      <c r="F1996" s="600" t="s">
        <v>3486</v>
      </c>
    </row>
    <row r="1997" spans="6:6">
      <c r="F1997" s="600" t="s">
        <v>3487</v>
      </c>
    </row>
    <row r="1998" spans="6:6">
      <c r="F1998" s="600" t="s">
        <v>3488</v>
      </c>
    </row>
    <row r="1999" spans="6:6">
      <c r="F1999" s="600" t="s">
        <v>3489</v>
      </c>
    </row>
    <row r="2000" spans="6:6">
      <c r="F2000" s="600" t="s">
        <v>3490</v>
      </c>
    </row>
    <row r="2001" spans="6:6">
      <c r="F2001" s="600" t="s">
        <v>3491</v>
      </c>
    </row>
    <row r="2002" spans="6:6">
      <c r="F2002" s="600" t="s">
        <v>3492</v>
      </c>
    </row>
    <row r="2003" spans="6:6">
      <c r="F2003" s="600" t="s">
        <v>3493</v>
      </c>
    </row>
    <row r="2004" spans="6:6">
      <c r="F2004" s="600" t="s">
        <v>3494</v>
      </c>
    </row>
    <row r="2005" spans="6:6">
      <c r="F2005" s="600" t="s">
        <v>3495</v>
      </c>
    </row>
    <row r="2006" spans="6:6">
      <c r="F2006" s="600" t="s">
        <v>3496</v>
      </c>
    </row>
    <row r="2007" spans="6:6">
      <c r="F2007" s="600" t="s">
        <v>3497</v>
      </c>
    </row>
    <row r="2008" spans="6:6">
      <c r="F2008" s="600" t="s">
        <v>3498</v>
      </c>
    </row>
    <row r="2009" spans="6:6">
      <c r="F2009" s="600" t="s">
        <v>3499</v>
      </c>
    </row>
    <row r="2010" spans="6:6">
      <c r="F2010" s="600" t="s">
        <v>3500</v>
      </c>
    </row>
    <row r="2011" spans="6:6">
      <c r="F2011" s="600" t="s">
        <v>3501</v>
      </c>
    </row>
    <row r="2012" spans="6:6">
      <c r="F2012" s="600" t="s">
        <v>3502</v>
      </c>
    </row>
    <row r="2013" spans="6:6">
      <c r="F2013" s="600" t="s">
        <v>3503</v>
      </c>
    </row>
    <row r="2014" spans="6:6">
      <c r="F2014" s="600" t="s">
        <v>3504</v>
      </c>
    </row>
    <row r="2015" spans="6:6">
      <c r="F2015" s="600" t="s">
        <v>3505</v>
      </c>
    </row>
    <row r="2016" spans="6:6">
      <c r="F2016" s="600" t="s">
        <v>3506</v>
      </c>
    </row>
    <row r="2017" spans="6:6">
      <c r="F2017" s="600" t="s">
        <v>3507</v>
      </c>
    </row>
    <row r="2018" spans="6:6">
      <c r="F2018" s="600" t="s">
        <v>3508</v>
      </c>
    </row>
    <row r="2019" spans="6:6">
      <c r="F2019" s="600" t="s">
        <v>3509</v>
      </c>
    </row>
    <row r="2020" spans="6:6">
      <c r="F2020" s="600" t="s">
        <v>3510</v>
      </c>
    </row>
    <row r="2021" spans="6:6">
      <c r="F2021" s="600" t="s">
        <v>3511</v>
      </c>
    </row>
    <row r="2022" spans="6:6">
      <c r="F2022" s="600" t="s">
        <v>3512</v>
      </c>
    </row>
    <row r="2023" spans="6:6">
      <c r="F2023" s="600" t="s">
        <v>3513</v>
      </c>
    </row>
    <row r="2024" spans="6:6">
      <c r="F2024" s="600" t="s">
        <v>3514</v>
      </c>
    </row>
    <row r="2025" spans="6:6">
      <c r="F2025" s="600" t="s">
        <v>3515</v>
      </c>
    </row>
    <row r="2026" spans="6:6">
      <c r="F2026" s="600" t="s">
        <v>3516</v>
      </c>
    </row>
    <row r="2027" spans="6:6">
      <c r="F2027" s="600" t="s">
        <v>3517</v>
      </c>
    </row>
    <row r="2028" spans="6:6">
      <c r="F2028" s="600" t="s">
        <v>3518</v>
      </c>
    </row>
    <row r="2029" spans="6:6">
      <c r="F2029" s="600" t="s">
        <v>3519</v>
      </c>
    </row>
    <row r="2030" spans="6:6">
      <c r="F2030" s="600" t="s">
        <v>3520</v>
      </c>
    </row>
    <row r="2031" spans="6:6">
      <c r="F2031" s="600" t="s">
        <v>3521</v>
      </c>
    </row>
    <row r="2032" spans="6:6">
      <c r="F2032" s="600" t="s">
        <v>3522</v>
      </c>
    </row>
    <row r="2033" spans="6:6">
      <c r="F2033" s="600" t="s">
        <v>3523</v>
      </c>
    </row>
    <row r="2034" spans="6:6">
      <c r="F2034" s="600" t="s">
        <v>3524</v>
      </c>
    </row>
    <row r="2035" spans="6:6">
      <c r="F2035" s="600" t="s">
        <v>3525</v>
      </c>
    </row>
    <row r="2036" spans="6:6">
      <c r="F2036" s="600" t="s">
        <v>3526</v>
      </c>
    </row>
    <row r="2037" spans="6:6">
      <c r="F2037" s="600" t="s">
        <v>3527</v>
      </c>
    </row>
    <row r="2038" spans="6:6">
      <c r="F2038" s="600" t="s">
        <v>3528</v>
      </c>
    </row>
    <row r="2039" spans="6:6">
      <c r="F2039" s="600" t="s">
        <v>3529</v>
      </c>
    </row>
    <row r="2040" spans="6:6">
      <c r="F2040" s="600" t="s">
        <v>3530</v>
      </c>
    </row>
    <row r="2041" spans="6:6">
      <c r="F2041" s="600" t="s">
        <v>3531</v>
      </c>
    </row>
    <row r="2042" spans="6:6">
      <c r="F2042" s="600" t="s">
        <v>3532</v>
      </c>
    </row>
    <row r="2043" spans="6:6">
      <c r="F2043" s="600" t="s">
        <v>3533</v>
      </c>
    </row>
    <row r="2044" spans="6:6">
      <c r="F2044" s="600" t="s">
        <v>3534</v>
      </c>
    </row>
    <row r="2045" spans="6:6">
      <c r="F2045" s="600" t="s">
        <v>3535</v>
      </c>
    </row>
    <row r="2046" spans="6:6">
      <c r="F2046" s="600" t="s">
        <v>3536</v>
      </c>
    </row>
    <row r="2047" spans="6:6">
      <c r="F2047" s="600" t="s">
        <v>3537</v>
      </c>
    </row>
    <row r="2048" spans="6:6">
      <c r="F2048" s="600" t="s">
        <v>3538</v>
      </c>
    </row>
    <row r="2049" spans="6:6">
      <c r="F2049" s="600" t="s">
        <v>3539</v>
      </c>
    </row>
    <row r="2050" spans="6:6">
      <c r="F2050" s="600" t="s">
        <v>3540</v>
      </c>
    </row>
    <row r="2051" spans="6:6">
      <c r="F2051" s="600" t="s">
        <v>3541</v>
      </c>
    </row>
    <row r="2052" spans="6:6">
      <c r="F2052" s="600" t="s">
        <v>3542</v>
      </c>
    </row>
    <row r="2053" spans="6:6">
      <c r="F2053" s="600" t="s">
        <v>3543</v>
      </c>
    </row>
    <row r="2054" spans="6:6">
      <c r="F2054" s="600" t="s">
        <v>3544</v>
      </c>
    </row>
    <row r="2055" spans="6:6">
      <c r="F2055" s="600" t="s">
        <v>3545</v>
      </c>
    </row>
    <row r="2056" spans="6:6">
      <c r="F2056" s="600" t="s">
        <v>3546</v>
      </c>
    </row>
    <row r="2057" spans="6:6">
      <c r="F2057" s="600" t="s">
        <v>3547</v>
      </c>
    </row>
    <row r="2058" spans="6:6">
      <c r="F2058" s="600" t="s">
        <v>3548</v>
      </c>
    </row>
    <row r="2059" spans="6:6">
      <c r="F2059" s="600" t="s">
        <v>3549</v>
      </c>
    </row>
    <row r="2060" spans="6:6">
      <c r="F2060" s="600" t="s">
        <v>3550</v>
      </c>
    </row>
    <row r="2061" spans="6:6">
      <c r="F2061" s="600" t="s">
        <v>3551</v>
      </c>
    </row>
    <row r="2062" spans="6:6">
      <c r="F2062" s="600" t="s">
        <v>3552</v>
      </c>
    </row>
    <row r="2063" spans="6:6">
      <c r="F2063" s="600" t="s">
        <v>3553</v>
      </c>
    </row>
    <row r="2064" spans="6:6">
      <c r="F2064" s="600" t="s">
        <v>3554</v>
      </c>
    </row>
    <row r="2065" spans="6:6">
      <c r="F2065" s="600" t="s">
        <v>3555</v>
      </c>
    </row>
    <row r="2066" spans="6:6">
      <c r="F2066" s="600" t="s">
        <v>3556</v>
      </c>
    </row>
    <row r="2067" spans="6:6">
      <c r="F2067" s="600" t="s">
        <v>3557</v>
      </c>
    </row>
    <row r="2068" spans="6:6">
      <c r="F2068" s="600" t="s">
        <v>3558</v>
      </c>
    </row>
    <row r="2069" spans="6:6">
      <c r="F2069" s="600" t="s">
        <v>3559</v>
      </c>
    </row>
    <row r="2070" spans="6:6">
      <c r="F2070" s="600" t="s">
        <v>3560</v>
      </c>
    </row>
    <row r="2071" spans="6:6">
      <c r="F2071" s="600" t="s">
        <v>3561</v>
      </c>
    </row>
    <row r="2072" spans="6:6">
      <c r="F2072" s="600" t="s">
        <v>3562</v>
      </c>
    </row>
    <row r="2073" spans="6:6">
      <c r="F2073" s="600" t="s">
        <v>3563</v>
      </c>
    </row>
    <row r="2074" spans="6:6">
      <c r="F2074" s="600" t="s">
        <v>3564</v>
      </c>
    </row>
    <row r="2075" spans="6:6">
      <c r="F2075" s="600" t="s">
        <v>3565</v>
      </c>
    </row>
    <row r="2076" spans="6:6">
      <c r="F2076" s="600" t="s">
        <v>3566</v>
      </c>
    </row>
    <row r="2077" spans="6:6">
      <c r="F2077" s="600" t="s">
        <v>3567</v>
      </c>
    </row>
    <row r="2078" spans="6:6">
      <c r="F2078" s="600" t="s">
        <v>3568</v>
      </c>
    </row>
    <row r="2079" spans="6:6">
      <c r="F2079" s="600" t="s">
        <v>3569</v>
      </c>
    </row>
    <row r="2080" spans="6:6">
      <c r="F2080" s="600" t="s">
        <v>3570</v>
      </c>
    </row>
    <row r="2081" spans="6:6">
      <c r="F2081" s="600" t="s">
        <v>3571</v>
      </c>
    </row>
    <row r="2082" spans="6:6">
      <c r="F2082" s="600" t="s">
        <v>3572</v>
      </c>
    </row>
    <row r="2083" spans="6:6">
      <c r="F2083" s="600" t="s">
        <v>3573</v>
      </c>
    </row>
    <row r="2084" spans="6:6">
      <c r="F2084" s="600" t="s">
        <v>3574</v>
      </c>
    </row>
    <row r="2085" spans="6:6">
      <c r="F2085" s="600" t="s">
        <v>3575</v>
      </c>
    </row>
    <row r="2086" spans="6:6">
      <c r="F2086" s="600" t="s">
        <v>3576</v>
      </c>
    </row>
    <row r="2087" spans="6:6">
      <c r="F2087" s="600" t="s">
        <v>3577</v>
      </c>
    </row>
    <row r="2088" spans="6:6">
      <c r="F2088" s="600" t="s">
        <v>3578</v>
      </c>
    </row>
    <row r="2089" spans="6:6">
      <c r="F2089" s="600" t="s">
        <v>3579</v>
      </c>
    </row>
    <row r="2090" spans="6:6">
      <c r="F2090" s="600" t="s">
        <v>3580</v>
      </c>
    </row>
    <row r="2091" spans="6:6">
      <c r="F2091" s="600" t="s">
        <v>3581</v>
      </c>
    </row>
    <row r="2092" spans="6:6">
      <c r="F2092" s="600" t="s">
        <v>3582</v>
      </c>
    </row>
    <row r="2093" spans="6:6">
      <c r="F2093" s="600" t="s">
        <v>3583</v>
      </c>
    </row>
    <row r="2094" spans="6:6">
      <c r="F2094" s="600" t="s">
        <v>3584</v>
      </c>
    </row>
    <row r="2095" spans="6:6">
      <c r="F2095" s="600" t="s">
        <v>3585</v>
      </c>
    </row>
    <row r="2096" spans="6:6">
      <c r="F2096" s="600" t="s">
        <v>3586</v>
      </c>
    </row>
    <row r="2097" spans="6:6">
      <c r="F2097" s="600" t="s">
        <v>3587</v>
      </c>
    </row>
    <row r="2098" spans="6:6">
      <c r="F2098" s="600" t="s">
        <v>3588</v>
      </c>
    </row>
    <row r="2099" spans="6:6">
      <c r="F2099" s="600" t="s">
        <v>3589</v>
      </c>
    </row>
    <row r="2100" spans="6:6">
      <c r="F2100" s="600" t="s">
        <v>3590</v>
      </c>
    </row>
    <row r="2101" spans="6:6">
      <c r="F2101" s="600" t="s">
        <v>3591</v>
      </c>
    </row>
    <row r="2102" spans="6:6">
      <c r="F2102" s="600" t="s">
        <v>3592</v>
      </c>
    </row>
    <row r="2103" spans="6:6">
      <c r="F2103" s="600" t="s">
        <v>3593</v>
      </c>
    </row>
    <row r="2104" spans="6:6">
      <c r="F2104" s="600" t="s">
        <v>3594</v>
      </c>
    </row>
    <row r="2105" spans="6:6">
      <c r="F2105" s="600" t="s">
        <v>3595</v>
      </c>
    </row>
    <row r="2106" spans="6:6">
      <c r="F2106" s="600" t="s">
        <v>3596</v>
      </c>
    </row>
    <row r="2107" spans="6:6">
      <c r="F2107" s="600" t="s">
        <v>3597</v>
      </c>
    </row>
    <row r="2108" spans="6:6">
      <c r="F2108" s="600" t="s">
        <v>3598</v>
      </c>
    </row>
    <row r="2109" spans="6:6">
      <c r="F2109" s="600" t="s">
        <v>3599</v>
      </c>
    </row>
    <row r="2110" spans="6:6">
      <c r="F2110" s="600" t="s">
        <v>3600</v>
      </c>
    </row>
    <row r="2111" spans="6:6">
      <c r="F2111" s="600" t="s">
        <v>3601</v>
      </c>
    </row>
    <row r="2112" spans="6:6">
      <c r="F2112" s="600" t="s">
        <v>3602</v>
      </c>
    </row>
    <row r="2113" spans="6:6">
      <c r="F2113" s="600" t="s">
        <v>3603</v>
      </c>
    </row>
    <row r="2114" spans="6:6">
      <c r="F2114" s="600" t="s">
        <v>3604</v>
      </c>
    </row>
    <row r="2115" spans="6:6">
      <c r="F2115" s="600" t="s">
        <v>3605</v>
      </c>
    </row>
    <row r="2116" spans="6:6">
      <c r="F2116" s="600" t="s">
        <v>3606</v>
      </c>
    </row>
    <row r="2117" spans="6:6">
      <c r="F2117" s="600" t="s">
        <v>3607</v>
      </c>
    </row>
    <row r="2118" spans="6:6">
      <c r="F2118" s="600" t="s">
        <v>289</v>
      </c>
    </row>
    <row r="2119" spans="6:6">
      <c r="F2119" s="600" t="s">
        <v>3608</v>
      </c>
    </row>
    <row r="2120" spans="6:6">
      <c r="F2120" s="600" t="s">
        <v>3609</v>
      </c>
    </row>
    <row r="2121" spans="6:6">
      <c r="F2121" s="600" t="s">
        <v>3610</v>
      </c>
    </row>
    <row r="2122" spans="6:6">
      <c r="F2122" s="600" t="s">
        <v>3611</v>
      </c>
    </row>
    <row r="2123" spans="6:6">
      <c r="F2123" s="600" t="s">
        <v>3612</v>
      </c>
    </row>
    <row r="2124" spans="6:6">
      <c r="F2124" s="600" t="s">
        <v>3613</v>
      </c>
    </row>
    <row r="2125" spans="6:6">
      <c r="F2125" s="600" t="s">
        <v>3614</v>
      </c>
    </row>
    <row r="2126" spans="6:6">
      <c r="F2126" s="600" t="s">
        <v>3615</v>
      </c>
    </row>
    <row r="2127" spans="6:6">
      <c r="F2127" s="600" t="s">
        <v>3616</v>
      </c>
    </row>
    <row r="2128" spans="6:6">
      <c r="F2128" s="600" t="s">
        <v>3617</v>
      </c>
    </row>
    <row r="2129" spans="6:6">
      <c r="F2129" s="600" t="s">
        <v>3618</v>
      </c>
    </row>
    <row r="2130" spans="6:6">
      <c r="F2130" s="600" t="s">
        <v>3619</v>
      </c>
    </row>
    <row r="2131" spans="6:6">
      <c r="F2131" s="600" t="s">
        <v>3620</v>
      </c>
    </row>
    <row r="2132" spans="6:6">
      <c r="F2132" s="600" t="s">
        <v>3621</v>
      </c>
    </row>
    <row r="2133" spans="6:6">
      <c r="F2133" s="600" t="s">
        <v>3622</v>
      </c>
    </row>
    <row r="2134" spans="6:6">
      <c r="F2134" s="600" t="s">
        <v>3623</v>
      </c>
    </row>
    <row r="2135" spans="6:6">
      <c r="F2135" s="600" t="s">
        <v>3624</v>
      </c>
    </row>
    <row r="2136" spans="6:6">
      <c r="F2136" s="600" t="s">
        <v>3625</v>
      </c>
    </row>
    <row r="2137" spans="6:6">
      <c r="F2137" s="600" t="s">
        <v>3626</v>
      </c>
    </row>
    <row r="2138" spans="6:6">
      <c r="F2138" s="600" t="s">
        <v>3627</v>
      </c>
    </row>
    <row r="2139" spans="6:6">
      <c r="F2139" s="600" t="s">
        <v>3628</v>
      </c>
    </row>
    <row r="2140" spans="6:6">
      <c r="F2140" s="600" t="s">
        <v>1503</v>
      </c>
    </row>
    <row r="2141" spans="6:6">
      <c r="F2141" s="600" t="s">
        <v>3629</v>
      </c>
    </row>
    <row r="2142" spans="6:6">
      <c r="F2142" s="600" t="s">
        <v>3630</v>
      </c>
    </row>
    <row r="2143" spans="6:6">
      <c r="F2143" s="600" t="s">
        <v>3631</v>
      </c>
    </row>
    <row r="2144" spans="6:6">
      <c r="F2144" s="600" t="s">
        <v>3632</v>
      </c>
    </row>
    <row r="2145" spans="6:6">
      <c r="F2145" s="600" t="s">
        <v>3633</v>
      </c>
    </row>
    <row r="2146" spans="6:6">
      <c r="F2146" s="600" t="s">
        <v>3634</v>
      </c>
    </row>
    <row r="2147" spans="6:6">
      <c r="F2147" s="600" t="s">
        <v>3635</v>
      </c>
    </row>
    <row r="2148" spans="6:6">
      <c r="F2148" s="600" t="s">
        <v>3636</v>
      </c>
    </row>
    <row r="2149" spans="6:6">
      <c r="F2149" s="600" t="s">
        <v>3637</v>
      </c>
    </row>
    <row r="2150" spans="6:6">
      <c r="F2150" s="600" t="s">
        <v>3638</v>
      </c>
    </row>
    <row r="2151" spans="6:6">
      <c r="F2151" s="600" t="s">
        <v>3639</v>
      </c>
    </row>
    <row r="2152" spans="6:6">
      <c r="F2152" s="600" t="s">
        <v>3640</v>
      </c>
    </row>
    <row r="2153" spans="6:6">
      <c r="F2153" s="600" t="s">
        <v>3641</v>
      </c>
    </row>
    <row r="2154" spans="6:6">
      <c r="F2154" s="600" t="s">
        <v>3642</v>
      </c>
    </row>
    <row r="2155" spans="6:6">
      <c r="F2155" s="600" t="s">
        <v>3643</v>
      </c>
    </row>
    <row r="2156" spans="6:6">
      <c r="F2156" s="600" t="s">
        <v>3644</v>
      </c>
    </row>
    <row r="2157" spans="6:6">
      <c r="F2157" s="600" t="s">
        <v>3645</v>
      </c>
    </row>
    <row r="2158" spans="6:6">
      <c r="F2158" s="600" t="s">
        <v>3646</v>
      </c>
    </row>
    <row r="2159" spans="6:6">
      <c r="F2159" s="600" t="s">
        <v>3647</v>
      </c>
    </row>
    <row r="2160" spans="6:6">
      <c r="F2160" s="600" t="s">
        <v>3648</v>
      </c>
    </row>
    <row r="2161" spans="6:6">
      <c r="F2161" s="600" t="s">
        <v>3649</v>
      </c>
    </row>
    <row r="2162" spans="6:6">
      <c r="F2162" s="600" t="s">
        <v>3650</v>
      </c>
    </row>
    <row r="2163" spans="6:6">
      <c r="F2163" s="600" t="s">
        <v>3651</v>
      </c>
    </row>
    <row r="2164" spans="6:6">
      <c r="F2164" s="600" t="s">
        <v>3652</v>
      </c>
    </row>
    <row r="2165" spans="6:6">
      <c r="F2165" s="600" t="s">
        <v>3653</v>
      </c>
    </row>
    <row r="2166" spans="6:6">
      <c r="F2166" s="600" t="s">
        <v>3654</v>
      </c>
    </row>
    <row r="2167" spans="6:6">
      <c r="F2167" s="600" t="s">
        <v>3655</v>
      </c>
    </row>
    <row r="2168" spans="6:6">
      <c r="F2168" s="600" t="s">
        <v>3656</v>
      </c>
    </row>
    <row r="2169" spans="6:6">
      <c r="F2169" s="600" t="s">
        <v>3657</v>
      </c>
    </row>
    <row r="2170" spans="6:6">
      <c r="F2170" s="600" t="s">
        <v>3658</v>
      </c>
    </row>
    <row r="2171" spans="6:6">
      <c r="F2171" s="600" t="s">
        <v>3659</v>
      </c>
    </row>
    <row r="2172" spans="6:6">
      <c r="F2172" s="600" t="s">
        <v>3660</v>
      </c>
    </row>
    <row r="2173" spans="6:6">
      <c r="F2173" s="600" t="s">
        <v>3661</v>
      </c>
    </row>
    <row r="2174" spans="6:6">
      <c r="F2174" s="600" t="s">
        <v>3662</v>
      </c>
    </row>
    <row r="2175" spans="6:6">
      <c r="F2175" s="600" t="s">
        <v>3663</v>
      </c>
    </row>
    <row r="2176" spans="6:6">
      <c r="F2176" s="600" t="s">
        <v>3664</v>
      </c>
    </row>
    <row r="2177" spans="6:6">
      <c r="F2177" s="600" t="s">
        <v>3665</v>
      </c>
    </row>
    <row r="2178" spans="6:6">
      <c r="F2178" s="600" t="s">
        <v>3666</v>
      </c>
    </row>
    <row r="2179" spans="6:6">
      <c r="F2179" s="600" t="s">
        <v>3667</v>
      </c>
    </row>
    <row r="2180" spans="6:6">
      <c r="F2180" s="600" t="s">
        <v>3668</v>
      </c>
    </row>
    <row r="2181" spans="6:6">
      <c r="F2181" s="600" t="s">
        <v>3669</v>
      </c>
    </row>
    <row r="2182" spans="6:6">
      <c r="F2182" s="600" t="s">
        <v>3670</v>
      </c>
    </row>
    <row r="2183" spans="6:6">
      <c r="F2183" s="600" t="s">
        <v>3671</v>
      </c>
    </row>
    <row r="2184" spans="6:6">
      <c r="F2184" s="600" t="s">
        <v>3672</v>
      </c>
    </row>
    <row r="2185" spans="6:6">
      <c r="F2185" s="600" t="s">
        <v>3673</v>
      </c>
    </row>
    <row r="2186" spans="6:6">
      <c r="F2186" s="600" t="s">
        <v>3674</v>
      </c>
    </row>
    <row r="2187" spans="6:6">
      <c r="F2187" s="600" t="s">
        <v>3675</v>
      </c>
    </row>
    <row r="2188" spans="6:6">
      <c r="F2188" s="600" t="s">
        <v>3676</v>
      </c>
    </row>
    <row r="2189" spans="6:6">
      <c r="F2189" s="600" t="s">
        <v>3677</v>
      </c>
    </row>
    <row r="2190" spans="6:6">
      <c r="F2190" s="600" t="s">
        <v>3678</v>
      </c>
    </row>
    <row r="2191" spans="6:6">
      <c r="F2191" s="600" t="s">
        <v>3679</v>
      </c>
    </row>
    <row r="2192" spans="6:6">
      <c r="F2192" s="600" t="s">
        <v>3680</v>
      </c>
    </row>
    <row r="2193" spans="6:6">
      <c r="F2193" s="600" t="s">
        <v>3681</v>
      </c>
    </row>
    <row r="2194" spans="6:6">
      <c r="F2194" s="600" t="s">
        <v>3682</v>
      </c>
    </row>
    <row r="2195" spans="6:6">
      <c r="F2195" s="600" t="s">
        <v>3683</v>
      </c>
    </row>
    <row r="2196" spans="6:6">
      <c r="F2196" s="600" t="s">
        <v>3684</v>
      </c>
    </row>
    <row r="2197" spans="6:6">
      <c r="F2197" s="600" t="s">
        <v>3685</v>
      </c>
    </row>
    <row r="2198" spans="6:6">
      <c r="F2198" s="600" t="s">
        <v>3686</v>
      </c>
    </row>
    <row r="2199" spans="6:6">
      <c r="F2199" s="600" t="s">
        <v>3687</v>
      </c>
    </row>
    <row r="2200" spans="6:6">
      <c r="F2200" s="600" t="s">
        <v>3688</v>
      </c>
    </row>
    <row r="2201" spans="6:6">
      <c r="F2201" s="600" t="s">
        <v>3689</v>
      </c>
    </row>
    <row r="2202" spans="6:6">
      <c r="F2202" s="600" t="s">
        <v>3690</v>
      </c>
    </row>
    <row r="2203" spans="6:6">
      <c r="F2203" s="600" t="s">
        <v>3691</v>
      </c>
    </row>
    <row r="2204" spans="6:6">
      <c r="F2204" s="600" t="s">
        <v>3692</v>
      </c>
    </row>
    <row r="2205" spans="6:6">
      <c r="F2205" s="600" t="s">
        <v>3693</v>
      </c>
    </row>
    <row r="2206" spans="6:6">
      <c r="F2206" s="600" t="s">
        <v>3694</v>
      </c>
    </row>
    <row r="2207" spans="6:6">
      <c r="F2207" s="600" t="s">
        <v>3695</v>
      </c>
    </row>
    <row r="2208" spans="6:6">
      <c r="F2208" s="600" t="s">
        <v>3696</v>
      </c>
    </row>
    <row r="2209" spans="6:6">
      <c r="F2209" s="600" t="s">
        <v>3697</v>
      </c>
    </row>
    <row r="2210" spans="6:6">
      <c r="F2210" s="600" t="s">
        <v>3698</v>
      </c>
    </row>
    <row r="2211" spans="6:6">
      <c r="F2211" s="600" t="s">
        <v>3699</v>
      </c>
    </row>
    <row r="2212" spans="6:6">
      <c r="F2212" s="600" t="s">
        <v>3700</v>
      </c>
    </row>
    <row r="2213" spans="6:6">
      <c r="F2213" s="600" t="s">
        <v>3701</v>
      </c>
    </row>
    <row r="2214" spans="6:6">
      <c r="F2214" s="600" t="s">
        <v>3702</v>
      </c>
    </row>
    <row r="2215" spans="6:6">
      <c r="F2215" s="600" t="s">
        <v>3703</v>
      </c>
    </row>
    <row r="2216" spans="6:6">
      <c r="F2216" s="600" t="s">
        <v>3704</v>
      </c>
    </row>
    <row r="2217" spans="6:6">
      <c r="F2217" s="600" t="s">
        <v>3705</v>
      </c>
    </row>
    <row r="2218" spans="6:6">
      <c r="F2218" s="600" t="s">
        <v>3706</v>
      </c>
    </row>
    <row r="2219" spans="6:6">
      <c r="F2219" s="600" t="s">
        <v>3707</v>
      </c>
    </row>
    <row r="2220" spans="6:6">
      <c r="F2220" s="600" t="s">
        <v>3708</v>
      </c>
    </row>
    <row r="2221" spans="6:6">
      <c r="F2221" s="600" t="s">
        <v>3709</v>
      </c>
    </row>
    <row r="2222" spans="6:6">
      <c r="F2222" s="600" t="s">
        <v>3710</v>
      </c>
    </row>
    <row r="2223" spans="6:6">
      <c r="F2223" s="600" t="s">
        <v>3711</v>
      </c>
    </row>
    <row r="2224" spans="6:6">
      <c r="F2224" s="600" t="s">
        <v>3712</v>
      </c>
    </row>
    <row r="2225" spans="6:6">
      <c r="F2225" s="600" t="s">
        <v>3713</v>
      </c>
    </row>
    <row r="2226" spans="6:6">
      <c r="F2226" s="600" t="s">
        <v>3714</v>
      </c>
    </row>
    <row r="2227" spans="6:6">
      <c r="F2227" s="600" t="s">
        <v>3715</v>
      </c>
    </row>
    <row r="2228" spans="6:6">
      <c r="F2228" s="600" t="s">
        <v>3716</v>
      </c>
    </row>
    <row r="2229" spans="6:6">
      <c r="F2229" s="600" t="s">
        <v>3717</v>
      </c>
    </row>
    <row r="2230" spans="6:6">
      <c r="F2230" s="600" t="s">
        <v>3718</v>
      </c>
    </row>
    <row r="2231" spans="6:6">
      <c r="F2231" s="600" t="s">
        <v>3719</v>
      </c>
    </row>
    <row r="2232" spans="6:6">
      <c r="F2232" s="600" t="s">
        <v>3720</v>
      </c>
    </row>
    <row r="2233" spans="6:6">
      <c r="F2233" s="600" t="s">
        <v>3721</v>
      </c>
    </row>
    <row r="2234" spans="6:6">
      <c r="F2234" s="600" t="s">
        <v>3722</v>
      </c>
    </row>
    <row r="2235" spans="6:6">
      <c r="F2235" s="600" t="s">
        <v>3723</v>
      </c>
    </row>
    <row r="2236" spans="6:6">
      <c r="F2236" s="600" t="s">
        <v>3724</v>
      </c>
    </row>
    <row r="2237" spans="6:6">
      <c r="F2237" s="600" t="s">
        <v>3725</v>
      </c>
    </row>
    <row r="2238" spans="6:6">
      <c r="F2238" s="600" t="s">
        <v>3726</v>
      </c>
    </row>
    <row r="2239" spans="6:6">
      <c r="F2239" s="600" t="s">
        <v>3727</v>
      </c>
    </row>
    <row r="2240" spans="6:6">
      <c r="F2240" s="600" t="s">
        <v>3728</v>
      </c>
    </row>
    <row r="2241" spans="6:6">
      <c r="F2241" s="600" t="s">
        <v>3729</v>
      </c>
    </row>
    <row r="2242" spans="6:6">
      <c r="F2242" s="600" t="s">
        <v>3730</v>
      </c>
    </row>
    <row r="2243" spans="6:6">
      <c r="F2243" s="600" t="s">
        <v>3731</v>
      </c>
    </row>
    <row r="2244" spans="6:6">
      <c r="F2244" s="600" t="s">
        <v>3732</v>
      </c>
    </row>
    <row r="2245" spans="6:6">
      <c r="F2245" s="600" t="s">
        <v>3733</v>
      </c>
    </row>
    <row r="2246" spans="6:6">
      <c r="F2246" s="600" t="s">
        <v>3734</v>
      </c>
    </row>
    <row r="2247" spans="6:6">
      <c r="F2247" s="600" t="s">
        <v>3735</v>
      </c>
    </row>
    <row r="2248" spans="6:6">
      <c r="F2248" s="600" t="s">
        <v>3736</v>
      </c>
    </row>
    <row r="2249" spans="6:6">
      <c r="F2249" s="600" t="s">
        <v>3737</v>
      </c>
    </row>
    <row r="2250" spans="6:6">
      <c r="F2250" s="600" t="s">
        <v>3738</v>
      </c>
    </row>
    <row r="2251" spans="6:6">
      <c r="F2251" s="600" t="s">
        <v>3739</v>
      </c>
    </row>
    <row r="2252" spans="6:6">
      <c r="F2252" s="600" t="s">
        <v>3740</v>
      </c>
    </row>
    <row r="2253" spans="6:6">
      <c r="F2253" s="600" t="s">
        <v>3741</v>
      </c>
    </row>
    <row r="2254" spans="6:6">
      <c r="F2254" s="600" t="s">
        <v>3742</v>
      </c>
    </row>
    <row r="2255" spans="6:6">
      <c r="F2255" s="600" t="s">
        <v>3743</v>
      </c>
    </row>
    <row r="2256" spans="6:6">
      <c r="F2256" s="600" t="s">
        <v>3744</v>
      </c>
    </row>
    <row r="2257" spans="6:6">
      <c r="F2257" s="600" t="s">
        <v>3745</v>
      </c>
    </row>
    <row r="2258" spans="6:6">
      <c r="F2258" s="600" t="s">
        <v>3746</v>
      </c>
    </row>
    <row r="2259" spans="6:6">
      <c r="F2259" s="600" t="s">
        <v>3747</v>
      </c>
    </row>
    <row r="2260" spans="6:6">
      <c r="F2260" s="600" t="s">
        <v>3748</v>
      </c>
    </row>
    <row r="2261" spans="6:6">
      <c r="F2261" s="600" t="s">
        <v>3749</v>
      </c>
    </row>
    <row r="2262" spans="6:6">
      <c r="F2262" s="600" t="s">
        <v>3750</v>
      </c>
    </row>
    <row r="2263" spans="6:6">
      <c r="F2263" s="600" t="s">
        <v>3751</v>
      </c>
    </row>
    <row r="2264" spans="6:6">
      <c r="F2264" s="600" t="s">
        <v>3752</v>
      </c>
    </row>
    <row r="2265" spans="6:6">
      <c r="F2265" s="600" t="s">
        <v>3753</v>
      </c>
    </row>
    <row r="2266" spans="6:6">
      <c r="F2266" s="600" t="s">
        <v>3754</v>
      </c>
    </row>
    <row r="2267" spans="6:6">
      <c r="F2267" s="600" t="s">
        <v>3755</v>
      </c>
    </row>
    <row r="2268" spans="6:6">
      <c r="F2268" s="600" t="s">
        <v>3756</v>
      </c>
    </row>
    <row r="2269" spans="6:6">
      <c r="F2269" s="600" t="s">
        <v>3757</v>
      </c>
    </row>
    <row r="2270" spans="6:6">
      <c r="F2270" s="600" t="s">
        <v>3758</v>
      </c>
    </row>
    <row r="2271" spans="6:6">
      <c r="F2271" s="600" t="s">
        <v>3759</v>
      </c>
    </row>
    <row r="2272" spans="6:6">
      <c r="F2272" s="600" t="s">
        <v>3760</v>
      </c>
    </row>
    <row r="2273" spans="6:6">
      <c r="F2273" s="600" t="s">
        <v>3761</v>
      </c>
    </row>
    <row r="2274" spans="6:6">
      <c r="F2274" s="600" t="s">
        <v>3762</v>
      </c>
    </row>
    <row r="2275" spans="6:6">
      <c r="F2275" s="600" t="s">
        <v>3763</v>
      </c>
    </row>
    <row r="2276" spans="6:6">
      <c r="F2276" s="600" t="s">
        <v>3764</v>
      </c>
    </row>
    <row r="2277" spans="6:6">
      <c r="F2277" s="600" t="s">
        <v>3765</v>
      </c>
    </row>
    <row r="2278" spans="6:6">
      <c r="F2278" s="600" t="s">
        <v>3766</v>
      </c>
    </row>
    <row r="2279" spans="6:6">
      <c r="F2279" s="600" t="s">
        <v>3767</v>
      </c>
    </row>
    <row r="2280" spans="6:6">
      <c r="F2280" s="600" t="s">
        <v>3768</v>
      </c>
    </row>
    <row r="2281" spans="6:6">
      <c r="F2281" s="600" t="s">
        <v>3769</v>
      </c>
    </row>
    <row r="2282" spans="6:6">
      <c r="F2282" s="600" t="s">
        <v>3770</v>
      </c>
    </row>
    <row r="2283" spans="6:6">
      <c r="F2283" s="600" t="s">
        <v>3771</v>
      </c>
    </row>
    <row r="2284" spans="6:6">
      <c r="F2284" s="600" t="s">
        <v>3772</v>
      </c>
    </row>
    <row r="2285" spans="6:6">
      <c r="F2285" s="600" t="s">
        <v>3773</v>
      </c>
    </row>
    <row r="2286" spans="6:6">
      <c r="F2286" s="600" t="s">
        <v>3774</v>
      </c>
    </row>
    <row r="2287" spans="6:6">
      <c r="F2287" s="600" t="s">
        <v>3775</v>
      </c>
    </row>
    <row r="2288" spans="6:6">
      <c r="F2288" s="600" t="s">
        <v>3776</v>
      </c>
    </row>
    <row r="2289" spans="6:6">
      <c r="F2289" s="600" t="s">
        <v>3777</v>
      </c>
    </row>
    <row r="2290" spans="6:6">
      <c r="F2290" s="600" t="s">
        <v>3778</v>
      </c>
    </row>
    <row r="2291" spans="6:6">
      <c r="F2291" s="600" t="s">
        <v>3779</v>
      </c>
    </row>
    <row r="2292" spans="6:6">
      <c r="F2292" s="600" t="s">
        <v>3780</v>
      </c>
    </row>
    <row r="2293" spans="6:6">
      <c r="F2293" s="600" t="s">
        <v>3781</v>
      </c>
    </row>
    <row r="2294" spans="6:6">
      <c r="F2294" s="600" t="s">
        <v>3782</v>
      </c>
    </row>
    <row r="2295" spans="6:6">
      <c r="F2295" s="600" t="s">
        <v>3783</v>
      </c>
    </row>
    <row r="2296" spans="6:6">
      <c r="F2296" s="600" t="s">
        <v>3784</v>
      </c>
    </row>
    <row r="2297" spans="6:6">
      <c r="F2297" s="600" t="s">
        <v>3785</v>
      </c>
    </row>
    <row r="2298" spans="6:6">
      <c r="F2298" s="600" t="s">
        <v>3786</v>
      </c>
    </row>
    <row r="2299" spans="6:6">
      <c r="F2299" s="600" t="s">
        <v>3787</v>
      </c>
    </row>
    <row r="2300" spans="6:6">
      <c r="F2300" s="600" t="s">
        <v>3788</v>
      </c>
    </row>
    <row r="2301" spans="6:6">
      <c r="F2301" s="600" t="s">
        <v>3789</v>
      </c>
    </row>
    <row r="2302" spans="6:6">
      <c r="F2302" s="600" t="s">
        <v>3790</v>
      </c>
    </row>
    <row r="2303" spans="6:6">
      <c r="F2303" s="600" t="s">
        <v>3791</v>
      </c>
    </row>
    <row r="2304" spans="6:6">
      <c r="F2304" s="600" t="s">
        <v>3792</v>
      </c>
    </row>
    <row r="2305" spans="6:6">
      <c r="F2305" s="600" t="s">
        <v>3793</v>
      </c>
    </row>
    <row r="2306" spans="6:6">
      <c r="F2306" s="600" t="s">
        <v>3794</v>
      </c>
    </row>
    <row r="2307" spans="6:6">
      <c r="F2307" s="600" t="s">
        <v>3795</v>
      </c>
    </row>
    <row r="2308" spans="6:6">
      <c r="F2308" s="600" t="s">
        <v>3796</v>
      </c>
    </row>
    <row r="2309" spans="6:6">
      <c r="F2309" s="600" t="s">
        <v>3797</v>
      </c>
    </row>
    <row r="2310" spans="6:6">
      <c r="F2310" s="600" t="s">
        <v>3798</v>
      </c>
    </row>
    <row r="2311" spans="6:6">
      <c r="F2311" s="600" t="s">
        <v>3799</v>
      </c>
    </row>
    <row r="2312" spans="6:6">
      <c r="F2312" s="600" t="s">
        <v>3800</v>
      </c>
    </row>
    <row r="2313" spans="6:6">
      <c r="F2313" s="600" t="s">
        <v>3801</v>
      </c>
    </row>
    <row r="2314" spans="6:6">
      <c r="F2314" s="600" t="s">
        <v>3802</v>
      </c>
    </row>
    <row r="2315" spans="6:6">
      <c r="F2315" s="600" t="s">
        <v>3803</v>
      </c>
    </row>
    <row r="2316" spans="6:6">
      <c r="F2316" s="600" t="s">
        <v>3804</v>
      </c>
    </row>
    <row r="2317" spans="6:6">
      <c r="F2317" s="600" t="s">
        <v>3805</v>
      </c>
    </row>
    <row r="2318" spans="6:6">
      <c r="F2318" s="600" t="s">
        <v>3806</v>
      </c>
    </row>
    <row r="2319" spans="6:6">
      <c r="F2319" s="600" t="s">
        <v>3807</v>
      </c>
    </row>
    <row r="2320" spans="6:6">
      <c r="F2320" s="600" t="s">
        <v>3808</v>
      </c>
    </row>
    <row r="2321" spans="6:6">
      <c r="F2321" s="600" t="s">
        <v>3809</v>
      </c>
    </row>
    <row r="2322" spans="6:6">
      <c r="F2322" s="600" t="s">
        <v>3810</v>
      </c>
    </row>
    <row r="2323" spans="6:6">
      <c r="F2323" s="600" t="s">
        <v>3811</v>
      </c>
    </row>
    <row r="2324" spans="6:6">
      <c r="F2324" s="600" t="s">
        <v>3812</v>
      </c>
    </row>
    <row r="2325" spans="6:6">
      <c r="F2325" s="600" t="s">
        <v>3813</v>
      </c>
    </row>
    <row r="2326" spans="6:6">
      <c r="F2326" s="600" t="s">
        <v>3814</v>
      </c>
    </row>
    <row r="2327" spans="6:6">
      <c r="F2327" s="600" t="s">
        <v>3815</v>
      </c>
    </row>
    <row r="2328" spans="6:6">
      <c r="F2328" s="600" t="s">
        <v>3816</v>
      </c>
    </row>
    <row r="2329" spans="6:6">
      <c r="F2329" s="600" t="s">
        <v>3817</v>
      </c>
    </row>
    <row r="2330" spans="6:6">
      <c r="F2330" s="600" t="s">
        <v>3818</v>
      </c>
    </row>
    <row r="2331" spans="6:6">
      <c r="F2331" s="600" t="s">
        <v>3819</v>
      </c>
    </row>
    <row r="2332" spans="6:6">
      <c r="F2332" s="600" t="s">
        <v>3820</v>
      </c>
    </row>
    <row r="2333" spans="6:6">
      <c r="F2333" s="600" t="s">
        <v>3821</v>
      </c>
    </row>
    <row r="2334" spans="6:6">
      <c r="F2334" s="600" t="s">
        <v>3822</v>
      </c>
    </row>
    <row r="2335" spans="6:6">
      <c r="F2335" s="600" t="s">
        <v>3823</v>
      </c>
    </row>
    <row r="2336" spans="6:6">
      <c r="F2336" s="600" t="s">
        <v>3824</v>
      </c>
    </row>
    <row r="2337" spans="6:6">
      <c r="F2337" s="600" t="s">
        <v>3825</v>
      </c>
    </row>
    <row r="2338" spans="6:6">
      <c r="F2338" s="600" t="s">
        <v>3826</v>
      </c>
    </row>
    <row r="2339" spans="6:6">
      <c r="F2339" s="600" t="s">
        <v>3827</v>
      </c>
    </row>
    <row r="2340" spans="6:6">
      <c r="F2340" s="600" t="s">
        <v>3828</v>
      </c>
    </row>
    <row r="2341" spans="6:6">
      <c r="F2341" s="600" t="s">
        <v>3829</v>
      </c>
    </row>
    <row r="2342" spans="6:6">
      <c r="F2342" s="600" t="s">
        <v>3830</v>
      </c>
    </row>
    <row r="2343" spans="6:6">
      <c r="F2343" s="600" t="s">
        <v>3831</v>
      </c>
    </row>
    <row r="2344" spans="6:6">
      <c r="F2344" s="600" t="s">
        <v>3832</v>
      </c>
    </row>
    <row r="2345" spans="6:6">
      <c r="F2345" s="600" t="s">
        <v>3833</v>
      </c>
    </row>
    <row r="2346" spans="6:6">
      <c r="F2346" s="600" t="s">
        <v>3834</v>
      </c>
    </row>
    <row r="2347" spans="6:6">
      <c r="F2347" s="600" t="s">
        <v>3835</v>
      </c>
    </row>
    <row r="2348" spans="6:6">
      <c r="F2348" s="600" t="s">
        <v>3836</v>
      </c>
    </row>
    <row r="2349" spans="6:6">
      <c r="F2349" s="600" t="s">
        <v>3837</v>
      </c>
    </row>
    <row r="2350" spans="6:6">
      <c r="F2350" s="600" t="s">
        <v>3838</v>
      </c>
    </row>
    <row r="2351" spans="6:6">
      <c r="F2351" s="600" t="s">
        <v>3839</v>
      </c>
    </row>
    <row r="2352" spans="6:6">
      <c r="F2352" s="600" t="s">
        <v>3840</v>
      </c>
    </row>
    <row r="2353" spans="6:6">
      <c r="F2353" s="600" t="s">
        <v>3841</v>
      </c>
    </row>
    <row r="2354" spans="6:6">
      <c r="F2354" s="600" t="s">
        <v>3842</v>
      </c>
    </row>
    <row r="2355" spans="6:6">
      <c r="F2355" s="600" t="s">
        <v>3843</v>
      </c>
    </row>
    <row r="2356" spans="6:6">
      <c r="F2356" s="600" t="s">
        <v>3844</v>
      </c>
    </row>
    <row r="2357" spans="6:6">
      <c r="F2357" s="600" t="s">
        <v>3845</v>
      </c>
    </row>
    <row r="2358" spans="6:6">
      <c r="F2358" s="600" t="s">
        <v>3846</v>
      </c>
    </row>
    <row r="2359" spans="6:6">
      <c r="F2359" s="600" t="s">
        <v>3847</v>
      </c>
    </row>
    <row r="2360" spans="6:6">
      <c r="F2360" s="600" t="s">
        <v>3848</v>
      </c>
    </row>
    <row r="2361" spans="6:6">
      <c r="F2361" s="600" t="s">
        <v>3849</v>
      </c>
    </row>
    <row r="2362" spans="6:6">
      <c r="F2362" s="600" t="s">
        <v>3850</v>
      </c>
    </row>
    <row r="2363" spans="6:6">
      <c r="F2363" s="600" t="s">
        <v>3851</v>
      </c>
    </row>
    <row r="2364" spans="6:6">
      <c r="F2364" s="600" t="s">
        <v>3852</v>
      </c>
    </row>
    <row r="2365" spans="6:6">
      <c r="F2365" s="600" t="s">
        <v>3853</v>
      </c>
    </row>
    <row r="2366" spans="6:6">
      <c r="F2366" s="600" t="s">
        <v>3854</v>
      </c>
    </row>
    <row r="2367" spans="6:6">
      <c r="F2367" s="600" t="s">
        <v>3855</v>
      </c>
    </row>
    <row r="2368" spans="6:6">
      <c r="F2368" s="600" t="s">
        <v>3856</v>
      </c>
    </row>
    <row r="2369" spans="6:6">
      <c r="F2369" s="600" t="s">
        <v>3857</v>
      </c>
    </row>
    <row r="2370" spans="6:6">
      <c r="F2370" s="600" t="s">
        <v>3858</v>
      </c>
    </row>
    <row r="2371" spans="6:6">
      <c r="F2371" s="600" t="s">
        <v>3859</v>
      </c>
    </row>
    <row r="2372" spans="6:6">
      <c r="F2372" s="600" t="s">
        <v>3860</v>
      </c>
    </row>
    <row r="2373" spans="6:6">
      <c r="F2373" s="600" t="s">
        <v>3861</v>
      </c>
    </row>
    <row r="2374" spans="6:6">
      <c r="F2374" s="600" t="s">
        <v>3862</v>
      </c>
    </row>
    <row r="2375" spans="6:6">
      <c r="F2375" s="600" t="s">
        <v>3863</v>
      </c>
    </row>
    <row r="2376" spans="6:6">
      <c r="F2376" s="600" t="s">
        <v>3864</v>
      </c>
    </row>
    <row r="2377" spans="6:6">
      <c r="F2377" s="600" t="s">
        <v>3865</v>
      </c>
    </row>
    <row r="2378" spans="6:6">
      <c r="F2378" s="600" t="s">
        <v>3866</v>
      </c>
    </row>
    <row r="2379" spans="6:6">
      <c r="F2379" s="600" t="s">
        <v>3867</v>
      </c>
    </row>
    <row r="2380" spans="6:6">
      <c r="F2380" s="600" t="s">
        <v>3868</v>
      </c>
    </row>
    <row r="2381" spans="6:6">
      <c r="F2381" s="600" t="s">
        <v>3869</v>
      </c>
    </row>
    <row r="2382" spans="6:6">
      <c r="F2382" s="600" t="s">
        <v>3870</v>
      </c>
    </row>
    <row r="2383" spans="6:6">
      <c r="F2383" s="600" t="s">
        <v>3871</v>
      </c>
    </row>
    <row r="2384" spans="6:6">
      <c r="F2384" s="600" t="s">
        <v>3872</v>
      </c>
    </row>
    <row r="2385" spans="6:6">
      <c r="F2385" s="600" t="s">
        <v>3873</v>
      </c>
    </row>
    <row r="2386" spans="6:6">
      <c r="F2386" s="600" t="s">
        <v>3874</v>
      </c>
    </row>
    <row r="2387" spans="6:6">
      <c r="F2387" s="600" t="s">
        <v>3875</v>
      </c>
    </row>
    <row r="2388" spans="6:6">
      <c r="F2388" s="600" t="s">
        <v>3876</v>
      </c>
    </row>
    <row r="2389" spans="6:6">
      <c r="F2389" s="600" t="s">
        <v>3877</v>
      </c>
    </row>
    <row r="2390" spans="6:6">
      <c r="F2390" s="600" t="s">
        <v>3878</v>
      </c>
    </row>
    <row r="2391" spans="6:6">
      <c r="F2391" s="600" t="s">
        <v>3879</v>
      </c>
    </row>
    <row r="2392" spans="6:6">
      <c r="F2392" s="600" t="s">
        <v>3880</v>
      </c>
    </row>
    <row r="2393" spans="6:6">
      <c r="F2393" s="600" t="s">
        <v>3881</v>
      </c>
    </row>
    <row r="2394" spans="6:6">
      <c r="F2394" s="600" t="s">
        <v>3882</v>
      </c>
    </row>
    <row r="2395" spans="6:6">
      <c r="F2395" s="600" t="s">
        <v>3883</v>
      </c>
    </row>
    <row r="2396" spans="6:6">
      <c r="F2396" s="600" t="s">
        <v>3884</v>
      </c>
    </row>
    <row r="2397" spans="6:6">
      <c r="F2397" s="600" t="s">
        <v>3885</v>
      </c>
    </row>
    <row r="2398" spans="6:6">
      <c r="F2398" s="600" t="s">
        <v>3886</v>
      </c>
    </row>
    <row r="2399" spans="6:6">
      <c r="F2399" s="600" t="s">
        <v>3887</v>
      </c>
    </row>
    <row r="2400" spans="6:6">
      <c r="F2400" s="600" t="s">
        <v>3888</v>
      </c>
    </row>
    <row r="2401" spans="6:6">
      <c r="F2401" s="600" t="s">
        <v>3889</v>
      </c>
    </row>
    <row r="2402" spans="6:6">
      <c r="F2402" s="600" t="s">
        <v>3890</v>
      </c>
    </row>
    <row r="2403" spans="6:6">
      <c r="F2403" s="600" t="s">
        <v>3891</v>
      </c>
    </row>
    <row r="2404" spans="6:6">
      <c r="F2404" s="600" t="s">
        <v>3892</v>
      </c>
    </row>
    <row r="2405" spans="6:6">
      <c r="F2405" s="600" t="s">
        <v>3893</v>
      </c>
    </row>
    <row r="2406" spans="6:6">
      <c r="F2406" s="600" t="s">
        <v>3894</v>
      </c>
    </row>
    <row r="2407" spans="6:6">
      <c r="F2407" s="600" t="s">
        <v>3895</v>
      </c>
    </row>
    <row r="2408" spans="6:6">
      <c r="F2408" s="600" t="s">
        <v>3896</v>
      </c>
    </row>
    <row r="2409" spans="6:6">
      <c r="F2409" s="600" t="s">
        <v>3897</v>
      </c>
    </row>
    <row r="2410" spans="6:6">
      <c r="F2410" s="600" t="s">
        <v>3898</v>
      </c>
    </row>
    <row r="2411" spans="6:6">
      <c r="F2411" s="600" t="s">
        <v>3899</v>
      </c>
    </row>
    <row r="2412" spans="6:6">
      <c r="F2412" s="600" t="s">
        <v>3900</v>
      </c>
    </row>
    <row r="2413" spans="6:6">
      <c r="F2413" s="600" t="s">
        <v>3901</v>
      </c>
    </row>
    <row r="2414" spans="6:6">
      <c r="F2414" s="600" t="s">
        <v>3902</v>
      </c>
    </row>
    <row r="2415" spans="6:6">
      <c r="F2415" s="600" t="s">
        <v>3903</v>
      </c>
    </row>
    <row r="2416" spans="6:6">
      <c r="F2416" s="600" t="s">
        <v>3904</v>
      </c>
    </row>
    <row r="2417" spans="6:6">
      <c r="F2417" s="600" t="s">
        <v>3905</v>
      </c>
    </row>
    <row r="2418" spans="6:6">
      <c r="F2418" s="600" t="s">
        <v>3906</v>
      </c>
    </row>
    <row r="2419" spans="6:6">
      <c r="F2419" s="600" t="s">
        <v>3907</v>
      </c>
    </row>
    <row r="2420" spans="6:6">
      <c r="F2420" s="600" t="s">
        <v>3908</v>
      </c>
    </row>
    <row r="2421" spans="6:6">
      <c r="F2421" s="600" t="s">
        <v>3909</v>
      </c>
    </row>
    <row r="2422" spans="6:6">
      <c r="F2422" s="600" t="s">
        <v>3910</v>
      </c>
    </row>
    <row r="2423" spans="6:6">
      <c r="F2423" s="600" t="s">
        <v>3911</v>
      </c>
    </row>
    <row r="2424" spans="6:6">
      <c r="F2424" s="600" t="s">
        <v>3912</v>
      </c>
    </row>
    <row r="2425" spans="6:6">
      <c r="F2425" s="600" t="s">
        <v>3913</v>
      </c>
    </row>
    <row r="2426" spans="6:6">
      <c r="F2426" s="600" t="s">
        <v>3914</v>
      </c>
    </row>
    <row r="2427" spans="6:6">
      <c r="F2427" s="600" t="s">
        <v>3915</v>
      </c>
    </row>
    <row r="2428" spans="6:6">
      <c r="F2428" s="600" t="s">
        <v>3916</v>
      </c>
    </row>
    <row r="2429" spans="6:6">
      <c r="F2429" s="600" t="s">
        <v>3917</v>
      </c>
    </row>
    <row r="2430" spans="6:6">
      <c r="F2430" s="600" t="s">
        <v>3918</v>
      </c>
    </row>
    <row r="2431" spans="6:6">
      <c r="F2431" s="600" t="s">
        <v>3919</v>
      </c>
    </row>
    <row r="2432" spans="6:6">
      <c r="F2432" s="600" t="s">
        <v>3920</v>
      </c>
    </row>
    <row r="2433" spans="6:6">
      <c r="F2433" s="600" t="s">
        <v>3921</v>
      </c>
    </row>
    <row r="2434" spans="6:6">
      <c r="F2434" s="600" t="s">
        <v>3922</v>
      </c>
    </row>
    <row r="2435" spans="6:6">
      <c r="F2435" s="600" t="s">
        <v>3923</v>
      </c>
    </row>
    <row r="2436" spans="6:6">
      <c r="F2436" s="600" t="s">
        <v>3924</v>
      </c>
    </row>
    <row r="2437" spans="6:6">
      <c r="F2437" s="600" t="s">
        <v>3925</v>
      </c>
    </row>
    <row r="2438" spans="6:6">
      <c r="F2438" s="600" t="s">
        <v>3926</v>
      </c>
    </row>
    <row r="2439" spans="6:6">
      <c r="F2439" s="600" t="s">
        <v>3927</v>
      </c>
    </row>
    <row r="2440" spans="6:6">
      <c r="F2440" s="600" t="s">
        <v>3928</v>
      </c>
    </row>
    <row r="2441" spans="6:6">
      <c r="F2441" s="600" t="s">
        <v>3929</v>
      </c>
    </row>
    <row r="2442" spans="6:6">
      <c r="F2442" s="600" t="s">
        <v>3930</v>
      </c>
    </row>
    <row r="2443" spans="6:6">
      <c r="F2443" s="600" t="s">
        <v>3931</v>
      </c>
    </row>
    <row r="2444" spans="6:6">
      <c r="F2444" s="600" t="s">
        <v>3932</v>
      </c>
    </row>
    <row r="2445" spans="6:6">
      <c r="F2445" s="600" t="s">
        <v>3933</v>
      </c>
    </row>
    <row r="2446" spans="6:6">
      <c r="F2446" s="600" t="s">
        <v>3934</v>
      </c>
    </row>
    <row r="2447" spans="6:6">
      <c r="F2447" s="600" t="s">
        <v>3935</v>
      </c>
    </row>
    <row r="2448" spans="6:6">
      <c r="F2448" s="600" t="s">
        <v>3936</v>
      </c>
    </row>
    <row r="2449" spans="6:6">
      <c r="F2449" s="600" t="s">
        <v>3937</v>
      </c>
    </row>
    <row r="2450" spans="6:6">
      <c r="F2450" s="600" t="s">
        <v>3938</v>
      </c>
    </row>
    <row r="2451" spans="6:6">
      <c r="F2451" s="600" t="s">
        <v>3939</v>
      </c>
    </row>
    <row r="2452" spans="6:6">
      <c r="F2452" s="600" t="s">
        <v>3940</v>
      </c>
    </row>
    <row r="2453" spans="6:6">
      <c r="F2453" s="600" t="s">
        <v>3941</v>
      </c>
    </row>
    <row r="2454" spans="6:6">
      <c r="F2454" s="600" t="s">
        <v>3942</v>
      </c>
    </row>
    <row r="2455" spans="6:6">
      <c r="F2455" s="600" t="s">
        <v>3943</v>
      </c>
    </row>
    <row r="2456" spans="6:6">
      <c r="F2456" s="600" t="s">
        <v>3944</v>
      </c>
    </row>
    <row r="2457" spans="6:6">
      <c r="F2457" s="600" t="s">
        <v>3945</v>
      </c>
    </row>
    <row r="2458" spans="6:6">
      <c r="F2458" s="600" t="s">
        <v>3946</v>
      </c>
    </row>
    <row r="2459" spans="6:6">
      <c r="F2459" s="600" t="s">
        <v>3947</v>
      </c>
    </row>
    <row r="2460" spans="6:6">
      <c r="F2460" s="600" t="s">
        <v>3948</v>
      </c>
    </row>
    <row r="2461" spans="6:6">
      <c r="F2461" s="600" t="s">
        <v>3949</v>
      </c>
    </row>
    <row r="2462" spans="6:6">
      <c r="F2462" s="600" t="s">
        <v>3950</v>
      </c>
    </row>
    <row r="2463" spans="6:6">
      <c r="F2463" s="600" t="s">
        <v>3951</v>
      </c>
    </row>
    <row r="2464" spans="6:6">
      <c r="F2464" s="600" t="s">
        <v>3952</v>
      </c>
    </row>
    <row r="2465" spans="6:6">
      <c r="F2465" s="600" t="s">
        <v>3953</v>
      </c>
    </row>
    <row r="2466" spans="6:6">
      <c r="F2466" s="600" t="s">
        <v>3954</v>
      </c>
    </row>
    <row r="2467" spans="6:6">
      <c r="F2467" s="600" t="s">
        <v>3955</v>
      </c>
    </row>
    <row r="2468" spans="6:6">
      <c r="F2468" s="600" t="s">
        <v>3956</v>
      </c>
    </row>
    <row r="2469" spans="6:6">
      <c r="F2469" s="600" t="s">
        <v>3957</v>
      </c>
    </row>
    <row r="2470" spans="6:6">
      <c r="F2470" s="600" t="s">
        <v>3958</v>
      </c>
    </row>
    <row r="2471" spans="6:6">
      <c r="F2471" s="600" t="s">
        <v>3959</v>
      </c>
    </row>
    <row r="2472" spans="6:6">
      <c r="F2472" s="600" t="s">
        <v>3960</v>
      </c>
    </row>
    <row r="2473" spans="6:6">
      <c r="F2473" s="600" t="s">
        <v>3961</v>
      </c>
    </row>
    <row r="2474" spans="6:6">
      <c r="F2474" s="600" t="s">
        <v>3962</v>
      </c>
    </row>
    <row r="2475" spans="6:6">
      <c r="F2475" s="600" t="s">
        <v>3963</v>
      </c>
    </row>
    <row r="2476" spans="6:6">
      <c r="F2476" s="600" t="s">
        <v>3964</v>
      </c>
    </row>
    <row r="2477" spans="6:6">
      <c r="F2477" s="600" t="s">
        <v>3965</v>
      </c>
    </row>
    <row r="2478" spans="6:6">
      <c r="F2478" s="600" t="s">
        <v>3966</v>
      </c>
    </row>
    <row r="2479" spans="6:6">
      <c r="F2479" s="600" t="s">
        <v>3967</v>
      </c>
    </row>
    <row r="2480" spans="6:6">
      <c r="F2480" s="600" t="s">
        <v>3968</v>
      </c>
    </row>
    <row r="2481" spans="6:6">
      <c r="F2481" s="600" t="s">
        <v>3969</v>
      </c>
    </row>
    <row r="2482" spans="6:6">
      <c r="F2482" s="600" t="s">
        <v>3970</v>
      </c>
    </row>
    <row r="2483" spans="6:6">
      <c r="F2483" s="600" t="s">
        <v>3971</v>
      </c>
    </row>
    <row r="2484" spans="6:6">
      <c r="F2484" s="600" t="s">
        <v>3972</v>
      </c>
    </row>
    <row r="2485" spans="6:6">
      <c r="F2485" s="600" t="s">
        <v>3973</v>
      </c>
    </row>
    <row r="2486" spans="6:6">
      <c r="F2486" s="600" t="s">
        <v>3974</v>
      </c>
    </row>
    <row r="2487" spans="6:6">
      <c r="F2487" s="600" t="s">
        <v>3975</v>
      </c>
    </row>
    <row r="2488" spans="6:6">
      <c r="F2488" s="600" t="s">
        <v>3976</v>
      </c>
    </row>
    <row r="2489" spans="6:6">
      <c r="F2489" s="600" t="s">
        <v>3977</v>
      </c>
    </row>
    <row r="2490" spans="6:6">
      <c r="F2490" s="600" t="s">
        <v>3978</v>
      </c>
    </row>
    <row r="2491" spans="6:6">
      <c r="F2491" s="600" t="s">
        <v>3979</v>
      </c>
    </row>
    <row r="2492" spans="6:6">
      <c r="F2492" s="600" t="s">
        <v>3980</v>
      </c>
    </row>
    <row r="2493" spans="6:6">
      <c r="F2493" s="600" t="s">
        <v>3981</v>
      </c>
    </row>
    <row r="2494" spans="6:6">
      <c r="F2494" s="600" t="s">
        <v>3982</v>
      </c>
    </row>
    <row r="2495" spans="6:6">
      <c r="F2495" s="600" t="s">
        <v>3983</v>
      </c>
    </row>
    <row r="2496" spans="6:6">
      <c r="F2496" s="600" t="s">
        <v>3984</v>
      </c>
    </row>
    <row r="2497" spans="6:6">
      <c r="F2497" s="600" t="s">
        <v>3985</v>
      </c>
    </row>
    <row r="2498" spans="6:6">
      <c r="F2498" s="600" t="s">
        <v>3986</v>
      </c>
    </row>
    <row r="2499" spans="6:6">
      <c r="F2499" s="600" t="s">
        <v>3987</v>
      </c>
    </row>
    <row r="2500" spans="6:6">
      <c r="F2500" s="600" t="s">
        <v>3988</v>
      </c>
    </row>
    <row r="2501" spans="6:6">
      <c r="F2501" s="600" t="s">
        <v>3989</v>
      </c>
    </row>
    <row r="2502" spans="6:6">
      <c r="F2502" s="600" t="s">
        <v>3990</v>
      </c>
    </row>
    <row r="2503" spans="6:6">
      <c r="F2503" s="600" t="s">
        <v>3991</v>
      </c>
    </row>
    <row r="2504" spans="6:6">
      <c r="F2504" s="600" t="s">
        <v>3992</v>
      </c>
    </row>
    <row r="2505" spans="6:6">
      <c r="F2505" s="600" t="s">
        <v>3993</v>
      </c>
    </row>
    <row r="2506" spans="6:6">
      <c r="F2506" s="600" t="s">
        <v>3994</v>
      </c>
    </row>
    <row r="2507" spans="6:6">
      <c r="F2507" s="600" t="s">
        <v>3995</v>
      </c>
    </row>
    <row r="2508" spans="6:6">
      <c r="F2508" s="600" t="s">
        <v>3996</v>
      </c>
    </row>
    <row r="2509" spans="6:6">
      <c r="F2509" s="600" t="s">
        <v>3997</v>
      </c>
    </row>
    <row r="2510" spans="6:6">
      <c r="F2510" s="600" t="s">
        <v>3998</v>
      </c>
    </row>
    <row r="2511" spans="6:6">
      <c r="F2511" s="600" t="s">
        <v>3999</v>
      </c>
    </row>
    <row r="2512" spans="6:6">
      <c r="F2512" s="600" t="s">
        <v>4000</v>
      </c>
    </row>
    <row r="2513" spans="6:6">
      <c r="F2513" s="600" t="s">
        <v>4001</v>
      </c>
    </row>
    <row r="2514" spans="6:6">
      <c r="F2514" s="600" t="s">
        <v>4002</v>
      </c>
    </row>
    <row r="2515" spans="6:6">
      <c r="F2515" s="600" t="s">
        <v>4003</v>
      </c>
    </row>
    <row r="2516" spans="6:6">
      <c r="F2516" s="600" t="s">
        <v>4004</v>
      </c>
    </row>
    <row r="2517" spans="6:6">
      <c r="F2517" s="600" t="s">
        <v>4005</v>
      </c>
    </row>
    <row r="2518" spans="6:6">
      <c r="F2518" s="600" t="s">
        <v>4006</v>
      </c>
    </row>
    <row r="2519" spans="6:6">
      <c r="F2519" s="600" t="s">
        <v>4007</v>
      </c>
    </row>
    <row r="2520" spans="6:6">
      <c r="F2520" s="600" t="s">
        <v>4008</v>
      </c>
    </row>
    <row r="2521" spans="6:6">
      <c r="F2521" s="600" t="s">
        <v>4009</v>
      </c>
    </row>
    <row r="2522" spans="6:6">
      <c r="F2522" s="600" t="s">
        <v>4010</v>
      </c>
    </row>
    <row r="2523" spans="6:6">
      <c r="F2523" s="600" t="s">
        <v>4011</v>
      </c>
    </row>
    <row r="2524" spans="6:6">
      <c r="F2524" s="600" t="s">
        <v>4012</v>
      </c>
    </row>
    <row r="2525" spans="6:6">
      <c r="F2525" s="600" t="s">
        <v>4013</v>
      </c>
    </row>
    <row r="2526" spans="6:6">
      <c r="F2526" s="600" t="s">
        <v>4014</v>
      </c>
    </row>
    <row r="2527" spans="6:6">
      <c r="F2527" s="600" t="s">
        <v>4015</v>
      </c>
    </row>
    <row r="2528" spans="6:6">
      <c r="F2528" s="600" t="s">
        <v>4016</v>
      </c>
    </row>
    <row r="2529" spans="6:6">
      <c r="F2529" s="600" t="s">
        <v>4017</v>
      </c>
    </row>
    <row r="2530" spans="6:6">
      <c r="F2530" s="600" t="s">
        <v>4018</v>
      </c>
    </row>
    <row r="2531" spans="6:6">
      <c r="F2531" s="600" t="s">
        <v>4019</v>
      </c>
    </row>
    <row r="2532" spans="6:6">
      <c r="F2532" s="600" t="s">
        <v>4020</v>
      </c>
    </row>
    <row r="2533" spans="6:6">
      <c r="F2533" s="600" t="s">
        <v>4021</v>
      </c>
    </row>
    <row r="2534" spans="6:6">
      <c r="F2534" s="600" t="s">
        <v>4022</v>
      </c>
    </row>
    <row r="2535" spans="6:6">
      <c r="F2535" s="600" t="s">
        <v>4023</v>
      </c>
    </row>
    <row r="2536" spans="6:6">
      <c r="F2536" s="600" t="s">
        <v>4024</v>
      </c>
    </row>
    <row r="2537" spans="6:6">
      <c r="F2537" s="600" t="s">
        <v>4025</v>
      </c>
    </row>
    <row r="2538" spans="6:6">
      <c r="F2538" s="600" t="s">
        <v>4026</v>
      </c>
    </row>
    <row r="2539" spans="6:6">
      <c r="F2539" s="600" t="s">
        <v>4027</v>
      </c>
    </row>
    <row r="2540" spans="6:6">
      <c r="F2540" s="600" t="s">
        <v>4028</v>
      </c>
    </row>
    <row r="2541" spans="6:6">
      <c r="F2541" s="600" t="s">
        <v>4029</v>
      </c>
    </row>
    <row r="2542" spans="6:6">
      <c r="F2542" s="600" t="s">
        <v>4030</v>
      </c>
    </row>
    <row r="2543" spans="6:6">
      <c r="F2543" s="600" t="s">
        <v>4031</v>
      </c>
    </row>
    <row r="2544" spans="6:6">
      <c r="F2544" s="600" t="s">
        <v>4032</v>
      </c>
    </row>
    <row r="2545" spans="6:6">
      <c r="F2545" s="600" t="s">
        <v>4033</v>
      </c>
    </row>
    <row r="2546" spans="6:6">
      <c r="F2546" s="600" t="s">
        <v>4034</v>
      </c>
    </row>
    <row r="2547" spans="6:6">
      <c r="F2547" s="600" t="s">
        <v>4035</v>
      </c>
    </row>
    <row r="2548" spans="6:6">
      <c r="F2548" s="600" t="s">
        <v>4036</v>
      </c>
    </row>
    <row r="2549" spans="6:6">
      <c r="F2549" s="600" t="s">
        <v>4037</v>
      </c>
    </row>
    <row r="2550" spans="6:6">
      <c r="F2550" s="600" t="s">
        <v>4038</v>
      </c>
    </row>
    <row r="2551" spans="6:6">
      <c r="F2551" s="600" t="s">
        <v>4039</v>
      </c>
    </row>
    <row r="2552" spans="6:6">
      <c r="F2552" s="600" t="s">
        <v>4040</v>
      </c>
    </row>
    <row r="2553" spans="6:6">
      <c r="F2553" s="600" t="s">
        <v>4041</v>
      </c>
    </row>
    <row r="2554" spans="6:6">
      <c r="F2554" s="600" t="s">
        <v>4042</v>
      </c>
    </row>
    <row r="2555" spans="6:6">
      <c r="F2555" s="600" t="s">
        <v>4043</v>
      </c>
    </row>
    <row r="2556" spans="6:6">
      <c r="F2556" s="600" t="s">
        <v>4044</v>
      </c>
    </row>
    <row r="2557" spans="6:6">
      <c r="F2557" s="600" t="s">
        <v>4045</v>
      </c>
    </row>
    <row r="2558" spans="6:6">
      <c r="F2558" s="600" t="s">
        <v>4046</v>
      </c>
    </row>
    <row r="2559" spans="6:6">
      <c r="F2559" s="600" t="s">
        <v>4047</v>
      </c>
    </row>
    <row r="2560" spans="6:6">
      <c r="F2560" s="600" t="s">
        <v>4048</v>
      </c>
    </row>
    <row r="2561" spans="6:6">
      <c r="F2561" s="600" t="s">
        <v>4049</v>
      </c>
    </row>
    <row r="2562" spans="6:6">
      <c r="F2562" s="600" t="s">
        <v>4050</v>
      </c>
    </row>
    <row r="2563" spans="6:6">
      <c r="F2563" s="600" t="s">
        <v>4051</v>
      </c>
    </row>
    <row r="2564" spans="6:6">
      <c r="F2564" s="600" t="s">
        <v>4052</v>
      </c>
    </row>
    <row r="2565" spans="6:6">
      <c r="F2565" s="600">
        <v>200</v>
      </c>
    </row>
    <row r="2566" spans="6:6">
      <c r="F2566" s="600" t="s">
        <v>4053</v>
      </c>
    </row>
    <row r="2567" spans="6:6">
      <c r="F2567" s="600" t="s">
        <v>4054</v>
      </c>
    </row>
    <row r="2568" spans="6:6">
      <c r="F2568" s="600" t="s">
        <v>4055</v>
      </c>
    </row>
    <row r="2569" spans="6:6">
      <c r="F2569" s="600" t="s">
        <v>4056</v>
      </c>
    </row>
    <row r="2570" spans="6:6">
      <c r="F2570" s="600" t="s">
        <v>4057</v>
      </c>
    </row>
    <row r="2571" spans="6:6">
      <c r="F2571" s="600">
        <v>500</v>
      </c>
    </row>
    <row r="2572" spans="6:6">
      <c r="F2572" s="600" t="s">
        <v>4058</v>
      </c>
    </row>
    <row r="2573" spans="6:6">
      <c r="F2573" s="600" t="s">
        <v>4059</v>
      </c>
    </row>
    <row r="2574" spans="6:6">
      <c r="F2574" s="600" t="s">
        <v>4060</v>
      </c>
    </row>
    <row r="2575" spans="6:6">
      <c r="F2575" s="600" t="s">
        <v>4061</v>
      </c>
    </row>
    <row r="2576" spans="6:6">
      <c r="F2576" s="600" t="s">
        <v>4062</v>
      </c>
    </row>
    <row r="2577" spans="6:6">
      <c r="F2577" s="600" t="s">
        <v>4063</v>
      </c>
    </row>
    <row r="2578" spans="6:6">
      <c r="F2578" s="600" t="s">
        <v>4064</v>
      </c>
    </row>
    <row r="2579" spans="6:6">
      <c r="F2579" s="600" t="s">
        <v>4065</v>
      </c>
    </row>
    <row r="2580" spans="6:6">
      <c r="F2580" s="600" t="s">
        <v>4066</v>
      </c>
    </row>
    <row r="2581" spans="6:6">
      <c r="F2581" s="600" t="s">
        <v>4067</v>
      </c>
    </row>
    <row r="2582" spans="6:6">
      <c r="F2582" s="600" t="s">
        <v>4068</v>
      </c>
    </row>
    <row r="2583" spans="6:6">
      <c r="F2583" s="600" t="s">
        <v>4069</v>
      </c>
    </row>
    <row r="2584" spans="6:6">
      <c r="F2584" s="600" t="s">
        <v>4070</v>
      </c>
    </row>
    <row r="2585" spans="6:6">
      <c r="F2585" s="600" t="s">
        <v>4071</v>
      </c>
    </row>
    <row r="2586" spans="6:6">
      <c r="F2586" s="600" t="s">
        <v>4072</v>
      </c>
    </row>
    <row r="2587" spans="6:6">
      <c r="F2587" s="600" t="s">
        <v>4073</v>
      </c>
    </row>
    <row r="2588" spans="6:6">
      <c r="F2588" s="600" t="s">
        <v>4074</v>
      </c>
    </row>
    <row r="2589" spans="6:6">
      <c r="F2589" s="600" t="s">
        <v>4075</v>
      </c>
    </row>
    <row r="2590" spans="6:6">
      <c r="F2590" s="600" t="s">
        <v>4076</v>
      </c>
    </row>
    <row r="2591" spans="6:6">
      <c r="F2591" s="600" t="s">
        <v>4077</v>
      </c>
    </row>
    <row r="2592" spans="6:6">
      <c r="F2592" s="600" t="s">
        <v>4078</v>
      </c>
    </row>
    <row r="2593" spans="6:6">
      <c r="F2593" s="600" t="s">
        <v>4079</v>
      </c>
    </row>
    <row r="2594" spans="6:6">
      <c r="F2594" s="600" t="s">
        <v>4080</v>
      </c>
    </row>
    <row r="2595" spans="6:6">
      <c r="F2595" s="600" t="s">
        <v>4081</v>
      </c>
    </row>
    <row r="2596" spans="6:6">
      <c r="F2596" s="600" t="s">
        <v>4082</v>
      </c>
    </row>
    <row r="2597" spans="6:6">
      <c r="F2597" s="600" t="s">
        <v>4083</v>
      </c>
    </row>
    <row r="2598" spans="6:6">
      <c r="F2598" s="600" t="s">
        <v>4084</v>
      </c>
    </row>
    <row r="2599" spans="6:6">
      <c r="F2599" s="600" t="s">
        <v>4085</v>
      </c>
    </row>
    <row r="2600" spans="6:6">
      <c r="F2600" s="600" t="s">
        <v>4086</v>
      </c>
    </row>
    <row r="2601" spans="6:6">
      <c r="F2601" s="600" t="s">
        <v>4087</v>
      </c>
    </row>
    <row r="2602" spans="6:6">
      <c r="F2602" s="600" t="s">
        <v>4088</v>
      </c>
    </row>
    <row r="2603" spans="6:6">
      <c r="F2603" s="600" t="s">
        <v>4089</v>
      </c>
    </row>
    <row r="2604" spans="6:6">
      <c r="F2604" s="600" t="s">
        <v>4090</v>
      </c>
    </row>
    <row r="2605" spans="6:6">
      <c r="F2605" s="600" t="s">
        <v>4091</v>
      </c>
    </row>
    <row r="2606" spans="6:6">
      <c r="F2606" s="600" t="s">
        <v>4092</v>
      </c>
    </row>
    <row r="2607" spans="6:6">
      <c r="F2607" s="600" t="s">
        <v>4093</v>
      </c>
    </row>
    <row r="2608" spans="6:6">
      <c r="F2608" s="600" t="s">
        <v>4094</v>
      </c>
    </row>
    <row r="2609" spans="6:6">
      <c r="F2609" s="600" t="s">
        <v>4095</v>
      </c>
    </row>
    <row r="2610" spans="6:6">
      <c r="F2610" s="600" t="s">
        <v>4096</v>
      </c>
    </row>
    <row r="2611" spans="6:6">
      <c r="F2611" s="600" t="s">
        <v>4097</v>
      </c>
    </row>
    <row r="2612" spans="6:6">
      <c r="F2612" s="600" t="s">
        <v>4098</v>
      </c>
    </row>
    <row r="2613" spans="6:6">
      <c r="F2613" s="600" t="s">
        <v>4099</v>
      </c>
    </row>
    <row r="2614" spans="6:6">
      <c r="F2614" s="600" t="s">
        <v>4100</v>
      </c>
    </row>
    <row r="2615" spans="6:6">
      <c r="F2615" s="600" t="s">
        <v>4101</v>
      </c>
    </row>
    <row r="2616" spans="6:6">
      <c r="F2616" s="600" t="s">
        <v>4102</v>
      </c>
    </row>
    <row r="2617" spans="6:6">
      <c r="F2617" s="600" t="s">
        <v>4103</v>
      </c>
    </row>
    <row r="2618" spans="6:6">
      <c r="F2618" s="600" t="s">
        <v>4104</v>
      </c>
    </row>
    <row r="2619" spans="6:6">
      <c r="F2619" s="600" t="s">
        <v>4105</v>
      </c>
    </row>
    <row r="2620" spans="6:6">
      <c r="F2620" s="600" t="s">
        <v>4106</v>
      </c>
    </row>
    <row r="2621" spans="6:6">
      <c r="F2621" s="600" t="s">
        <v>4107</v>
      </c>
    </row>
    <row r="2622" spans="6:6">
      <c r="F2622" s="600" t="s">
        <v>4108</v>
      </c>
    </row>
    <row r="2623" spans="6:6">
      <c r="F2623" s="600" t="s">
        <v>4109</v>
      </c>
    </row>
    <row r="2624" spans="6:6">
      <c r="F2624" s="600" t="s">
        <v>4110</v>
      </c>
    </row>
    <row r="2625" spans="6:6">
      <c r="F2625" s="600" t="s">
        <v>4111</v>
      </c>
    </row>
    <row r="2626" spans="6:6">
      <c r="F2626" s="600" t="s">
        <v>4112</v>
      </c>
    </row>
    <row r="2627" spans="6:6">
      <c r="F2627" s="600" t="s">
        <v>4113</v>
      </c>
    </row>
    <row r="2628" spans="6:6">
      <c r="F2628" s="600" t="s">
        <v>4114</v>
      </c>
    </row>
    <row r="2629" spans="6:6">
      <c r="F2629" s="600" t="s">
        <v>4115</v>
      </c>
    </row>
    <row r="2630" spans="6:6">
      <c r="F2630" s="600" t="s">
        <v>4116</v>
      </c>
    </row>
    <row r="2631" spans="6:6">
      <c r="F2631" s="600" t="s">
        <v>4117</v>
      </c>
    </row>
    <row r="2632" spans="6:6">
      <c r="F2632" s="600" t="s">
        <v>4118</v>
      </c>
    </row>
    <row r="2633" spans="6:6">
      <c r="F2633" s="600" t="s">
        <v>4119</v>
      </c>
    </row>
    <row r="2634" spans="6:6">
      <c r="F2634" s="600" t="s">
        <v>4120</v>
      </c>
    </row>
    <row r="2635" spans="6:6">
      <c r="F2635" s="600" t="s">
        <v>4121</v>
      </c>
    </row>
    <row r="2636" spans="6:6">
      <c r="F2636" s="600" t="s">
        <v>4122</v>
      </c>
    </row>
    <row r="2637" spans="6:6">
      <c r="F2637" s="600" t="s">
        <v>4123</v>
      </c>
    </row>
    <row r="2638" spans="6:6">
      <c r="F2638" s="600" t="s">
        <v>4124</v>
      </c>
    </row>
    <row r="2639" spans="6:6">
      <c r="F2639" s="600">
        <v>1500</v>
      </c>
    </row>
    <row r="2640" spans="6:6">
      <c r="F2640" s="600" t="s">
        <v>4125</v>
      </c>
    </row>
    <row r="2641" spans="6:6">
      <c r="F2641" s="600" t="s">
        <v>4126</v>
      </c>
    </row>
    <row r="2642" spans="6:6">
      <c r="F2642" s="600" t="s">
        <v>4127</v>
      </c>
    </row>
    <row r="2643" spans="6:6">
      <c r="F2643" s="600" t="s">
        <v>4128</v>
      </c>
    </row>
    <row r="2644" spans="6:6">
      <c r="F2644" s="600" t="s">
        <v>4129</v>
      </c>
    </row>
    <row r="2645" spans="6:6">
      <c r="F2645" s="600" t="s">
        <v>4130</v>
      </c>
    </row>
    <row r="2646" spans="6:6">
      <c r="F2646" s="600" t="s">
        <v>4131</v>
      </c>
    </row>
    <row r="2647" spans="6:6">
      <c r="F2647" s="600" t="s">
        <v>4132</v>
      </c>
    </row>
    <row r="2648" spans="6:6">
      <c r="F2648" s="600" t="s">
        <v>4133</v>
      </c>
    </row>
    <row r="2649" spans="6:6">
      <c r="F2649" s="600" t="s">
        <v>4134</v>
      </c>
    </row>
    <row r="2650" spans="6:6">
      <c r="F2650" s="600" t="s">
        <v>4135</v>
      </c>
    </row>
    <row r="2651" spans="6:6">
      <c r="F2651" s="600" t="s">
        <v>4136</v>
      </c>
    </row>
    <row r="2652" spans="6:6">
      <c r="F2652" s="600" t="s">
        <v>4137</v>
      </c>
    </row>
    <row r="2653" spans="6:6">
      <c r="F2653" s="600" t="s">
        <v>4138</v>
      </c>
    </row>
    <row r="2654" spans="6:6">
      <c r="F2654" s="600" t="s">
        <v>4139</v>
      </c>
    </row>
    <row r="2655" spans="6:6">
      <c r="F2655" s="600" t="s">
        <v>4140</v>
      </c>
    </row>
    <row r="2656" spans="6:6">
      <c r="F2656" s="600" t="s">
        <v>4141</v>
      </c>
    </row>
    <row r="2657" spans="6:6">
      <c r="F2657" s="600" t="s">
        <v>4142</v>
      </c>
    </row>
    <row r="2658" spans="6:6">
      <c r="F2658" s="600" t="s">
        <v>4143</v>
      </c>
    </row>
    <row r="2659" spans="6:6">
      <c r="F2659" s="600" t="s">
        <v>4144</v>
      </c>
    </row>
    <row r="2660" spans="6:6">
      <c r="F2660" s="600" t="s">
        <v>4145</v>
      </c>
    </row>
    <row r="2661" spans="6:6">
      <c r="F2661" s="600" t="s">
        <v>4146</v>
      </c>
    </row>
    <row r="2662" spans="6:6">
      <c r="F2662" s="600" t="s">
        <v>4147</v>
      </c>
    </row>
    <row r="2663" spans="6:6">
      <c r="F2663" s="600" t="s">
        <v>4148</v>
      </c>
    </row>
    <row r="2664" spans="6:6">
      <c r="F2664" s="600" t="s">
        <v>4149</v>
      </c>
    </row>
    <row r="2665" spans="6:6">
      <c r="F2665" s="600" t="s">
        <v>4150</v>
      </c>
    </row>
    <row r="2666" spans="6:6">
      <c r="F2666" s="600" t="s">
        <v>4151</v>
      </c>
    </row>
    <row r="2667" spans="6:6">
      <c r="F2667" s="600" t="s">
        <v>4152</v>
      </c>
    </row>
    <row r="2668" spans="6:6">
      <c r="F2668" s="600" t="s">
        <v>4153</v>
      </c>
    </row>
    <row r="2669" spans="6:6">
      <c r="F2669" s="600" t="s">
        <v>4154</v>
      </c>
    </row>
    <row r="2670" spans="6:6">
      <c r="F2670" s="600" t="s">
        <v>4155</v>
      </c>
    </row>
    <row r="2671" spans="6:6">
      <c r="F2671" s="600" t="s">
        <v>4156</v>
      </c>
    </row>
    <row r="2672" spans="6:6">
      <c r="F2672" s="600" t="s">
        <v>4157</v>
      </c>
    </row>
    <row r="2673" spans="6:6">
      <c r="F2673" s="600" t="s">
        <v>4158</v>
      </c>
    </row>
    <row r="2674" spans="6:6">
      <c r="F2674" s="600" t="s">
        <v>4159</v>
      </c>
    </row>
    <row r="2675" spans="6:6">
      <c r="F2675" s="600" t="s">
        <v>4160</v>
      </c>
    </row>
    <row r="2676" spans="6:6">
      <c r="F2676" s="600" t="s">
        <v>4161</v>
      </c>
    </row>
    <row r="2677" spans="6:6">
      <c r="F2677" s="600" t="s">
        <v>4162</v>
      </c>
    </row>
    <row r="2678" spans="6:6">
      <c r="F2678" s="600" t="s">
        <v>4163</v>
      </c>
    </row>
    <row r="2679" spans="6:6">
      <c r="F2679" s="600" t="s">
        <v>4164</v>
      </c>
    </row>
    <row r="2680" spans="6:6">
      <c r="F2680" s="600" t="s">
        <v>4165</v>
      </c>
    </row>
    <row r="2681" spans="6:6">
      <c r="F2681" s="600" t="s">
        <v>4166</v>
      </c>
    </row>
    <row r="2682" spans="6:6">
      <c r="F2682" s="600" t="s">
        <v>4167</v>
      </c>
    </row>
    <row r="2683" spans="6:6">
      <c r="F2683" s="600" t="s">
        <v>4168</v>
      </c>
    </row>
    <row r="2684" spans="6:6">
      <c r="F2684" s="600" t="s">
        <v>4169</v>
      </c>
    </row>
    <row r="2685" spans="6:6">
      <c r="F2685" s="600" t="s">
        <v>4170</v>
      </c>
    </row>
    <row r="2686" spans="6:6">
      <c r="F2686" s="600" t="s">
        <v>4171</v>
      </c>
    </row>
    <row r="2687" spans="6:6">
      <c r="F2687" s="600" t="s">
        <v>4172</v>
      </c>
    </row>
    <row r="2688" spans="6:6">
      <c r="F2688" s="600" t="s">
        <v>4173</v>
      </c>
    </row>
    <row r="2689" spans="6:6">
      <c r="F2689" s="600" t="s">
        <v>4174</v>
      </c>
    </row>
    <row r="2690" spans="6:6">
      <c r="F2690" s="600" t="s">
        <v>4175</v>
      </c>
    </row>
    <row r="2691" spans="6:6">
      <c r="F2691" s="600" t="s">
        <v>4176</v>
      </c>
    </row>
    <row r="2692" spans="6:6">
      <c r="F2692" s="600" t="s">
        <v>4177</v>
      </c>
    </row>
    <row r="2693" spans="6:6">
      <c r="F2693" s="600" t="s">
        <v>4178</v>
      </c>
    </row>
    <row r="2694" spans="6:6">
      <c r="F2694" s="600" t="s">
        <v>4179</v>
      </c>
    </row>
    <row r="2695" spans="6:6">
      <c r="F2695" s="600" t="s">
        <v>4180</v>
      </c>
    </row>
    <row r="2696" spans="6:6">
      <c r="F2696" s="600" t="s">
        <v>4181</v>
      </c>
    </row>
    <row r="2697" spans="6:6">
      <c r="F2697" s="600" t="s">
        <v>4182</v>
      </c>
    </row>
    <row r="2698" spans="6:6">
      <c r="F2698" s="600" t="s">
        <v>4183</v>
      </c>
    </row>
    <row r="2699" spans="6:6">
      <c r="F2699" s="600" t="s">
        <v>4184</v>
      </c>
    </row>
    <row r="2700" spans="6:6">
      <c r="F2700" s="600" t="s">
        <v>4185</v>
      </c>
    </row>
    <row r="2701" spans="6:6">
      <c r="F2701" s="600" t="s">
        <v>4186</v>
      </c>
    </row>
    <row r="2702" spans="6:6">
      <c r="F2702" s="600" t="s">
        <v>4187</v>
      </c>
    </row>
    <row r="2703" spans="6:6">
      <c r="F2703" s="600" t="s">
        <v>4188</v>
      </c>
    </row>
    <row r="2704" spans="6:6">
      <c r="F2704" s="600" t="s">
        <v>4189</v>
      </c>
    </row>
    <row r="2705" spans="6:6">
      <c r="F2705" s="600" t="s">
        <v>4190</v>
      </c>
    </row>
    <row r="2706" spans="6:6">
      <c r="F2706" s="600" t="s">
        <v>4191</v>
      </c>
    </row>
    <row r="2707" spans="6:6">
      <c r="F2707" s="600" t="s">
        <v>4192</v>
      </c>
    </row>
    <row r="2708" spans="6:6">
      <c r="F2708" s="600" t="s">
        <v>4193</v>
      </c>
    </row>
    <row r="2709" spans="6:6">
      <c r="F2709" s="600" t="s">
        <v>4194</v>
      </c>
    </row>
    <row r="2710" spans="6:6">
      <c r="F2710" s="600" t="s">
        <v>4195</v>
      </c>
    </row>
    <row r="2711" spans="6:6">
      <c r="F2711" s="600" t="s">
        <v>4196</v>
      </c>
    </row>
    <row r="2712" spans="6:6">
      <c r="F2712" s="600" t="s">
        <v>4197</v>
      </c>
    </row>
    <row r="2713" spans="6:6">
      <c r="F2713" s="600" t="s">
        <v>4198</v>
      </c>
    </row>
    <row r="2714" spans="6:6">
      <c r="F2714" s="600" t="s">
        <v>4199</v>
      </c>
    </row>
    <row r="2715" spans="6:6">
      <c r="F2715" s="600" t="s">
        <v>4200</v>
      </c>
    </row>
    <row r="2716" spans="6:6">
      <c r="F2716" s="600" t="s">
        <v>4201</v>
      </c>
    </row>
    <row r="2717" spans="6:6">
      <c r="F2717" s="600" t="s">
        <v>4202</v>
      </c>
    </row>
    <row r="2718" spans="6:6">
      <c r="F2718" s="600" t="s">
        <v>4203</v>
      </c>
    </row>
    <row r="2719" spans="6:6">
      <c r="F2719" s="600" t="s">
        <v>4204</v>
      </c>
    </row>
    <row r="2720" spans="6:6">
      <c r="F2720" s="600" t="s">
        <v>4205</v>
      </c>
    </row>
    <row r="2721" spans="6:6">
      <c r="F2721" s="600" t="s">
        <v>4206</v>
      </c>
    </row>
    <row r="2722" spans="6:6">
      <c r="F2722" s="600" t="s">
        <v>4207</v>
      </c>
    </row>
    <row r="2723" spans="6:6">
      <c r="F2723" s="600" t="s">
        <v>4208</v>
      </c>
    </row>
    <row r="2724" spans="6:6">
      <c r="F2724" s="600" t="s">
        <v>4209</v>
      </c>
    </row>
    <row r="2725" spans="6:6">
      <c r="F2725" s="600" t="s">
        <v>4210</v>
      </c>
    </row>
    <row r="2726" spans="6:6">
      <c r="F2726" s="600" t="s">
        <v>4211</v>
      </c>
    </row>
    <row r="2727" spans="6:6">
      <c r="F2727" s="600" t="s">
        <v>4212</v>
      </c>
    </row>
    <row r="2728" spans="6:6">
      <c r="F2728" s="600" t="s">
        <v>4213</v>
      </c>
    </row>
    <row r="2729" spans="6:6">
      <c r="F2729" s="600" t="s">
        <v>4214</v>
      </c>
    </row>
    <row r="2730" spans="6:6">
      <c r="F2730" s="600" t="s">
        <v>4215</v>
      </c>
    </row>
    <row r="2731" spans="6:6">
      <c r="F2731" s="600" t="s">
        <v>4216</v>
      </c>
    </row>
    <row r="2732" spans="6:6">
      <c r="F2732" s="600" t="s">
        <v>4217</v>
      </c>
    </row>
    <row r="2733" spans="6:6">
      <c r="F2733" s="600" t="s">
        <v>4218</v>
      </c>
    </row>
    <row r="2734" spans="6:6">
      <c r="F2734" s="600" t="s">
        <v>4219</v>
      </c>
    </row>
    <row r="2735" spans="6:6">
      <c r="F2735" s="600" t="s">
        <v>4220</v>
      </c>
    </row>
    <row r="2736" spans="6:6">
      <c r="F2736" s="600" t="s">
        <v>4221</v>
      </c>
    </row>
    <row r="2737" spans="6:6">
      <c r="F2737" s="600" t="s">
        <v>4222</v>
      </c>
    </row>
    <row r="2738" spans="6:6">
      <c r="F2738" s="600" t="s">
        <v>4223</v>
      </c>
    </row>
    <row r="2739" spans="6:6">
      <c r="F2739" s="600" t="s">
        <v>4224</v>
      </c>
    </row>
    <row r="2740" spans="6:6">
      <c r="F2740" s="600" t="s">
        <v>4225</v>
      </c>
    </row>
    <row r="2741" spans="6:6">
      <c r="F2741" s="600" t="s">
        <v>4226</v>
      </c>
    </row>
    <row r="2742" spans="6:6">
      <c r="F2742" s="600" t="s">
        <v>4227</v>
      </c>
    </row>
    <row r="2743" spans="6:6">
      <c r="F2743" s="600" t="s">
        <v>4228</v>
      </c>
    </row>
    <row r="2744" spans="6:6">
      <c r="F2744" s="600" t="s">
        <v>4229</v>
      </c>
    </row>
    <row r="2745" spans="6:6">
      <c r="F2745" s="600" t="s">
        <v>4230</v>
      </c>
    </row>
    <row r="2746" spans="6:6">
      <c r="F2746" s="600" t="s">
        <v>4231</v>
      </c>
    </row>
    <row r="2747" spans="6:6">
      <c r="F2747" s="600" t="s">
        <v>4232</v>
      </c>
    </row>
    <row r="2748" spans="6:6">
      <c r="F2748" s="600" t="s">
        <v>4233</v>
      </c>
    </row>
    <row r="2749" spans="6:6">
      <c r="F2749" s="600" t="s">
        <v>4234</v>
      </c>
    </row>
    <row r="2750" spans="6:6">
      <c r="F2750" s="600" t="s">
        <v>4235</v>
      </c>
    </row>
    <row r="2751" spans="6:6">
      <c r="F2751" s="600" t="s">
        <v>4236</v>
      </c>
    </row>
    <row r="2752" spans="6:6">
      <c r="F2752" s="600" t="s">
        <v>4237</v>
      </c>
    </row>
    <row r="2753" spans="6:6">
      <c r="F2753" s="600" t="s">
        <v>4238</v>
      </c>
    </row>
    <row r="2754" spans="6:6">
      <c r="F2754" s="600" t="s">
        <v>4239</v>
      </c>
    </row>
    <row r="2755" spans="6:6">
      <c r="F2755" s="600" t="s">
        <v>4240</v>
      </c>
    </row>
    <row r="2756" spans="6:6">
      <c r="F2756" s="600" t="s">
        <v>4241</v>
      </c>
    </row>
    <row r="2757" spans="6:6">
      <c r="F2757" s="600" t="s">
        <v>4242</v>
      </c>
    </row>
    <row r="2758" spans="6:6">
      <c r="F2758" s="600" t="s">
        <v>4243</v>
      </c>
    </row>
    <row r="2759" spans="6:6">
      <c r="F2759" s="600" t="s">
        <v>4244</v>
      </c>
    </row>
    <row r="2760" spans="6:6">
      <c r="F2760" s="600" t="s">
        <v>4245</v>
      </c>
    </row>
    <row r="2761" spans="6:6">
      <c r="F2761" s="600" t="s">
        <v>4246</v>
      </c>
    </row>
    <row r="2762" spans="6:6">
      <c r="F2762" s="600" t="s">
        <v>4247</v>
      </c>
    </row>
    <row r="2763" spans="6:6">
      <c r="F2763" s="600" t="s">
        <v>4248</v>
      </c>
    </row>
    <row r="2764" spans="6:6">
      <c r="F2764" s="600" t="s">
        <v>4249</v>
      </c>
    </row>
    <row r="2765" spans="6:6">
      <c r="F2765" s="600" t="s">
        <v>4250</v>
      </c>
    </row>
    <row r="2766" spans="6:6">
      <c r="F2766" s="600" t="s">
        <v>4251</v>
      </c>
    </row>
    <row r="2767" spans="6:6">
      <c r="F2767" s="600" t="s">
        <v>4252</v>
      </c>
    </row>
    <row r="2768" spans="6:6">
      <c r="F2768" s="600" t="s">
        <v>4253</v>
      </c>
    </row>
    <row r="2769" spans="6:6">
      <c r="F2769" s="600" t="s">
        <v>4254</v>
      </c>
    </row>
    <row r="2770" spans="6:6">
      <c r="F2770" s="600" t="s">
        <v>4255</v>
      </c>
    </row>
    <row r="2771" spans="6:6">
      <c r="F2771" s="600" t="s">
        <v>4256</v>
      </c>
    </row>
    <row r="2772" spans="6:6">
      <c r="F2772" s="600" t="s">
        <v>4257</v>
      </c>
    </row>
    <row r="2773" spans="6:6">
      <c r="F2773" s="600" t="s">
        <v>4258</v>
      </c>
    </row>
    <row r="2774" spans="6:6">
      <c r="F2774" s="600" t="s">
        <v>4259</v>
      </c>
    </row>
    <row r="2775" spans="6:6">
      <c r="F2775" s="600" t="s">
        <v>4260</v>
      </c>
    </row>
    <row r="2776" spans="6:6">
      <c r="F2776" s="600" t="s">
        <v>4261</v>
      </c>
    </row>
    <row r="2777" spans="6:6">
      <c r="F2777" s="600" t="s">
        <v>4262</v>
      </c>
    </row>
    <row r="2778" spans="6:6">
      <c r="F2778" s="600" t="s">
        <v>4263</v>
      </c>
    </row>
    <row r="2779" spans="6:6">
      <c r="F2779" s="600" t="s">
        <v>4264</v>
      </c>
    </row>
    <row r="2780" spans="6:6">
      <c r="F2780" s="600" t="s">
        <v>4265</v>
      </c>
    </row>
    <row r="2781" spans="6:6">
      <c r="F2781" s="600" t="s">
        <v>4266</v>
      </c>
    </row>
    <row r="2782" spans="6:6">
      <c r="F2782" s="600" t="s">
        <v>4267</v>
      </c>
    </row>
    <row r="2783" spans="6:6">
      <c r="F2783" s="600" t="s">
        <v>4268</v>
      </c>
    </row>
    <row r="2784" spans="6:6">
      <c r="F2784" s="600" t="s">
        <v>4269</v>
      </c>
    </row>
    <row r="2785" spans="6:6">
      <c r="F2785" s="600" t="s">
        <v>4270</v>
      </c>
    </row>
    <row r="2786" spans="6:6">
      <c r="F2786" s="600" t="s">
        <v>4271</v>
      </c>
    </row>
    <row r="2787" spans="6:6">
      <c r="F2787" s="600" t="s">
        <v>4272</v>
      </c>
    </row>
    <row r="2788" spans="6:6">
      <c r="F2788" s="600" t="s">
        <v>4273</v>
      </c>
    </row>
    <row r="2789" spans="6:6">
      <c r="F2789" s="600" t="s">
        <v>4274</v>
      </c>
    </row>
    <row r="2790" spans="6:6">
      <c r="F2790" s="600" t="s">
        <v>4275</v>
      </c>
    </row>
    <row r="2791" spans="6:6">
      <c r="F2791" s="600" t="s">
        <v>4276</v>
      </c>
    </row>
    <row r="2792" spans="6:6">
      <c r="F2792" s="600" t="s">
        <v>4277</v>
      </c>
    </row>
    <row r="2793" spans="6:6">
      <c r="F2793" s="600" t="s">
        <v>4278</v>
      </c>
    </row>
    <row r="2794" spans="6:6">
      <c r="F2794" s="600" t="s">
        <v>4279</v>
      </c>
    </row>
    <row r="2795" spans="6:6">
      <c r="F2795" s="600" t="s">
        <v>4280</v>
      </c>
    </row>
    <row r="2796" spans="6:6">
      <c r="F2796" s="600" t="s">
        <v>4281</v>
      </c>
    </row>
    <row r="2797" spans="6:6">
      <c r="F2797" s="600" t="s">
        <v>4282</v>
      </c>
    </row>
    <row r="2798" spans="6:6">
      <c r="F2798" s="600" t="s">
        <v>4283</v>
      </c>
    </row>
    <row r="2799" spans="6:6">
      <c r="F2799" s="600" t="s">
        <v>4284</v>
      </c>
    </row>
    <row r="2800" spans="6:6">
      <c r="F2800" s="600" t="s">
        <v>4285</v>
      </c>
    </row>
    <row r="2801" spans="6:6">
      <c r="F2801" s="600" t="s">
        <v>4286</v>
      </c>
    </row>
    <row r="2802" spans="6:6">
      <c r="F2802" s="600" t="s">
        <v>4287</v>
      </c>
    </row>
    <row r="2803" spans="6:6">
      <c r="F2803" s="600" t="s">
        <v>4288</v>
      </c>
    </row>
    <row r="2804" spans="6:6">
      <c r="F2804" s="600" t="s">
        <v>4289</v>
      </c>
    </row>
    <row r="2805" spans="6:6">
      <c r="F2805" s="600" t="s">
        <v>4290</v>
      </c>
    </row>
    <row r="2806" spans="6:6">
      <c r="F2806" s="600" t="s">
        <v>4291</v>
      </c>
    </row>
    <row r="2807" spans="6:6">
      <c r="F2807" s="600" t="s">
        <v>4292</v>
      </c>
    </row>
    <row r="2808" spans="6:6">
      <c r="F2808" s="600" t="s">
        <v>4293</v>
      </c>
    </row>
    <row r="2809" spans="6:6">
      <c r="F2809" s="600" t="s">
        <v>4294</v>
      </c>
    </row>
    <row r="2810" spans="6:6">
      <c r="F2810" s="600" t="s">
        <v>4295</v>
      </c>
    </row>
    <row r="2811" spans="6:6">
      <c r="F2811" s="600" t="s">
        <v>4296</v>
      </c>
    </row>
    <row r="2812" spans="6:6">
      <c r="F2812" s="600" t="s">
        <v>4297</v>
      </c>
    </row>
    <row r="2813" spans="6:6">
      <c r="F2813" s="600" t="s">
        <v>4298</v>
      </c>
    </row>
    <row r="2814" spans="6:6">
      <c r="F2814" s="600" t="s">
        <v>4299</v>
      </c>
    </row>
    <row r="2815" spans="6:6">
      <c r="F2815" s="600" t="s">
        <v>4300</v>
      </c>
    </row>
    <row r="2816" spans="6:6">
      <c r="F2816" s="600" t="s">
        <v>4301</v>
      </c>
    </row>
    <row r="2817" spans="6:6">
      <c r="F2817" s="600" t="s">
        <v>4302</v>
      </c>
    </row>
    <row r="2818" spans="6:6">
      <c r="F2818" s="600" t="s">
        <v>4303</v>
      </c>
    </row>
    <row r="2819" spans="6:6">
      <c r="F2819" s="600" t="s">
        <v>4304</v>
      </c>
    </row>
    <row r="2820" spans="6:6">
      <c r="F2820" s="600" t="s">
        <v>4305</v>
      </c>
    </row>
    <row r="2821" spans="6:6">
      <c r="F2821" s="600" t="s">
        <v>4306</v>
      </c>
    </row>
    <row r="2822" spans="6:6">
      <c r="F2822" s="600" t="s">
        <v>4307</v>
      </c>
    </row>
    <row r="2823" spans="6:6">
      <c r="F2823" s="600" t="s">
        <v>4308</v>
      </c>
    </row>
    <row r="2824" spans="6:6">
      <c r="F2824" s="600" t="s">
        <v>4309</v>
      </c>
    </row>
    <row r="2825" spans="6:6">
      <c r="F2825" s="600" t="s">
        <v>4310</v>
      </c>
    </row>
    <row r="2826" spans="6:6">
      <c r="F2826" s="600" t="s">
        <v>4311</v>
      </c>
    </row>
    <row r="2827" spans="6:6">
      <c r="F2827" s="600" t="s">
        <v>4312</v>
      </c>
    </row>
    <row r="2828" spans="6:6">
      <c r="F2828" s="600" t="s">
        <v>4313</v>
      </c>
    </row>
    <row r="2829" spans="6:6">
      <c r="F2829" s="600" t="s">
        <v>4314</v>
      </c>
    </row>
    <row r="2830" spans="6:6">
      <c r="F2830" s="600" t="s">
        <v>4315</v>
      </c>
    </row>
    <row r="2831" spans="6:6">
      <c r="F2831" s="600" t="s">
        <v>4316</v>
      </c>
    </row>
    <row r="2832" spans="6:6">
      <c r="F2832" s="600" t="s">
        <v>4317</v>
      </c>
    </row>
    <row r="2833" spans="6:6">
      <c r="F2833" s="600" t="s">
        <v>4318</v>
      </c>
    </row>
    <row r="2834" spans="6:6">
      <c r="F2834" s="600" t="s">
        <v>4319</v>
      </c>
    </row>
    <row r="2835" spans="6:6">
      <c r="F2835" s="600" t="s">
        <v>4320</v>
      </c>
    </row>
    <row r="2836" spans="6:6">
      <c r="F2836" s="600" t="s">
        <v>4321</v>
      </c>
    </row>
    <row r="2837" spans="6:6">
      <c r="F2837" s="600" t="s">
        <v>4322</v>
      </c>
    </row>
    <row r="2838" spans="6:6">
      <c r="F2838" s="600" t="s">
        <v>4323</v>
      </c>
    </row>
    <row r="2839" spans="6:6">
      <c r="F2839" s="600" t="s">
        <v>4324</v>
      </c>
    </row>
    <row r="2840" spans="6:6">
      <c r="F2840" s="600" t="s">
        <v>4325</v>
      </c>
    </row>
    <row r="2841" spans="6:6">
      <c r="F2841" s="600" t="s">
        <v>4326</v>
      </c>
    </row>
    <row r="2842" spans="6:6">
      <c r="F2842" s="600" t="s">
        <v>4327</v>
      </c>
    </row>
    <row r="2843" spans="6:6">
      <c r="F2843" s="600" t="s">
        <v>4328</v>
      </c>
    </row>
    <row r="2844" spans="6:6">
      <c r="F2844" s="600" t="s">
        <v>4329</v>
      </c>
    </row>
    <row r="2845" spans="6:6">
      <c r="F2845" s="600" t="s">
        <v>4330</v>
      </c>
    </row>
    <row r="2846" spans="6:6">
      <c r="F2846" s="600" t="s">
        <v>4331</v>
      </c>
    </row>
    <row r="2847" spans="6:6">
      <c r="F2847" s="600" t="s">
        <v>4332</v>
      </c>
    </row>
    <row r="2848" spans="6:6">
      <c r="F2848" s="600" t="s">
        <v>4333</v>
      </c>
    </row>
    <row r="2849" spans="6:6">
      <c r="F2849" s="600" t="s">
        <v>4334</v>
      </c>
    </row>
    <row r="2850" spans="6:6">
      <c r="F2850" s="600" t="s">
        <v>4335</v>
      </c>
    </row>
    <row r="2851" spans="6:6">
      <c r="F2851" s="600" t="s">
        <v>4336</v>
      </c>
    </row>
    <row r="2852" spans="6:6">
      <c r="F2852" s="600" t="s">
        <v>4337</v>
      </c>
    </row>
    <row r="2853" spans="6:6">
      <c r="F2853" s="600" t="s">
        <v>4338</v>
      </c>
    </row>
    <row r="2854" spans="6:6">
      <c r="F2854" s="600" t="s">
        <v>4339</v>
      </c>
    </row>
    <row r="2855" spans="6:6">
      <c r="F2855" s="600" t="s">
        <v>4340</v>
      </c>
    </row>
    <row r="2856" spans="6:6">
      <c r="F2856" s="600" t="s">
        <v>4341</v>
      </c>
    </row>
    <row r="2857" spans="6:6">
      <c r="F2857" s="600" t="s">
        <v>4342</v>
      </c>
    </row>
    <row r="2858" spans="6:6">
      <c r="F2858" s="600" t="s">
        <v>4343</v>
      </c>
    </row>
    <row r="2859" spans="6:6">
      <c r="F2859" s="600" t="s">
        <v>4344</v>
      </c>
    </row>
    <row r="2860" spans="6:6">
      <c r="F2860" s="600" t="s">
        <v>4345</v>
      </c>
    </row>
    <row r="2861" spans="6:6">
      <c r="F2861" s="600" t="s">
        <v>4346</v>
      </c>
    </row>
    <row r="2862" spans="6:6">
      <c r="F2862" s="600" t="s">
        <v>4347</v>
      </c>
    </row>
    <row r="2863" spans="6:6">
      <c r="F2863" s="600" t="s">
        <v>4348</v>
      </c>
    </row>
    <row r="2864" spans="6:6">
      <c r="F2864" s="600" t="s">
        <v>4349</v>
      </c>
    </row>
    <row r="2865" spans="6:6">
      <c r="F2865" s="600" t="s">
        <v>4350</v>
      </c>
    </row>
    <row r="2866" spans="6:6">
      <c r="F2866" s="600" t="s">
        <v>4351</v>
      </c>
    </row>
    <row r="2867" spans="6:6">
      <c r="F2867" s="600" t="s">
        <v>4352</v>
      </c>
    </row>
    <row r="2868" spans="6:6">
      <c r="F2868" s="600" t="s">
        <v>4353</v>
      </c>
    </row>
    <row r="2869" spans="6:6">
      <c r="F2869" s="600" t="s">
        <v>4354</v>
      </c>
    </row>
    <row r="2870" spans="6:6">
      <c r="F2870" s="600" t="s">
        <v>4355</v>
      </c>
    </row>
    <row r="2871" spans="6:6">
      <c r="F2871" s="600" t="s">
        <v>4356</v>
      </c>
    </row>
    <row r="2872" spans="6:6">
      <c r="F2872" s="600" t="s">
        <v>4357</v>
      </c>
    </row>
    <row r="2873" spans="6:6">
      <c r="F2873" s="600" t="s">
        <v>4358</v>
      </c>
    </row>
    <row r="2874" spans="6:6">
      <c r="F2874" s="600" t="s">
        <v>4359</v>
      </c>
    </row>
    <row r="2875" spans="6:6">
      <c r="F2875" s="600" t="s">
        <v>4360</v>
      </c>
    </row>
    <row r="2876" spans="6:6">
      <c r="F2876" s="600" t="s">
        <v>4361</v>
      </c>
    </row>
    <row r="2877" spans="6:6">
      <c r="F2877" s="600" t="s">
        <v>4362</v>
      </c>
    </row>
    <row r="2878" spans="6:6">
      <c r="F2878" s="600" t="s">
        <v>4363</v>
      </c>
    </row>
    <row r="2879" spans="6:6">
      <c r="F2879" s="600" t="s">
        <v>4364</v>
      </c>
    </row>
    <row r="2880" spans="6:6">
      <c r="F2880" s="600" t="s">
        <v>4365</v>
      </c>
    </row>
    <row r="2881" spans="6:6">
      <c r="F2881" s="600" t="s">
        <v>4366</v>
      </c>
    </row>
    <row r="2882" spans="6:6">
      <c r="F2882" s="600" t="s">
        <v>4367</v>
      </c>
    </row>
    <row r="2883" spans="6:6">
      <c r="F2883" s="600" t="s">
        <v>4368</v>
      </c>
    </row>
    <row r="2884" spans="6:6">
      <c r="F2884" s="600" t="s">
        <v>4369</v>
      </c>
    </row>
    <row r="2885" spans="6:6">
      <c r="F2885" s="600" t="s">
        <v>4370</v>
      </c>
    </row>
    <row r="2886" spans="6:6">
      <c r="F2886" s="600" t="s">
        <v>4371</v>
      </c>
    </row>
    <row r="2887" spans="6:6">
      <c r="F2887" s="600" t="s">
        <v>4372</v>
      </c>
    </row>
    <row r="2888" spans="6:6">
      <c r="F2888" s="600" t="s">
        <v>4373</v>
      </c>
    </row>
    <row r="2889" spans="6:6">
      <c r="F2889" s="600" t="s">
        <v>4374</v>
      </c>
    </row>
    <row r="2890" spans="6:6">
      <c r="F2890" s="600" t="s">
        <v>4375</v>
      </c>
    </row>
    <row r="2891" spans="6:6">
      <c r="F2891" s="600" t="s">
        <v>4376</v>
      </c>
    </row>
    <row r="2892" spans="6:6">
      <c r="F2892" s="600" t="s">
        <v>4377</v>
      </c>
    </row>
    <row r="2893" spans="6:6">
      <c r="F2893" s="600" t="s">
        <v>4378</v>
      </c>
    </row>
    <row r="2894" spans="6:6">
      <c r="F2894" s="600" t="s">
        <v>4379</v>
      </c>
    </row>
    <row r="2895" spans="6:6">
      <c r="F2895" s="600" t="s">
        <v>4380</v>
      </c>
    </row>
    <row r="2896" spans="6:6">
      <c r="F2896" s="600" t="s">
        <v>4381</v>
      </c>
    </row>
    <row r="2897" spans="6:6">
      <c r="F2897" s="600" t="s">
        <v>4382</v>
      </c>
    </row>
    <row r="2898" spans="6:6">
      <c r="F2898" s="600" t="s">
        <v>4383</v>
      </c>
    </row>
    <row r="2899" spans="6:6">
      <c r="F2899" s="600" t="s">
        <v>4384</v>
      </c>
    </row>
    <row r="2900" spans="6:6">
      <c r="F2900" s="600" t="s">
        <v>4385</v>
      </c>
    </row>
    <row r="2901" spans="6:6">
      <c r="F2901" s="600" t="s">
        <v>4386</v>
      </c>
    </row>
    <row r="2902" spans="6:6">
      <c r="F2902" s="600" t="s">
        <v>4387</v>
      </c>
    </row>
    <row r="2903" spans="6:6">
      <c r="F2903" s="600" t="s">
        <v>4388</v>
      </c>
    </row>
    <row r="2904" spans="6:6">
      <c r="F2904" s="600" t="s">
        <v>4389</v>
      </c>
    </row>
    <row r="2905" spans="6:6">
      <c r="F2905" s="600" t="s">
        <v>4390</v>
      </c>
    </row>
    <row r="2906" spans="6:6">
      <c r="F2906" s="600" t="s">
        <v>4391</v>
      </c>
    </row>
    <row r="2907" spans="6:6">
      <c r="F2907" s="600" t="s">
        <v>4392</v>
      </c>
    </row>
    <row r="2908" spans="6:6">
      <c r="F2908" s="600" t="s">
        <v>4393</v>
      </c>
    </row>
    <row r="2909" spans="6:6">
      <c r="F2909" s="600" t="s">
        <v>4394</v>
      </c>
    </row>
    <row r="2910" spans="6:6">
      <c r="F2910" s="600" t="s">
        <v>4395</v>
      </c>
    </row>
    <row r="2911" spans="6:6">
      <c r="F2911" s="600" t="s">
        <v>4396</v>
      </c>
    </row>
    <row r="2912" spans="6:6">
      <c r="F2912" s="600" t="s">
        <v>4397</v>
      </c>
    </row>
    <row r="2913" spans="6:6">
      <c r="F2913" s="600" t="s">
        <v>4398</v>
      </c>
    </row>
    <row r="2914" spans="6:6">
      <c r="F2914" s="600" t="s">
        <v>4399</v>
      </c>
    </row>
    <row r="2915" spans="6:6">
      <c r="F2915" s="600" t="s">
        <v>4400</v>
      </c>
    </row>
    <row r="2916" spans="6:6">
      <c r="F2916" s="600" t="s">
        <v>4401</v>
      </c>
    </row>
    <row r="2917" spans="6:6">
      <c r="F2917" s="600" t="s">
        <v>4402</v>
      </c>
    </row>
    <row r="2918" spans="6:6">
      <c r="F2918" s="600" t="s">
        <v>4403</v>
      </c>
    </row>
    <row r="2919" spans="6:6">
      <c r="F2919" s="600" t="s">
        <v>4404</v>
      </c>
    </row>
    <row r="2920" spans="6:6">
      <c r="F2920" s="600" t="s">
        <v>4405</v>
      </c>
    </row>
    <row r="2921" spans="6:6">
      <c r="F2921" s="600" t="s">
        <v>4406</v>
      </c>
    </row>
    <row r="2922" spans="6:6">
      <c r="F2922" s="600" t="s">
        <v>4407</v>
      </c>
    </row>
    <row r="2923" spans="6:6">
      <c r="F2923" s="600" t="s">
        <v>4408</v>
      </c>
    </row>
    <row r="2924" spans="6:6">
      <c r="F2924" s="600" t="s">
        <v>4409</v>
      </c>
    </row>
    <row r="2925" spans="6:6">
      <c r="F2925" s="600" t="s">
        <v>4410</v>
      </c>
    </row>
    <row r="2926" spans="6:6">
      <c r="F2926" s="600" t="s">
        <v>4411</v>
      </c>
    </row>
    <row r="2927" spans="6:6">
      <c r="F2927" s="600" t="s">
        <v>4412</v>
      </c>
    </row>
    <row r="2928" spans="6:6">
      <c r="F2928" s="600" t="s">
        <v>4413</v>
      </c>
    </row>
    <row r="2929" spans="6:6">
      <c r="F2929" s="600" t="s">
        <v>4414</v>
      </c>
    </row>
    <row r="2930" spans="6:6">
      <c r="F2930" s="600" t="s">
        <v>4415</v>
      </c>
    </row>
    <row r="2931" spans="6:6">
      <c r="F2931" s="600" t="s">
        <v>4416</v>
      </c>
    </row>
    <row r="2932" spans="6:6">
      <c r="F2932" s="600" t="s">
        <v>4417</v>
      </c>
    </row>
    <row r="2933" spans="6:6">
      <c r="F2933" s="600" t="s">
        <v>4418</v>
      </c>
    </row>
    <row r="2934" spans="6:6">
      <c r="F2934" s="600" t="s">
        <v>4419</v>
      </c>
    </row>
    <row r="2935" spans="6:6">
      <c r="F2935" s="600" t="s">
        <v>4420</v>
      </c>
    </row>
    <row r="2936" spans="6:6">
      <c r="F2936" s="600" t="s">
        <v>4421</v>
      </c>
    </row>
    <row r="2937" spans="6:6">
      <c r="F2937" s="600" t="s">
        <v>4422</v>
      </c>
    </row>
    <row r="2938" spans="6:6">
      <c r="F2938" s="600" t="s">
        <v>4423</v>
      </c>
    </row>
    <row r="2939" spans="6:6">
      <c r="F2939" s="600" t="s">
        <v>4424</v>
      </c>
    </row>
    <row r="2940" spans="6:6">
      <c r="F2940" s="600" t="s">
        <v>4425</v>
      </c>
    </row>
    <row r="2941" spans="6:6">
      <c r="F2941" s="600" t="s">
        <v>4426</v>
      </c>
    </row>
    <row r="2942" spans="6:6">
      <c r="F2942" s="600" t="s">
        <v>4427</v>
      </c>
    </row>
    <row r="2943" spans="6:6">
      <c r="F2943" s="600" t="s">
        <v>4428</v>
      </c>
    </row>
    <row r="2944" spans="6:6">
      <c r="F2944" s="600" t="s">
        <v>4429</v>
      </c>
    </row>
    <row r="2945" spans="6:6">
      <c r="F2945" s="600" t="s">
        <v>4430</v>
      </c>
    </row>
    <row r="2946" spans="6:6">
      <c r="F2946" s="600" t="s">
        <v>4431</v>
      </c>
    </row>
    <row r="2947" spans="6:6">
      <c r="F2947" s="600" t="s">
        <v>4432</v>
      </c>
    </row>
    <row r="2948" spans="6:6">
      <c r="F2948" s="600" t="s">
        <v>4433</v>
      </c>
    </row>
    <row r="2949" spans="6:6">
      <c r="F2949" s="600" t="s">
        <v>4434</v>
      </c>
    </row>
    <row r="2950" spans="6:6">
      <c r="F2950" s="600" t="s">
        <v>4435</v>
      </c>
    </row>
    <row r="2951" spans="6:6">
      <c r="F2951" s="600" t="s">
        <v>4436</v>
      </c>
    </row>
    <row r="2952" spans="6:6">
      <c r="F2952" s="600" t="s">
        <v>4437</v>
      </c>
    </row>
    <row r="2953" spans="6:6">
      <c r="F2953" s="600" t="s">
        <v>4438</v>
      </c>
    </row>
    <row r="2954" spans="6:6">
      <c r="F2954" s="600" t="s">
        <v>4439</v>
      </c>
    </row>
    <row r="2955" spans="6:6">
      <c r="F2955" s="600" t="s">
        <v>4440</v>
      </c>
    </row>
    <row r="2956" spans="6:6">
      <c r="F2956" s="600" t="s">
        <v>4441</v>
      </c>
    </row>
    <row r="2957" spans="6:6">
      <c r="F2957" s="600" t="s">
        <v>4442</v>
      </c>
    </row>
    <row r="2958" spans="6:6">
      <c r="F2958" s="600" t="s">
        <v>4443</v>
      </c>
    </row>
    <row r="2959" spans="6:6">
      <c r="F2959" s="600" t="s">
        <v>4444</v>
      </c>
    </row>
    <row r="2960" spans="6:6">
      <c r="F2960" s="600" t="s">
        <v>4445</v>
      </c>
    </row>
    <row r="2961" spans="6:6">
      <c r="F2961" s="600" t="s">
        <v>4446</v>
      </c>
    </row>
    <row r="2962" spans="6:6">
      <c r="F2962" s="600" t="s">
        <v>4447</v>
      </c>
    </row>
    <row r="2963" spans="6:6">
      <c r="F2963" s="600" t="s">
        <v>4448</v>
      </c>
    </row>
    <row r="2964" spans="6:6">
      <c r="F2964" s="600" t="s">
        <v>4449</v>
      </c>
    </row>
    <row r="2965" spans="6:6">
      <c r="F2965" s="600" t="s">
        <v>4450</v>
      </c>
    </row>
    <row r="2966" spans="6:6">
      <c r="F2966" s="600" t="s">
        <v>4451</v>
      </c>
    </row>
    <row r="2967" spans="6:6">
      <c r="F2967" s="600" t="s">
        <v>4452</v>
      </c>
    </row>
    <row r="2968" spans="6:6">
      <c r="F2968" s="600" t="s">
        <v>4453</v>
      </c>
    </row>
    <row r="2969" spans="6:6">
      <c r="F2969" s="600" t="s">
        <v>4454</v>
      </c>
    </row>
    <row r="2970" spans="6:6">
      <c r="F2970" s="600" t="s">
        <v>4455</v>
      </c>
    </row>
    <row r="2971" spans="6:6">
      <c r="F2971" s="600" t="s">
        <v>4456</v>
      </c>
    </row>
    <row r="2972" spans="6:6">
      <c r="F2972" s="600" t="s">
        <v>4457</v>
      </c>
    </row>
    <row r="2973" spans="6:6">
      <c r="F2973" s="600" t="s">
        <v>4458</v>
      </c>
    </row>
    <row r="2974" spans="6:6">
      <c r="F2974" s="600" t="s">
        <v>4459</v>
      </c>
    </row>
    <row r="2975" spans="6:6">
      <c r="F2975" s="600" t="s">
        <v>4460</v>
      </c>
    </row>
    <row r="2976" spans="6:6">
      <c r="F2976" s="600" t="s">
        <v>4461</v>
      </c>
    </row>
    <row r="2977" spans="6:6">
      <c r="F2977" s="600" t="s">
        <v>4462</v>
      </c>
    </row>
    <row r="2978" spans="6:6">
      <c r="F2978" s="600" t="s">
        <v>4463</v>
      </c>
    </row>
    <row r="2979" spans="6:6">
      <c r="F2979" s="600" t="s">
        <v>4464</v>
      </c>
    </row>
    <row r="2980" spans="6:6">
      <c r="F2980" s="600" t="s">
        <v>4465</v>
      </c>
    </row>
    <row r="2981" spans="6:6">
      <c r="F2981" s="600" t="s">
        <v>4466</v>
      </c>
    </row>
    <row r="2982" spans="6:6">
      <c r="F2982" s="600" t="s">
        <v>4467</v>
      </c>
    </row>
    <row r="2983" spans="6:6">
      <c r="F2983" s="600" t="s">
        <v>4468</v>
      </c>
    </row>
    <row r="2984" spans="6:6">
      <c r="F2984" s="600" t="s">
        <v>4469</v>
      </c>
    </row>
    <row r="2985" spans="6:6">
      <c r="F2985" s="600" t="s">
        <v>4470</v>
      </c>
    </row>
    <row r="2986" spans="6:6">
      <c r="F2986" s="600" t="s">
        <v>4471</v>
      </c>
    </row>
    <row r="2987" spans="6:6">
      <c r="F2987" s="600" t="s">
        <v>4472</v>
      </c>
    </row>
    <row r="2988" spans="6:6">
      <c r="F2988" s="600" t="s">
        <v>4473</v>
      </c>
    </row>
    <row r="2989" spans="6:6">
      <c r="F2989" s="600" t="s">
        <v>4474</v>
      </c>
    </row>
    <row r="2990" spans="6:6">
      <c r="F2990" s="600" t="s">
        <v>4475</v>
      </c>
    </row>
    <row r="2991" spans="6:6">
      <c r="F2991" s="600" t="s">
        <v>4476</v>
      </c>
    </row>
    <row r="2992" spans="6:6">
      <c r="F2992" s="600" t="s">
        <v>4477</v>
      </c>
    </row>
    <row r="2993" spans="6:6">
      <c r="F2993" s="600" t="s">
        <v>4478</v>
      </c>
    </row>
    <row r="2994" spans="6:6">
      <c r="F2994" s="600" t="s">
        <v>4479</v>
      </c>
    </row>
    <row r="2995" spans="6:6">
      <c r="F2995" s="600" t="s">
        <v>4480</v>
      </c>
    </row>
    <row r="2996" spans="6:6">
      <c r="F2996" s="600" t="s">
        <v>4481</v>
      </c>
    </row>
    <row r="2997" spans="6:6">
      <c r="F2997" s="600" t="s">
        <v>4482</v>
      </c>
    </row>
    <row r="2998" spans="6:6">
      <c r="F2998" s="600" t="s">
        <v>4483</v>
      </c>
    </row>
    <row r="2999" spans="6:6">
      <c r="F2999" s="600" t="s">
        <v>4484</v>
      </c>
    </row>
    <row r="3000" spans="6:6">
      <c r="F3000" s="600" t="s">
        <v>4485</v>
      </c>
    </row>
    <row r="3001" spans="6:6">
      <c r="F3001" s="600" t="s">
        <v>4486</v>
      </c>
    </row>
    <row r="3002" spans="6:6">
      <c r="F3002" s="600" t="s">
        <v>4487</v>
      </c>
    </row>
    <row r="3003" spans="6:6">
      <c r="F3003" s="600" t="s">
        <v>4488</v>
      </c>
    </row>
    <row r="3004" spans="6:6">
      <c r="F3004" s="600" t="s">
        <v>4489</v>
      </c>
    </row>
    <row r="3005" spans="6:6">
      <c r="F3005" s="600" t="s">
        <v>4490</v>
      </c>
    </row>
    <row r="3006" spans="6:6">
      <c r="F3006" s="600" t="s">
        <v>4491</v>
      </c>
    </row>
    <row r="3007" spans="6:6">
      <c r="F3007" s="600" t="s">
        <v>4492</v>
      </c>
    </row>
    <row r="3008" spans="6:6">
      <c r="F3008" s="600" t="s">
        <v>4493</v>
      </c>
    </row>
    <row r="3009" spans="6:6">
      <c r="F3009" s="600" t="s">
        <v>4494</v>
      </c>
    </row>
    <row r="3010" spans="6:6">
      <c r="F3010" s="600" t="s">
        <v>4495</v>
      </c>
    </row>
    <row r="3011" spans="6:6">
      <c r="F3011" s="600" t="s">
        <v>4496</v>
      </c>
    </row>
    <row r="3012" spans="6:6">
      <c r="F3012" s="600" t="s">
        <v>4497</v>
      </c>
    </row>
    <row r="3013" spans="6:6">
      <c r="F3013" s="600" t="s">
        <v>4498</v>
      </c>
    </row>
    <row r="3014" spans="6:6">
      <c r="F3014" s="600" t="s">
        <v>4499</v>
      </c>
    </row>
    <row r="3015" spans="6:6">
      <c r="F3015" s="600" t="s">
        <v>4500</v>
      </c>
    </row>
    <row r="3016" spans="6:6">
      <c r="F3016" s="600" t="s">
        <v>4501</v>
      </c>
    </row>
    <row r="3017" spans="6:6">
      <c r="F3017" s="600" t="s">
        <v>4502</v>
      </c>
    </row>
    <row r="3018" spans="6:6">
      <c r="F3018" s="600" t="s">
        <v>4503</v>
      </c>
    </row>
    <row r="3019" spans="6:6">
      <c r="F3019" s="600" t="s">
        <v>4504</v>
      </c>
    </row>
    <row r="3020" spans="6:6">
      <c r="F3020" s="600" t="s">
        <v>4505</v>
      </c>
    </row>
    <row r="3021" spans="6:6">
      <c r="F3021" s="600" t="s">
        <v>4506</v>
      </c>
    </row>
    <row r="3022" spans="6:6">
      <c r="F3022" s="600" t="s">
        <v>4507</v>
      </c>
    </row>
    <row r="3023" spans="6:6">
      <c r="F3023" s="600" t="s">
        <v>4508</v>
      </c>
    </row>
    <row r="3024" spans="6:6">
      <c r="F3024" s="600" t="s">
        <v>4509</v>
      </c>
    </row>
    <row r="3025" spans="6:6">
      <c r="F3025" s="600" t="s">
        <v>4510</v>
      </c>
    </row>
    <row r="3026" spans="6:6">
      <c r="F3026" s="600" t="s">
        <v>4511</v>
      </c>
    </row>
    <row r="3027" spans="6:6">
      <c r="F3027" s="600" t="s">
        <v>4512</v>
      </c>
    </row>
    <row r="3028" spans="6:6">
      <c r="F3028" s="600" t="s">
        <v>4513</v>
      </c>
    </row>
    <row r="3029" spans="6:6">
      <c r="F3029" s="600" t="s">
        <v>4514</v>
      </c>
    </row>
    <row r="3030" spans="6:6">
      <c r="F3030" s="600" t="s">
        <v>4515</v>
      </c>
    </row>
    <row r="3031" spans="6:6">
      <c r="F3031" s="600" t="s">
        <v>4516</v>
      </c>
    </row>
    <row r="3032" spans="6:6">
      <c r="F3032" s="600" t="s">
        <v>4517</v>
      </c>
    </row>
    <row r="3033" spans="6:6">
      <c r="F3033" s="600" t="s">
        <v>4518</v>
      </c>
    </row>
    <row r="3034" spans="6:6">
      <c r="F3034" s="600" t="s">
        <v>4519</v>
      </c>
    </row>
    <row r="3035" spans="6:6">
      <c r="F3035" s="600" t="s">
        <v>4520</v>
      </c>
    </row>
    <row r="3036" spans="6:6">
      <c r="F3036" s="600" t="s">
        <v>4521</v>
      </c>
    </row>
    <row r="3037" spans="6:6">
      <c r="F3037" s="600" t="s">
        <v>4522</v>
      </c>
    </row>
    <row r="3038" spans="6:6">
      <c r="F3038" s="600" t="s">
        <v>4523</v>
      </c>
    </row>
    <row r="3039" spans="6:6">
      <c r="F3039" s="600" t="s">
        <v>4524</v>
      </c>
    </row>
    <row r="3040" spans="6:6">
      <c r="F3040" s="600" t="s">
        <v>4525</v>
      </c>
    </row>
    <row r="3041" spans="6:6">
      <c r="F3041" s="600" t="s">
        <v>4526</v>
      </c>
    </row>
    <row r="3042" spans="6:6">
      <c r="F3042" s="600" t="s">
        <v>4527</v>
      </c>
    </row>
    <row r="3043" spans="6:6">
      <c r="F3043" s="600" t="s">
        <v>4528</v>
      </c>
    </row>
    <row r="3044" spans="6:6">
      <c r="F3044" s="600" t="s">
        <v>4529</v>
      </c>
    </row>
    <row r="3045" spans="6:6">
      <c r="F3045" s="600" t="s">
        <v>4530</v>
      </c>
    </row>
    <row r="3046" spans="6:6">
      <c r="F3046" s="600" t="s">
        <v>4531</v>
      </c>
    </row>
    <row r="3047" spans="6:6">
      <c r="F3047" s="600" t="s">
        <v>4532</v>
      </c>
    </row>
    <row r="3048" spans="6:6">
      <c r="F3048" s="600" t="s">
        <v>4533</v>
      </c>
    </row>
    <row r="3049" spans="6:6">
      <c r="F3049" s="600" t="s">
        <v>4534</v>
      </c>
    </row>
    <row r="3050" spans="6:6">
      <c r="F3050" s="600" t="s">
        <v>4535</v>
      </c>
    </row>
    <row r="3051" spans="6:6">
      <c r="F3051" s="600" t="s">
        <v>4536</v>
      </c>
    </row>
    <row r="3052" spans="6:6">
      <c r="F3052" s="600" t="s">
        <v>4537</v>
      </c>
    </row>
    <row r="3053" spans="6:6">
      <c r="F3053" s="600" t="s">
        <v>4538</v>
      </c>
    </row>
    <row r="3054" spans="6:6">
      <c r="F3054" s="600" t="s">
        <v>4539</v>
      </c>
    </row>
    <row r="3055" spans="6:6">
      <c r="F3055" s="600" t="s">
        <v>4540</v>
      </c>
    </row>
    <row r="3056" spans="6:6">
      <c r="F3056" s="600" t="s">
        <v>4541</v>
      </c>
    </row>
    <row r="3057" spans="6:6">
      <c r="F3057" s="600" t="s">
        <v>4542</v>
      </c>
    </row>
    <row r="3058" spans="6:6">
      <c r="F3058" s="600" t="s">
        <v>4543</v>
      </c>
    </row>
    <row r="3059" spans="6:6">
      <c r="F3059" s="600" t="s">
        <v>4544</v>
      </c>
    </row>
    <row r="3060" spans="6:6">
      <c r="F3060" s="600" t="s">
        <v>4545</v>
      </c>
    </row>
    <row r="3061" spans="6:6">
      <c r="F3061" s="600" t="s">
        <v>4546</v>
      </c>
    </row>
    <row r="3062" spans="6:6">
      <c r="F3062" s="600" t="s">
        <v>4547</v>
      </c>
    </row>
    <row r="3063" spans="6:6">
      <c r="F3063" s="600" t="s">
        <v>4548</v>
      </c>
    </row>
    <row r="3064" spans="6:6">
      <c r="F3064" s="600" t="s">
        <v>4549</v>
      </c>
    </row>
    <row r="3065" spans="6:6">
      <c r="F3065" s="600" t="s">
        <v>4550</v>
      </c>
    </row>
    <row r="3066" spans="6:6">
      <c r="F3066" s="600" t="s">
        <v>4551</v>
      </c>
    </row>
    <row r="3067" spans="6:6">
      <c r="F3067" s="600" t="s">
        <v>4552</v>
      </c>
    </row>
    <row r="3068" spans="6:6">
      <c r="F3068" s="600" t="s">
        <v>4553</v>
      </c>
    </row>
    <row r="3069" spans="6:6">
      <c r="F3069" s="600" t="s">
        <v>4554</v>
      </c>
    </row>
    <row r="3070" spans="6:6">
      <c r="F3070" s="600" t="s">
        <v>4555</v>
      </c>
    </row>
    <row r="3071" spans="6:6">
      <c r="F3071" s="600" t="s">
        <v>4556</v>
      </c>
    </row>
    <row r="3072" spans="6:6">
      <c r="F3072" s="600" t="s">
        <v>4557</v>
      </c>
    </row>
    <row r="3073" spans="6:6">
      <c r="F3073" s="600" t="s">
        <v>4558</v>
      </c>
    </row>
    <row r="3074" spans="6:6">
      <c r="F3074" s="600" t="s">
        <v>4559</v>
      </c>
    </row>
    <row r="3075" spans="6:6">
      <c r="F3075" s="600" t="s">
        <v>4560</v>
      </c>
    </row>
    <row r="3076" spans="6:6">
      <c r="F3076" s="600" t="s">
        <v>4561</v>
      </c>
    </row>
    <row r="3077" spans="6:6">
      <c r="F3077" s="600" t="s">
        <v>4562</v>
      </c>
    </row>
    <row r="3078" spans="6:6">
      <c r="F3078" s="600" t="s">
        <v>4563</v>
      </c>
    </row>
    <row r="3079" spans="6:6">
      <c r="F3079" s="600" t="s">
        <v>4564</v>
      </c>
    </row>
    <row r="3080" spans="6:6">
      <c r="F3080" s="600" t="s">
        <v>4565</v>
      </c>
    </row>
    <row r="3081" spans="6:6">
      <c r="F3081" s="600" t="s">
        <v>4566</v>
      </c>
    </row>
    <row r="3082" spans="6:6">
      <c r="F3082" s="600" t="s">
        <v>4567</v>
      </c>
    </row>
    <row r="3083" spans="6:6">
      <c r="F3083" s="600" t="s">
        <v>4568</v>
      </c>
    </row>
    <row r="3084" spans="6:6">
      <c r="F3084" s="600" t="s">
        <v>4569</v>
      </c>
    </row>
    <row r="3085" spans="6:6">
      <c r="F3085" s="600" t="s">
        <v>4570</v>
      </c>
    </row>
    <row r="3086" spans="6:6">
      <c r="F3086" s="600" t="s">
        <v>4571</v>
      </c>
    </row>
    <row r="3087" spans="6:6">
      <c r="F3087" s="600" t="s">
        <v>4572</v>
      </c>
    </row>
    <row r="3088" spans="6:6">
      <c r="F3088" s="600" t="s">
        <v>4573</v>
      </c>
    </row>
    <row r="3089" spans="6:6">
      <c r="F3089" s="600" t="s">
        <v>4574</v>
      </c>
    </row>
    <row r="3090" spans="6:6">
      <c r="F3090" s="600" t="s">
        <v>4575</v>
      </c>
    </row>
    <row r="3091" spans="6:6">
      <c r="F3091" s="600" t="s">
        <v>4576</v>
      </c>
    </row>
    <row r="3092" spans="6:6">
      <c r="F3092" s="600" t="s">
        <v>4577</v>
      </c>
    </row>
    <row r="3093" spans="6:6">
      <c r="F3093" s="600" t="s">
        <v>4578</v>
      </c>
    </row>
    <row r="3094" spans="6:6">
      <c r="F3094" s="600" t="s">
        <v>4579</v>
      </c>
    </row>
    <row r="3095" spans="6:6">
      <c r="F3095" s="600" t="s">
        <v>4580</v>
      </c>
    </row>
    <row r="3096" spans="6:6">
      <c r="F3096" s="600" t="s">
        <v>4581</v>
      </c>
    </row>
    <row r="3097" spans="6:6">
      <c r="F3097" s="600" t="s">
        <v>4582</v>
      </c>
    </row>
    <row r="3098" spans="6:6">
      <c r="F3098" s="600" t="s">
        <v>4583</v>
      </c>
    </row>
    <row r="3099" spans="6:6">
      <c r="F3099" s="600" t="s">
        <v>4584</v>
      </c>
    </row>
    <row r="3100" spans="6:6">
      <c r="F3100" s="600" t="s">
        <v>4585</v>
      </c>
    </row>
    <row r="3101" spans="6:6">
      <c r="F3101" s="600" t="s">
        <v>4586</v>
      </c>
    </row>
    <row r="3102" spans="6:6">
      <c r="F3102" s="600" t="s">
        <v>4587</v>
      </c>
    </row>
    <row r="3103" spans="6:6">
      <c r="F3103" s="600" t="s">
        <v>4588</v>
      </c>
    </row>
    <row r="3104" spans="6:6">
      <c r="F3104" s="600" t="s">
        <v>4589</v>
      </c>
    </row>
    <row r="3105" spans="6:6">
      <c r="F3105" s="600" t="s">
        <v>4590</v>
      </c>
    </row>
    <row r="3106" spans="6:6">
      <c r="F3106" s="600" t="s">
        <v>4591</v>
      </c>
    </row>
    <row r="3107" spans="6:6">
      <c r="F3107" s="600" t="s">
        <v>4592</v>
      </c>
    </row>
    <row r="3108" spans="6:6">
      <c r="F3108" s="600" t="s">
        <v>4593</v>
      </c>
    </row>
    <row r="3109" spans="6:6">
      <c r="F3109" s="600" t="s">
        <v>4594</v>
      </c>
    </row>
    <row r="3110" spans="6:6">
      <c r="F3110" s="600" t="s">
        <v>4595</v>
      </c>
    </row>
    <row r="3111" spans="6:6">
      <c r="F3111" s="600" t="s">
        <v>4596</v>
      </c>
    </row>
    <row r="3112" spans="6:6">
      <c r="F3112" s="600" t="s">
        <v>4597</v>
      </c>
    </row>
    <row r="3113" spans="6:6">
      <c r="F3113" s="600" t="s">
        <v>4598</v>
      </c>
    </row>
    <row r="3114" spans="6:6">
      <c r="F3114" s="600" t="s">
        <v>4599</v>
      </c>
    </row>
    <row r="3115" spans="6:6">
      <c r="F3115" s="600" t="s">
        <v>4600</v>
      </c>
    </row>
    <row r="3116" spans="6:6">
      <c r="F3116" s="600" t="s">
        <v>4601</v>
      </c>
    </row>
    <row r="3117" spans="6:6">
      <c r="F3117" s="600" t="s">
        <v>4602</v>
      </c>
    </row>
    <row r="3118" spans="6:6">
      <c r="F3118" s="600" t="s">
        <v>4603</v>
      </c>
    </row>
    <row r="3119" spans="6:6">
      <c r="F3119" s="600" t="s">
        <v>4604</v>
      </c>
    </row>
    <row r="3120" spans="6:6">
      <c r="F3120" s="600" t="s">
        <v>4605</v>
      </c>
    </row>
    <row r="3121" spans="6:6">
      <c r="F3121" s="600" t="s">
        <v>4606</v>
      </c>
    </row>
    <row r="3122" spans="6:6">
      <c r="F3122" s="600" t="s">
        <v>4607</v>
      </c>
    </row>
    <row r="3123" spans="6:6">
      <c r="F3123" s="600" t="s">
        <v>4608</v>
      </c>
    </row>
    <row r="3124" spans="6:6">
      <c r="F3124" s="600" t="s">
        <v>4609</v>
      </c>
    </row>
    <row r="3125" spans="6:6">
      <c r="F3125" s="600" t="s">
        <v>4610</v>
      </c>
    </row>
    <row r="3126" spans="6:6">
      <c r="F3126" s="600" t="s">
        <v>4611</v>
      </c>
    </row>
    <row r="3127" spans="6:6">
      <c r="F3127" s="600" t="s">
        <v>4612</v>
      </c>
    </row>
    <row r="3128" spans="6:6">
      <c r="F3128" s="600" t="s">
        <v>4613</v>
      </c>
    </row>
    <row r="3129" spans="6:6">
      <c r="F3129" s="600" t="s">
        <v>4614</v>
      </c>
    </row>
    <row r="3130" spans="6:6">
      <c r="F3130" s="600" t="s">
        <v>4615</v>
      </c>
    </row>
    <row r="3131" spans="6:6">
      <c r="F3131" s="600" t="s">
        <v>4616</v>
      </c>
    </row>
    <row r="3132" spans="6:6">
      <c r="F3132" s="600" t="s">
        <v>4617</v>
      </c>
    </row>
    <row r="3133" spans="6:6">
      <c r="F3133" s="600" t="s">
        <v>4618</v>
      </c>
    </row>
    <row r="3134" spans="6:6">
      <c r="F3134" s="600" t="s">
        <v>4619</v>
      </c>
    </row>
    <row r="3135" spans="6:6">
      <c r="F3135" s="600" t="s">
        <v>4620</v>
      </c>
    </row>
    <row r="3136" spans="6:6">
      <c r="F3136" s="600" t="s">
        <v>4621</v>
      </c>
    </row>
    <row r="3137" spans="6:6">
      <c r="F3137" s="600" t="s">
        <v>4622</v>
      </c>
    </row>
    <row r="3138" spans="6:6">
      <c r="F3138" s="600" t="s">
        <v>4623</v>
      </c>
    </row>
    <row r="3139" spans="6:6">
      <c r="F3139" s="600" t="s">
        <v>4624</v>
      </c>
    </row>
    <row r="3140" spans="6:6">
      <c r="F3140" s="600" t="s">
        <v>4625</v>
      </c>
    </row>
    <row r="3141" spans="6:6">
      <c r="F3141" s="600" t="s">
        <v>4626</v>
      </c>
    </row>
    <row r="3142" spans="6:6">
      <c r="F3142" s="600" t="s">
        <v>4627</v>
      </c>
    </row>
    <row r="3143" spans="6:6">
      <c r="F3143" s="600" t="s">
        <v>4628</v>
      </c>
    </row>
    <row r="3144" spans="6:6">
      <c r="F3144" s="600" t="s">
        <v>4629</v>
      </c>
    </row>
    <row r="3145" spans="6:6">
      <c r="F3145" s="600" t="s">
        <v>4630</v>
      </c>
    </row>
    <row r="3146" spans="6:6">
      <c r="F3146" s="600" t="s">
        <v>4631</v>
      </c>
    </row>
    <row r="3147" spans="6:6">
      <c r="F3147" s="600" t="s">
        <v>4632</v>
      </c>
    </row>
    <row r="3148" spans="6:6">
      <c r="F3148" s="600" t="s">
        <v>4633</v>
      </c>
    </row>
    <row r="3149" spans="6:6">
      <c r="F3149" s="600" t="s">
        <v>4634</v>
      </c>
    </row>
    <row r="3150" spans="6:6">
      <c r="F3150" s="600" t="s">
        <v>4635</v>
      </c>
    </row>
    <row r="3151" spans="6:6">
      <c r="F3151" s="600" t="s">
        <v>4636</v>
      </c>
    </row>
    <row r="3152" spans="6:6">
      <c r="F3152" s="600" t="s">
        <v>4637</v>
      </c>
    </row>
    <row r="3153" spans="6:6">
      <c r="F3153" s="600" t="s">
        <v>4638</v>
      </c>
    </row>
    <row r="3154" spans="6:6">
      <c r="F3154" s="600" t="s">
        <v>4639</v>
      </c>
    </row>
    <row r="3155" spans="6:6">
      <c r="F3155" s="600" t="s">
        <v>4640</v>
      </c>
    </row>
    <row r="3156" spans="6:6">
      <c r="F3156" s="600" t="s">
        <v>4641</v>
      </c>
    </row>
    <row r="3157" spans="6:6">
      <c r="F3157" s="600" t="s">
        <v>4642</v>
      </c>
    </row>
    <row r="3158" spans="6:6">
      <c r="F3158" s="600" t="s">
        <v>4643</v>
      </c>
    </row>
    <row r="3159" spans="6:6">
      <c r="F3159" s="600" t="s">
        <v>4644</v>
      </c>
    </row>
    <row r="3160" spans="6:6">
      <c r="F3160" s="600" t="s">
        <v>4645</v>
      </c>
    </row>
    <row r="3161" spans="6:6">
      <c r="F3161" s="600" t="s">
        <v>4646</v>
      </c>
    </row>
    <row r="3162" spans="6:6">
      <c r="F3162" s="600" t="s">
        <v>4647</v>
      </c>
    </row>
    <row r="3163" spans="6:6">
      <c r="F3163" s="600" t="s">
        <v>4648</v>
      </c>
    </row>
    <row r="3164" spans="6:6">
      <c r="F3164" s="600" t="s">
        <v>4649</v>
      </c>
    </row>
    <row r="3165" spans="6:6">
      <c r="F3165" s="600" t="s">
        <v>4650</v>
      </c>
    </row>
    <row r="3166" spans="6:6">
      <c r="F3166" s="600" t="s">
        <v>4651</v>
      </c>
    </row>
    <row r="3167" spans="6:6">
      <c r="F3167" s="600" t="s">
        <v>4652</v>
      </c>
    </row>
    <row r="3168" spans="6:6">
      <c r="F3168" s="600" t="s">
        <v>4653</v>
      </c>
    </row>
    <row r="3169" spans="6:6">
      <c r="F3169" s="600" t="s">
        <v>4654</v>
      </c>
    </row>
    <row r="3170" spans="6:6">
      <c r="F3170" s="600" t="s">
        <v>4655</v>
      </c>
    </row>
    <row r="3171" spans="6:6">
      <c r="F3171" s="600" t="s">
        <v>4656</v>
      </c>
    </row>
    <row r="3172" spans="6:6">
      <c r="F3172" s="600" t="s">
        <v>4657</v>
      </c>
    </row>
    <row r="3173" spans="6:6">
      <c r="F3173" s="600" t="s">
        <v>4658</v>
      </c>
    </row>
    <row r="3174" spans="6:6">
      <c r="F3174" s="600" t="s">
        <v>4659</v>
      </c>
    </row>
    <row r="3175" spans="6:6">
      <c r="F3175" s="600" t="s">
        <v>4660</v>
      </c>
    </row>
    <row r="3176" spans="6:6">
      <c r="F3176" s="600" t="s">
        <v>4661</v>
      </c>
    </row>
    <row r="3177" spans="6:6">
      <c r="F3177" s="600" t="s">
        <v>4662</v>
      </c>
    </row>
    <row r="3178" spans="6:6">
      <c r="F3178" s="600" t="s">
        <v>4663</v>
      </c>
    </row>
    <row r="3179" spans="6:6">
      <c r="F3179" s="600" t="s">
        <v>4664</v>
      </c>
    </row>
    <row r="3180" spans="6:6">
      <c r="F3180" s="600" t="s">
        <v>4665</v>
      </c>
    </row>
    <row r="3181" spans="6:6">
      <c r="F3181" s="600" t="s">
        <v>4666</v>
      </c>
    </row>
    <row r="3182" spans="6:6">
      <c r="F3182" s="600" t="s">
        <v>4667</v>
      </c>
    </row>
    <row r="3183" spans="6:6">
      <c r="F3183" s="600" t="s">
        <v>4668</v>
      </c>
    </row>
    <row r="3184" spans="6:6">
      <c r="F3184" s="600" t="s">
        <v>4669</v>
      </c>
    </row>
    <row r="3185" spans="6:6">
      <c r="F3185" s="600" t="s">
        <v>4670</v>
      </c>
    </row>
    <row r="3186" spans="6:6">
      <c r="F3186" s="600" t="s">
        <v>4671</v>
      </c>
    </row>
    <row r="3187" spans="6:6">
      <c r="F3187" s="600" t="s">
        <v>4672</v>
      </c>
    </row>
    <row r="3188" spans="6:6">
      <c r="F3188" s="600" t="s">
        <v>4673</v>
      </c>
    </row>
    <row r="3189" spans="6:6">
      <c r="F3189" s="600" t="s">
        <v>4674</v>
      </c>
    </row>
    <row r="3190" spans="6:6">
      <c r="F3190" s="600" t="s">
        <v>4675</v>
      </c>
    </row>
    <row r="3191" spans="6:6">
      <c r="F3191" s="600" t="s">
        <v>4676</v>
      </c>
    </row>
    <row r="3192" spans="6:6">
      <c r="F3192" s="600" t="s">
        <v>4677</v>
      </c>
    </row>
    <row r="3193" spans="6:6">
      <c r="F3193" s="600" t="s">
        <v>4678</v>
      </c>
    </row>
    <row r="3194" spans="6:6">
      <c r="F3194" s="600" t="s">
        <v>4679</v>
      </c>
    </row>
    <row r="3195" spans="6:6">
      <c r="F3195" s="600" t="s">
        <v>4680</v>
      </c>
    </row>
    <row r="3196" spans="6:6">
      <c r="F3196" s="600" t="s">
        <v>4681</v>
      </c>
    </row>
    <row r="3197" spans="6:6">
      <c r="F3197" s="600" t="s">
        <v>4682</v>
      </c>
    </row>
    <row r="3198" spans="6:6">
      <c r="F3198" s="600" t="s">
        <v>4683</v>
      </c>
    </row>
    <row r="3199" spans="6:6">
      <c r="F3199" s="600" t="s">
        <v>4684</v>
      </c>
    </row>
    <row r="3200" spans="6:6">
      <c r="F3200" s="600" t="s">
        <v>4685</v>
      </c>
    </row>
    <row r="3201" spans="6:6">
      <c r="F3201" s="600" t="s">
        <v>4686</v>
      </c>
    </row>
    <row r="3202" spans="6:6">
      <c r="F3202" s="600" t="s">
        <v>4687</v>
      </c>
    </row>
    <row r="3203" spans="6:6">
      <c r="F3203" s="600" t="s">
        <v>4688</v>
      </c>
    </row>
    <row r="3204" spans="6:6">
      <c r="F3204" s="600" t="s">
        <v>4689</v>
      </c>
    </row>
    <row r="3205" spans="6:6">
      <c r="F3205" s="600" t="s">
        <v>4690</v>
      </c>
    </row>
    <row r="3206" spans="6:6">
      <c r="F3206" s="600" t="s">
        <v>4691</v>
      </c>
    </row>
    <row r="3207" spans="6:6">
      <c r="F3207" s="600" t="s">
        <v>4692</v>
      </c>
    </row>
    <row r="3208" spans="6:6">
      <c r="F3208" s="600" t="s">
        <v>4693</v>
      </c>
    </row>
    <row r="3209" spans="6:6">
      <c r="F3209" s="600" t="s">
        <v>4694</v>
      </c>
    </row>
    <row r="3210" spans="6:6">
      <c r="F3210" s="600" t="s">
        <v>4695</v>
      </c>
    </row>
    <row r="3211" spans="6:6">
      <c r="F3211" s="600" t="s">
        <v>4696</v>
      </c>
    </row>
    <row r="3212" spans="6:6">
      <c r="F3212" s="600" t="s">
        <v>4697</v>
      </c>
    </row>
    <row r="3213" spans="6:6">
      <c r="F3213" s="600" t="s">
        <v>4698</v>
      </c>
    </row>
    <row r="3214" spans="6:6">
      <c r="F3214" s="600" t="s">
        <v>4699</v>
      </c>
    </row>
    <row r="3215" spans="6:6">
      <c r="F3215" s="600" t="s">
        <v>4700</v>
      </c>
    </row>
    <row r="3216" spans="6:6">
      <c r="F3216" s="600" t="s">
        <v>4701</v>
      </c>
    </row>
    <row r="3217" spans="6:6">
      <c r="F3217" s="600" t="s">
        <v>4702</v>
      </c>
    </row>
    <row r="3218" spans="6:6">
      <c r="F3218" s="600" t="s">
        <v>4703</v>
      </c>
    </row>
    <row r="3219" spans="6:6">
      <c r="F3219" s="600" t="s">
        <v>4704</v>
      </c>
    </row>
    <row r="3220" spans="6:6">
      <c r="F3220" s="600" t="s">
        <v>4705</v>
      </c>
    </row>
    <row r="3221" spans="6:6">
      <c r="F3221" s="600" t="s">
        <v>4706</v>
      </c>
    </row>
    <row r="3222" spans="6:6">
      <c r="F3222" s="600" t="s">
        <v>4707</v>
      </c>
    </row>
    <row r="3223" spans="6:6">
      <c r="F3223" s="600" t="s">
        <v>4708</v>
      </c>
    </row>
    <row r="3224" spans="6:6">
      <c r="F3224" s="600" t="s">
        <v>4709</v>
      </c>
    </row>
    <row r="3225" spans="6:6">
      <c r="F3225" s="600" t="s">
        <v>4710</v>
      </c>
    </row>
    <row r="3226" spans="6:6">
      <c r="F3226" s="600" t="s">
        <v>4711</v>
      </c>
    </row>
    <row r="3227" spans="6:6">
      <c r="F3227" s="600" t="s">
        <v>4712</v>
      </c>
    </row>
    <row r="3228" spans="6:6">
      <c r="F3228" s="600" t="s">
        <v>4713</v>
      </c>
    </row>
    <row r="3229" spans="6:6">
      <c r="F3229" s="600" t="s">
        <v>4714</v>
      </c>
    </row>
    <row r="3230" spans="6:6">
      <c r="F3230" s="600" t="s">
        <v>4715</v>
      </c>
    </row>
    <row r="3231" spans="6:6">
      <c r="F3231" s="600" t="s">
        <v>4716</v>
      </c>
    </row>
    <row r="3232" spans="6:6">
      <c r="F3232" s="600" t="s">
        <v>4717</v>
      </c>
    </row>
    <row r="3233" spans="6:6">
      <c r="F3233" s="600" t="s">
        <v>4718</v>
      </c>
    </row>
    <row r="3234" spans="6:6">
      <c r="F3234" s="600" t="s">
        <v>4719</v>
      </c>
    </row>
    <row r="3235" spans="6:6">
      <c r="F3235" s="600" t="s">
        <v>4720</v>
      </c>
    </row>
    <row r="3236" spans="6:6">
      <c r="F3236" s="600" t="s">
        <v>4721</v>
      </c>
    </row>
    <row r="3237" spans="6:6">
      <c r="F3237" s="600" t="s">
        <v>4722</v>
      </c>
    </row>
    <row r="3238" spans="6:6">
      <c r="F3238" s="600" t="s">
        <v>4723</v>
      </c>
    </row>
    <row r="3239" spans="6:6">
      <c r="F3239" s="600" t="s">
        <v>4724</v>
      </c>
    </row>
    <row r="3240" spans="6:6">
      <c r="F3240" s="600" t="s">
        <v>4725</v>
      </c>
    </row>
    <row r="3241" spans="6:6">
      <c r="F3241" s="600" t="s">
        <v>4726</v>
      </c>
    </row>
    <row r="3242" spans="6:6">
      <c r="F3242" s="600" t="s">
        <v>4727</v>
      </c>
    </row>
    <row r="3243" spans="6:6">
      <c r="F3243" s="600" t="s">
        <v>4728</v>
      </c>
    </row>
    <row r="3244" spans="6:6">
      <c r="F3244" s="600" t="s">
        <v>4729</v>
      </c>
    </row>
    <row r="3245" spans="6:6">
      <c r="F3245" s="600" t="s">
        <v>4730</v>
      </c>
    </row>
    <row r="3246" spans="6:6">
      <c r="F3246" s="600" t="s">
        <v>4731</v>
      </c>
    </row>
    <row r="3247" spans="6:6">
      <c r="F3247" s="600" t="s">
        <v>4732</v>
      </c>
    </row>
    <row r="3248" spans="6:6">
      <c r="F3248" s="600" t="s">
        <v>4733</v>
      </c>
    </row>
    <row r="3249" spans="6:6">
      <c r="F3249" s="600" t="s">
        <v>4734</v>
      </c>
    </row>
    <row r="3250" spans="6:6">
      <c r="F3250" s="600" t="s">
        <v>4735</v>
      </c>
    </row>
    <row r="3251" spans="6:6">
      <c r="F3251" s="600" t="s">
        <v>4736</v>
      </c>
    </row>
    <row r="3252" spans="6:6">
      <c r="F3252" s="600" t="s">
        <v>4737</v>
      </c>
    </row>
    <row r="3253" spans="6:6">
      <c r="F3253" s="600" t="s">
        <v>4738</v>
      </c>
    </row>
    <row r="3254" spans="6:6">
      <c r="F3254" s="600" t="s">
        <v>4739</v>
      </c>
    </row>
    <row r="3255" spans="6:6">
      <c r="F3255" s="600" t="s">
        <v>4740</v>
      </c>
    </row>
    <row r="3256" spans="6:6">
      <c r="F3256" s="600" t="s">
        <v>4741</v>
      </c>
    </row>
    <row r="3257" spans="6:6">
      <c r="F3257" s="600" t="s">
        <v>4742</v>
      </c>
    </row>
    <row r="3258" spans="6:6">
      <c r="F3258" s="600" t="s">
        <v>4743</v>
      </c>
    </row>
    <row r="3259" spans="6:6">
      <c r="F3259" s="600" t="s">
        <v>4744</v>
      </c>
    </row>
    <row r="3260" spans="6:6">
      <c r="F3260" s="600" t="s">
        <v>4745</v>
      </c>
    </row>
    <row r="3261" spans="6:6">
      <c r="F3261" s="600" t="s">
        <v>4746</v>
      </c>
    </row>
    <row r="3262" spans="6:6">
      <c r="F3262" s="600" t="s">
        <v>4747</v>
      </c>
    </row>
    <row r="3263" spans="6:6">
      <c r="F3263" s="600" t="s">
        <v>4748</v>
      </c>
    </row>
    <row r="3264" spans="6:6">
      <c r="F3264" s="600" t="s">
        <v>4749</v>
      </c>
    </row>
    <row r="3265" spans="6:6">
      <c r="F3265" s="600" t="s">
        <v>4750</v>
      </c>
    </row>
    <row r="3266" spans="6:6">
      <c r="F3266" s="600" t="s">
        <v>4751</v>
      </c>
    </row>
    <row r="3267" spans="6:6">
      <c r="F3267" s="600" t="s">
        <v>4752</v>
      </c>
    </row>
    <row r="3268" spans="6:6">
      <c r="F3268" s="600" t="s">
        <v>4753</v>
      </c>
    </row>
    <row r="3269" spans="6:6">
      <c r="F3269" s="600" t="s">
        <v>4754</v>
      </c>
    </row>
    <row r="3270" spans="6:6">
      <c r="F3270" s="600" t="s">
        <v>4755</v>
      </c>
    </row>
    <row r="3271" spans="6:6">
      <c r="F3271" s="600" t="s">
        <v>4756</v>
      </c>
    </row>
    <row r="3272" spans="6:6">
      <c r="F3272" s="600" t="s">
        <v>4757</v>
      </c>
    </row>
    <row r="3273" spans="6:6">
      <c r="F3273" s="600" t="s">
        <v>4758</v>
      </c>
    </row>
    <row r="3274" spans="6:6">
      <c r="F3274" s="600" t="s">
        <v>4759</v>
      </c>
    </row>
    <row r="3275" spans="6:6">
      <c r="F3275" s="600" t="s">
        <v>4760</v>
      </c>
    </row>
    <row r="3276" spans="6:6">
      <c r="F3276" s="600" t="s">
        <v>4761</v>
      </c>
    </row>
    <row r="3277" spans="6:6">
      <c r="F3277" s="600" t="s">
        <v>4762</v>
      </c>
    </row>
    <row r="3278" spans="6:6">
      <c r="F3278" s="600" t="s">
        <v>4763</v>
      </c>
    </row>
    <row r="3279" spans="6:6">
      <c r="F3279" s="600" t="s">
        <v>4764</v>
      </c>
    </row>
    <row r="3280" spans="6:6">
      <c r="F3280" s="600" t="s">
        <v>4765</v>
      </c>
    </row>
    <row r="3281" spans="6:6">
      <c r="F3281" s="600" t="s">
        <v>4766</v>
      </c>
    </row>
    <row r="3282" spans="6:6">
      <c r="F3282" s="600" t="s">
        <v>4767</v>
      </c>
    </row>
    <row r="3283" spans="6:6">
      <c r="F3283" s="600" t="s">
        <v>4768</v>
      </c>
    </row>
    <row r="3284" spans="6:6">
      <c r="F3284" s="600" t="s">
        <v>4769</v>
      </c>
    </row>
    <row r="3285" spans="6:6">
      <c r="F3285" s="600" t="s">
        <v>4770</v>
      </c>
    </row>
    <row r="3286" spans="6:6">
      <c r="F3286" s="600" t="s">
        <v>4771</v>
      </c>
    </row>
    <row r="3287" spans="6:6">
      <c r="F3287" s="600" t="s">
        <v>4772</v>
      </c>
    </row>
    <row r="3288" spans="6:6">
      <c r="F3288" s="600" t="s">
        <v>4773</v>
      </c>
    </row>
    <row r="3289" spans="6:6">
      <c r="F3289" s="600" t="s">
        <v>4774</v>
      </c>
    </row>
    <row r="3290" spans="6:6">
      <c r="F3290" s="600" t="s">
        <v>4775</v>
      </c>
    </row>
    <row r="3291" spans="6:6">
      <c r="F3291" s="600" t="s">
        <v>4776</v>
      </c>
    </row>
    <row r="3292" spans="6:6">
      <c r="F3292" s="600" t="s">
        <v>4777</v>
      </c>
    </row>
    <row r="3293" spans="6:6">
      <c r="F3293" s="600" t="s">
        <v>4778</v>
      </c>
    </row>
    <row r="3294" spans="6:6">
      <c r="F3294" s="600" t="s">
        <v>4779</v>
      </c>
    </row>
    <row r="3295" spans="6:6">
      <c r="F3295" s="600" t="s">
        <v>4780</v>
      </c>
    </row>
    <row r="3296" spans="6:6">
      <c r="F3296" s="600" t="s">
        <v>4781</v>
      </c>
    </row>
    <row r="3297" spans="6:6">
      <c r="F3297" s="600" t="s">
        <v>4782</v>
      </c>
    </row>
    <row r="3298" spans="6:6">
      <c r="F3298" s="600" t="s">
        <v>4783</v>
      </c>
    </row>
    <row r="3299" spans="6:6">
      <c r="F3299" s="600" t="s">
        <v>4784</v>
      </c>
    </row>
    <row r="3300" spans="6:6">
      <c r="F3300" s="600" t="s">
        <v>4785</v>
      </c>
    </row>
    <row r="3301" spans="6:6">
      <c r="F3301" s="600" t="s">
        <v>4786</v>
      </c>
    </row>
    <row r="3302" spans="6:6">
      <c r="F3302" s="600" t="s">
        <v>4787</v>
      </c>
    </row>
    <row r="3303" spans="6:6">
      <c r="F3303" s="600" t="s">
        <v>4788</v>
      </c>
    </row>
    <row r="3304" spans="6:6">
      <c r="F3304" s="600" t="s">
        <v>4789</v>
      </c>
    </row>
    <row r="3305" spans="6:6">
      <c r="F3305" s="600" t="s">
        <v>4790</v>
      </c>
    </row>
    <row r="3306" spans="6:6">
      <c r="F3306" s="600" t="s">
        <v>4791</v>
      </c>
    </row>
    <row r="3307" spans="6:6">
      <c r="F3307" s="600" t="s">
        <v>4792</v>
      </c>
    </row>
    <row r="3308" spans="6:6">
      <c r="F3308" s="600" t="s">
        <v>4793</v>
      </c>
    </row>
    <row r="3309" spans="6:6">
      <c r="F3309" s="600" t="s">
        <v>4794</v>
      </c>
    </row>
    <row r="3310" spans="6:6">
      <c r="F3310" s="600" t="s">
        <v>4795</v>
      </c>
    </row>
    <row r="3311" spans="6:6">
      <c r="F3311" s="600" t="s">
        <v>4796</v>
      </c>
    </row>
    <row r="3312" spans="6:6">
      <c r="F3312" s="600" t="s">
        <v>4797</v>
      </c>
    </row>
    <row r="3313" spans="6:6">
      <c r="F3313" s="600" t="s">
        <v>4798</v>
      </c>
    </row>
    <row r="3314" spans="6:6">
      <c r="F3314" s="600" t="s">
        <v>4799</v>
      </c>
    </row>
    <row r="3315" spans="6:6">
      <c r="F3315" s="600" t="s">
        <v>4800</v>
      </c>
    </row>
    <row r="3316" spans="6:6">
      <c r="F3316" s="600" t="s">
        <v>4801</v>
      </c>
    </row>
    <row r="3317" spans="6:6">
      <c r="F3317" s="600" t="s">
        <v>4802</v>
      </c>
    </row>
    <row r="3318" spans="6:6">
      <c r="F3318" s="600" t="s">
        <v>4803</v>
      </c>
    </row>
    <row r="3319" spans="6:6">
      <c r="F3319" s="600" t="s">
        <v>4804</v>
      </c>
    </row>
    <row r="3320" spans="6:6">
      <c r="F3320" s="600" t="s">
        <v>4805</v>
      </c>
    </row>
    <row r="3321" spans="6:6">
      <c r="F3321" s="600" t="s">
        <v>4806</v>
      </c>
    </row>
    <row r="3322" spans="6:6">
      <c r="F3322" s="600" t="s">
        <v>4807</v>
      </c>
    </row>
    <row r="3323" spans="6:6">
      <c r="F3323" s="600" t="s">
        <v>4808</v>
      </c>
    </row>
    <row r="3324" spans="6:6">
      <c r="F3324" s="600" t="s">
        <v>4809</v>
      </c>
    </row>
    <row r="3325" spans="6:6">
      <c r="F3325" s="600" t="s">
        <v>4810</v>
      </c>
    </row>
    <row r="3326" spans="6:6">
      <c r="F3326" s="600" t="s">
        <v>4811</v>
      </c>
    </row>
    <row r="3327" spans="6:6">
      <c r="F3327" s="600" t="s">
        <v>4812</v>
      </c>
    </row>
    <row r="3328" spans="6:6">
      <c r="F3328" s="600" t="s">
        <v>4813</v>
      </c>
    </row>
    <row r="3329" spans="6:6">
      <c r="F3329" s="600" t="s">
        <v>4814</v>
      </c>
    </row>
    <row r="3330" spans="6:6">
      <c r="F3330" s="600" t="s">
        <v>4815</v>
      </c>
    </row>
    <row r="3331" spans="6:6">
      <c r="F3331" s="600" t="s">
        <v>4816</v>
      </c>
    </row>
    <row r="3332" spans="6:6">
      <c r="F3332" s="600" t="s">
        <v>4817</v>
      </c>
    </row>
    <row r="3333" spans="6:6">
      <c r="F3333" s="600" t="s">
        <v>4818</v>
      </c>
    </row>
    <row r="3334" spans="6:6">
      <c r="F3334" s="600" t="s">
        <v>4819</v>
      </c>
    </row>
    <row r="3335" spans="6:6">
      <c r="F3335" s="600" t="s">
        <v>4820</v>
      </c>
    </row>
    <row r="3336" spans="6:6">
      <c r="F3336" s="600" t="s">
        <v>4821</v>
      </c>
    </row>
    <row r="3337" spans="6:6">
      <c r="F3337" s="600" t="s">
        <v>4822</v>
      </c>
    </row>
    <row r="3338" spans="6:6">
      <c r="F3338" s="600" t="s">
        <v>4823</v>
      </c>
    </row>
    <row r="3339" spans="6:6">
      <c r="F3339" s="600" t="s">
        <v>4824</v>
      </c>
    </row>
    <row r="3340" spans="6:6">
      <c r="F3340" s="600" t="s">
        <v>4825</v>
      </c>
    </row>
    <row r="3341" spans="6:6">
      <c r="F3341" s="600" t="s">
        <v>4826</v>
      </c>
    </row>
    <row r="3342" spans="6:6">
      <c r="F3342" s="600" t="s">
        <v>4827</v>
      </c>
    </row>
    <row r="3343" spans="6:6">
      <c r="F3343" s="600" t="s">
        <v>4828</v>
      </c>
    </row>
    <row r="3344" spans="6:6">
      <c r="F3344" s="600" t="s">
        <v>4829</v>
      </c>
    </row>
    <row r="3345" spans="6:6">
      <c r="F3345" s="600" t="s">
        <v>4830</v>
      </c>
    </row>
    <row r="3346" spans="6:6">
      <c r="F3346" s="600" t="s">
        <v>4831</v>
      </c>
    </row>
    <row r="3347" spans="6:6">
      <c r="F3347" s="600" t="s">
        <v>4832</v>
      </c>
    </row>
    <row r="3348" spans="6:6">
      <c r="F3348" s="600" t="s">
        <v>4833</v>
      </c>
    </row>
    <row r="3349" spans="6:6">
      <c r="F3349" s="600" t="s">
        <v>4834</v>
      </c>
    </row>
    <row r="3350" spans="6:6">
      <c r="F3350" s="600" t="s">
        <v>4835</v>
      </c>
    </row>
    <row r="3351" spans="6:6">
      <c r="F3351" s="600" t="s">
        <v>4836</v>
      </c>
    </row>
    <row r="3352" spans="6:6">
      <c r="F3352" s="600" t="s">
        <v>4837</v>
      </c>
    </row>
    <row r="3353" spans="6:6">
      <c r="F3353" s="600" t="s">
        <v>4838</v>
      </c>
    </row>
    <row r="3354" spans="6:6">
      <c r="F3354" s="600" t="s">
        <v>4839</v>
      </c>
    </row>
    <row r="3355" spans="6:6">
      <c r="F3355" s="600" t="s">
        <v>4840</v>
      </c>
    </row>
    <row r="3356" spans="6:6">
      <c r="F3356" s="600" t="s">
        <v>4841</v>
      </c>
    </row>
    <row r="3357" spans="6:6">
      <c r="F3357" s="600" t="s">
        <v>4842</v>
      </c>
    </row>
    <row r="3358" spans="6:6">
      <c r="F3358" s="600" t="s">
        <v>4843</v>
      </c>
    </row>
    <row r="3359" spans="6:6">
      <c r="F3359" s="600" t="s">
        <v>4844</v>
      </c>
    </row>
    <row r="3360" spans="6:6">
      <c r="F3360" s="600" t="s">
        <v>4845</v>
      </c>
    </row>
    <row r="3361" spans="6:6">
      <c r="F3361" s="600" t="s">
        <v>4846</v>
      </c>
    </row>
    <row r="3362" spans="6:6">
      <c r="F3362" s="600" t="s">
        <v>4847</v>
      </c>
    </row>
    <row r="3363" spans="6:6">
      <c r="F3363" s="600" t="s">
        <v>4848</v>
      </c>
    </row>
    <row r="3364" spans="6:6">
      <c r="F3364" s="600" t="s">
        <v>4849</v>
      </c>
    </row>
    <row r="3365" spans="6:6">
      <c r="F3365" s="600" t="s">
        <v>4850</v>
      </c>
    </row>
    <row r="3366" spans="6:6">
      <c r="F3366" s="600" t="s">
        <v>4851</v>
      </c>
    </row>
    <row r="3367" spans="6:6">
      <c r="F3367" s="600" t="s">
        <v>4852</v>
      </c>
    </row>
    <row r="3368" spans="6:6">
      <c r="F3368" s="600" t="s">
        <v>4853</v>
      </c>
    </row>
    <row r="3369" spans="6:6">
      <c r="F3369" s="600" t="s">
        <v>4854</v>
      </c>
    </row>
    <row r="3370" spans="6:6">
      <c r="F3370" s="600" t="s">
        <v>4855</v>
      </c>
    </row>
    <row r="3371" spans="6:6">
      <c r="F3371" s="600" t="s">
        <v>4856</v>
      </c>
    </row>
    <row r="3372" spans="6:6">
      <c r="F3372" s="600" t="s">
        <v>4857</v>
      </c>
    </row>
    <row r="3373" spans="6:6">
      <c r="F3373" s="600">
        <v>86</v>
      </c>
    </row>
    <row r="3374" spans="6:6">
      <c r="F3374" s="600" t="s">
        <v>4858</v>
      </c>
    </row>
    <row r="3375" spans="6:6">
      <c r="F3375" s="600" t="s">
        <v>4859</v>
      </c>
    </row>
    <row r="3376" spans="6:6">
      <c r="F3376" s="600" t="s">
        <v>4860</v>
      </c>
    </row>
    <row r="3377" spans="6:6">
      <c r="F3377" s="600" t="s">
        <v>4861</v>
      </c>
    </row>
    <row r="3378" spans="6:6">
      <c r="F3378" s="600" t="s">
        <v>4862</v>
      </c>
    </row>
    <row r="3379" spans="6:6">
      <c r="F3379" s="600" t="s">
        <v>4863</v>
      </c>
    </row>
    <row r="3380" spans="6:6">
      <c r="F3380" s="600" t="s">
        <v>4864</v>
      </c>
    </row>
    <row r="3381" spans="6:6">
      <c r="F3381" s="600" t="s">
        <v>4865</v>
      </c>
    </row>
    <row r="3382" spans="6:6">
      <c r="F3382" s="600" t="s">
        <v>4866</v>
      </c>
    </row>
    <row r="3383" spans="6:6">
      <c r="F3383" s="600" t="s">
        <v>4867</v>
      </c>
    </row>
    <row r="3384" spans="6:6">
      <c r="F3384" s="600" t="s">
        <v>4868</v>
      </c>
    </row>
    <row r="3385" spans="6:6">
      <c r="F3385" s="600" t="s">
        <v>4869</v>
      </c>
    </row>
    <row r="3386" spans="6:6">
      <c r="F3386" s="600" t="s">
        <v>4870</v>
      </c>
    </row>
    <row r="3387" spans="6:6">
      <c r="F3387" s="600" t="s">
        <v>4871</v>
      </c>
    </row>
    <row r="3388" spans="6:6">
      <c r="F3388" s="600" t="s">
        <v>4872</v>
      </c>
    </row>
    <row r="3389" spans="6:6">
      <c r="F3389" s="600" t="s">
        <v>4873</v>
      </c>
    </row>
    <row r="3390" spans="6:6">
      <c r="F3390" s="600" t="s">
        <v>4874</v>
      </c>
    </row>
    <row r="3391" spans="6:6">
      <c r="F3391" s="600" t="s">
        <v>4875</v>
      </c>
    </row>
    <row r="3392" spans="6:6">
      <c r="F3392" s="600" t="s">
        <v>4876</v>
      </c>
    </row>
    <row r="3393" spans="6:6">
      <c r="F3393" s="600" t="s">
        <v>4877</v>
      </c>
    </row>
    <row r="3394" spans="6:6">
      <c r="F3394" s="600" t="s">
        <v>4878</v>
      </c>
    </row>
    <row r="3395" spans="6:6">
      <c r="F3395" s="600" t="s">
        <v>4879</v>
      </c>
    </row>
    <row r="3396" spans="6:6">
      <c r="F3396" s="600" t="s">
        <v>4880</v>
      </c>
    </row>
    <row r="3397" spans="6:6">
      <c r="F3397" s="600" t="s">
        <v>4881</v>
      </c>
    </row>
    <row r="3398" spans="6:6">
      <c r="F3398" s="600" t="s">
        <v>4882</v>
      </c>
    </row>
    <row r="3399" spans="6:6">
      <c r="F3399" s="600" t="s">
        <v>4883</v>
      </c>
    </row>
    <row r="3400" spans="6:6">
      <c r="F3400" s="600" t="s">
        <v>4884</v>
      </c>
    </row>
    <row r="3401" spans="6:6">
      <c r="F3401" s="600" t="s">
        <v>4885</v>
      </c>
    </row>
    <row r="3402" spans="6:6">
      <c r="F3402" s="600" t="s">
        <v>4886</v>
      </c>
    </row>
    <row r="3403" spans="6:6">
      <c r="F3403" s="600" t="s">
        <v>4887</v>
      </c>
    </row>
    <row r="3404" spans="6:6">
      <c r="F3404" s="600" t="s">
        <v>4888</v>
      </c>
    </row>
    <row r="3405" spans="6:6">
      <c r="F3405" s="600" t="s">
        <v>4889</v>
      </c>
    </row>
    <row r="3406" spans="6:6">
      <c r="F3406" s="600" t="s">
        <v>4890</v>
      </c>
    </row>
    <row r="3407" spans="6:6">
      <c r="F3407" s="600" t="s">
        <v>4891</v>
      </c>
    </row>
    <row r="3408" spans="6:6">
      <c r="F3408" s="600" t="s">
        <v>4892</v>
      </c>
    </row>
    <row r="3409" spans="6:6">
      <c r="F3409" s="600" t="s">
        <v>4893</v>
      </c>
    </row>
    <row r="3410" spans="6:6">
      <c r="F3410" s="600" t="s">
        <v>4894</v>
      </c>
    </row>
    <row r="3411" spans="6:6">
      <c r="F3411" s="600" t="s">
        <v>4895</v>
      </c>
    </row>
    <row r="3412" spans="6:6">
      <c r="F3412" s="600" t="s">
        <v>4896</v>
      </c>
    </row>
    <row r="3413" spans="6:6">
      <c r="F3413" s="600" t="s">
        <v>4897</v>
      </c>
    </row>
    <row r="3414" spans="6:6">
      <c r="F3414" s="600" t="s">
        <v>4898</v>
      </c>
    </row>
    <row r="3415" spans="6:6">
      <c r="F3415" s="600" t="s">
        <v>4899</v>
      </c>
    </row>
    <row r="3416" spans="6:6">
      <c r="F3416" s="600" t="s">
        <v>4900</v>
      </c>
    </row>
    <row r="3417" spans="6:6">
      <c r="F3417" s="600" t="s">
        <v>4901</v>
      </c>
    </row>
    <row r="3418" spans="6:6">
      <c r="F3418" s="600" t="s">
        <v>4902</v>
      </c>
    </row>
    <row r="3419" spans="6:6">
      <c r="F3419" s="600" t="s">
        <v>4903</v>
      </c>
    </row>
    <row r="3420" spans="6:6">
      <c r="F3420" s="600" t="s">
        <v>4904</v>
      </c>
    </row>
    <row r="3421" spans="6:6">
      <c r="F3421" s="600" t="s">
        <v>4905</v>
      </c>
    </row>
    <row r="3422" spans="6:6">
      <c r="F3422" s="600" t="s">
        <v>4906</v>
      </c>
    </row>
    <row r="3423" spans="6:6">
      <c r="F3423" s="600" t="s">
        <v>4907</v>
      </c>
    </row>
    <row r="3424" spans="6:6">
      <c r="F3424" s="600" t="s">
        <v>4908</v>
      </c>
    </row>
    <row r="3425" spans="6:6">
      <c r="F3425" s="600" t="s">
        <v>4909</v>
      </c>
    </row>
    <row r="3426" spans="6:6">
      <c r="F3426" s="600" t="s">
        <v>4910</v>
      </c>
    </row>
    <row r="3427" spans="6:6">
      <c r="F3427" s="600" t="s">
        <v>4911</v>
      </c>
    </row>
    <row r="3428" spans="6:6">
      <c r="F3428" s="600" t="s">
        <v>4912</v>
      </c>
    </row>
    <row r="3429" spans="6:6">
      <c r="F3429" s="600" t="s">
        <v>4913</v>
      </c>
    </row>
    <row r="3430" spans="6:6">
      <c r="F3430" s="600" t="s">
        <v>4914</v>
      </c>
    </row>
    <row r="3431" spans="6:6">
      <c r="F3431" s="600" t="s">
        <v>4915</v>
      </c>
    </row>
    <row r="3432" spans="6:6">
      <c r="F3432" s="600" t="s">
        <v>4916</v>
      </c>
    </row>
    <row r="3433" spans="6:6">
      <c r="F3433" s="600" t="s">
        <v>4917</v>
      </c>
    </row>
    <row r="3434" spans="6:6">
      <c r="F3434" s="600" t="s">
        <v>4918</v>
      </c>
    </row>
    <row r="3435" spans="6:6">
      <c r="F3435" s="600" t="s">
        <v>4919</v>
      </c>
    </row>
    <row r="3436" spans="6:6">
      <c r="F3436" s="600" t="s">
        <v>4920</v>
      </c>
    </row>
    <row r="3437" spans="6:6">
      <c r="F3437" s="600" t="s">
        <v>4921</v>
      </c>
    </row>
    <row r="3438" spans="6:6">
      <c r="F3438" s="600" t="s">
        <v>4922</v>
      </c>
    </row>
    <row r="3439" spans="6:6">
      <c r="F3439" s="600" t="s">
        <v>4923</v>
      </c>
    </row>
    <row r="3440" spans="6:6">
      <c r="F3440" s="600" t="s">
        <v>4924</v>
      </c>
    </row>
    <row r="3441" spans="6:6">
      <c r="F3441" s="600" t="s">
        <v>4925</v>
      </c>
    </row>
    <row r="3442" spans="6:6">
      <c r="F3442" s="600" t="s">
        <v>4926</v>
      </c>
    </row>
    <row r="3443" spans="6:6">
      <c r="F3443" s="600" t="s">
        <v>4927</v>
      </c>
    </row>
    <row r="3444" spans="6:6">
      <c r="F3444" s="600" t="s">
        <v>4928</v>
      </c>
    </row>
    <row r="3445" spans="6:6">
      <c r="F3445" s="600" t="s">
        <v>4929</v>
      </c>
    </row>
    <row r="3446" spans="6:6">
      <c r="F3446" s="600" t="s">
        <v>4930</v>
      </c>
    </row>
    <row r="3447" spans="6:6">
      <c r="F3447" s="600" t="s">
        <v>4931</v>
      </c>
    </row>
    <row r="3448" spans="6:6">
      <c r="F3448" s="600" t="s">
        <v>4932</v>
      </c>
    </row>
    <row r="3449" spans="6:6">
      <c r="F3449" s="600" t="s">
        <v>4933</v>
      </c>
    </row>
    <row r="3450" spans="6:6">
      <c r="F3450" s="600" t="s">
        <v>4934</v>
      </c>
    </row>
    <row r="3451" spans="6:6">
      <c r="F3451" s="600" t="s">
        <v>4935</v>
      </c>
    </row>
    <row r="3452" spans="6:6">
      <c r="F3452" s="600" t="s">
        <v>4936</v>
      </c>
    </row>
    <row r="3453" spans="6:6">
      <c r="F3453" s="600" t="s">
        <v>4937</v>
      </c>
    </row>
    <row r="3454" spans="6:6">
      <c r="F3454" s="600" t="s">
        <v>4938</v>
      </c>
    </row>
    <row r="3455" spans="6:6">
      <c r="F3455" s="600" t="s">
        <v>4939</v>
      </c>
    </row>
    <row r="3456" spans="6:6">
      <c r="F3456" s="600" t="s">
        <v>4940</v>
      </c>
    </row>
    <row r="3457" spans="6:6">
      <c r="F3457" s="600" t="s">
        <v>4941</v>
      </c>
    </row>
    <row r="3458" spans="6:6">
      <c r="F3458" s="600" t="s">
        <v>4942</v>
      </c>
    </row>
    <row r="3459" spans="6:6">
      <c r="F3459" s="600" t="s">
        <v>4943</v>
      </c>
    </row>
    <row r="3460" spans="6:6">
      <c r="F3460" s="600" t="s">
        <v>4944</v>
      </c>
    </row>
    <row r="3461" spans="6:6">
      <c r="F3461" s="600" t="s">
        <v>4945</v>
      </c>
    </row>
    <row r="3462" spans="6:6">
      <c r="F3462" s="600" t="s">
        <v>4946</v>
      </c>
    </row>
    <row r="3463" spans="6:6">
      <c r="F3463" s="600" t="s">
        <v>4947</v>
      </c>
    </row>
    <row r="3464" spans="6:6">
      <c r="F3464" s="600" t="s">
        <v>4948</v>
      </c>
    </row>
    <row r="3465" spans="6:6">
      <c r="F3465" s="600" t="s">
        <v>4949</v>
      </c>
    </row>
    <row r="3466" spans="6:6">
      <c r="F3466" s="600" t="s">
        <v>4950</v>
      </c>
    </row>
    <row r="3467" spans="6:6">
      <c r="F3467" s="600" t="s">
        <v>4951</v>
      </c>
    </row>
    <row r="3468" spans="6:6">
      <c r="F3468" s="600" t="s">
        <v>4952</v>
      </c>
    </row>
    <row r="3469" spans="6:6">
      <c r="F3469" s="600" t="s">
        <v>4953</v>
      </c>
    </row>
    <row r="3470" spans="6:6">
      <c r="F3470" s="600" t="s">
        <v>4954</v>
      </c>
    </row>
    <row r="3471" spans="6:6">
      <c r="F3471" s="600" t="s">
        <v>4955</v>
      </c>
    </row>
    <row r="3472" spans="6:6">
      <c r="F3472" s="600" t="s">
        <v>4956</v>
      </c>
    </row>
    <row r="3473" spans="6:6">
      <c r="F3473" s="600" t="s">
        <v>4957</v>
      </c>
    </row>
    <row r="3474" spans="6:6">
      <c r="F3474" s="600" t="s">
        <v>4958</v>
      </c>
    </row>
    <row r="3475" spans="6:6">
      <c r="F3475" s="600" t="s">
        <v>4959</v>
      </c>
    </row>
    <row r="3476" spans="6:6">
      <c r="F3476" s="600" t="s">
        <v>4960</v>
      </c>
    </row>
    <row r="3477" spans="6:6">
      <c r="F3477" s="600" t="s">
        <v>4961</v>
      </c>
    </row>
    <row r="3478" spans="6:6">
      <c r="F3478" s="600" t="s">
        <v>4962</v>
      </c>
    </row>
    <row r="3479" spans="6:6">
      <c r="F3479" s="600" t="s">
        <v>4963</v>
      </c>
    </row>
    <row r="3480" spans="6:6">
      <c r="F3480" s="600" t="s">
        <v>4964</v>
      </c>
    </row>
    <row r="3481" spans="6:6">
      <c r="F3481" s="600" t="s">
        <v>4965</v>
      </c>
    </row>
    <row r="3482" spans="6:6">
      <c r="F3482" s="600" t="s">
        <v>4966</v>
      </c>
    </row>
    <row r="3483" spans="6:6">
      <c r="F3483" s="600" t="s">
        <v>4967</v>
      </c>
    </row>
    <row r="3484" spans="6:6">
      <c r="F3484" s="600" t="s">
        <v>4968</v>
      </c>
    </row>
    <row r="3485" spans="6:6">
      <c r="F3485" s="600" t="s">
        <v>4969</v>
      </c>
    </row>
    <row r="3486" spans="6:6">
      <c r="F3486" s="600" t="s">
        <v>4970</v>
      </c>
    </row>
    <row r="3487" spans="6:6">
      <c r="F3487" s="600" t="s">
        <v>4971</v>
      </c>
    </row>
    <row r="3488" spans="6:6">
      <c r="F3488" s="600" t="s">
        <v>4972</v>
      </c>
    </row>
    <row r="3489" spans="6:6">
      <c r="F3489" s="600" t="s">
        <v>4973</v>
      </c>
    </row>
    <row r="3490" spans="6:6">
      <c r="F3490" s="600" t="s">
        <v>4974</v>
      </c>
    </row>
    <row r="3491" spans="6:6">
      <c r="F3491" s="600" t="s">
        <v>4975</v>
      </c>
    </row>
    <row r="3492" spans="6:6">
      <c r="F3492" s="600" t="s">
        <v>4976</v>
      </c>
    </row>
    <row r="3493" spans="6:6">
      <c r="F3493" s="600" t="s">
        <v>4977</v>
      </c>
    </row>
    <row r="3494" spans="6:6">
      <c r="F3494" s="600" t="s">
        <v>4978</v>
      </c>
    </row>
    <row r="3495" spans="6:6">
      <c r="F3495" s="600" t="s">
        <v>4979</v>
      </c>
    </row>
    <row r="3496" spans="6:6">
      <c r="F3496" s="600" t="s">
        <v>4980</v>
      </c>
    </row>
    <row r="3497" spans="6:6">
      <c r="F3497" s="600" t="s">
        <v>4981</v>
      </c>
    </row>
    <row r="3498" spans="6:6">
      <c r="F3498" s="600" t="s">
        <v>4982</v>
      </c>
    </row>
    <row r="3499" spans="6:6">
      <c r="F3499" s="600" t="s">
        <v>4983</v>
      </c>
    </row>
    <row r="3500" spans="6:6">
      <c r="F3500" s="600" t="s">
        <v>4984</v>
      </c>
    </row>
    <row r="3501" spans="6:6">
      <c r="F3501" s="600" t="s">
        <v>4985</v>
      </c>
    </row>
    <row r="3502" spans="6:6">
      <c r="F3502" s="600" t="s">
        <v>4986</v>
      </c>
    </row>
    <row r="3503" spans="6:6">
      <c r="F3503" s="600" t="s">
        <v>4987</v>
      </c>
    </row>
    <row r="3504" spans="6:6">
      <c r="F3504" s="600" t="s">
        <v>4988</v>
      </c>
    </row>
    <row r="3505" spans="6:6">
      <c r="F3505" s="600" t="s">
        <v>4989</v>
      </c>
    </row>
    <row r="3506" spans="6:6">
      <c r="F3506" s="600" t="s">
        <v>4990</v>
      </c>
    </row>
    <row r="3507" spans="6:6">
      <c r="F3507" s="600" t="s">
        <v>4991</v>
      </c>
    </row>
    <row r="3508" spans="6:6">
      <c r="F3508" s="600" t="s">
        <v>4992</v>
      </c>
    </row>
    <row r="3509" spans="6:6">
      <c r="F3509" s="600" t="s">
        <v>4993</v>
      </c>
    </row>
    <row r="3510" spans="6:6">
      <c r="F3510" s="600" t="s">
        <v>4994</v>
      </c>
    </row>
    <row r="3511" spans="6:6">
      <c r="F3511" s="600" t="s">
        <v>4995</v>
      </c>
    </row>
    <row r="3512" spans="6:6">
      <c r="F3512" s="600" t="s">
        <v>4996</v>
      </c>
    </row>
    <row r="3513" spans="6:6">
      <c r="F3513" s="600" t="s">
        <v>4997</v>
      </c>
    </row>
    <row r="3514" spans="6:6">
      <c r="F3514" s="600" t="s">
        <v>4998</v>
      </c>
    </row>
    <row r="3515" spans="6:6">
      <c r="F3515" s="600" t="s">
        <v>4999</v>
      </c>
    </row>
    <row r="3516" spans="6:6">
      <c r="F3516" s="600" t="s">
        <v>5000</v>
      </c>
    </row>
    <row r="3517" spans="6:6">
      <c r="F3517" s="600" t="s">
        <v>5001</v>
      </c>
    </row>
    <row r="3518" spans="6:6">
      <c r="F3518" s="600" t="s">
        <v>5002</v>
      </c>
    </row>
    <row r="3519" spans="6:6">
      <c r="F3519" s="600" t="s">
        <v>5003</v>
      </c>
    </row>
    <row r="3520" spans="6:6">
      <c r="F3520" s="600" t="s">
        <v>5004</v>
      </c>
    </row>
    <row r="3521" spans="6:6">
      <c r="F3521" s="600" t="s">
        <v>5005</v>
      </c>
    </row>
    <row r="3522" spans="6:6">
      <c r="F3522" s="600" t="s">
        <v>5006</v>
      </c>
    </row>
    <row r="3523" spans="6:6">
      <c r="F3523" s="600" t="s">
        <v>5007</v>
      </c>
    </row>
    <row r="3524" spans="6:6">
      <c r="F3524" s="600" t="s">
        <v>5008</v>
      </c>
    </row>
    <row r="3525" spans="6:6">
      <c r="F3525" s="600" t="s">
        <v>5009</v>
      </c>
    </row>
    <row r="3526" spans="6:6">
      <c r="F3526" s="600" t="s">
        <v>5010</v>
      </c>
    </row>
    <row r="3527" spans="6:6">
      <c r="F3527" s="600" t="s">
        <v>5011</v>
      </c>
    </row>
    <row r="3528" spans="6:6">
      <c r="F3528" s="600" t="s">
        <v>5012</v>
      </c>
    </row>
    <row r="3529" spans="6:6">
      <c r="F3529" s="600" t="s">
        <v>5013</v>
      </c>
    </row>
    <row r="3530" spans="6:6">
      <c r="F3530" s="600" t="s">
        <v>5014</v>
      </c>
    </row>
    <row r="3531" spans="6:6">
      <c r="F3531" s="600" t="s">
        <v>5015</v>
      </c>
    </row>
    <row r="3532" spans="6:6">
      <c r="F3532" s="600" t="s">
        <v>5016</v>
      </c>
    </row>
    <row r="3533" spans="6:6">
      <c r="F3533" s="600" t="s">
        <v>5017</v>
      </c>
    </row>
    <row r="3534" spans="6:6">
      <c r="F3534" s="600" t="s">
        <v>5018</v>
      </c>
    </row>
    <row r="3535" spans="6:6">
      <c r="F3535" s="600" t="s">
        <v>5019</v>
      </c>
    </row>
    <row r="3536" spans="6:6">
      <c r="F3536" s="600" t="s">
        <v>5020</v>
      </c>
    </row>
    <row r="3537" spans="6:6">
      <c r="F3537" s="600" t="s">
        <v>5021</v>
      </c>
    </row>
    <row r="3538" spans="6:6">
      <c r="F3538" s="600" t="s">
        <v>5022</v>
      </c>
    </row>
    <row r="3539" spans="6:6">
      <c r="F3539" s="600" t="s">
        <v>5023</v>
      </c>
    </row>
    <row r="3540" spans="6:6">
      <c r="F3540" s="600" t="s">
        <v>5024</v>
      </c>
    </row>
    <row r="3541" spans="6:6">
      <c r="F3541" s="600" t="s">
        <v>5025</v>
      </c>
    </row>
    <row r="3542" spans="6:6">
      <c r="F3542" s="600" t="s">
        <v>5026</v>
      </c>
    </row>
    <row r="3543" spans="6:6">
      <c r="F3543" s="600" t="s">
        <v>5027</v>
      </c>
    </row>
    <row r="3544" spans="6:6">
      <c r="F3544" s="600" t="s">
        <v>5028</v>
      </c>
    </row>
    <row r="3545" spans="6:6">
      <c r="F3545" s="600" t="s">
        <v>5029</v>
      </c>
    </row>
    <row r="3546" spans="6:6">
      <c r="F3546" s="600" t="s">
        <v>5030</v>
      </c>
    </row>
    <row r="3547" spans="6:6">
      <c r="F3547" s="600" t="s">
        <v>5031</v>
      </c>
    </row>
    <row r="3548" spans="6:6">
      <c r="F3548" s="600" t="s">
        <v>5032</v>
      </c>
    </row>
    <row r="3549" spans="6:6">
      <c r="F3549" s="600" t="s">
        <v>5033</v>
      </c>
    </row>
    <row r="3550" spans="6:6">
      <c r="F3550" s="600" t="s">
        <v>5034</v>
      </c>
    </row>
    <row r="3551" spans="6:6">
      <c r="F3551" s="600" t="s">
        <v>5035</v>
      </c>
    </row>
    <row r="3552" spans="6:6">
      <c r="F3552" s="600" t="s">
        <v>5036</v>
      </c>
    </row>
    <row r="3553" spans="6:6">
      <c r="F3553" s="600" t="s">
        <v>5037</v>
      </c>
    </row>
    <row r="3554" spans="6:6">
      <c r="F3554" s="600" t="s">
        <v>5038</v>
      </c>
    </row>
    <row r="3555" spans="6:6">
      <c r="F3555" s="600" t="s">
        <v>5039</v>
      </c>
    </row>
    <row r="3556" spans="6:6">
      <c r="F3556" s="600" t="s">
        <v>5040</v>
      </c>
    </row>
    <row r="3557" spans="6:6">
      <c r="F3557" s="600" t="s">
        <v>5041</v>
      </c>
    </row>
    <row r="3558" spans="6:6">
      <c r="F3558" s="600" t="s">
        <v>5042</v>
      </c>
    </row>
    <row r="3559" spans="6:6">
      <c r="F3559" s="600" t="s">
        <v>5043</v>
      </c>
    </row>
    <row r="3560" spans="6:6">
      <c r="F3560" s="600" t="s">
        <v>5044</v>
      </c>
    </row>
    <row r="3561" spans="6:6">
      <c r="F3561" s="600" t="s">
        <v>5045</v>
      </c>
    </row>
    <row r="3562" spans="6:6">
      <c r="F3562" s="600" t="s">
        <v>5046</v>
      </c>
    </row>
    <row r="3563" spans="6:6">
      <c r="F3563" s="600" t="s">
        <v>5047</v>
      </c>
    </row>
    <row r="3564" spans="6:6">
      <c r="F3564" s="600" t="s">
        <v>5048</v>
      </c>
    </row>
    <row r="3565" spans="6:6">
      <c r="F3565" s="600" t="s">
        <v>5049</v>
      </c>
    </row>
    <row r="3566" spans="6:6">
      <c r="F3566" s="600" t="s">
        <v>5050</v>
      </c>
    </row>
    <row r="3567" spans="6:6">
      <c r="F3567" s="600" t="s">
        <v>5051</v>
      </c>
    </row>
    <row r="3568" spans="6:6">
      <c r="F3568" s="600" t="s">
        <v>5052</v>
      </c>
    </row>
    <row r="3569" spans="6:6">
      <c r="F3569" s="600" t="s">
        <v>5053</v>
      </c>
    </row>
    <row r="3570" spans="6:6">
      <c r="F3570" s="600" t="s">
        <v>5054</v>
      </c>
    </row>
    <row r="3571" spans="6:6">
      <c r="F3571" s="600" t="s">
        <v>5055</v>
      </c>
    </row>
    <row r="3572" spans="6:6">
      <c r="F3572" s="600" t="s">
        <v>5056</v>
      </c>
    </row>
    <row r="3573" spans="6:6">
      <c r="F3573" s="600" t="s">
        <v>5057</v>
      </c>
    </row>
    <row r="3574" spans="6:6">
      <c r="F3574" s="600" t="s">
        <v>5058</v>
      </c>
    </row>
    <row r="3575" spans="6:6">
      <c r="F3575" s="600" t="s">
        <v>5059</v>
      </c>
    </row>
    <row r="3576" spans="6:6">
      <c r="F3576" s="600" t="s">
        <v>5060</v>
      </c>
    </row>
    <row r="3577" spans="6:6">
      <c r="F3577" s="600" t="s">
        <v>5061</v>
      </c>
    </row>
    <row r="3578" spans="6:6">
      <c r="F3578" s="600" t="s">
        <v>5062</v>
      </c>
    </row>
    <row r="3579" spans="6:6">
      <c r="F3579" s="600" t="s">
        <v>5063</v>
      </c>
    </row>
    <row r="3580" spans="6:6">
      <c r="F3580" s="600" t="s">
        <v>5064</v>
      </c>
    </row>
    <row r="3581" spans="6:6">
      <c r="F3581" s="600" t="s">
        <v>5065</v>
      </c>
    </row>
    <row r="3582" spans="6:6">
      <c r="F3582" s="600" t="s">
        <v>5066</v>
      </c>
    </row>
    <row r="3583" spans="6:6">
      <c r="F3583" s="600" t="s">
        <v>5067</v>
      </c>
    </row>
    <row r="3584" spans="6:6">
      <c r="F3584" s="600" t="s">
        <v>5068</v>
      </c>
    </row>
    <row r="3585" spans="6:6">
      <c r="F3585" s="600" t="s">
        <v>5069</v>
      </c>
    </row>
    <row r="3586" spans="6:6">
      <c r="F3586" s="600" t="s">
        <v>5070</v>
      </c>
    </row>
    <row r="3587" spans="6:6">
      <c r="F3587" s="600" t="s">
        <v>5071</v>
      </c>
    </row>
    <row r="3588" spans="6:6">
      <c r="F3588" s="600" t="s">
        <v>5072</v>
      </c>
    </row>
    <row r="3589" spans="6:6">
      <c r="F3589" s="600" t="s">
        <v>5073</v>
      </c>
    </row>
    <row r="3590" spans="6:6">
      <c r="F3590" s="600" t="s">
        <v>5074</v>
      </c>
    </row>
    <row r="3591" spans="6:6">
      <c r="F3591" s="600" t="s">
        <v>5075</v>
      </c>
    </row>
    <row r="3592" spans="6:6">
      <c r="F3592" s="600" t="s">
        <v>5076</v>
      </c>
    </row>
    <row r="3593" spans="6:6">
      <c r="F3593" s="600" t="s">
        <v>5077</v>
      </c>
    </row>
    <row r="3594" spans="6:6">
      <c r="F3594" s="600" t="s">
        <v>5078</v>
      </c>
    </row>
    <row r="3595" spans="6:6">
      <c r="F3595" s="600" t="s">
        <v>5079</v>
      </c>
    </row>
    <row r="3596" spans="6:6">
      <c r="F3596" s="600" t="s">
        <v>5080</v>
      </c>
    </row>
    <row r="3597" spans="6:6">
      <c r="F3597" s="600" t="s">
        <v>5081</v>
      </c>
    </row>
    <row r="3598" spans="6:6">
      <c r="F3598" s="600" t="s">
        <v>5082</v>
      </c>
    </row>
    <row r="3599" spans="6:6">
      <c r="F3599" s="600" t="s">
        <v>5083</v>
      </c>
    </row>
    <row r="3600" spans="6:6">
      <c r="F3600" s="600" t="s">
        <v>5084</v>
      </c>
    </row>
    <row r="3601" spans="6:6">
      <c r="F3601" s="600" t="s">
        <v>5085</v>
      </c>
    </row>
    <row r="3602" spans="6:6">
      <c r="F3602" s="600" t="s">
        <v>5086</v>
      </c>
    </row>
    <row r="3603" spans="6:6">
      <c r="F3603" s="600" t="s">
        <v>5087</v>
      </c>
    </row>
    <row r="3604" spans="6:6">
      <c r="F3604" s="600" t="s">
        <v>5088</v>
      </c>
    </row>
    <row r="3605" spans="6:6">
      <c r="F3605" s="600" t="s">
        <v>5089</v>
      </c>
    </row>
    <row r="3606" spans="6:6">
      <c r="F3606" s="600" t="s">
        <v>5090</v>
      </c>
    </row>
    <row r="3607" spans="6:6">
      <c r="F3607" s="600" t="s">
        <v>5091</v>
      </c>
    </row>
    <row r="3608" spans="6:6">
      <c r="F3608" s="600" t="s">
        <v>5092</v>
      </c>
    </row>
    <row r="3609" spans="6:6">
      <c r="F3609" s="600" t="s">
        <v>5093</v>
      </c>
    </row>
    <row r="3610" spans="6:6">
      <c r="F3610" s="600" t="s">
        <v>5094</v>
      </c>
    </row>
    <row r="3611" spans="6:6">
      <c r="F3611" s="600" t="s">
        <v>5095</v>
      </c>
    </row>
    <row r="3612" spans="6:6">
      <c r="F3612" s="600" t="s">
        <v>5096</v>
      </c>
    </row>
    <row r="3613" spans="6:6">
      <c r="F3613" s="600" t="s">
        <v>5097</v>
      </c>
    </row>
    <row r="3614" spans="6:6">
      <c r="F3614" s="600" t="s">
        <v>5098</v>
      </c>
    </row>
    <row r="3615" spans="6:6">
      <c r="F3615" s="600" t="s">
        <v>5099</v>
      </c>
    </row>
    <row r="3616" spans="6:6">
      <c r="F3616" s="600" t="s">
        <v>5100</v>
      </c>
    </row>
    <row r="3617" spans="6:6">
      <c r="F3617" s="600" t="s">
        <v>5101</v>
      </c>
    </row>
    <row r="3618" spans="6:6">
      <c r="F3618" s="600" t="s">
        <v>5102</v>
      </c>
    </row>
    <row r="3619" spans="6:6">
      <c r="F3619" s="600" t="s">
        <v>5103</v>
      </c>
    </row>
    <row r="3620" spans="6:6">
      <c r="F3620" s="600" t="s">
        <v>5104</v>
      </c>
    </row>
    <row r="3621" spans="6:6">
      <c r="F3621" s="600" t="s">
        <v>5105</v>
      </c>
    </row>
    <row r="3622" spans="6:6">
      <c r="F3622" s="600" t="s">
        <v>5106</v>
      </c>
    </row>
    <row r="3623" spans="6:6">
      <c r="F3623" s="600" t="s">
        <v>5107</v>
      </c>
    </row>
    <row r="3624" spans="6:6">
      <c r="F3624" s="600" t="s">
        <v>5108</v>
      </c>
    </row>
    <row r="3625" spans="6:6">
      <c r="F3625" s="600" t="s">
        <v>5109</v>
      </c>
    </row>
    <row r="3626" spans="6:6">
      <c r="F3626" s="600" t="s">
        <v>5110</v>
      </c>
    </row>
    <row r="3627" spans="6:6">
      <c r="F3627" s="600" t="s">
        <v>5111</v>
      </c>
    </row>
    <row r="3628" spans="6:6">
      <c r="F3628" s="600" t="s">
        <v>5112</v>
      </c>
    </row>
    <row r="3629" spans="6:6">
      <c r="F3629" s="600" t="s">
        <v>5113</v>
      </c>
    </row>
    <row r="3630" spans="6:6">
      <c r="F3630" s="600" t="s">
        <v>5114</v>
      </c>
    </row>
    <row r="3631" spans="6:6">
      <c r="F3631" s="600" t="s">
        <v>5115</v>
      </c>
    </row>
    <row r="3632" spans="6:6">
      <c r="F3632" s="600" t="s">
        <v>5116</v>
      </c>
    </row>
    <row r="3633" spans="6:6">
      <c r="F3633" s="600" t="s">
        <v>5117</v>
      </c>
    </row>
    <row r="3634" spans="6:6">
      <c r="F3634" s="600" t="s">
        <v>5118</v>
      </c>
    </row>
    <row r="3635" spans="6:6">
      <c r="F3635" s="600" t="s">
        <v>5119</v>
      </c>
    </row>
    <row r="3636" spans="6:6">
      <c r="F3636" s="600" t="s">
        <v>5120</v>
      </c>
    </row>
    <row r="3637" spans="6:6">
      <c r="F3637" s="600" t="s">
        <v>5121</v>
      </c>
    </row>
    <row r="3638" spans="6:6">
      <c r="F3638" s="600" t="s">
        <v>5122</v>
      </c>
    </row>
    <row r="3639" spans="6:6">
      <c r="F3639" s="600" t="s">
        <v>5123</v>
      </c>
    </row>
    <row r="3640" spans="6:6">
      <c r="F3640" s="600" t="s">
        <v>5124</v>
      </c>
    </row>
    <row r="3641" spans="6:6">
      <c r="F3641" s="600" t="s">
        <v>5125</v>
      </c>
    </row>
    <row r="3642" spans="6:6">
      <c r="F3642" s="600" t="s">
        <v>5126</v>
      </c>
    </row>
    <row r="3643" spans="6:6">
      <c r="F3643" s="600" t="s">
        <v>5127</v>
      </c>
    </row>
    <row r="3644" spans="6:6">
      <c r="F3644" s="600" t="s">
        <v>5128</v>
      </c>
    </row>
    <row r="3645" spans="6:6">
      <c r="F3645" s="600" t="s">
        <v>5129</v>
      </c>
    </row>
    <row r="3646" spans="6:6">
      <c r="F3646" s="600" t="s">
        <v>5130</v>
      </c>
    </row>
    <row r="3647" spans="6:6">
      <c r="F3647" s="600" t="s">
        <v>5131</v>
      </c>
    </row>
    <row r="3648" spans="6:6">
      <c r="F3648" s="600" t="s">
        <v>5132</v>
      </c>
    </row>
    <row r="3649" spans="6:6">
      <c r="F3649" s="600" t="s">
        <v>5133</v>
      </c>
    </row>
    <row r="3650" spans="6:6">
      <c r="F3650" s="600" t="s">
        <v>5134</v>
      </c>
    </row>
    <row r="3651" spans="6:6">
      <c r="F3651" s="600" t="s">
        <v>5135</v>
      </c>
    </row>
    <row r="3652" spans="6:6">
      <c r="F3652" s="600" t="s">
        <v>5136</v>
      </c>
    </row>
    <row r="3653" spans="6:6">
      <c r="F3653" s="600" t="s">
        <v>5137</v>
      </c>
    </row>
    <row r="3654" spans="6:6">
      <c r="F3654" s="600" t="s">
        <v>5138</v>
      </c>
    </row>
    <row r="3655" spans="6:6">
      <c r="F3655" s="600" t="s">
        <v>5139</v>
      </c>
    </row>
    <row r="3656" spans="6:6">
      <c r="F3656" s="600" t="s">
        <v>5140</v>
      </c>
    </row>
    <row r="3657" spans="6:6">
      <c r="F3657" s="600" t="s">
        <v>5141</v>
      </c>
    </row>
    <row r="3658" spans="6:6">
      <c r="F3658" s="600" t="s">
        <v>5142</v>
      </c>
    </row>
    <row r="3659" spans="6:6">
      <c r="F3659" s="600" t="s">
        <v>5143</v>
      </c>
    </row>
    <row r="3660" spans="6:6">
      <c r="F3660" s="600" t="s">
        <v>5144</v>
      </c>
    </row>
    <row r="3661" spans="6:6">
      <c r="F3661" s="600" t="s">
        <v>5145</v>
      </c>
    </row>
    <row r="3662" spans="6:6">
      <c r="F3662" s="600" t="s">
        <v>5146</v>
      </c>
    </row>
    <row r="3663" spans="6:6">
      <c r="F3663" s="600" t="s">
        <v>5147</v>
      </c>
    </row>
    <row r="3664" spans="6:6">
      <c r="F3664" s="600" t="s">
        <v>5148</v>
      </c>
    </row>
    <row r="3665" spans="6:6">
      <c r="F3665" s="600" t="s">
        <v>5149</v>
      </c>
    </row>
    <row r="3666" spans="6:6">
      <c r="F3666" s="600" t="s">
        <v>5150</v>
      </c>
    </row>
    <row r="3667" spans="6:6">
      <c r="F3667" s="600" t="s">
        <v>5151</v>
      </c>
    </row>
    <row r="3668" spans="6:6">
      <c r="F3668" s="600" t="s">
        <v>5152</v>
      </c>
    </row>
    <row r="3669" spans="6:6">
      <c r="F3669" s="600" t="s">
        <v>5153</v>
      </c>
    </row>
    <row r="3670" spans="6:6">
      <c r="F3670" s="600" t="s">
        <v>5154</v>
      </c>
    </row>
    <row r="3671" spans="6:6">
      <c r="F3671" s="600" t="s">
        <v>5155</v>
      </c>
    </row>
    <row r="3672" spans="6:6">
      <c r="F3672" s="600" t="s">
        <v>5156</v>
      </c>
    </row>
    <row r="3673" spans="6:6">
      <c r="F3673" s="600" t="s">
        <v>5157</v>
      </c>
    </row>
    <row r="3674" spans="6:6">
      <c r="F3674" s="600" t="s">
        <v>5158</v>
      </c>
    </row>
    <row r="3675" spans="6:6">
      <c r="F3675" s="600" t="s">
        <v>5159</v>
      </c>
    </row>
    <row r="3676" spans="6:6">
      <c r="F3676" s="600" t="s">
        <v>5160</v>
      </c>
    </row>
    <row r="3677" spans="6:6">
      <c r="F3677" s="600" t="s">
        <v>5161</v>
      </c>
    </row>
    <row r="3678" spans="6:6">
      <c r="F3678" s="600" t="s">
        <v>5162</v>
      </c>
    </row>
    <row r="3679" spans="6:6">
      <c r="F3679" s="600" t="s">
        <v>5163</v>
      </c>
    </row>
    <row r="3680" spans="6:6">
      <c r="F3680" s="600" t="s">
        <v>5164</v>
      </c>
    </row>
    <row r="3681" spans="6:6">
      <c r="F3681" s="600" t="s">
        <v>5165</v>
      </c>
    </row>
    <row r="3682" spans="6:6">
      <c r="F3682" s="600" t="s">
        <v>5166</v>
      </c>
    </row>
    <row r="3683" spans="6:6">
      <c r="F3683" s="600" t="s">
        <v>5167</v>
      </c>
    </row>
    <row r="3684" spans="6:6">
      <c r="F3684" s="600" t="s">
        <v>5168</v>
      </c>
    </row>
    <row r="3685" spans="6:6">
      <c r="F3685" s="600" t="s">
        <v>5169</v>
      </c>
    </row>
    <row r="3686" spans="6:6">
      <c r="F3686" s="600" t="s">
        <v>5170</v>
      </c>
    </row>
    <row r="3687" spans="6:6">
      <c r="F3687" s="600" t="s">
        <v>5171</v>
      </c>
    </row>
    <row r="3688" spans="6:6">
      <c r="F3688" s="600" t="s">
        <v>5172</v>
      </c>
    </row>
    <row r="3689" spans="6:6">
      <c r="F3689" s="600" t="s">
        <v>5173</v>
      </c>
    </row>
    <row r="3690" spans="6:6">
      <c r="F3690" s="600" t="s">
        <v>5174</v>
      </c>
    </row>
    <row r="3691" spans="6:6">
      <c r="F3691" s="600" t="s">
        <v>5175</v>
      </c>
    </row>
    <row r="3692" spans="6:6">
      <c r="F3692" s="600" t="s">
        <v>5176</v>
      </c>
    </row>
    <row r="3693" spans="6:6">
      <c r="F3693" s="600" t="s">
        <v>5177</v>
      </c>
    </row>
    <row r="3694" spans="6:6">
      <c r="F3694" s="600" t="s">
        <v>5178</v>
      </c>
    </row>
    <row r="3695" spans="6:6">
      <c r="F3695" s="600" t="s">
        <v>5179</v>
      </c>
    </row>
    <row r="3696" spans="6:6">
      <c r="F3696" s="600" t="s">
        <v>5180</v>
      </c>
    </row>
    <row r="3697" spans="6:6">
      <c r="F3697" s="600" t="s">
        <v>5181</v>
      </c>
    </row>
    <row r="3698" spans="6:6">
      <c r="F3698" s="600" t="s">
        <v>5182</v>
      </c>
    </row>
    <row r="3699" spans="6:6">
      <c r="F3699" s="600" t="s">
        <v>5183</v>
      </c>
    </row>
    <row r="3700" spans="6:6">
      <c r="F3700" s="600" t="s">
        <v>5184</v>
      </c>
    </row>
    <row r="3701" spans="6:6">
      <c r="F3701" s="600" t="s">
        <v>5185</v>
      </c>
    </row>
    <row r="3702" spans="6:6">
      <c r="F3702" s="600" t="s">
        <v>5186</v>
      </c>
    </row>
    <row r="3703" spans="6:6">
      <c r="F3703" s="600" t="s">
        <v>5187</v>
      </c>
    </row>
    <row r="3704" spans="6:6">
      <c r="F3704" s="600" t="s">
        <v>5188</v>
      </c>
    </row>
    <row r="3705" spans="6:6">
      <c r="F3705" s="600" t="s">
        <v>5189</v>
      </c>
    </row>
    <row r="3706" spans="6:6">
      <c r="F3706" s="600" t="s">
        <v>5190</v>
      </c>
    </row>
    <row r="3707" spans="6:6">
      <c r="F3707" s="600" t="s">
        <v>5191</v>
      </c>
    </row>
    <row r="3708" spans="6:6">
      <c r="F3708" s="600" t="s">
        <v>5192</v>
      </c>
    </row>
    <row r="3709" spans="6:6">
      <c r="F3709" s="600" t="s">
        <v>5193</v>
      </c>
    </row>
    <row r="3710" spans="6:6">
      <c r="F3710" s="600" t="s">
        <v>5194</v>
      </c>
    </row>
    <row r="3711" spans="6:6">
      <c r="F3711" s="600" t="s">
        <v>5195</v>
      </c>
    </row>
    <row r="3712" spans="6:6">
      <c r="F3712" s="600" t="s">
        <v>5196</v>
      </c>
    </row>
    <row r="3713" spans="6:6">
      <c r="F3713" s="600" t="s">
        <v>5197</v>
      </c>
    </row>
    <row r="3714" spans="6:6">
      <c r="F3714" s="600" t="s">
        <v>5198</v>
      </c>
    </row>
    <row r="3715" spans="6:6">
      <c r="F3715" s="600" t="s">
        <v>5199</v>
      </c>
    </row>
    <row r="3716" spans="6:6">
      <c r="F3716" s="600" t="s">
        <v>5200</v>
      </c>
    </row>
    <row r="3717" spans="6:6">
      <c r="F3717" s="600" t="s">
        <v>5201</v>
      </c>
    </row>
    <row r="3718" spans="6:6">
      <c r="F3718" s="600" t="s">
        <v>5202</v>
      </c>
    </row>
    <row r="3719" spans="6:6">
      <c r="F3719" s="600" t="s">
        <v>5203</v>
      </c>
    </row>
    <row r="3720" spans="6:6">
      <c r="F3720" s="600" t="s">
        <v>5204</v>
      </c>
    </row>
    <row r="3721" spans="6:6">
      <c r="F3721" s="600" t="s">
        <v>5205</v>
      </c>
    </row>
    <row r="3722" spans="6:6">
      <c r="F3722" s="600" t="s">
        <v>5206</v>
      </c>
    </row>
    <row r="3723" spans="6:6">
      <c r="F3723" s="600" t="s">
        <v>5207</v>
      </c>
    </row>
    <row r="3724" spans="6:6">
      <c r="F3724" s="600" t="s">
        <v>5208</v>
      </c>
    </row>
    <row r="3725" spans="6:6">
      <c r="F3725" s="600" t="s">
        <v>5209</v>
      </c>
    </row>
    <row r="3726" spans="6:6">
      <c r="F3726" s="600" t="s">
        <v>5210</v>
      </c>
    </row>
    <row r="3727" spans="6:6">
      <c r="F3727" s="600" t="s">
        <v>5211</v>
      </c>
    </row>
    <row r="3728" spans="6:6">
      <c r="F3728" s="600" t="s">
        <v>5212</v>
      </c>
    </row>
    <row r="3729" spans="6:6">
      <c r="F3729" s="600" t="s">
        <v>5213</v>
      </c>
    </row>
    <row r="3730" spans="6:6">
      <c r="F3730" s="600" t="s">
        <v>5214</v>
      </c>
    </row>
    <row r="3731" spans="6:6">
      <c r="F3731" s="600" t="s">
        <v>5215</v>
      </c>
    </row>
    <row r="3732" spans="6:6">
      <c r="F3732" s="600" t="s">
        <v>5216</v>
      </c>
    </row>
    <row r="3733" spans="6:6">
      <c r="F3733" s="600" t="s">
        <v>5217</v>
      </c>
    </row>
    <row r="3734" spans="6:6">
      <c r="F3734" s="600" t="s">
        <v>5218</v>
      </c>
    </row>
    <row r="3735" spans="6:6">
      <c r="F3735" s="600" t="s">
        <v>5219</v>
      </c>
    </row>
    <row r="3736" spans="6:6">
      <c r="F3736" s="600" t="s">
        <v>5220</v>
      </c>
    </row>
    <row r="3737" spans="6:6">
      <c r="F3737" s="600" t="s">
        <v>5221</v>
      </c>
    </row>
    <row r="3738" spans="6:6">
      <c r="F3738" s="600" t="s">
        <v>5222</v>
      </c>
    </row>
    <row r="3739" spans="6:6">
      <c r="F3739" s="600" t="s">
        <v>5223</v>
      </c>
    </row>
    <row r="3740" spans="6:6">
      <c r="F3740" s="600" t="s">
        <v>5224</v>
      </c>
    </row>
    <row r="3741" spans="6:6">
      <c r="F3741" s="600" t="s">
        <v>5225</v>
      </c>
    </row>
    <row r="3742" spans="6:6">
      <c r="F3742" s="600" t="s">
        <v>5226</v>
      </c>
    </row>
    <row r="3743" spans="6:6">
      <c r="F3743" s="600" t="s">
        <v>5227</v>
      </c>
    </row>
    <row r="3744" spans="6:6">
      <c r="F3744" s="600" t="s">
        <v>5228</v>
      </c>
    </row>
    <row r="3745" spans="6:6">
      <c r="F3745" s="600" t="s">
        <v>5229</v>
      </c>
    </row>
    <row r="3746" spans="6:6">
      <c r="F3746" s="600" t="s">
        <v>5230</v>
      </c>
    </row>
    <row r="3747" spans="6:6">
      <c r="F3747" s="600" t="s">
        <v>5231</v>
      </c>
    </row>
    <row r="3748" spans="6:6">
      <c r="F3748" s="600" t="s">
        <v>5232</v>
      </c>
    </row>
    <row r="3749" spans="6:6">
      <c r="F3749" s="600" t="s">
        <v>5233</v>
      </c>
    </row>
    <row r="3750" spans="6:6">
      <c r="F3750" s="600" t="s">
        <v>5234</v>
      </c>
    </row>
    <row r="3751" spans="6:6">
      <c r="F3751" s="600" t="s">
        <v>5235</v>
      </c>
    </row>
    <row r="3752" spans="6:6">
      <c r="F3752" s="600" t="s">
        <v>5236</v>
      </c>
    </row>
    <row r="3753" spans="6:6">
      <c r="F3753" s="600" t="s">
        <v>5237</v>
      </c>
    </row>
    <row r="3754" spans="6:6">
      <c r="F3754" s="600" t="s">
        <v>5238</v>
      </c>
    </row>
    <row r="3755" spans="6:6">
      <c r="F3755" s="600" t="s">
        <v>5239</v>
      </c>
    </row>
    <row r="3756" spans="6:6">
      <c r="F3756" s="600" t="s">
        <v>5240</v>
      </c>
    </row>
    <row r="3757" spans="6:6">
      <c r="F3757" s="600" t="s">
        <v>5241</v>
      </c>
    </row>
    <row r="3758" spans="6:6">
      <c r="F3758" s="600" t="s">
        <v>5242</v>
      </c>
    </row>
    <row r="3759" spans="6:6">
      <c r="F3759" s="600" t="s">
        <v>5243</v>
      </c>
    </row>
    <row r="3760" spans="6:6">
      <c r="F3760" s="600" t="s">
        <v>5244</v>
      </c>
    </row>
    <row r="3761" spans="6:6">
      <c r="F3761" s="600" t="s">
        <v>5245</v>
      </c>
    </row>
    <row r="3762" spans="6:6">
      <c r="F3762" s="600" t="s">
        <v>5246</v>
      </c>
    </row>
    <row r="3763" spans="6:6">
      <c r="F3763" s="600" t="s">
        <v>5247</v>
      </c>
    </row>
    <row r="3764" spans="6:6">
      <c r="F3764" s="600" t="s">
        <v>5248</v>
      </c>
    </row>
    <row r="3765" spans="6:6">
      <c r="F3765" s="600" t="s">
        <v>5249</v>
      </c>
    </row>
    <row r="3766" spans="6:6">
      <c r="F3766" s="600" t="s">
        <v>5250</v>
      </c>
    </row>
    <row r="3767" spans="6:6">
      <c r="F3767" s="600" t="s">
        <v>5251</v>
      </c>
    </row>
    <row r="3768" spans="6:6">
      <c r="F3768" s="600" t="s">
        <v>5252</v>
      </c>
    </row>
    <row r="3769" spans="6:6">
      <c r="F3769" s="600" t="s">
        <v>5253</v>
      </c>
    </row>
    <row r="3770" spans="6:6">
      <c r="F3770" s="600" t="s">
        <v>5254</v>
      </c>
    </row>
    <row r="3771" spans="6:6">
      <c r="F3771" s="600" t="s">
        <v>5255</v>
      </c>
    </row>
    <row r="3772" spans="6:6">
      <c r="F3772" s="600" t="s">
        <v>5256</v>
      </c>
    </row>
    <row r="3773" spans="6:6">
      <c r="F3773" s="600" t="s">
        <v>5257</v>
      </c>
    </row>
    <row r="3774" spans="6:6">
      <c r="F3774" s="600" t="s">
        <v>5258</v>
      </c>
    </row>
    <row r="3775" spans="6:6">
      <c r="F3775" s="600" t="s">
        <v>5259</v>
      </c>
    </row>
    <row r="3776" spans="6:6">
      <c r="F3776" s="600" t="s">
        <v>5260</v>
      </c>
    </row>
    <row r="3777" spans="6:6">
      <c r="F3777" s="600" t="s">
        <v>5261</v>
      </c>
    </row>
    <row r="3778" spans="6:6">
      <c r="F3778" s="600" t="s">
        <v>5262</v>
      </c>
    </row>
    <row r="3779" spans="6:6">
      <c r="F3779" s="600" t="s">
        <v>5263</v>
      </c>
    </row>
    <row r="3780" spans="6:6">
      <c r="F3780" s="600" t="s">
        <v>5264</v>
      </c>
    </row>
    <row r="3781" spans="6:6">
      <c r="F3781" s="600" t="s">
        <v>5265</v>
      </c>
    </row>
    <row r="3782" spans="6:6">
      <c r="F3782" s="600" t="s">
        <v>5266</v>
      </c>
    </row>
    <row r="3783" spans="6:6">
      <c r="F3783" s="600" t="s">
        <v>5267</v>
      </c>
    </row>
    <row r="3784" spans="6:6">
      <c r="F3784" s="600" t="s">
        <v>5268</v>
      </c>
    </row>
    <row r="3785" spans="6:6">
      <c r="F3785" s="600" t="s">
        <v>5269</v>
      </c>
    </row>
    <row r="3786" spans="6:6">
      <c r="F3786" s="600" t="s">
        <v>5270</v>
      </c>
    </row>
    <row r="3787" spans="6:6">
      <c r="F3787" s="600" t="s">
        <v>5271</v>
      </c>
    </row>
    <row r="3788" spans="6:6">
      <c r="F3788" s="600" t="s">
        <v>5272</v>
      </c>
    </row>
    <row r="3789" spans="6:6">
      <c r="F3789" s="600" t="s">
        <v>5273</v>
      </c>
    </row>
    <row r="3790" spans="6:6">
      <c r="F3790" s="600" t="s">
        <v>5274</v>
      </c>
    </row>
    <row r="3791" spans="6:6">
      <c r="F3791" s="600" t="s">
        <v>5275</v>
      </c>
    </row>
    <row r="3792" spans="6:6">
      <c r="F3792" s="600" t="s">
        <v>5276</v>
      </c>
    </row>
    <row r="3793" spans="6:6">
      <c r="F3793" s="600" t="s">
        <v>5277</v>
      </c>
    </row>
    <row r="3794" spans="6:6">
      <c r="F3794" s="600" t="s">
        <v>5278</v>
      </c>
    </row>
    <row r="3795" spans="6:6">
      <c r="F3795" s="600" t="s">
        <v>5279</v>
      </c>
    </row>
    <row r="3796" spans="6:6">
      <c r="F3796" s="600" t="s">
        <v>5280</v>
      </c>
    </row>
    <row r="3797" spans="6:6">
      <c r="F3797" s="600" t="s">
        <v>5281</v>
      </c>
    </row>
    <row r="3798" spans="6:6">
      <c r="F3798" s="600" t="s">
        <v>5282</v>
      </c>
    </row>
    <row r="3799" spans="6:6">
      <c r="F3799" s="600" t="s">
        <v>5283</v>
      </c>
    </row>
    <row r="3800" spans="6:6">
      <c r="F3800" s="600" t="s">
        <v>5284</v>
      </c>
    </row>
    <row r="3801" spans="6:6">
      <c r="F3801" s="600" t="s">
        <v>5285</v>
      </c>
    </row>
    <row r="3802" spans="6:6">
      <c r="F3802" s="600" t="s">
        <v>5286</v>
      </c>
    </row>
    <row r="3803" spans="6:6">
      <c r="F3803" s="600" t="s">
        <v>5287</v>
      </c>
    </row>
    <row r="3804" spans="6:6">
      <c r="F3804" s="600" t="s">
        <v>5288</v>
      </c>
    </row>
    <row r="3805" spans="6:6">
      <c r="F3805" s="600" t="s">
        <v>5289</v>
      </c>
    </row>
    <row r="3806" spans="6:6">
      <c r="F3806" s="600" t="s">
        <v>5290</v>
      </c>
    </row>
    <row r="3807" spans="6:6">
      <c r="F3807" s="600" t="s">
        <v>5291</v>
      </c>
    </row>
    <row r="3808" spans="6:6">
      <c r="F3808" s="600" t="s">
        <v>5292</v>
      </c>
    </row>
    <row r="3809" spans="6:6">
      <c r="F3809" s="600" t="s">
        <v>5293</v>
      </c>
    </row>
    <row r="3810" spans="6:6">
      <c r="F3810" s="600" t="s">
        <v>5294</v>
      </c>
    </row>
    <row r="3811" spans="6:6">
      <c r="F3811" s="600" t="s">
        <v>5295</v>
      </c>
    </row>
    <row r="3812" spans="6:6">
      <c r="F3812" s="600" t="s">
        <v>5296</v>
      </c>
    </row>
    <row r="3813" spans="6:6">
      <c r="F3813" s="600" t="s">
        <v>5297</v>
      </c>
    </row>
    <row r="3814" spans="6:6">
      <c r="F3814" s="600" t="s">
        <v>5298</v>
      </c>
    </row>
    <row r="3815" spans="6:6">
      <c r="F3815" s="600" t="s">
        <v>5299</v>
      </c>
    </row>
    <row r="3816" spans="6:6">
      <c r="F3816" s="600" t="s">
        <v>5300</v>
      </c>
    </row>
    <row r="3817" spans="6:6">
      <c r="F3817" s="600" t="s">
        <v>5301</v>
      </c>
    </row>
    <row r="3818" spans="6:6">
      <c r="F3818" s="600" t="s">
        <v>5302</v>
      </c>
    </row>
    <row r="3819" spans="6:6">
      <c r="F3819" s="600" t="s">
        <v>5303</v>
      </c>
    </row>
    <row r="3820" spans="6:6">
      <c r="F3820" s="600" t="s">
        <v>5304</v>
      </c>
    </row>
    <row r="3821" spans="6:6">
      <c r="F3821" s="600" t="s">
        <v>5305</v>
      </c>
    </row>
    <row r="3822" spans="6:6">
      <c r="F3822" s="600" t="s">
        <v>5306</v>
      </c>
    </row>
    <row r="3823" spans="6:6">
      <c r="F3823" s="600" t="s">
        <v>5307</v>
      </c>
    </row>
    <row r="3824" spans="6:6">
      <c r="F3824" s="600" t="s">
        <v>5308</v>
      </c>
    </row>
    <row r="3825" spans="6:6">
      <c r="F3825" s="600" t="s">
        <v>5309</v>
      </c>
    </row>
    <row r="3826" spans="6:6">
      <c r="F3826" s="600" t="s">
        <v>5310</v>
      </c>
    </row>
    <row r="3827" spans="6:6">
      <c r="F3827" s="600" t="s">
        <v>5311</v>
      </c>
    </row>
    <row r="3828" spans="6:6">
      <c r="F3828" s="600" t="s">
        <v>5312</v>
      </c>
    </row>
    <row r="3829" spans="6:6">
      <c r="F3829" s="600" t="s">
        <v>5313</v>
      </c>
    </row>
    <row r="3830" spans="6:6">
      <c r="F3830" s="600" t="s">
        <v>5314</v>
      </c>
    </row>
    <row r="3831" spans="6:6">
      <c r="F3831" s="600" t="s">
        <v>5315</v>
      </c>
    </row>
    <row r="3832" spans="6:6">
      <c r="F3832" s="600" t="s">
        <v>5316</v>
      </c>
    </row>
    <row r="3833" spans="6:6">
      <c r="F3833" s="600" t="s">
        <v>5317</v>
      </c>
    </row>
    <row r="3834" spans="6:6">
      <c r="F3834" s="600" t="s">
        <v>5318</v>
      </c>
    </row>
    <row r="3835" spans="6:6">
      <c r="F3835" s="600" t="s">
        <v>5319</v>
      </c>
    </row>
    <row r="3836" spans="6:6">
      <c r="F3836" s="600" t="s">
        <v>5320</v>
      </c>
    </row>
    <row r="3837" spans="6:6">
      <c r="F3837" s="600" t="s">
        <v>5321</v>
      </c>
    </row>
    <row r="3838" spans="6:6">
      <c r="F3838" s="600" t="s">
        <v>5322</v>
      </c>
    </row>
    <row r="3839" spans="6:6">
      <c r="F3839" s="600" t="s">
        <v>5323</v>
      </c>
    </row>
    <row r="3840" spans="6:6">
      <c r="F3840" s="600" t="s">
        <v>5324</v>
      </c>
    </row>
    <row r="3841" spans="6:6">
      <c r="F3841" s="600" t="s">
        <v>5325</v>
      </c>
    </row>
    <row r="3842" spans="6:6">
      <c r="F3842" s="600" t="s">
        <v>5326</v>
      </c>
    </row>
    <row r="3843" spans="6:6">
      <c r="F3843" s="600" t="s">
        <v>5327</v>
      </c>
    </row>
    <row r="3844" spans="6:6">
      <c r="F3844" s="600" t="s">
        <v>5328</v>
      </c>
    </row>
    <row r="3845" spans="6:6">
      <c r="F3845" s="600" t="s">
        <v>5329</v>
      </c>
    </row>
    <row r="3846" spans="6:6">
      <c r="F3846" s="600" t="s">
        <v>5330</v>
      </c>
    </row>
    <row r="3847" spans="6:6">
      <c r="F3847" s="600" t="s">
        <v>5331</v>
      </c>
    </row>
    <row r="3848" spans="6:6">
      <c r="F3848" s="600" t="s">
        <v>5332</v>
      </c>
    </row>
    <row r="3849" spans="6:6">
      <c r="F3849" s="600" t="s">
        <v>5333</v>
      </c>
    </row>
    <row r="3850" spans="6:6">
      <c r="F3850" s="600" t="s">
        <v>5334</v>
      </c>
    </row>
    <row r="3851" spans="6:6">
      <c r="F3851" s="600" t="s">
        <v>5335</v>
      </c>
    </row>
    <row r="3852" spans="6:6">
      <c r="F3852" s="600" t="s">
        <v>5336</v>
      </c>
    </row>
    <row r="3853" spans="6:6">
      <c r="F3853" s="600" t="s">
        <v>5337</v>
      </c>
    </row>
    <row r="3854" spans="6:6">
      <c r="F3854" s="600" t="s">
        <v>5338</v>
      </c>
    </row>
    <row r="3855" spans="6:6">
      <c r="F3855" s="600" t="s">
        <v>5339</v>
      </c>
    </row>
    <row r="3856" spans="6:6">
      <c r="F3856" s="600" t="s">
        <v>5340</v>
      </c>
    </row>
    <row r="3857" spans="6:6">
      <c r="F3857" s="600" t="s">
        <v>5341</v>
      </c>
    </row>
    <row r="3858" spans="6:6">
      <c r="F3858" s="600" t="s">
        <v>5342</v>
      </c>
    </row>
    <row r="3859" spans="6:6">
      <c r="F3859" s="600" t="s">
        <v>5343</v>
      </c>
    </row>
    <row r="3860" spans="6:6">
      <c r="F3860" s="600" t="s">
        <v>5344</v>
      </c>
    </row>
    <row r="3861" spans="6:6">
      <c r="F3861" s="600" t="s">
        <v>5345</v>
      </c>
    </row>
    <row r="3862" spans="6:6">
      <c r="F3862" s="600" t="s">
        <v>5346</v>
      </c>
    </row>
    <row r="3863" spans="6:6">
      <c r="F3863" s="600" t="s">
        <v>5347</v>
      </c>
    </row>
    <row r="3864" spans="6:6">
      <c r="F3864" s="600" t="s">
        <v>5348</v>
      </c>
    </row>
    <row r="3865" spans="6:6">
      <c r="F3865" s="600" t="s">
        <v>5349</v>
      </c>
    </row>
    <row r="3866" spans="6:6">
      <c r="F3866" s="600" t="s">
        <v>5350</v>
      </c>
    </row>
    <row r="3867" spans="6:6">
      <c r="F3867" s="600" t="s">
        <v>5351</v>
      </c>
    </row>
    <row r="3868" spans="6:6">
      <c r="F3868" s="600" t="s">
        <v>5352</v>
      </c>
    </row>
    <row r="3869" spans="6:6">
      <c r="F3869" s="600" t="s">
        <v>5353</v>
      </c>
    </row>
    <row r="3870" spans="6:6">
      <c r="F3870" s="600" t="s">
        <v>5354</v>
      </c>
    </row>
    <row r="3871" spans="6:6">
      <c r="F3871" s="600" t="s">
        <v>5355</v>
      </c>
    </row>
    <row r="3872" spans="6:6">
      <c r="F3872" s="600" t="s">
        <v>5356</v>
      </c>
    </row>
    <row r="3873" spans="6:6">
      <c r="F3873" s="600" t="s">
        <v>5357</v>
      </c>
    </row>
    <row r="3874" spans="6:6">
      <c r="F3874" s="600" t="s">
        <v>5358</v>
      </c>
    </row>
    <row r="3875" spans="6:6">
      <c r="F3875" s="600" t="s">
        <v>5359</v>
      </c>
    </row>
    <row r="3876" spans="6:6">
      <c r="F3876" s="600" t="s">
        <v>5360</v>
      </c>
    </row>
    <row r="3877" spans="6:6">
      <c r="F3877" s="600" t="s">
        <v>5361</v>
      </c>
    </row>
    <row r="3878" spans="6:6">
      <c r="F3878" s="600" t="s">
        <v>5362</v>
      </c>
    </row>
    <row r="3879" spans="6:6">
      <c r="F3879" s="600" t="s">
        <v>5363</v>
      </c>
    </row>
    <row r="3880" spans="6:6">
      <c r="F3880" s="600" t="s">
        <v>5364</v>
      </c>
    </row>
    <row r="3881" spans="6:6">
      <c r="F3881" s="600" t="s">
        <v>5365</v>
      </c>
    </row>
    <row r="3882" spans="6:6">
      <c r="F3882" s="600" t="s">
        <v>5366</v>
      </c>
    </row>
    <row r="3883" spans="6:6">
      <c r="F3883" s="600" t="s">
        <v>5367</v>
      </c>
    </row>
    <row r="3884" spans="6:6">
      <c r="F3884" s="600" t="s">
        <v>5368</v>
      </c>
    </row>
    <row r="3885" spans="6:6">
      <c r="F3885" s="600" t="s">
        <v>5369</v>
      </c>
    </row>
    <row r="3886" spans="6:6">
      <c r="F3886" s="600" t="s">
        <v>5370</v>
      </c>
    </row>
    <row r="3887" spans="6:6">
      <c r="F3887" s="600" t="s">
        <v>5371</v>
      </c>
    </row>
    <row r="3888" spans="6:6">
      <c r="F3888" s="600" t="s">
        <v>5372</v>
      </c>
    </row>
    <row r="3889" spans="6:6">
      <c r="F3889" s="600" t="s">
        <v>5373</v>
      </c>
    </row>
    <row r="3890" spans="6:6">
      <c r="F3890" s="600" t="s">
        <v>5374</v>
      </c>
    </row>
    <row r="3891" spans="6:6">
      <c r="F3891" s="600" t="s">
        <v>5375</v>
      </c>
    </row>
    <row r="3892" spans="6:6">
      <c r="F3892" s="600" t="s">
        <v>5376</v>
      </c>
    </row>
    <row r="3893" spans="6:6">
      <c r="F3893" s="600" t="s">
        <v>5377</v>
      </c>
    </row>
    <row r="3894" spans="6:6">
      <c r="F3894" s="600" t="s">
        <v>5378</v>
      </c>
    </row>
    <row r="3895" spans="6:6">
      <c r="F3895" s="600" t="s">
        <v>5379</v>
      </c>
    </row>
    <row r="3896" spans="6:6">
      <c r="F3896" s="600" t="s">
        <v>5380</v>
      </c>
    </row>
    <row r="3897" spans="6:6">
      <c r="F3897" s="600" t="s">
        <v>5381</v>
      </c>
    </row>
    <row r="3898" spans="6:6">
      <c r="F3898" s="600" t="s">
        <v>5382</v>
      </c>
    </row>
    <row r="3899" spans="6:6">
      <c r="F3899" s="600" t="s">
        <v>5383</v>
      </c>
    </row>
    <row r="3900" spans="6:6">
      <c r="F3900" s="600" t="s">
        <v>5384</v>
      </c>
    </row>
    <row r="3901" spans="6:6">
      <c r="F3901" s="600" t="s">
        <v>5385</v>
      </c>
    </row>
    <row r="3902" spans="6:6">
      <c r="F3902" s="600" t="s">
        <v>5386</v>
      </c>
    </row>
    <row r="3903" spans="6:6">
      <c r="F3903" s="600" t="s">
        <v>5387</v>
      </c>
    </row>
    <row r="3904" spans="6:6">
      <c r="F3904" s="600" t="s">
        <v>5388</v>
      </c>
    </row>
    <row r="3905" spans="6:6">
      <c r="F3905" s="600" t="s">
        <v>5389</v>
      </c>
    </row>
    <row r="3906" spans="6:6">
      <c r="F3906" s="600" t="s">
        <v>5390</v>
      </c>
    </row>
    <row r="3907" spans="6:6">
      <c r="F3907" s="600" t="s">
        <v>5391</v>
      </c>
    </row>
    <row r="3908" spans="6:6">
      <c r="F3908" s="600" t="s">
        <v>5392</v>
      </c>
    </row>
    <row r="3909" spans="6:6">
      <c r="F3909" s="600" t="s">
        <v>5393</v>
      </c>
    </row>
    <row r="3910" spans="6:6">
      <c r="F3910" s="600" t="s">
        <v>5394</v>
      </c>
    </row>
    <row r="3911" spans="6:6">
      <c r="F3911" s="600" t="s">
        <v>5395</v>
      </c>
    </row>
    <row r="3912" spans="6:6">
      <c r="F3912" s="600" t="s">
        <v>5396</v>
      </c>
    </row>
    <row r="3913" spans="6:6">
      <c r="F3913" s="600" t="s">
        <v>5397</v>
      </c>
    </row>
    <row r="3914" spans="6:6">
      <c r="F3914" s="600" t="s">
        <v>5398</v>
      </c>
    </row>
    <row r="3915" spans="6:6">
      <c r="F3915" s="600" t="s">
        <v>5399</v>
      </c>
    </row>
    <row r="3916" spans="6:6">
      <c r="F3916" s="600" t="s">
        <v>5400</v>
      </c>
    </row>
    <row r="3917" spans="6:6">
      <c r="F3917" s="600" t="s">
        <v>5401</v>
      </c>
    </row>
    <row r="3918" spans="6:6">
      <c r="F3918" s="600" t="s">
        <v>5402</v>
      </c>
    </row>
    <row r="3919" spans="6:6">
      <c r="F3919" s="600" t="s">
        <v>5403</v>
      </c>
    </row>
    <row r="3920" spans="6:6">
      <c r="F3920" s="600" t="s">
        <v>5404</v>
      </c>
    </row>
    <row r="3921" spans="6:6">
      <c r="F3921" s="600" t="s">
        <v>5405</v>
      </c>
    </row>
    <row r="3922" spans="6:6">
      <c r="F3922" s="600" t="s">
        <v>5406</v>
      </c>
    </row>
    <row r="3923" spans="6:6">
      <c r="F3923" s="600" t="s">
        <v>5407</v>
      </c>
    </row>
    <row r="3924" spans="6:6">
      <c r="F3924" s="600" t="s">
        <v>5408</v>
      </c>
    </row>
    <row r="3925" spans="6:6">
      <c r="F3925" s="600" t="s">
        <v>5409</v>
      </c>
    </row>
    <row r="3926" spans="6:6">
      <c r="F3926" s="600" t="s">
        <v>5410</v>
      </c>
    </row>
    <row r="3927" spans="6:6">
      <c r="F3927" s="600" t="s">
        <v>5411</v>
      </c>
    </row>
    <row r="3928" spans="6:6">
      <c r="F3928" s="600" t="s">
        <v>5412</v>
      </c>
    </row>
    <row r="3929" spans="6:6">
      <c r="F3929" s="600" t="s">
        <v>5413</v>
      </c>
    </row>
    <row r="3930" spans="6:6">
      <c r="F3930" s="600" t="s">
        <v>5414</v>
      </c>
    </row>
    <row r="3931" spans="6:6">
      <c r="F3931" s="600" t="s">
        <v>5415</v>
      </c>
    </row>
    <row r="3932" spans="6:6">
      <c r="F3932" s="600" t="s">
        <v>5416</v>
      </c>
    </row>
    <row r="3933" spans="6:6">
      <c r="F3933" s="600" t="s">
        <v>5417</v>
      </c>
    </row>
    <row r="3934" spans="6:6">
      <c r="F3934" s="600" t="s">
        <v>5418</v>
      </c>
    </row>
    <row r="3935" spans="6:6">
      <c r="F3935" s="600" t="s">
        <v>5419</v>
      </c>
    </row>
    <row r="3936" spans="6:6">
      <c r="F3936" s="600" t="s">
        <v>5420</v>
      </c>
    </row>
    <row r="3937" spans="6:6">
      <c r="F3937" s="600" t="s">
        <v>5421</v>
      </c>
    </row>
    <row r="3938" spans="6:6">
      <c r="F3938" s="600" t="s">
        <v>5422</v>
      </c>
    </row>
    <row r="3939" spans="6:6">
      <c r="F3939" s="600" t="s">
        <v>5423</v>
      </c>
    </row>
    <row r="3940" spans="6:6">
      <c r="F3940" s="600" t="s">
        <v>5424</v>
      </c>
    </row>
    <row r="3941" spans="6:6">
      <c r="F3941" s="600" t="s">
        <v>5425</v>
      </c>
    </row>
    <row r="3942" spans="6:6">
      <c r="F3942" s="600" t="s">
        <v>5426</v>
      </c>
    </row>
    <row r="3943" spans="6:6">
      <c r="F3943" s="600" t="s">
        <v>5427</v>
      </c>
    </row>
    <row r="3944" spans="6:6">
      <c r="F3944" s="600" t="s">
        <v>5428</v>
      </c>
    </row>
    <row r="3945" spans="6:6">
      <c r="F3945" s="600" t="s">
        <v>5429</v>
      </c>
    </row>
    <row r="3946" spans="6:6">
      <c r="F3946" s="600" t="s">
        <v>5430</v>
      </c>
    </row>
    <row r="3947" spans="6:6">
      <c r="F3947" s="600" t="s">
        <v>5431</v>
      </c>
    </row>
    <row r="3948" spans="6:6">
      <c r="F3948" s="600" t="s">
        <v>5432</v>
      </c>
    </row>
    <row r="3949" spans="6:6">
      <c r="F3949" s="600" t="s">
        <v>5433</v>
      </c>
    </row>
    <row r="3950" spans="6:6">
      <c r="F3950" s="600" t="s">
        <v>5434</v>
      </c>
    </row>
    <row r="3951" spans="6:6">
      <c r="F3951" s="600" t="s">
        <v>5435</v>
      </c>
    </row>
    <row r="3952" spans="6:6">
      <c r="F3952" s="600" t="s">
        <v>5436</v>
      </c>
    </row>
    <row r="3953" spans="6:6">
      <c r="F3953" s="600" t="s">
        <v>5437</v>
      </c>
    </row>
    <row r="3954" spans="6:6">
      <c r="F3954" s="600" t="s">
        <v>5438</v>
      </c>
    </row>
    <row r="3955" spans="6:6">
      <c r="F3955" s="600" t="s">
        <v>5439</v>
      </c>
    </row>
    <row r="3956" spans="6:6">
      <c r="F3956" s="600" t="s">
        <v>5440</v>
      </c>
    </row>
    <row r="3957" spans="6:6">
      <c r="F3957" s="600" t="s">
        <v>5441</v>
      </c>
    </row>
    <row r="3958" spans="6:6">
      <c r="F3958" s="600" t="s">
        <v>5442</v>
      </c>
    </row>
    <row r="3959" spans="6:6">
      <c r="F3959" s="600" t="s">
        <v>5443</v>
      </c>
    </row>
    <row r="3960" spans="6:6">
      <c r="F3960" s="600" t="s">
        <v>5444</v>
      </c>
    </row>
    <row r="3961" spans="6:6">
      <c r="F3961" s="600" t="s">
        <v>5445</v>
      </c>
    </row>
    <row r="3962" spans="6:6">
      <c r="F3962" s="600" t="s">
        <v>5446</v>
      </c>
    </row>
    <row r="3963" spans="6:6">
      <c r="F3963" s="600" t="s">
        <v>5447</v>
      </c>
    </row>
    <row r="3964" spans="6:6">
      <c r="F3964" s="600" t="s">
        <v>5448</v>
      </c>
    </row>
    <row r="3965" spans="6:6">
      <c r="F3965" s="600" t="s">
        <v>5449</v>
      </c>
    </row>
    <row r="3966" spans="6:6">
      <c r="F3966" s="600" t="s">
        <v>5450</v>
      </c>
    </row>
    <row r="3967" spans="6:6">
      <c r="F3967" s="600" t="s">
        <v>5451</v>
      </c>
    </row>
    <row r="3968" spans="6:6">
      <c r="F3968" s="600" t="s">
        <v>5452</v>
      </c>
    </row>
    <row r="3969" spans="6:6">
      <c r="F3969" s="600" t="s">
        <v>5453</v>
      </c>
    </row>
    <row r="3970" spans="6:6">
      <c r="F3970" s="600" t="s">
        <v>5454</v>
      </c>
    </row>
    <row r="3971" spans="6:6">
      <c r="F3971" s="600" t="s">
        <v>5455</v>
      </c>
    </row>
    <row r="3972" spans="6:6">
      <c r="F3972" s="600" t="s">
        <v>5456</v>
      </c>
    </row>
    <row r="3973" spans="6:6">
      <c r="F3973" s="600" t="s">
        <v>5457</v>
      </c>
    </row>
    <row r="3974" spans="6:6">
      <c r="F3974" s="600" t="s">
        <v>5458</v>
      </c>
    </row>
    <row r="3975" spans="6:6">
      <c r="F3975" s="600" t="s">
        <v>5459</v>
      </c>
    </row>
    <row r="3976" spans="6:6">
      <c r="F3976" s="600" t="s">
        <v>5460</v>
      </c>
    </row>
    <row r="3977" spans="6:6">
      <c r="F3977" s="600" t="s">
        <v>5461</v>
      </c>
    </row>
    <row r="3978" spans="6:6">
      <c r="F3978" s="600" t="s">
        <v>5462</v>
      </c>
    </row>
    <row r="3979" spans="6:6">
      <c r="F3979" s="600" t="s">
        <v>5463</v>
      </c>
    </row>
    <row r="3980" spans="6:6">
      <c r="F3980" s="600" t="s">
        <v>5464</v>
      </c>
    </row>
    <row r="3981" spans="6:6">
      <c r="F3981" s="600" t="s">
        <v>5465</v>
      </c>
    </row>
    <row r="3982" spans="6:6">
      <c r="F3982" s="600" t="s">
        <v>5466</v>
      </c>
    </row>
    <row r="3983" spans="6:6">
      <c r="F3983" s="600" t="s">
        <v>5467</v>
      </c>
    </row>
    <row r="3984" spans="6:6">
      <c r="F3984" s="600" t="s">
        <v>5468</v>
      </c>
    </row>
    <row r="3985" spans="6:6">
      <c r="F3985" s="600" t="s">
        <v>5469</v>
      </c>
    </row>
    <row r="3986" spans="6:6">
      <c r="F3986" s="600" t="s">
        <v>5470</v>
      </c>
    </row>
    <row r="3987" spans="6:6">
      <c r="F3987" s="600" t="s">
        <v>5471</v>
      </c>
    </row>
    <row r="3988" spans="6:6">
      <c r="F3988" s="600" t="s">
        <v>5472</v>
      </c>
    </row>
    <row r="3989" spans="6:6">
      <c r="F3989" s="600" t="s">
        <v>5473</v>
      </c>
    </row>
    <row r="3990" spans="6:6">
      <c r="F3990" s="600" t="s">
        <v>5474</v>
      </c>
    </row>
    <row r="3991" spans="6:6">
      <c r="F3991" s="600" t="s">
        <v>5475</v>
      </c>
    </row>
    <row r="3992" spans="6:6">
      <c r="F3992" s="600" t="s">
        <v>5476</v>
      </c>
    </row>
    <row r="3993" spans="6:6">
      <c r="F3993" s="600" t="s">
        <v>5477</v>
      </c>
    </row>
    <row r="3994" spans="6:6">
      <c r="F3994" s="600" t="s">
        <v>5478</v>
      </c>
    </row>
    <row r="3995" spans="6:6">
      <c r="F3995" s="600" t="s">
        <v>5479</v>
      </c>
    </row>
    <row r="3996" spans="6:6">
      <c r="F3996" s="600" t="s">
        <v>5480</v>
      </c>
    </row>
    <row r="3997" spans="6:6">
      <c r="F3997" s="600" t="s">
        <v>5481</v>
      </c>
    </row>
    <row r="3998" spans="6:6">
      <c r="F3998" s="600" t="s">
        <v>5482</v>
      </c>
    </row>
    <row r="3999" spans="6:6">
      <c r="F3999" s="600" t="s">
        <v>5483</v>
      </c>
    </row>
    <row r="4000" spans="6:6">
      <c r="F4000" s="600" t="s">
        <v>5484</v>
      </c>
    </row>
    <row r="4001" spans="6:6">
      <c r="F4001" s="600" t="s">
        <v>5485</v>
      </c>
    </row>
    <row r="4002" spans="6:6">
      <c r="F4002" s="600" t="s">
        <v>5486</v>
      </c>
    </row>
    <row r="4003" spans="6:6">
      <c r="F4003" s="600" t="s">
        <v>5487</v>
      </c>
    </row>
    <row r="4004" spans="6:6">
      <c r="F4004" s="600" t="s">
        <v>5488</v>
      </c>
    </row>
    <row r="4005" spans="6:6">
      <c r="F4005" s="600" t="s">
        <v>5489</v>
      </c>
    </row>
    <row r="4006" spans="6:6">
      <c r="F4006" s="600" t="s">
        <v>5490</v>
      </c>
    </row>
    <row r="4007" spans="6:6">
      <c r="F4007" s="600" t="s">
        <v>5491</v>
      </c>
    </row>
    <row r="4008" spans="6:6">
      <c r="F4008" s="600" t="s">
        <v>5492</v>
      </c>
    </row>
    <row r="4009" spans="6:6">
      <c r="F4009" s="600" t="s">
        <v>5493</v>
      </c>
    </row>
    <row r="4010" spans="6:6">
      <c r="F4010" s="600" t="s">
        <v>5494</v>
      </c>
    </row>
    <row r="4011" spans="6:6">
      <c r="F4011" s="600" t="s">
        <v>5495</v>
      </c>
    </row>
    <row r="4012" spans="6:6">
      <c r="F4012" s="600" t="s">
        <v>5496</v>
      </c>
    </row>
    <row r="4013" spans="6:6">
      <c r="F4013" s="600" t="s">
        <v>5497</v>
      </c>
    </row>
    <row r="4014" spans="6:6">
      <c r="F4014" s="600" t="s">
        <v>5498</v>
      </c>
    </row>
    <row r="4015" spans="6:6">
      <c r="F4015" s="600" t="s">
        <v>5499</v>
      </c>
    </row>
    <row r="4016" spans="6:6">
      <c r="F4016" s="600" t="s">
        <v>5500</v>
      </c>
    </row>
    <row r="4017" spans="6:6">
      <c r="F4017" s="600" t="s">
        <v>5501</v>
      </c>
    </row>
    <row r="4018" spans="6:6">
      <c r="F4018" s="600" t="s">
        <v>5502</v>
      </c>
    </row>
    <row r="4019" spans="6:6">
      <c r="F4019" s="600" t="s">
        <v>5503</v>
      </c>
    </row>
    <row r="4020" spans="6:6">
      <c r="F4020" s="600" t="s">
        <v>5504</v>
      </c>
    </row>
    <row r="4021" spans="6:6">
      <c r="F4021" s="600" t="s">
        <v>5505</v>
      </c>
    </row>
    <row r="4022" spans="6:6">
      <c r="F4022" s="600" t="s">
        <v>5506</v>
      </c>
    </row>
    <row r="4023" spans="6:6">
      <c r="F4023" s="600" t="s">
        <v>5507</v>
      </c>
    </row>
    <row r="4024" spans="6:6">
      <c r="F4024" s="600" t="s">
        <v>5508</v>
      </c>
    </row>
    <row r="4025" spans="6:6">
      <c r="F4025" s="600" t="s">
        <v>5509</v>
      </c>
    </row>
    <row r="4026" spans="6:6">
      <c r="F4026" s="600" t="s">
        <v>5510</v>
      </c>
    </row>
    <row r="4027" spans="6:6">
      <c r="F4027" s="600" t="s">
        <v>5511</v>
      </c>
    </row>
    <row r="4028" spans="6:6">
      <c r="F4028" s="600" t="s">
        <v>5512</v>
      </c>
    </row>
    <row r="4029" spans="6:6">
      <c r="F4029" s="600" t="s">
        <v>5513</v>
      </c>
    </row>
    <row r="4030" spans="6:6">
      <c r="F4030" s="600" t="s">
        <v>5514</v>
      </c>
    </row>
    <row r="4031" spans="6:6">
      <c r="F4031" s="600" t="s">
        <v>5515</v>
      </c>
    </row>
    <row r="4032" spans="6:6">
      <c r="F4032" s="600" t="s">
        <v>5516</v>
      </c>
    </row>
    <row r="4033" spans="6:6">
      <c r="F4033" s="600" t="s">
        <v>5517</v>
      </c>
    </row>
    <row r="4034" spans="6:6">
      <c r="F4034" s="600" t="s">
        <v>5518</v>
      </c>
    </row>
    <row r="4035" spans="6:6">
      <c r="F4035" s="600" t="s">
        <v>5519</v>
      </c>
    </row>
    <row r="4036" spans="6:6">
      <c r="F4036" s="600" t="s">
        <v>5520</v>
      </c>
    </row>
    <row r="4037" spans="6:6">
      <c r="F4037" s="600" t="s">
        <v>5521</v>
      </c>
    </row>
    <row r="4038" spans="6:6">
      <c r="F4038" s="600" t="s">
        <v>5522</v>
      </c>
    </row>
    <row r="4039" spans="6:6">
      <c r="F4039" s="600" t="s">
        <v>5523</v>
      </c>
    </row>
    <row r="4040" spans="6:6">
      <c r="F4040" s="600" t="s">
        <v>5524</v>
      </c>
    </row>
    <row r="4041" spans="6:6">
      <c r="F4041" s="600" t="s">
        <v>5525</v>
      </c>
    </row>
    <row r="4042" spans="6:6">
      <c r="F4042" s="600" t="s">
        <v>5526</v>
      </c>
    </row>
    <row r="4043" spans="6:6">
      <c r="F4043" s="600" t="s">
        <v>5527</v>
      </c>
    </row>
    <row r="4044" spans="6:6">
      <c r="F4044" s="600" t="s">
        <v>5528</v>
      </c>
    </row>
    <row r="4045" spans="6:6">
      <c r="F4045" s="600" t="s">
        <v>5529</v>
      </c>
    </row>
    <row r="4046" spans="6:6">
      <c r="F4046" s="600" t="s">
        <v>5530</v>
      </c>
    </row>
    <row r="4047" spans="6:6">
      <c r="F4047" s="600" t="s">
        <v>5531</v>
      </c>
    </row>
    <row r="4048" spans="6:6">
      <c r="F4048" s="600" t="s">
        <v>5532</v>
      </c>
    </row>
    <row r="4049" spans="6:6">
      <c r="F4049" s="600" t="s">
        <v>5533</v>
      </c>
    </row>
    <row r="4050" spans="6:6">
      <c r="F4050" s="600" t="s">
        <v>5534</v>
      </c>
    </row>
    <row r="4051" spans="6:6">
      <c r="F4051" s="600" t="s">
        <v>5535</v>
      </c>
    </row>
    <row r="4052" spans="6:6">
      <c r="F4052" s="600" t="s">
        <v>5536</v>
      </c>
    </row>
    <row r="4053" spans="6:6">
      <c r="F4053" s="600" t="s">
        <v>5537</v>
      </c>
    </row>
    <row r="4054" spans="6:6">
      <c r="F4054" s="600" t="s">
        <v>5538</v>
      </c>
    </row>
    <row r="4055" spans="6:6">
      <c r="F4055" s="600" t="s">
        <v>5539</v>
      </c>
    </row>
    <row r="4056" spans="6:6">
      <c r="F4056" s="600" t="s">
        <v>5540</v>
      </c>
    </row>
    <row r="4057" spans="6:6">
      <c r="F4057" s="600" t="s">
        <v>5541</v>
      </c>
    </row>
    <row r="4058" spans="6:6">
      <c r="F4058" s="600" t="s">
        <v>5542</v>
      </c>
    </row>
    <row r="4059" spans="6:6">
      <c r="F4059" s="600" t="s">
        <v>5543</v>
      </c>
    </row>
    <row r="4060" spans="6:6">
      <c r="F4060" s="600" t="s">
        <v>5544</v>
      </c>
    </row>
    <row r="4061" spans="6:6">
      <c r="F4061" s="600" t="s">
        <v>5545</v>
      </c>
    </row>
    <row r="4062" spans="6:6">
      <c r="F4062" s="600" t="s">
        <v>5546</v>
      </c>
    </row>
    <row r="4063" spans="6:6">
      <c r="F4063" s="600" t="s">
        <v>5547</v>
      </c>
    </row>
    <row r="4064" spans="6:6">
      <c r="F4064" s="600" t="s">
        <v>5548</v>
      </c>
    </row>
    <row r="4065" spans="6:6">
      <c r="F4065" s="600" t="s">
        <v>5549</v>
      </c>
    </row>
    <row r="4066" spans="6:6">
      <c r="F4066" s="600" t="s">
        <v>5550</v>
      </c>
    </row>
    <row r="4067" spans="6:6">
      <c r="F4067" s="600" t="s">
        <v>5551</v>
      </c>
    </row>
    <row r="4068" spans="6:6">
      <c r="F4068" s="600" t="s">
        <v>5552</v>
      </c>
    </row>
    <row r="4069" spans="6:6">
      <c r="F4069" s="600" t="s">
        <v>5553</v>
      </c>
    </row>
    <row r="4070" spans="6:6">
      <c r="F4070" s="600" t="s">
        <v>5554</v>
      </c>
    </row>
    <row r="4071" spans="6:6">
      <c r="F4071" s="600" t="s">
        <v>5555</v>
      </c>
    </row>
    <row r="4072" spans="6:6">
      <c r="F4072" s="600" t="s">
        <v>5556</v>
      </c>
    </row>
    <row r="4073" spans="6:6">
      <c r="F4073" s="600" t="s">
        <v>5557</v>
      </c>
    </row>
    <row r="4074" spans="6:6">
      <c r="F4074" s="600" t="s">
        <v>5558</v>
      </c>
    </row>
    <row r="4075" spans="6:6">
      <c r="F4075" s="600" t="s">
        <v>5559</v>
      </c>
    </row>
    <row r="4076" spans="6:6">
      <c r="F4076" s="600" t="s">
        <v>5560</v>
      </c>
    </row>
    <row r="4077" spans="6:6">
      <c r="F4077" s="600" t="s">
        <v>5561</v>
      </c>
    </row>
    <row r="4078" spans="6:6">
      <c r="F4078" s="600" t="s">
        <v>5562</v>
      </c>
    </row>
    <row r="4079" spans="6:6">
      <c r="F4079" s="600" t="s">
        <v>5563</v>
      </c>
    </row>
    <row r="4080" spans="6:6">
      <c r="F4080" s="600" t="s">
        <v>5564</v>
      </c>
    </row>
    <row r="4081" spans="6:6">
      <c r="F4081" s="600" t="s">
        <v>5565</v>
      </c>
    </row>
    <row r="4082" spans="6:6">
      <c r="F4082" s="600" t="s">
        <v>5566</v>
      </c>
    </row>
    <row r="4083" spans="6:6">
      <c r="F4083" s="600" t="s">
        <v>5567</v>
      </c>
    </row>
    <row r="4084" spans="6:6">
      <c r="F4084" s="600" t="s">
        <v>5568</v>
      </c>
    </row>
    <row r="4085" spans="6:6">
      <c r="F4085" s="600" t="s">
        <v>5569</v>
      </c>
    </row>
    <row r="4086" spans="6:6">
      <c r="F4086" s="600" t="s">
        <v>5570</v>
      </c>
    </row>
    <row r="4087" spans="6:6">
      <c r="F4087" s="600" t="s">
        <v>5571</v>
      </c>
    </row>
    <row r="4088" spans="6:6">
      <c r="F4088" s="600" t="s">
        <v>5572</v>
      </c>
    </row>
    <row r="4089" spans="6:6">
      <c r="F4089" s="600" t="s">
        <v>5573</v>
      </c>
    </row>
    <row r="4090" spans="6:6">
      <c r="F4090" s="600" t="s">
        <v>5574</v>
      </c>
    </row>
    <row r="4091" spans="6:6">
      <c r="F4091" s="600" t="s">
        <v>5575</v>
      </c>
    </row>
    <row r="4092" spans="6:6">
      <c r="F4092" s="600" t="s">
        <v>5576</v>
      </c>
    </row>
    <row r="4093" spans="6:6">
      <c r="F4093" s="600" t="s">
        <v>5577</v>
      </c>
    </row>
    <row r="4094" spans="6:6">
      <c r="F4094" s="600" t="s">
        <v>5578</v>
      </c>
    </row>
    <row r="4095" spans="6:6">
      <c r="F4095" s="600" t="s">
        <v>5579</v>
      </c>
    </row>
    <row r="4096" spans="6:6">
      <c r="F4096" s="600" t="s">
        <v>5580</v>
      </c>
    </row>
    <row r="4097" spans="6:6">
      <c r="F4097" s="600" t="s">
        <v>5581</v>
      </c>
    </row>
    <row r="4098" spans="6:6">
      <c r="F4098" s="600" t="s">
        <v>5582</v>
      </c>
    </row>
    <row r="4099" spans="6:6">
      <c r="F4099" s="600" t="s">
        <v>5583</v>
      </c>
    </row>
    <row r="4100" spans="6:6">
      <c r="F4100" s="600" t="s">
        <v>5584</v>
      </c>
    </row>
    <row r="4101" spans="6:6">
      <c r="F4101" s="600" t="s">
        <v>5585</v>
      </c>
    </row>
    <row r="4102" spans="6:6">
      <c r="F4102" s="600" t="s">
        <v>5586</v>
      </c>
    </row>
    <row r="4103" spans="6:6">
      <c r="F4103" s="600" t="s">
        <v>5587</v>
      </c>
    </row>
    <row r="4104" spans="6:6">
      <c r="F4104" s="600" t="s">
        <v>5588</v>
      </c>
    </row>
    <row r="4105" spans="6:6">
      <c r="F4105" s="600" t="s">
        <v>5589</v>
      </c>
    </row>
    <row r="4106" spans="6:6">
      <c r="F4106" s="600" t="s">
        <v>5590</v>
      </c>
    </row>
    <row r="4107" spans="6:6">
      <c r="F4107" s="600" t="s">
        <v>5591</v>
      </c>
    </row>
    <row r="4108" spans="6:6">
      <c r="F4108" s="600" t="s">
        <v>5592</v>
      </c>
    </row>
    <row r="4109" spans="6:6">
      <c r="F4109" s="600" t="s">
        <v>5593</v>
      </c>
    </row>
    <row r="4110" spans="6:6">
      <c r="F4110" s="600" t="s">
        <v>5594</v>
      </c>
    </row>
    <row r="4111" spans="6:6">
      <c r="F4111" s="600" t="s">
        <v>5595</v>
      </c>
    </row>
    <row r="4112" spans="6:6">
      <c r="F4112" s="600" t="s">
        <v>5596</v>
      </c>
    </row>
    <row r="4113" spans="6:6">
      <c r="F4113" s="600" t="s">
        <v>5597</v>
      </c>
    </row>
    <row r="4114" spans="6:6">
      <c r="F4114" s="600" t="s">
        <v>5598</v>
      </c>
    </row>
    <row r="4115" spans="6:6">
      <c r="F4115" s="600" t="s">
        <v>5599</v>
      </c>
    </row>
    <row r="4116" spans="6:6">
      <c r="F4116" s="600" t="s">
        <v>5600</v>
      </c>
    </row>
    <row r="4117" spans="6:6">
      <c r="F4117" s="600" t="s">
        <v>5601</v>
      </c>
    </row>
    <row r="4118" spans="6:6">
      <c r="F4118" s="600" t="s">
        <v>5602</v>
      </c>
    </row>
    <row r="4119" spans="6:6">
      <c r="F4119" s="600" t="s">
        <v>5603</v>
      </c>
    </row>
    <row r="4120" spans="6:6">
      <c r="F4120" s="600" t="s">
        <v>5604</v>
      </c>
    </row>
    <row r="4121" spans="6:6">
      <c r="F4121" s="600" t="s">
        <v>5605</v>
      </c>
    </row>
    <row r="4122" spans="6:6">
      <c r="F4122" s="600" t="s">
        <v>5606</v>
      </c>
    </row>
    <row r="4123" spans="6:6">
      <c r="F4123" s="600" t="s">
        <v>5607</v>
      </c>
    </row>
    <row r="4124" spans="6:6">
      <c r="F4124" s="600" t="s">
        <v>5608</v>
      </c>
    </row>
    <row r="4125" spans="6:6">
      <c r="F4125" s="600" t="s">
        <v>5609</v>
      </c>
    </row>
    <row r="4126" spans="6:6">
      <c r="F4126" s="600" t="s">
        <v>5610</v>
      </c>
    </row>
    <row r="4127" spans="6:6">
      <c r="F4127" s="600" t="s">
        <v>5611</v>
      </c>
    </row>
    <row r="4128" spans="6:6">
      <c r="F4128" s="600" t="s">
        <v>5612</v>
      </c>
    </row>
    <row r="4129" spans="6:6">
      <c r="F4129" s="600" t="s">
        <v>5613</v>
      </c>
    </row>
    <row r="4130" spans="6:6">
      <c r="F4130" s="600" t="s">
        <v>5614</v>
      </c>
    </row>
    <row r="4131" spans="6:6">
      <c r="F4131" s="600" t="s">
        <v>5615</v>
      </c>
    </row>
    <row r="4132" spans="6:6">
      <c r="F4132" s="600" t="s">
        <v>5616</v>
      </c>
    </row>
    <row r="4133" spans="6:6">
      <c r="F4133" s="600" t="s">
        <v>5617</v>
      </c>
    </row>
    <row r="4134" spans="6:6">
      <c r="F4134" s="600" t="s">
        <v>5618</v>
      </c>
    </row>
    <row r="4135" spans="6:6">
      <c r="F4135" s="600" t="s">
        <v>5619</v>
      </c>
    </row>
    <row r="4136" spans="6:6">
      <c r="F4136" s="600" t="s">
        <v>5620</v>
      </c>
    </row>
    <row r="4137" spans="6:6">
      <c r="F4137" s="600" t="s">
        <v>5621</v>
      </c>
    </row>
    <row r="4138" spans="6:6">
      <c r="F4138" s="600" t="s">
        <v>5622</v>
      </c>
    </row>
    <row r="4139" spans="6:6">
      <c r="F4139" s="600" t="s">
        <v>5623</v>
      </c>
    </row>
    <row r="4140" spans="6:6">
      <c r="F4140" s="600" t="s">
        <v>5624</v>
      </c>
    </row>
    <row r="4141" spans="6:6">
      <c r="F4141" s="600" t="s">
        <v>5625</v>
      </c>
    </row>
    <row r="4142" spans="6:6">
      <c r="F4142" s="600" t="s">
        <v>5626</v>
      </c>
    </row>
    <row r="4143" spans="6:6">
      <c r="F4143" s="600" t="s">
        <v>5627</v>
      </c>
    </row>
    <row r="4144" spans="6:6">
      <c r="F4144" s="600" t="s">
        <v>5628</v>
      </c>
    </row>
    <row r="4145" spans="6:6">
      <c r="F4145" s="600" t="s">
        <v>5629</v>
      </c>
    </row>
    <row r="4146" spans="6:6">
      <c r="F4146" s="600" t="s">
        <v>5630</v>
      </c>
    </row>
    <row r="4147" spans="6:6">
      <c r="F4147" s="600" t="s">
        <v>5631</v>
      </c>
    </row>
    <row r="4148" spans="6:6">
      <c r="F4148" s="600" t="s">
        <v>5632</v>
      </c>
    </row>
    <row r="4149" spans="6:6">
      <c r="F4149" s="600" t="s">
        <v>5633</v>
      </c>
    </row>
    <row r="4150" spans="6:6">
      <c r="F4150" s="600" t="s">
        <v>5634</v>
      </c>
    </row>
    <row r="4151" spans="6:6">
      <c r="F4151" s="600" t="s">
        <v>5635</v>
      </c>
    </row>
    <row r="4152" spans="6:6">
      <c r="F4152" s="600" t="s">
        <v>5636</v>
      </c>
    </row>
    <row r="4153" spans="6:6">
      <c r="F4153" s="600" t="s">
        <v>5637</v>
      </c>
    </row>
    <row r="4154" spans="6:6">
      <c r="F4154" s="600" t="s">
        <v>5638</v>
      </c>
    </row>
    <row r="4155" spans="6:6">
      <c r="F4155" s="600" t="s">
        <v>5639</v>
      </c>
    </row>
    <row r="4156" spans="6:6">
      <c r="F4156" s="600" t="s">
        <v>5640</v>
      </c>
    </row>
    <row r="4157" spans="6:6">
      <c r="F4157" s="600" t="s">
        <v>5641</v>
      </c>
    </row>
    <row r="4158" spans="6:6">
      <c r="F4158" s="600" t="s">
        <v>5642</v>
      </c>
    </row>
    <row r="4159" spans="6:6">
      <c r="F4159" s="600" t="s">
        <v>5643</v>
      </c>
    </row>
    <row r="4160" spans="6:6">
      <c r="F4160" s="600" t="s">
        <v>5644</v>
      </c>
    </row>
    <row r="4161" spans="6:6">
      <c r="F4161" s="600" t="s">
        <v>5645</v>
      </c>
    </row>
    <row r="4162" spans="6:6">
      <c r="F4162" s="600" t="s">
        <v>5646</v>
      </c>
    </row>
    <row r="4163" spans="6:6">
      <c r="F4163" s="600" t="s">
        <v>5647</v>
      </c>
    </row>
    <row r="4164" spans="6:6">
      <c r="F4164" s="600" t="s">
        <v>5648</v>
      </c>
    </row>
    <row r="4165" spans="6:6">
      <c r="F4165" s="600" t="s">
        <v>5649</v>
      </c>
    </row>
    <row r="4166" spans="6:6">
      <c r="F4166" s="600" t="s">
        <v>5650</v>
      </c>
    </row>
    <row r="4167" spans="6:6">
      <c r="F4167" s="600" t="s">
        <v>5651</v>
      </c>
    </row>
    <row r="4168" spans="6:6">
      <c r="F4168" s="600" t="s">
        <v>5652</v>
      </c>
    </row>
    <row r="4169" spans="6:6">
      <c r="F4169" s="600" t="s">
        <v>5653</v>
      </c>
    </row>
    <row r="4170" spans="6:6">
      <c r="F4170" s="600" t="s">
        <v>5654</v>
      </c>
    </row>
    <row r="4171" spans="6:6">
      <c r="F4171" s="600" t="s">
        <v>5655</v>
      </c>
    </row>
    <row r="4172" spans="6:6">
      <c r="F4172" s="600" t="s">
        <v>5656</v>
      </c>
    </row>
    <row r="4173" spans="6:6">
      <c r="F4173" s="600" t="s">
        <v>5657</v>
      </c>
    </row>
    <row r="4174" spans="6:6">
      <c r="F4174" s="600" t="s">
        <v>5658</v>
      </c>
    </row>
    <row r="4175" spans="6:6">
      <c r="F4175" s="600" t="s">
        <v>5659</v>
      </c>
    </row>
    <row r="4176" spans="6:6">
      <c r="F4176" s="600" t="s">
        <v>5660</v>
      </c>
    </row>
    <row r="4177" spans="6:6">
      <c r="F4177" s="600" t="s">
        <v>5661</v>
      </c>
    </row>
    <row r="4178" spans="6:6">
      <c r="F4178" s="600" t="s">
        <v>5662</v>
      </c>
    </row>
    <row r="4179" spans="6:6">
      <c r="F4179" s="600" t="s">
        <v>5663</v>
      </c>
    </row>
    <row r="4180" spans="6:6">
      <c r="F4180" s="600" t="s">
        <v>5664</v>
      </c>
    </row>
    <row r="4181" spans="6:6">
      <c r="F4181" s="600" t="s">
        <v>5665</v>
      </c>
    </row>
    <row r="4182" spans="6:6">
      <c r="F4182" s="600" t="s">
        <v>5666</v>
      </c>
    </row>
    <row r="4183" spans="6:6">
      <c r="F4183" s="600" t="s">
        <v>5667</v>
      </c>
    </row>
    <row r="4184" spans="6:6">
      <c r="F4184" s="600" t="s">
        <v>5668</v>
      </c>
    </row>
    <row r="4185" spans="6:6">
      <c r="F4185" s="600" t="s">
        <v>5669</v>
      </c>
    </row>
    <row r="4186" spans="6:6">
      <c r="F4186" s="600" t="s">
        <v>5670</v>
      </c>
    </row>
    <row r="4187" spans="6:6">
      <c r="F4187" s="600" t="s">
        <v>5671</v>
      </c>
    </row>
    <row r="4188" spans="6:6">
      <c r="F4188" s="600" t="s">
        <v>5672</v>
      </c>
    </row>
    <row r="4189" spans="6:6">
      <c r="F4189" s="600" t="s">
        <v>5673</v>
      </c>
    </row>
    <row r="4190" spans="6:6">
      <c r="F4190" s="600" t="s">
        <v>5674</v>
      </c>
    </row>
    <row r="4191" spans="6:6">
      <c r="F4191" s="600" t="s">
        <v>5675</v>
      </c>
    </row>
    <row r="4192" spans="6:6">
      <c r="F4192" s="600" t="s">
        <v>5676</v>
      </c>
    </row>
    <row r="4193" spans="6:6">
      <c r="F4193" s="600" t="s">
        <v>5677</v>
      </c>
    </row>
    <row r="4194" spans="6:6">
      <c r="F4194" s="600" t="s">
        <v>5678</v>
      </c>
    </row>
    <row r="4195" spans="6:6">
      <c r="F4195" s="600" t="s">
        <v>5679</v>
      </c>
    </row>
    <row r="4196" spans="6:6">
      <c r="F4196" s="600" t="s">
        <v>5680</v>
      </c>
    </row>
    <row r="4197" spans="6:6">
      <c r="F4197" s="600" t="s">
        <v>5681</v>
      </c>
    </row>
    <row r="4198" spans="6:6">
      <c r="F4198" s="600" t="s">
        <v>5682</v>
      </c>
    </row>
    <row r="4199" spans="6:6">
      <c r="F4199" s="600" t="s">
        <v>5683</v>
      </c>
    </row>
    <row r="4200" spans="6:6">
      <c r="F4200" s="600" t="s">
        <v>5684</v>
      </c>
    </row>
    <row r="4201" spans="6:6">
      <c r="F4201" s="600" t="s">
        <v>5685</v>
      </c>
    </row>
    <row r="4202" spans="6:6">
      <c r="F4202" s="600" t="s">
        <v>5686</v>
      </c>
    </row>
    <row r="4203" spans="6:6">
      <c r="F4203" s="600" t="s">
        <v>5687</v>
      </c>
    </row>
    <row r="4204" spans="6:6">
      <c r="F4204" s="600" t="s">
        <v>5688</v>
      </c>
    </row>
    <row r="4205" spans="6:6">
      <c r="F4205" s="600" t="s">
        <v>5689</v>
      </c>
    </row>
    <row r="4206" spans="6:6">
      <c r="F4206" s="600" t="s">
        <v>5690</v>
      </c>
    </row>
    <row r="4207" spans="6:6">
      <c r="F4207" s="600" t="s">
        <v>5691</v>
      </c>
    </row>
    <row r="4208" spans="6:6">
      <c r="F4208" s="600" t="s">
        <v>5692</v>
      </c>
    </row>
    <row r="4209" spans="6:6">
      <c r="F4209" s="600" t="s">
        <v>5693</v>
      </c>
    </row>
    <row r="4210" spans="6:6">
      <c r="F4210" s="600" t="s">
        <v>5694</v>
      </c>
    </row>
    <row r="4211" spans="6:6">
      <c r="F4211" s="600" t="s">
        <v>5695</v>
      </c>
    </row>
    <row r="4212" spans="6:6">
      <c r="F4212" s="600" t="s">
        <v>5696</v>
      </c>
    </row>
    <row r="4213" spans="6:6">
      <c r="F4213" s="600" t="s">
        <v>5697</v>
      </c>
    </row>
    <row r="4214" spans="6:6">
      <c r="F4214" s="600" t="s">
        <v>5698</v>
      </c>
    </row>
    <row r="4215" spans="6:6">
      <c r="F4215" s="600" t="s">
        <v>5699</v>
      </c>
    </row>
    <row r="4216" spans="6:6">
      <c r="F4216" s="600" t="s">
        <v>5700</v>
      </c>
    </row>
    <row r="4217" spans="6:6">
      <c r="F4217" s="600" t="s">
        <v>5701</v>
      </c>
    </row>
    <row r="4218" spans="6:6">
      <c r="F4218" s="600" t="s">
        <v>5702</v>
      </c>
    </row>
    <row r="4219" spans="6:6">
      <c r="F4219" s="600" t="s">
        <v>5703</v>
      </c>
    </row>
    <row r="4220" spans="6:6">
      <c r="F4220" s="600" t="s">
        <v>5704</v>
      </c>
    </row>
    <row r="4221" spans="6:6">
      <c r="F4221" s="600" t="s">
        <v>5705</v>
      </c>
    </row>
    <row r="4222" spans="6:6">
      <c r="F4222" s="600" t="s">
        <v>5706</v>
      </c>
    </row>
    <row r="4223" spans="6:6">
      <c r="F4223" s="600" t="s">
        <v>5707</v>
      </c>
    </row>
    <row r="4224" spans="6:6">
      <c r="F4224" s="600" t="s">
        <v>5708</v>
      </c>
    </row>
    <row r="4225" spans="6:6">
      <c r="F4225" s="600" t="s">
        <v>5709</v>
      </c>
    </row>
    <row r="4226" spans="6:6">
      <c r="F4226" s="600" t="s">
        <v>5710</v>
      </c>
    </row>
    <row r="4227" spans="6:6">
      <c r="F4227" s="600" t="s">
        <v>5711</v>
      </c>
    </row>
    <row r="4228" spans="6:6">
      <c r="F4228" s="600" t="s">
        <v>5712</v>
      </c>
    </row>
    <row r="4229" spans="6:6">
      <c r="F4229" s="600" t="s">
        <v>5713</v>
      </c>
    </row>
    <row r="4230" spans="6:6">
      <c r="F4230" s="600" t="s">
        <v>5714</v>
      </c>
    </row>
    <row r="4231" spans="6:6">
      <c r="F4231" s="600" t="s">
        <v>5715</v>
      </c>
    </row>
    <row r="4232" spans="6:6">
      <c r="F4232" s="600" t="s">
        <v>5716</v>
      </c>
    </row>
    <row r="4233" spans="6:6">
      <c r="F4233" s="600" t="s">
        <v>5717</v>
      </c>
    </row>
    <row r="4234" spans="6:6">
      <c r="F4234" s="600" t="s">
        <v>5718</v>
      </c>
    </row>
    <row r="4235" spans="6:6">
      <c r="F4235" s="600" t="s">
        <v>5719</v>
      </c>
    </row>
    <row r="4236" spans="6:6">
      <c r="F4236" s="600" t="s">
        <v>5720</v>
      </c>
    </row>
    <row r="4237" spans="6:6">
      <c r="F4237" s="600" t="s">
        <v>5721</v>
      </c>
    </row>
    <row r="4238" spans="6:6">
      <c r="F4238" s="600" t="s">
        <v>5722</v>
      </c>
    </row>
    <row r="4239" spans="6:6">
      <c r="F4239" s="600" t="s">
        <v>5723</v>
      </c>
    </row>
    <row r="4240" spans="6:6">
      <c r="F4240" s="600" t="s">
        <v>5724</v>
      </c>
    </row>
    <row r="4241" spans="6:6">
      <c r="F4241" s="600" t="s">
        <v>5725</v>
      </c>
    </row>
    <row r="4242" spans="6:6">
      <c r="F4242" s="600" t="s">
        <v>5726</v>
      </c>
    </row>
    <row r="4243" spans="6:6">
      <c r="F4243" s="600" t="s">
        <v>5727</v>
      </c>
    </row>
    <row r="4244" spans="6:6">
      <c r="F4244" s="600" t="s">
        <v>5728</v>
      </c>
    </row>
    <row r="4245" spans="6:6">
      <c r="F4245" s="600" t="s">
        <v>5729</v>
      </c>
    </row>
    <row r="4246" spans="6:6">
      <c r="F4246" s="600" t="s">
        <v>5730</v>
      </c>
    </row>
    <row r="4247" spans="6:6">
      <c r="F4247" s="600" t="s">
        <v>5731</v>
      </c>
    </row>
    <row r="4248" spans="6:6">
      <c r="F4248" s="600" t="s">
        <v>5732</v>
      </c>
    </row>
    <row r="4249" spans="6:6">
      <c r="F4249" s="600" t="s">
        <v>5733</v>
      </c>
    </row>
    <row r="4250" spans="6:6">
      <c r="F4250" s="600" t="s">
        <v>5734</v>
      </c>
    </row>
    <row r="4251" spans="6:6">
      <c r="F4251" s="600" t="s">
        <v>5735</v>
      </c>
    </row>
    <row r="4252" spans="6:6">
      <c r="F4252" s="600" t="s">
        <v>5736</v>
      </c>
    </row>
    <row r="4253" spans="6:6">
      <c r="F4253" s="600" t="s">
        <v>5737</v>
      </c>
    </row>
    <row r="4254" spans="6:6">
      <c r="F4254" s="600" t="s">
        <v>5738</v>
      </c>
    </row>
    <row r="4255" spans="6:6">
      <c r="F4255" s="600" t="s">
        <v>5739</v>
      </c>
    </row>
    <row r="4256" spans="6:6">
      <c r="F4256" s="600" t="s">
        <v>5740</v>
      </c>
    </row>
    <row r="4257" spans="6:6">
      <c r="F4257" s="600" t="s">
        <v>5741</v>
      </c>
    </row>
    <row r="4258" spans="6:6">
      <c r="F4258" s="600" t="s">
        <v>5742</v>
      </c>
    </row>
    <row r="4259" spans="6:6">
      <c r="F4259" s="600" t="s">
        <v>5743</v>
      </c>
    </row>
    <row r="4260" spans="6:6">
      <c r="F4260" s="600" t="s">
        <v>5744</v>
      </c>
    </row>
    <row r="4261" spans="6:6">
      <c r="F4261" s="600" t="s">
        <v>5745</v>
      </c>
    </row>
    <row r="4262" spans="6:6">
      <c r="F4262" s="600" t="s">
        <v>5746</v>
      </c>
    </row>
    <row r="4263" spans="6:6">
      <c r="F4263" s="600" t="s">
        <v>5747</v>
      </c>
    </row>
    <row r="4264" spans="6:6">
      <c r="F4264" s="600" t="s">
        <v>5748</v>
      </c>
    </row>
    <row r="4265" spans="6:6">
      <c r="F4265" s="600" t="s">
        <v>5749</v>
      </c>
    </row>
    <row r="4266" spans="6:6">
      <c r="F4266" s="600" t="s">
        <v>5750</v>
      </c>
    </row>
    <row r="4267" spans="6:6">
      <c r="F4267" s="600" t="s">
        <v>5751</v>
      </c>
    </row>
    <row r="4268" spans="6:6">
      <c r="F4268" s="600" t="s">
        <v>5752</v>
      </c>
    </row>
    <row r="4269" spans="6:6">
      <c r="F4269" s="600" t="s">
        <v>5753</v>
      </c>
    </row>
    <row r="4270" spans="6:6">
      <c r="F4270" s="600" t="s">
        <v>5754</v>
      </c>
    </row>
    <row r="4271" spans="6:6">
      <c r="F4271" s="600" t="s">
        <v>5755</v>
      </c>
    </row>
    <row r="4272" spans="6:6">
      <c r="F4272" s="600" t="s">
        <v>5756</v>
      </c>
    </row>
    <row r="4273" spans="6:6">
      <c r="F4273" s="600" t="s">
        <v>5757</v>
      </c>
    </row>
    <row r="4274" spans="6:6">
      <c r="F4274" s="600" t="s">
        <v>5758</v>
      </c>
    </row>
    <row r="4275" spans="6:6">
      <c r="F4275" s="600" t="s">
        <v>5759</v>
      </c>
    </row>
    <row r="4276" spans="6:6">
      <c r="F4276" s="600" t="s">
        <v>5760</v>
      </c>
    </row>
    <row r="4277" spans="6:6">
      <c r="F4277" s="600" t="s">
        <v>5761</v>
      </c>
    </row>
    <row r="4278" spans="6:6">
      <c r="F4278" s="600" t="s">
        <v>5762</v>
      </c>
    </row>
    <row r="4279" spans="6:6">
      <c r="F4279" s="600" t="s">
        <v>5763</v>
      </c>
    </row>
    <row r="4280" spans="6:6">
      <c r="F4280" s="600" t="s">
        <v>5764</v>
      </c>
    </row>
    <row r="4281" spans="6:6">
      <c r="F4281" s="600" t="s">
        <v>5765</v>
      </c>
    </row>
    <row r="4282" spans="6:6">
      <c r="F4282" s="600" t="s">
        <v>5766</v>
      </c>
    </row>
    <row r="4283" spans="6:6">
      <c r="F4283" s="600" t="s">
        <v>5767</v>
      </c>
    </row>
    <row r="4284" spans="6:6">
      <c r="F4284" s="600" t="s">
        <v>5768</v>
      </c>
    </row>
    <row r="4285" spans="6:6">
      <c r="F4285" s="600" t="s">
        <v>5769</v>
      </c>
    </row>
    <row r="4286" spans="6:6">
      <c r="F4286" s="600" t="s">
        <v>5770</v>
      </c>
    </row>
    <row r="4287" spans="6:6">
      <c r="F4287" s="600" t="s">
        <v>5771</v>
      </c>
    </row>
    <row r="4288" spans="6:6">
      <c r="F4288" s="600" t="s">
        <v>5772</v>
      </c>
    </row>
    <row r="4289" spans="6:6">
      <c r="F4289" s="600" t="s">
        <v>5773</v>
      </c>
    </row>
    <row r="4290" spans="6:6">
      <c r="F4290" s="600" t="s">
        <v>5774</v>
      </c>
    </row>
    <row r="4291" spans="6:6">
      <c r="F4291" s="600" t="s">
        <v>5775</v>
      </c>
    </row>
    <row r="4292" spans="6:6">
      <c r="F4292" s="600" t="s">
        <v>5776</v>
      </c>
    </row>
    <row r="4293" spans="6:6">
      <c r="F4293" s="600" t="s">
        <v>5777</v>
      </c>
    </row>
    <row r="4294" spans="6:6">
      <c r="F4294" s="600" t="s">
        <v>5778</v>
      </c>
    </row>
    <row r="4295" spans="6:6">
      <c r="F4295" s="600" t="s">
        <v>5779</v>
      </c>
    </row>
    <row r="4296" spans="6:6">
      <c r="F4296" s="600" t="s">
        <v>5780</v>
      </c>
    </row>
    <row r="4297" spans="6:6">
      <c r="F4297" s="600" t="s">
        <v>5781</v>
      </c>
    </row>
    <row r="4298" spans="6:6">
      <c r="F4298" s="600" t="s">
        <v>5782</v>
      </c>
    </row>
    <row r="4299" spans="6:6">
      <c r="F4299" s="600" t="s">
        <v>5783</v>
      </c>
    </row>
    <row r="4300" spans="6:6">
      <c r="F4300" s="600" t="s">
        <v>5784</v>
      </c>
    </row>
    <row r="4301" spans="6:6">
      <c r="F4301" s="600" t="s">
        <v>5785</v>
      </c>
    </row>
    <row r="4302" spans="6:6">
      <c r="F4302" s="600" t="s">
        <v>5786</v>
      </c>
    </row>
    <row r="4303" spans="6:6">
      <c r="F4303" s="600" t="s">
        <v>5787</v>
      </c>
    </row>
    <row r="4304" spans="6:6">
      <c r="F4304" s="600" t="s">
        <v>5788</v>
      </c>
    </row>
    <row r="4305" spans="6:6">
      <c r="F4305" s="600" t="s">
        <v>5789</v>
      </c>
    </row>
    <row r="4306" spans="6:6">
      <c r="F4306" s="600" t="s">
        <v>5790</v>
      </c>
    </row>
    <row r="4307" spans="6:6">
      <c r="F4307" s="600" t="s">
        <v>5791</v>
      </c>
    </row>
    <row r="4308" spans="6:6">
      <c r="F4308" s="600" t="s">
        <v>5792</v>
      </c>
    </row>
    <row r="4309" spans="6:6">
      <c r="F4309" s="600" t="s">
        <v>5793</v>
      </c>
    </row>
    <row r="4310" spans="6:6">
      <c r="F4310" s="600" t="s">
        <v>5794</v>
      </c>
    </row>
    <row r="4311" spans="6:6">
      <c r="F4311" s="600" t="s">
        <v>5795</v>
      </c>
    </row>
    <row r="4312" spans="6:6">
      <c r="F4312" s="600" t="s">
        <v>5796</v>
      </c>
    </row>
    <row r="4313" spans="6:6">
      <c r="F4313" s="600" t="s">
        <v>5797</v>
      </c>
    </row>
    <row r="4314" spans="6:6">
      <c r="F4314" s="600" t="s">
        <v>5798</v>
      </c>
    </row>
    <row r="4315" spans="6:6">
      <c r="F4315" s="600" t="s">
        <v>5799</v>
      </c>
    </row>
    <row r="4316" spans="6:6">
      <c r="F4316" s="600" t="s">
        <v>5800</v>
      </c>
    </row>
    <row r="4317" spans="6:6">
      <c r="F4317" s="600" t="s">
        <v>5801</v>
      </c>
    </row>
    <row r="4318" spans="6:6">
      <c r="F4318" s="600" t="s">
        <v>5802</v>
      </c>
    </row>
    <row r="4319" spans="6:6">
      <c r="F4319" s="600" t="s">
        <v>5803</v>
      </c>
    </row>
    <row r="4320" spans="6:6">
      <c r="F4320" s="600" t="s">
        <v>5804</v>
      </c>
    </row>
    <row r="4321" spans="6:6">
      <c r="F4321" s="600" t="s">
        <v>5805</v>
      </c>
    </row>
    <row r="4322" spans="6:6">
      <c r="F4322" s="600" t="s">
        <v>5806</v>
      </c>
    </row>
    <row r="4323" spans="6:6">
      <c r="F4323" s="600" t="s">
        <v>5807</v>
      </c>
    </row>
    <row r="4324" spans="6:6">
      <c r="F4324" s="600" t="s">
        <v>5808</v>
      </c>
    </row>
    <row r="4325" spans="6:6">
      <c r="F4325" s="600" t="s">
        <v>5809</v>
      </c>
    </row>
    <row r="4326" spans="6:6">
      <c r="F4326" s="600" t="s">
        <v>5810</v>
      </c>
    </row>
    <row r="4327" spans="6:6">
      <c r="F4327" s="600" t="s">
        <v>5811</v>
      </c>
    </row>
    <row r="4328" spans="6:6">
      <c r="F4328" s="600" t="s">
        <v>5812</v>
      </c>
    </row>
    <row r="4329" spans="6:6">
      <c r="F4329" s="600" t="s">
        <v>5813</v>
      </c>
    </row>
    <row r="4330" spans="6:6">
      <c r="F4330" s="600" t="s">
        <v>5814</v>
      </c>
    </row>
    <row r="4331" spans="6:6">
      <c r="F4331" s="600" t="s">
        <v>5815</v>
      </c>
    </row>
    <row r="4332" spans="6:6">
      <c r="F4332" s="600" t="s">
        <v>5816</v>
      </c>
    </row>
    <row r="4333" spans="6:6">
      <c r="F4333" s="600" t="s">
        <v>5817</v>
      </c>
    </row>
    <row r="4334" spans="6:6">
      <c r="F4334" s="600" t="s">
        <v>5818</v>
      </c>
    </row>
    <row r="4335" spans="6:6">
      <c r="F4335" s="600" t="s">
        <v>5819</v>
      </c>
    </row>
    <row r="4336" spans="6:6">
      <c r="F4336" s="600" t="s">
        <v>5820</v>
      </c>
    </row>
    <row r="4337" spans="6:6">
      <c r="F4337" s="600" t="s">
        <v>5821</v>
      </c>
    </row>
    <row r="4338" spans="6:6">
      <c r="F4338" s="600" t="s">
        <v>5822</v>
      </c>
    </row>
    <row r="4339" spans="6:6">
      <c r="F4339" s="600" t="s">
        <v>5823</v>
      </c>
    </row>
    <row r="4340" spans="6:6">
      <c r="F4340" s="600" t="s">
        <v>5824</v>
      </c>
    </row>
    <row r="4341" spans="6:6">
      <c r="F4341" s="600" t="s">
        <v>5825</v>
      </c>
    </row>
    <row r="4342" spans="6:6">
      <c r="F4342" s="600" t="s">
        <v>5826</v>
      </c>
    </row>
    <row r="4343" spans="6:6">
      <c r="F4343" s="600" t="s">
        <v>5827</v>
      </c>
    </row>
    <row r="4344" spans="6:6">
      <c r="F4344" s="600" t="s">
        <v>5828</v>
      </c>
    </row>
    <row r="4345" spans="6:6">
      <c r="F4345" s="600" t="s">
        <v>5829</v>
      </c>
    </row>
    <row r="4346" spans="6:6">
      <c r="F4346" s="600" t="s">
        <v>5830</v>
      </c>
    </row>
    <row r="4347" spans="6:6">
      <c r="F4347" s="600" t="s">
        <v>5831</v>
      </c>
    </row>
    <row r="4348" spans="6:6">
      <c r="F4348" s="600" t="s">
        <v>5832</v>
      </c>
    </row>
    <row r="4349" spans="6:6">
      <c r="F4349" s="600" t="s">
        <v>5833</v>
      </c>
    </row>
    <row r="4350" spans="6:6">
      <c r="F4350" s="600" t="s">
        <v>5834</v>
      </c>
    </row>
    <row r="4351" spans="6:6">
      <c r="F4351" s="600" t="s">
        <v>5835</v>
      </c>
    </row>
    <row r="4352" spans="6:6">
      <c r="F4352" s="600" t="s">
        <v>5836</v>
      </c>
    </row>
    <row r="4353" spans="6:6">
      <c r="F4353" s="600" t="s">
        <v>5837</v>
      </c>
    </row>
    <row r="4354" spans="6:6">
      <c r="F4354" s="600" t="s">
        <v>5838</v>
      </c>
    </row>
    <row r="4355" spans="6:6">
      <c r="F4355" s="600" t="s">
        <v>5839</v>
      </c>
    </row>
    <row r="4356" spans="6:6">
      <c r="F4356" s="600" t="s">
        <v>5840</v>
      </c>
    </row>
    <row r="4357" spans="6:6">
      <c r="F4357" s="600" t="s">
        <v>5841</v>
      </c>
    </row>
    <row r="4358" spans="6:6">
      <c r="F4358" s="600" t="s">
        <v>5842</v>
      </c>
    </row>
    <row r="4359" spans="6:6">
      <c r="F4359" s="600" t="s">
        <v>5843</v>
      </c>
    </row>
    <row r="4360" spans="6:6">
      <c r="F4360" s="600" t="s">
        <v>5844</v>
      </c>
    </row>
    <row r="4361" spans="6:6">
      <c r="F4361" s="600" t="s">
        <v>5845</v>
      </c>
    </row>
    <row r="4362" spans="6:6">
      <c r="F4362" s="600" t="s">
        <v>5846</v>
      </c>
    </row>
    <row r="4363" spans="6:6">
      <c r="F4363" s="600" t="s">
        <v>5847</v>
      </c>
    </row>
    <row r="4364" spans="6:6">
      <c r="F4364" s="600" t="s">
        <v>5848</v>
      </c>
    </row>
    <row r="4365" spans="6:6">
      <c r="F4365" s="600" t="s">
        <v>5849</v>
      </c>
    </row>
    <row r="4366" spans="6:6">
      <c r="F4366" s="600" t="s">
        <v>5850</v>
      </c>
    </row>
    <row r="4367" spans="6:6">
      <c r="F4367" s="600" t="s">
        <v>5851</v>
      </c>
    </row>
    <row r="4368" spans="6:6">
      <c r="F4368" s="600" t="s">
        <v>5852</v>
      </c>
    </row>
    <row r="4369" spans="6:6">
      <c r="F4369" s="600" t="s">
        <v>5853</v>
      </c>
    </row>
    <row r="4370" spans="6:6">
      <c r="F4370" s="600" t="s">
        <v>5854</v>
      </c>
    </row>
    <row r="4371" spans="6:6">
      <c r="F4371" s="600" t="s">
        <v>5855</v>
      </c>
    </row>
    <row r="4372" spans="6:6">
      <c r="F4372" s="600" t="s">
        <v>5856</v>
      </c>
    </row>
    <row r="4373" spans="6:6">
      <c r="F4373" s="600" t="s">
        <v>5857</v>
      </c>
    </row>
    <row r="4374" spans="6:6">
      <c r="F4374" s="600" t="s">
        <v>5858</v>
      </c>
    </row>
    <row r="4375" spans="6:6">
      <c r="F4375" s="600" t="s">
        <v>5859</v>
      </c>
    </row>
    <row r="4376" spans="6:6">
      <c r="F4376" s="600" t="s">
        <v>5860</v>
      </c>
    </row>
    <row r="4377" spans="6:6">
      <c r="F4377" s="600" t="s">
        <v>5861</v>
      </c>
    </row>
    <row r="4378" spans="6:6">
      <c r="F4378" s="600" t="s">
        <v>5862</v>
      </c>
    </row>
    <row r="4379" spans="6:6">
      <c r="F4379" s="600" t="s">
        <v>5863</v>
      </c>
    </row>
    <row r="4380" spans="6:6">
      <c r="F4380" s="600" t="s">
        <v>5864</v>
      </c>
    </row>
    <row r="4381" spans="6:6">
      <c r="F4381" s="600" t="s">
        <v>5865</v>
      </c>
    </row>
    <row r="4382" spans="6:6">
      <c r="F4382" s="600" t="s">
        <v>5866</v>
      </c>
    </row>
    <row r="4383" spans="6:6">
      <c r="F4383" s="600" t="s">
        <v>5867</v>
      </c>
    </row>
    <row r="4384" spans="6:6">
      <c r="F4384" s="600" t="s">
        <v>5868</v>
      </c>
    </row>
    <row r="4385" spans="6:6">
      <c r="F4385" s="600" t="s">
        <v>5869</v>
      </c>
    </row>
    <row r="4386" spans="6:6">
      <c r="F4386" s="600" t="s">
        <v>5870</v>
      </c>
    </row>
    <row r="4387" spans="6:6">
      <c r="F4387" s="600" t="s">
        <v>5871</v>
      </c>
    </row>
    <row r="4388" spans="6:6">
      <c r="F4388" s="600" t="s">
        <v>5872</v>
      </c>
    </row>
    <row r="4389" spans="6:6">
      <c r="F4389" s="600" t="s">
        <v>5873</v>
      </c>
    </row>
    <row r="4390" spans="6:6">
      <c r="F4390" s="600" t="s">
        <v>5874</v>
      </c>
    </row>
    <row r="4391" spans="6:6">
      <c r="F4391" s="600" t="s">
        <v>5875</v>
      </c>
    </row>
    <row r="4392" spans="6:6">
      <c r="F4392" s="600" t="s">
        <v>5876</v>
      </c>
    </row>
    <row r="4393" spans="6:6">
      <c r="F4393" s="600" t="s">
        <v>5877</v>
      </c>
    </row>
    <row r="4394" spans="6:6">
      <c r="F4394" s="600" t="s">
        <v>5878</v>
      </c>
    </row>
    <row r="4395" spans="6:6">
      <c r="F4395" s="600" t="s">
        <v>5879</v>
      </c>
    </row>
    <row r="4396" spans="6:6">
      <c r="F4396" s="600" t="s">
        <v>5880</v>
      </c>
    </row>
    <row r="4397" spans="6:6">
      <c r="F4397" s="600" t="s">
        <v>5881</v>
      </c>
    </row>
    <row r="4398" spans="6:6">
      <c r="F4398" s="600">
        <v>1</v>
      </c>
    </row>
    <row r="4399" spans="6:6">
      <c r="F4399" s="600" t="s">
        <v>5882</v>
      </c>
    </row>
    <row r="4400" spans="6:6">
      <c r="F4400" s="600" t="s">
        <v>5883</v>
      </c>
    </row>
    <row r="4401" spans="6:6">
      <c r="F4401" s="600" t="s">
        <v>5884</v>
      </c>
    </row>
    <row r="4402" spans="6:6">
      <c r="F4402" s="600" t="s">
        <v>5885</v>
      </c>
    </row>
    <row r="4403" spans="6:6">
      <c r="F4403" s="600" t="s">
        <v>5886</v>
      </c>
    </row>
    <row r="4404" spans="6:6">
      <c r="F4404" s="600" t="s">
        <v>5887</v>
      </c>
    </row>
    <row r="4405" spans="6:6">
      <c r="F4405" s="600" t="s">
        <v>5888</v>
      </c>
    </row>
    <row r="4406" spans="6:6">
      <c r="F4406" s="600" t="s">
        <v>5889</v>
      </c>
    </row>
    <row r="4407" spans="6:6">
      <c r="F4407" s="600" t="s">
        <v>5890</v>
      </c>
    </row>
    <row r="4408" spans="6:6">
      <c r="F4408" s="600" t="s">
        <v>5891</v>
      </c>
    </row>
    <row r="4409" spans="6:6">
      <c r="F4409" s="600" t="s">
        <v>5892</v>
      </c>
    </row>
    <row r="4410" spans="6:6">
      <c r="F4410" s="600" t="s">
        <v>5893</v>
      </c>
    </row>
    <row r="4411" spans="6:6">
      <c r="F4411" s="600" t="s">
        <v>5894</v>
      </c>
    </row>
    <row r="4412" spans="6:6">
      <c r="F4412" s="600" t="s">
        <v>5895</v>
      </c>
    </row>
    <row r="4413" spans="6:6">
      <c r="F4413" s="600" t="s">
        <v>5896</v>
      </c>
    </row>
    <row r="4414" spans="6:6">
      <c r="F4414" s="600" t="s">
        <v>5897</v>
      </c>
    </row>
    <row r="4415" spans="6:6">
      <c r="F4415" s="600" t="s">
        <v>5898</v>
      </c>
    </row>
    <row r="4416" spans="6:6">
      <c r="F4416" s="600" t="s">
        <v>5899</v>
      </c>
    </row>
    <row r="4417" spans="6:6">
      <c r="F4417" s="600" t="s">
        <v>5900</v>
      </c>
    </row>
    <row r="4418" spans="6:6">
      <c r="F4418" s="600" t="s">
        <v>5901</v>
      </c>
    </row>
    <row r="4419" spans="6:6">
      <c r="F4419" s="600" t="s">
        <v>5902</v>
      </c>
    </row>
    <row r="4420" spans="6:6">
      <c r="F4420" s="600" t="s">
        <v>5903</v>
      </c>
    </row>
    <row r="4421" spans="6:6">
      <c r="F4421" s="600" t="s">
        <v>5904</v>
      </c>
    </row>
    <row r="4422" spans="6:6">
      <c r="F4422" s="600" t="s">
        <v>5905</v>
      </c>
    </row>
    <row r="4423" spans="6:6">
      <c r="F4423" s="600" t="s">
        <v>5906</v>
      </c>
    </row>
    <row r="4424" spans="6:6">
      <c r="F4424" s="600" t="s">
        <v>5907</v>
      </c>
    </row>
    <row r="4425" spans="6:6">
      <c r="F4425" s="600" t="s">
        <v>5908</v>
      </c>
    </row>
    <row r="4426" spans="6:6">
      <c r="F4426" s="600" t="s">
        <v>5909</v>
      </c>
    </row>
    <row r="4427" spans="6:6">
      <c r="F4427" s="600" t="s">
        <v>5910</v>
      </c>
    </row>
    <row r="4428" spans="6:6">
      <c r="F4428" s="600" t="s">
        <v>5911</v>
      </c>
    </row>
    <row r="4429" spans="6:6">
      <c r="F4429" s="600" t="s">
        <v>5912</v>
      </c>
    </row>
    <row r="4430" spans="6:6">
      <c r="F4430" s="600" t="s">
        <v>5913</v>
      </c>
    </row>
    <row r="4431" spans="6:6">
      <c r="F4431" s="600" t="s">
        <v>5914</v>
      </c>
    </row>
    <row r="4432" spans="6:6">
      <c r="F4432" s="600" t="s">
        <v>5915</v>
      </c>
    </row>
    <row r="4433" spans="6:6">
      <c r="F4433" s="600" t="s">
        <v>5916</v>
      </c>
    </row>
    <row r="4434" spans="6:6">
      <c r="F4434" s="600" t="s">
        <v>5917</v>
      </c>
    </row>
    <row r="4435" spans="6:6">
      <c r="F4435" s="600" t="s">
        <v>5918</v>
      </c>
    </row>
    <row r="4436" spans="6:6">
      <c r="F4436" s="600" t="s">
        <v>5919</v>
      </c>
    </row>
    <row r="4437" spans="6:6">
      <c r="F4437" s="600" t="s">
        <v>5920</v>
      </c>
    </row>
    <row r="4438" spans="6:6">
      <c r="F4438" s="600" t="s">
        <v>5921</v>
      </c>
    </row>
    <row r="4439" spans="6:6">
      <c r="F4439" s="600" t="s">
        <v>5922</v>
      </c>
    </row>
    <row r="4440" spans="6:6">
      <c r="F4440" s="600" t="s">
        <v>5923</v>
      </c>
    </row>
    <row r="4441" spans="6:6">
      <c r="F4441" s="600" t="s">
        <v>5924</v>
      </c>
    </row>
    <row r="4442" spans="6:6">
      <c r="F4442" s="600" t="s">
        <v>5925</v>
      </c>
    </row>
    <row r="4443" spans="6:6">
      <c r="F4443" s="600" t="s">
        <v>5926</v>
      </c>
    </row>
    <row r="4444" spans="6:6">
      <c r="F4444" s="600" t="s">
        <v>5927</v>
      </c>
    </row>
    <row r="4445" spans="6:6">
      <c r="F4445" s="600" t="s">
        <v>5928</v>
      </c>
    </row>
    <row r="4446" spans="6:6">
      <c r="F4446" s="600" t="s">
        <v>5929</v>
      </c>
    </row>
    <row r="4447" spans="6:6">
      <c r="F4447" s="600" t="s">
        <v>5930</v>
      </c>
    </row>
    <row r="4448" spans="6:6">
      <c r="F4448" s="600" t="s">
        <v>5931</v>
      </c>
    </row>
    <row r="4449" spans="6:6">
      <c r="F4449" s="600" t="s">
        <v>5932</v>
      </c>
    </row>
    <row r="4450" spans="6:6">
      <c r="F4450" s="600" t="s">
        <v>5933</v>
      </c>
    </row>
    <row r="4451" spans="6:6">
      <c r="F4451" s="600" t="s">
        <v>5934</v>
      </c>
    </row>
    <row r="4452" spans="6:6">
      <c r="F4452" s="600" t="s">
        <v>5935</v>
      </c>
    </row>
    <row r="4453" spans="6:6">
      <c r="F4453" s="600" t="s">
        <v>5936</v>
      </c>
    </row>
    <row r="4454" spans="6:6">
      <c r="F4454" s="600" t="s">
        <v>5937</v>
      </c>
    </row>
    <row r="4455" spans="6:6">
      <c r="F4455" s="600" t="s">
        <v>5938</v>
      </c>
    </row>
    <row r="4456" spans="6:6">
      <c r="F4456" s="600" t="s">
        <v>5939</v>
      </c>
    </row>
    <row r="4457" spans="6:6">
      <c r="F4457" s="600" t="s">
        <v>5940</v>
      </c>
    </row>
    <row r="4458" spans="6:6">
      <c r="F4458" s="600" t="s">
        <v>5941</v>
      </c>
    </row>
    <row r="4459" spans="6:6">
      <c r="F4459" s="600" t="s">
        <v>5942</v>
      </c>
    </row>
    <row r="4460" spans="6:6">
      <c r="F4460" s="600" t="s">
        <v>5943</v>
      </c>
    </row>
    <row r="4461" spans="6:6">
      <c r="F4461" s="600" t="s">
        <v>5944</v>
      </c>
    </row>
    <row r="4462" spans="6:6">
      <c r="F4462" s="600" t="s">
        <v>5945</v>
      </c>
    </row>
    <row r="4463" spans="6:6">
      <c r="F4463" s="600" t="s">
        <v>5946</v>
      </c>
    </row>
    <row r="4464" spans="6:6">
      <c r="F4464" s="600" t="s">
        <v>1441</v>
      </c>
    </row>
    <row r="4465" spans="6:6">
      <c r="F4465" s="600" t="s">
        <v>5947</v>
      </c>
    </row>
    <row r="4466" spans="6:6">
      <c r="F4466" s="600" t="s">
        <v>5948</v>
      </c>
    </row>
    <row r="4467" spans="6:6">
      <c r="F4467" s="600" t="s">
        <v>5949</v>
      </c>
    </row>
    <row r="4468" spans="6:6">
      <c r="F4468" s="600" t="s">
        <v>5950</v>
      </c>
    </row>
    <row r="4469" spans="6:6">
      <c r="F4469" s="600" t="s">
        <v>5951</v>
      </c>
    </row>
    <row r="4470" spans="6:6">
      <c r="F4470" s="600" t="s">
        <v>5952</v>
      </c>
    </row>
    <row r="4471" spans="6:6">
      <c r="F4471" s="600" t="s">
        <v>5953</v>
      </c>
    </row>
    <row r="4472" spans="6:6">
      <c r="F4472" s="600" t="s">
        <v>5954</v>
      </c>
    </row>
    <row r="4473" spans="6:6">
      <c r="F4473" s="600" t="s">
        <v>5955</v>
      </c>
    </row>
    <row r="4474" spans="6:6">
      <c r="F4474" s="600" t="s">
        <v>5956</v>
      </c>
    </row>
    <row r="4475" spans="6:6">
      <c r="F4475" s="600" t="s">
        <v>5957</v>
      </c>
    </row>
    <row r="4476" spans="6:6">
      <c r="F4476" s="600" t="s">
        <v>5958</v>
      </c>
    </row>
    <row r="4477" spans="6:6">
      <c r="F4477" s="600" t="s">
        <v>5959</v>
      </c>
    </row>
    <row r="4478" spans="6:6">
      <c r="F4478" s="600" t="s">
        <v>5960</v>
      </c>
    </row>
    <row r="4479" spans="6:6">
      <c r="F4479" s="600" t="s">
        <v>5961</v>
      </c>
    </row>
    <row r="4480" spans="6:6">
      <c r="F4480" s="600" t="s">
        <v>5962</v>
      </c>
    </row>
    <row r="4481" spans="6:6">
      <c r="F4481" s="600" t="s">
        <v>5963</v>
      </c>
    </row>
    <row r="4482" spans="6:6">
      <c r="F4482" s="600" t="s">
        <v>5964</v>
      </c>
    </row>
    <row r="4483" spans="6:6">
      <c r="F4483" s="600" t="s">
        <v>5965</v>
      </c>
    </row>
    <row r="4484" spans="6:6">
      <c r="F4484" s="600" t="s">
        <v>5966</v>
      </c>
    </row>
    <row r="4485" spans="6:6">
      <c r="F4485" s="600" t="s">
        <v>5967</v>
      </c>
    </row>
    <row r="4486" spans="6:6">
      <c r="F4486" s="600" t="s">
        <v>5968</v>
      </c>
    </row>
    <row r="4487" spans="6:6">
      <c r="F4487" s="600" t="s">
        <v>5969</v>
      </c>
    </row>
    <row r="4488" spans="6:6">
      <c r="F4488" s="600" t="s">
        <v>5970</v>
      </c>
    </row>
    <row r="4489" spans="6:6">
      <c r="F4489" s="600" t="s">
        <v>5971</v>
      </c>
    </row>
    <row r="4490" spans="6:6">
      <c r="F4490" s="600" t="s">
        <v>5972</v>
      </c>
    </row>
    <row r="4491" spans="6:6">
      <c r="F4491" s="600" t="s">
        <v>5973</v>
      </c>
    </row>
    <row r="4492" spans="6:6">
      <c r="F4492" s="600" t="s">
        <v>5974</v>
      </c>
    </row>
    <row r="4493" spans="6:6">
      <c r="F4493" s="600" t="s">
        <v>5975</v>
      </c>
    </row>
    <row r="4494" spans="6:6">
      <c r="F4494" s="600" t="s">
        <v>5976</v>
      </c>
    </row>
    <row r="4495" spans="6:6">
      <c r="F4495" s="600" t="s">
        <v>5977</v>
      </c>
    </row>
    <row r="4496" spans="6:6">
      <c r="F4496" s="600" t="s">
        <v>5978</v>
      </c>
    </row>
    <row r="4497" spans="6:6">
      <c r="F4497" s="600" t="s">
        <v>5979</v>
      </c>
    </row>
    <row r="4498" spans="6:6">
      <c r="F4498" s="600" t="s">
        <v>5980</v>
      </c>
    </row>
    <row r="4499" spans="6:6">
      <c r="F4499" s="600" t="s">
        <v>5981</v>
      </c>
    </row>
    <row r="4500" spans="6:6">
      <c r="F4500" s="600" t="s">
        <v>5982</v>
      </c>
    </row>
    <row r="4501" spans="6:6">
      <c r="F4501" s="600" t="s">
        <v>5983</v>
      </c>
    </row>
    <row r="4502" spans="6:6">
      <c r="F4502" s="600" t="s">
        <v>5984</v>
      </c>
    </row>
    <row r="4503" spans="6:6">
      <c r="F4503" s="600" t="s">
        <v>5985</v>
      </c>
    </row>
    <row r="4504" spans="6:6">
      <c r="F4504" s="600" t="s">
        <v>5986</v>
      </c>
    </row>
    <row r="4505" spans="6:6">
      <c r="F4505" s="600" t="s">
        <v>5987</v>
      </c>
    </row>
    <row r="4506" spans="6:6">
      <c r="F4506" s="600" t="s">
        <v>5988</v>
      </c>
    </row>
    <row r="4507" spans="6:6">
      <c r="F4507" s="600" t="s">
        <v>5989</v>
      </c>
    </row>
    <row r="4508" spans="6:6">
      <c r="F4508" s="600" t="s">
        <v>5990</v>
      </c>
    </row>
    <row r="4509" spans="6:6">
      <c r="F4509" s="600" t="s">
        <v>5991</v>
      </c>
    </row>
    <row r="4510" spans="6:6">
      <c r="F4510" s="600" t="s">
        <v>5992</v>
      </c>
    </row>
    <row r="4511" spans="6:6">
      <c r="F4511" s="600" t="s">
        <v>5993</v>
      </c>
    </row>
    <row r="4512" spans="6:6">
      <c r="F4512" s="600" t="s">
        <v>5994</v>
      </c>
    </row>
    <row r="4513" spans="6:6">
      <c r="F4513" s="600" t="s">
        <v>5995</v>
      </c>
    </row>
    <row r="4514" spans="6:6">
      <c r="F4514" s="600" t="s">
        <v>5996</v>
      </c>
    </row>
    <row r="4515" spans="6:6">
      <c r="F4515" s="600" t="s">
        <v>5997</v>
      </c>
    </row>
    <row r="4516" spans="6:6">
      <c r="F4516" s="600" t="s">
        <v>5998</v>
      </c>
    </row>
    <row r="4517" spans="6:6">
      <c r="F4517" s="600" t="s">
        <v>5999</v>
      </c>
    </row>
    <row r="4518" spans="6:6">
      <c r="F4518" s="600" t="s">
        <v>6000</v>
      </c>
    </row>
    <row r="4519" spans="6:6">
      <c r="F4519" s="600" t="s">
        <v>6001</v>
      </c>
    </row>
    <row r="4520" spans="6:6">
      <c r="F4520" s="600" t="s">
        <v>6002</v>
      </c>
    </row>
    <row r="4521" spans="6:6">
      <c r="F4521" s="600" t="s">
        <v>6003</v>
      </c>
    </row>
    <row r="4522" spans="6:6">
      <c r="F4522" s="600" t="s">
        <v>6004</v>
      </c>
    </row>
    <row r="4523" spans="6:6">
      <c r="F4523" s="600" t="s">
        <v>6005</v>
      </c>
    </row>
    <row r="4524" spans="6:6">
      <c r="F4524" s="600" t="s">
        <v>6006</v>
      </c>
    </row>
    <row r="4525" spans="6:6">
      <c r="F4525" s="600" t="s">
        <v>6007</v>
      </c>
    </row>
    <row r="4526" spans="6:6">
      <c r="F4526" s="600" t="s">
        <v>6008</v>
      </c>
    </row>
    <row r="4527" spans="6:6">
      <c r="F4527" s="600" t="s">
        <v>6009</v>
      </c>
    </row>
    <row r="4528" spans="6:6">
      <c r="F4528" s="600" t="s">
        <v>6010</v>
      </c>
    </row>
    <row r="4529" spans="6:6">
      <c r="F4529" s="600" t="s">
        <v>6011</v>
      </c>
    </row>
    <row r="4530" spans="6:6">
      <c r="F4530" s="600" t="s">
        <v>6012</v>
      </c>
    </row>
    <row r="4531" spans="6:6">
      <c r="F4531" s="600" t="s">
        <v>6013</v>
      </c>
    </row>
    <row r="4532" spans="6:6">
      <c r="F4532" s="600" t="s">
        <v>6014</v>
      </c>
    </row>
    <row r="4533" spans="6:6">
      <c r="F4533" s="600">
        <v>2</v>
      </c>
    </row>
    <row r="4534" spans="6:6">
      <c r="F4534" s="600" t="s">
        <v>6015</v>
      </c>
    </row>
    <row r="4535" spans="6:6">
      <c r="F4535" s="600" t="s">
        <v>6016</v>
      </c>
    </row>
    <row r="4536" spans="6:6">
      <c r="F4536" s="600" t="s">
        <v>6017</v>
      </c>
    </row>
    <row r="4537" spans="6:6">
      <c r="F4537" s="600" t="s">
        <v>6018</v>
      </c>
    </row>
    <row r="4538" spans="6:6">
      <c r="F4538" s="600" t="s">
        <v>6019</v>
      </c>
    </row>
    <row r="4539" spans="6:6">
      <c r="F4539" s="600" t="s">
        <v>6020</v>
      </c>
    </row>
    <row r="4540" spans="6:6">
      <c r="F4540" s="600" t="s">
        <v>6021</v>
      </c>
    </row>
    <row r="4541" spans="6:6">
      <c r="F4541" s="600" t="s">
        <v>6022</v>
      </c>
    </row>
    <row r="4542" spans="6:6">
      <c r="F4542" s="600" t="s">
        <v>6023</v>
      </c>
    </row>
    <row r="4543" spans="6:6">
      <c r="F4543" s="600" t="s">
        <v>6024</v>
      </c>
    </row>
    <row r="4544" spans="6:6">
      <c r="F4544" s="600" t="s">
        <v>6025</v>
      </c>
    </row>
    <row r="4545" spans="6:6">
      <c r="F4545" s="600" t="s">
        <v>6026</v>
      </c>
    </row>
    <row r="4546" spans="6:6">
      <c r="F4546" s="600" t="s">
        <v>6027</v>
      </c>
    </row>
    <row r="4547" spans="6:6">
      <c r="F4547" s="600" t="s">
        <v>6028</v>
      </c>
    </row>
    <row r="4548" spans="6:6">
      <c r="F4548" s="600" t="s">
        <v>6029</v>
      </c>
    </row>
    <row r="4549" spans="6:6">
      <c r="F4549" s="600" t="s">
        <v>6030</v>
      </c>
    </row>
    <row r="4550" spans="6:6">
      <c r="F4550" s="600" t="s">
        <v>6031</v>
      </c>
    </row>
    <row r="4551" spans="6:6">
      <c r="F4551" s="600" t="s">
        <v>6032</v>
      </c>
    </row>
    <row r="4552" spans="6:6">
      <c r="F4552" s="600" t="s">
        <v>6033</v>
      </c>
    </row>
    <row r="4553" spans="6:6">
      <c r="F4553" s="600" t="s">
        <v>6034</v>
      </c>
    </row>
    <row r="4554" spans="6:6">
      <c r="F4554" s="600" t="s">
        <v>6035</v>
      </c>
    </row>
    <row r="4555" spans="6:6">
      <c r="F4555" s="600" t="s">
        <v>6036</v>
      </c>
    </row>
    <row r="4556" spans="6:6">
      <c r="F4556" s="600" t="s">
        <v>6037</v>
      </c>
    </row>
    <row r="4557" spans="6:6">
      <c r="F4557" s="600" t="s">
        <v>6038</v>
      </c>
    </row>
    <row r="4558" spans="6:6">
      <c r="F4558" s="600" t="s">
        <v>6039</v>
      </c>
    </row>
    <row r="4559" spans="6:6">
      <c r="F4559" s="600" t="s">
        <v>6040</v>
      </c>
    </row>
    <row r="4560" spans="6:6">
      <c r="F4560" s="600" t="s">
        <v>6041</v>
      </c>
    </row>
    <row r="4561" spans="6:6">
      <c r="F4561" s="600" t="s">
        <v>6042</v>
      </c>
    </row>
    <row r="4562" spans="6:6">
      <c r="F4562" s="600" t="s">
        <v>6043</v>
      </c>
    </row>
    <row r="4563" spans="6:6">
      <c r="F4563" s="600" t="s">
        <v>6044</v>
      </c>
    </row>
    <row r="4564" spans="6:6">
      <c r="F4564" s="600" t="s">
        <v>6045</v>
      </c>
    </row>
    <row r="4565" spans="6:6">
      <c r="F4565" s="600" t="s">
        <v>6046</v>
      </c>
    </row>
    <row r="4566" spans="6:6">
      <c r="F4566" s="600" t="s">
        <v>6047</v>
      </c>
    </row>
    <row r="4567" spans="6:6">
      <c r="F4567" s="600" t="s">
        <v>6048</v>
      </c>
    </row>
    <row r="4568" spans="6:6">
      <c r="F4568" s="600" t="s">
        <v>6049</v>
      </c>
    </row>
    <row r="4569" spans="6:6">
      <c r="F4569" s="600" t="s">
        <v>6050</v>
      </c>
    </row>
    <row r="4570" spans="6:6">
      <c r="F4570" s="600" t="s">
        <v>6051</v>
      </c>
    </row>
    <row r="4571" spans="6:6">
      <c r="F4571" s="600" t="s">
        <v>6052</v>
      </c>
    </row>
    <row r="4572" spans="6:6">
      <c r="F4572" s="600" t="s">
        <v>6053</v>
      </c>
    </row>
    <row r="4573" spans="6:6">
      <c r="F4573" s="600" t="s">
        <v>6054</v>
      </c>
    </row>
    <row r="4574" spans="6:6">
      <c r="F4574" s="600" t="s">
        <v>6055</v>
      </c>
    </row>
    <row r="4575" spans="6:6">
      <c r="F4575" s="600" t="s">
        <v>6056</v>
      </c>
    </row>
    <row r="4576" spans="6:6">
      <c r="F4576" s="600" t="s">
        <v>6057</v>
      </c>
    </row>
    <row r="4577" spans="6:6">
      <c r="F4577" s="600" t="s">
        <v>6058</v>
      </c>
    </row>
    <row r="4578" spans="6:6">
      <c r="F4578" s="600" t="s">
        <v>6059</v>
      </c>
    </row>
    <row r="4579" spans="6:6">
      <c r="F4579" s="600" t="s">
        <v>6060</v>
      </c>
    </row>
    <row r="4580" spans="6:6">
      <c r="F4580" s="600" t="s">
        <v>6061</v>
      </c>
    </row>
    <row r="4581" spans="6:6">
      <c r="F4581" s="600" t="s">
        <v>6062</v>
      </c>
    </row>
    <row r="4582" spans="6:6">
      <c r="F4582" s="600" t="s">
        <v>6063</v>
      </c>
    </row>
    <row r="4583" spans="6:6">
      <c r="F4583" s="600" t="s">
        <v>6064</v>
      </c>
    </row>
    <row r="4584" spans="6:6">
      <c r="F4584" s="600" t="s">
        <v>6065</v>
      </c>
    </row>
    <row r="4585" spans="6:6">
      <c r="F4585" s="600" t="s">
        <v>6066</v>
      </c>
    </row>
    <row r="4586" spans="6:6">
      <c r="F4586" s="600" t="s">
        <v>6067</v>
      </c>
    </row>
    <row r="4587" spans="6:6">
      <c r="F4587" s="600" t="s">
        <v>6068</v>
      </c>
    </row>
    <row r="4588" spans="6:6">
      <c r="F4588" s="600" t="s">
        <v>6069</v>
      </c>
    </row>
    <row r="4589" spans="6:6">
      <c r="F4589" s="600" t="s">
        <v>6070</v>
      </c>
    </row>
    <row r="4590" spans="6:6">
      <c r="F4590" s="600" t="s">
        <v>6071</v>
      </c>
    </row>
    <row r="4591" spans="6:6">
      <c r="F4591" s="600" t="s">
        <v>6072</v>
      </c>
    </row>
    <row r="4592" spans="6:6">
      <c r="F4592" s="600" t="s">
        <v>6073</v>
      </c>
    </row>
    <row r="4593" spans="6:6">
      <c r="F4593" s="600" t="s">
        <v>6074</v>
      </c>
    </row>
    <row r="4594" spans="6:6">
      <c r="F4594" s="600" t="s">
        <v>6075</v>
      </c>
    </row>
    <row r="4595" spans="6:6">
      <c r="F4595" s="600" t="s">
        <v>6076</v>
      </c>
    </row>
    <row r="4596" spans="6:6">
      <c r="F4596" s="600" t="s">
        <v>6077</v>
      </c>
    </row>
    <row r="4597" spans="6:6">
      <c r="F4597" s="600" t="s">
        <v>6078</v>
      </c>
    </row>
    <row r="4598" spans="6:6">
      <c r="F4598" s="600" t="s">
        <v>6079</v>
      </c>
    </row>
    <row r="4599" spans="6:6">
      <c r="F4599" s="600" t="s">
        <v>6080</v>
      </c>
    </row>
    <row r="4600" spans="6:6">
      <c r="F4600" s="600" t="s">
        <v>6081</v>
      </c>
    </row>
    <row r="4601" spans="6:6">
      <c r="F4601" s="600" t="s">
        <v>6082</v>
      </c>
    </row>
    <row r="4602" spans="6:6">
      <c r="F4602" s="600" t="s">
        <v>6083</v>
      </c>
    </row>
    <row r="4603" spans="6:6">
      <c r="F4603" s="600" t="s">
        <v>6084</v>
      </c>
    </row>
    <row r="4604" spans="6:6">
      <c r="F4604" s="600" t="s">
        <v>6085</v>
      </c>
    </row>
    <row r="4605" spans="6:6">
      <c r="F4605" s="600" t="s">
        <v>6086</v>
      </c>
    </row>
    <row r="4606" spans="6:6">
      <c r="F4606" s="600" t="s">
        <v>6087</v>
      </c>
    </row>
    <row r="4607" spans="6:6">
      <c r="F4607" s="600" t="s">
        <v>6088</v>
      </c>
    </row>
    <row r="4608" spans="6:6">
      <c r="F4608" s="600" t="s">
        <v>6089</v>
      </c>
    </row>
    <row r="4609" spans="6:6">
      <c r="F4609" s="600" t="s">
        <v>6090</v>
      </c>
    </row>
    <row r="4610" spans="6:6">
      <c r="F4610" s="600" t="s">
        <v>6091</v>
      </c>
    </row>
    <row r="4611" spans="6:6">
      <c r="F4611" s="600" t="s">
        <v>6092</v>
      </c>
    </row>
    <row r="4612" spans="6:6">
      <c r="F4612" s="600" t="s">
        <v>6093</v>
      </c>
    </row>
    <row r="4613" spans="6:6">
      <c r="F4613" s="600" t="s">
        <v>6094</v>
      </c>
    </row>
    <row r="4614" spans="6:6">
      <c r="F4614" s="600" t="s">
        <v>6095</v>
      </c>
    </row>
    <row r="4615" spans="6:6">
      <c r="F4615" s="600" t="s">
        <v>6096</v>
      </c>
    </row>
    <row r="4616" spans="6:6">
      <c r="F4616" s="600" t="s">
        <v>6097</v>
      </c>
    </row>
    <row r="4617" spans="6:6">
      <c r="F4617" s="600" t="s">
        <v>6098</v>
      </c>
    </row>
    <row r="4618" spans="6:6">
      <c r="F4618" s="600" t="s">
        <v>6099</v>
      </c>
    </row>
    <row r="4619" spans="6:6">
      <c r="F4619" s="600" t="s">
        <v>6100</v>
      </c>
    </row>
    <row r="4620" spans="6:6">
      <c r="F4620" s="600" t="s">
        <v>6101</v>
      </c>
    </row>
    <row r="4621" spans="6:6">
      <c r="F4621" s="600" t="s">
        <v>6102</v>
      </c>
    </row>
    <row r="4622" spans="6:6">
      <c r="F4622" s="600" t="s">
        <v>6103</v>
      </c>
    </row>
    <row r="4623" spans="6:6">
      <c r="F4623" s="600" t="s">
        <v>6104</v>
      </c>
    </row>
    <row r="4624" spans="6:6">
      <c r="F4624" s="600" t="s">
        <v>6105</v>
      </c>
    </row>
    <row r="4625" spans="6:6">
      <c r="F4625" s="600" t="s">
        <v>6106</v>
      </c>
    </row>
    <row r="4626" spans="6:6">
      <c r="F4626" s="600" t="s">
        <v>6107</v>
      </c>
    </row>
    <row r="4627" spans="6:6">
      <c r="F4627" s="600" t="s">
        <v>6108</v>
      </c>
    </row>
    <row r="4628" spans="6:6">
      <c r="F4628" s="600" t="s">
        <v>6109</v>
      </c>
    </row>
    <row r="4629" spans="6:6">
      <c r="F4629" s="600" t="s">
        <v>6110</v>
      </c>
    </row>
    <row r="4630" spans="6:6">
      <c r="F4630" s="600" t="s">
        <v>6111</v>
      </c>
    </row>
    <row r="4631" spans="6:6">
      <c r="F4631" s="600" t="s">
        <v>6112</v>
      </c>
    </row>
    <row r="4632" spans="6:6">
      <c r="F4632" s="600" t="s">
        <v>6113</v>
      </c>
    </row>
    <row r="4633" spans="6:6">
      <c r="F4633" s="600" t="s">
        <v>6114</v>
      </c>
    </row>
    <row r="4634" spans="6:6">
      <c r="F4634" s="600" t="s">
        <v>6115</v>
      </c>
    </row>
    <row r="4635" spans="6:6">
      <c r="F4635" s="600" t="s">
        <v>6116</v>
      </c>
    </row>
    <row r="4636" spans="6:6">
      <c r="F4636" s="600" t="s">
        <v>6117</v>
      </c>
    </row>
    <row r="4637" spans="6:6">
      <c r="F4637" s="600" t="s">
        <v>6118</v>
      </c>
    </row>
    <row r="4638" spans="6:6">
      <c r="F4638" s="600" t="s">
        <v>6119</v>
      </c>
    </row>
    <row r="4639" spans="6:6">
      <c r="F4639" s="600" t="s">
        <v>6120</v>
      </c>
    </row>
    <row r="4640" spans="6:6">
      <c r="F4640" s="600" t="s">
        <v>6121</v>
      </c>
    </row>
    <row r="4641" spans="6:6">
      <c r="F4641" s="600" t="s">
        <v>6122</v>
      </c>
    </row>
    <row r="4642" spans="6:6">
      <c r="F4642" s="600" t="s">
        <v>6123</v>
      </c>
    </row>
    <row r="4643" spans="6:6">
      <c r="F4643" s="600" t="s">
        <v>6124</v>
      </c>
    </row>
    <row r="4644" spans="6:6">
      <c r="F4644" s="600" t="s">
        <v>6125</v>
      </c>
    </row>
    <row r="4645" spans="6:6">
      <c r="F4645" s="600" t="s">
        <v>6126</v>
      </c>
    </row>
    <row r="4646" spans="6:6">
      <c r="F4646" s="600" t="s">
        <v>6127</v>
      </c>
    </row>
    <row r="4647" spans="6:6">
      <c r="F4647" s="600" t="s">
        <v>6128</v>
      </c>
    </row>
    <row r="4648" spans="6:6">
      <c r="F4648" s="600" t="s">
        <v>6129</v>
      </c>
    </row>
    <row r="4649" spans="6:6">
      <c r="F4649" s="600" t="s">
        <v>6130</v>
      </c>
    </row>
    <row r="4650" spans="6:6">
      <c r="F4650" s="600" t="s">
        <v>6131</v>
      </c>
    </row>
    <row r="4651" spans="6:6">
      <c r="F4651" s="600" t="s">
        <v>6132</v>
      </c>
    </row>
    <row r="4652" spans="6:6">
      <c r="F4652" s="600" t="s">
        <v>6133</v>
      </c>
    </row>
    <row r="4653" spans="6:6">
      <c r="F4653" s="600" t="s">
        <v>6134</v>
      </c>
    </row>
    <row r="4654" spans="6:6">
      <c r="F4654" s="600" t="s">
        <v>6135</v>
      </c>
    </row>
    <row r="4655" spans="6:6">
      <c r="F4655" s="600" t="s">
        <v>6136</v>
      </c>
    </row>
    <row r="4656" spans="6:6">
      <c r="F4656" s="600" t="s">
        <v>6137</v>
      </c>
    </row>
    <row r="4657" spans="6:6">
      <c r="F4657" s="600" t="s">
        <v>6138</v>
      </c>
    </row>
    <row r="4658" spans="6:6">
      <c r="F4658" s="600" t="s">
        <v>6139</v>
      </c>
    </row>
    <row r="4659" spans="6:6">
      <c r="F4659" s="600" t="s">
        <v>6140</v>
      </c>
    </row>
    <row r="4660" spans="6:6">
      <c r="F4660" s="600" t="s">
        <v>6141</v>
      </c>
    </row>
    <row r="4661" spans="6:6">
      <c r="F4661" s="600" t="s">
        <v>6142</v>
      </c>
    </row>
    <row r="4662" spans="6:6">
      <c r="F4662" s="600" t="s">
        <v>6143</v>
      </c>
    </row>
    <row r="4663" spans="6:6">
      <c r="F4663" s="600" t="s">
        <v>6144</v>
      </c>
    </row>
    <row r="4664" spans="6:6">
      <c r="F4664" s="600" t="s">
        <v>6145</v>
      </c>
    </row>
    <row r="4665" spans="6:6">
      <c r="F4665" s="600" t="s">
        <v>6146</v>
      </c>
    </row>
    <row r="4666" spans="6:6">
      <c r="F4666" s="600" t="s">
        <v>6147</v>
      </c>
    </row>
    <row r="4667" spans="6:6">
      <c r="F4667" s="600" t="s">
        <v>6148</v>
      </c>
    </row>
    <row r="4668" spans="6:6">
      <c r="F4668" s="600" t="s">
        <v>6149</v>
      </c>
    </row>
    <row r="4669" spans="6:6">
      <c r="F4669" s="600" t="s">
        <v>6150</v>
      </c>
    </row>
    <row r="4670" spans="6:6">
      <c r="F4670" s="600" t="s">
        <v>6151</v>
      </c>
    </row>
    <row r="4671" spans="6:6">
      <c r="F4671" s="600" t="s">
        <v>6152</v>
      </c>
    </row>
    <row r="4672" spans="6:6">
      <c r="F4672" s="600" t="s">
        <v>6153</v>
      </c>
    </row>
    <row r="4673" spans="6:6">
      <c r="F4673" s="600" t="s">
        <v>6154</v>
      </c>
    </row>
    <row r="4674" spans="6:6">
      <c r="F4674" s="600" t="s">
        <v>6155</v>
      </c>
    </row>
    <row r="4675" spans="6:6">
      <c r="F4675" s="600" t="s">
        <v>6156</v>
      </c>
    </row>
    <row r="4676" spans="6:6">
      <c r="F4676" s="600" t="s">
        <v>6157</v>
      </c>
    </row>
    <row r="4677" spans="6:6">
      <c r="F4677" s="600" t="s">
        <v>6158</v>
      </c>
    </row>
    <row r="4678" spans="6:6">
      <c r="F4678" s="600" t="s">
        <v>6159</v>
      </c>
    </row>
    <row r="4679" spans="6:6">
      <c r="F4679" s="600" t="s">
        <v>6160</v>
      </c>
    </row>
    <row r="4680" spans="6:6">
      <c r="F4680" s="600" t="s">
        <v>6161</v>
      </c>
    </row>
    <row r="4681" spans="6:6">
      <c r="F4681" s="600" t="s">
        <v>6162</v>
      </c>
    </row>
    <row r="4682" spans="6:6">
      <c r="F4682" s="600" t="s">
        <v>6163</v>
      </c>
    </row>
    <row r="4683" spans="6:6">
      <c r="F4683" s="600" t="s">
        <v>6164</v>
      </c>
    </row>
    <row r="4684" spans="6:6">
      <c r="F4684" s="600" t="s">
        <v>6165</v>
      </c>
    </row>
    <row r="4685" spans="6:6">
      <c r="F4685" s="600" t="s">
        <v>6166</v>
      </c>
    </row>
    <row r="4686" spans="6:6">
      <c r="F4686" s="600" t="s">
        <v>6167</v>
      </c>
    </row>
    <row r="4687" spans="6:6">
      <c r="F4687" s="600" t="s">
        <v>6168</v>
      </c>
    </row>
    <row r="4688" spans="6:6">
      <c r="F4688" s="600" t="s">
        <v>6169</v>
      </c>
    </row>
    <row r="4689" spans="6:6">
      <c r="F4689" s="600" t="s">
        <v>6170</v>
      </c>
    </row>
    <row r="4690" spans="6:6">
      <c r="F4690" s="600" t="s">
        <v>6171</v>
      </c>
    </row>
    <row r="4691" spans="6:6">
      <c r="F4691" s="600" t="s">
        <v>6172</v>
      </c>
    </row>
    <row r="4692" spans="6:6">
      <c r="F4692" s="600" t="s">
        <v>6173</v>
      </c>
    </row>
    <row r="4693" spans="6:6">
      <c r="F4693" s="600" t="s">
        <v>6174</v>
      </c>
    </row>
    <row r="4694" spans="6:6">
      <c r="F4694" s="600" t="s">
        <v>6175</v>
      </c>
    </row>
    <row r="4695" spans="6:6">
      <c r="F4695" s="600" t="s">
        <v>6176</v>
      </c>
    </row>
    <row r="4696" spans="6:6">
      <c r="F4696" s="600" t="s">
        <v>6177</v>
      </c>
    </row>
    <row r="4697" spans="6:6">
      <c r="F4697" s="600" t="s">
        <v>6178</v>
      </c>
    </row>
    <row r="4698" spans="6:6">
      <c r="F4698" s="600" t="s">
        <v>6179</v>
      </c>
    </row>
    <row r="4699" spans="6:6">
      <c r="F4699" s="600" t="s">
        <v>6180</v>
      </c>
    </row>
    <row r="4700" spans="6:6">
      <c r="F4700" s="600" t="s">
        <v>6181</v>
      </c>
    </row>
    <row r="4701" spans="6:6">
      <c r="F4701" s="600" t="s">
        <v>6182</v>
      </c>
    </row>
    <row r="4702" spans="6:6">
      <c r="F4702" s="600" t="s">
        <v>6183</v>
      </c>
    </row>
    <row r="4703" spans="6:6">
      <c r="F4703" s="600" t="s">
        <v>6184</v>
      </c>
    </row>
    <row r="4704" spans="6:6">
      <c r="F4704" s="600" t="s">
        <v>6185</v>
      </c>
    </row>
    <row r="4705" spans="6:6">
      <c r="F4705" s="600" t="s">
        <v>6186</v>
      </c>
    </row>
    <row r="4706" spans="6:6">
      <c r="F4706" s="600" t="s">
        <v>6187</v>
      </c>
    </row>
    <row r="4707" spans="6:6">
      <c r="F4707" s="600" t="s">
        <v>6188</v>
      </c>
    </row>
    <row r="4708" spans="6:6">
      <c r="F4708" s="600" t="s">
        <v>6189</v>
      </c>
    </row>
    <row r="4709" spans="6:6">
      <c r="F4709" s="600" t="s">
        <v>6190</v>
      </c>
    </row>
    <row r="4710" spans="6:6">
      <c r="F4710" s="600" t="s">
        <v>6191</v>
      </c>
    </row>
    <row r="4711" spans="6:6">
      <c r="F4711" s="600" t="s">
        <v>6192</v>
      </c>
    </row>
    <row r="4712" spans="6:6">
      <c r="F4712" s="600" t="s">
        <v>6193</v>
      </c>
    </row>
    <row r="4713" spans="6:6">
      <c r="F4713" s="600" t="s">
        <v>6194</v>
      </c>
    </row>
    <row r="4714" spans="6:6">
      <c r="F4714" s="600" t="s">
        <v>6195</v>
      </c>
    </row>
    <row r="4715" spans="6:6">
      <c r="F4715" s="600" t="s">
        <v>6196</v>
      </c>
    </row>
    <row r="4716" spans="6:6">
      <c r="F4716" s="600" t="s">
        <v>6197</v>
      </c>
    </row>
    <row r="4717" spans="6:6">
      <c r="F4717" s="600" t="s">
        <v>6198</v>
      </c>
    </row>
    <row r="4718" spans="6:6">
      <c r="F4718" s="600" t="s">
        <v>6199</v>
      </c>
    </row>
    <row r="4719" spans="6:6">
      <c r="F4719" s="600" t="s">
        <v>6200</v>
      </c>
    </row>
    <row r="4720" spans="6:6">
      <c r="F4720" s="600" t="s">
        <v>6201</v>
      </c>
    </row>
    <row r="4721" spans="6:6">
      <c r="F4721" s="600" t="s">
        <v>6202</v>
      </c>
    </row>
    <row r="4722" spans="6:6">
      <c r="F4722" s="600" t="s">
        <v>6203</v>
      </c>
    </row>
    <row r="4723" spans="6:6">
      <c r="F4723" s="600" t="s">
        <v>6204</v>
      </c>
    </row>
    <row r="4724" spans="6:6">
      <c r="F4724" s="600" t="s">
        <v>6205</v>
      </c>
    </row>
    <row r="4725" spans="6:6">
      <c r="F4725" s="600" t="s">
        <v>6206</v>
      </c>
    </row>
    <row r="4726" spans="6:6">
      <c r="F4726" s="600" t="s">
        <v>6207</v>
      </c>
    </row>
    <row r="4727" spans="6:6">
      <c r="F4727" s="600" t="s">
        <v>6208</v>
      </c>
    </row>
    <row r="4728" spans="6:6">
      <c r="F4728" s="600" t="s">
        <v>6209</v>
      </c>
    </row>
    <row r="4729" spans="6:6">
      <c r="F4729" s="600" t="s">
        <v>6210</v>
      </c>
    </row>
    <row r="4730" spans="6:6">
      <c r="F4730" s="600" t="s">
        <v>6211</v>
      </c>
    </row>
    <row r="4731" spans="6:6">
      <c r="F4731" s="600" t="s">
        <v>6212</v>
      </c>
    </row>
    <row r="4732" spans="6:6">
      <c r="F4732" s="600" t="s">
        <v>6213</v>
      </c>
    </row>
    <row r="4733" spans="6:6">
      <c r="F4733" s="600" t="s">
        <v>6214</v>
      </c>
    </row>
    <row r="4734" spans="6:6">
      <c r="F4734" s="600" t="s">
        <v>6215</v>
      </c>
    </row>
    <row r="4735" spans="6:6">
      <c r="F4735" s="600" t="s">
        <v>6216</v>
      </c>
    </row>
    <row r="4736" spans="6:6">
      <c r="F4736" s="600" t="s">
        <v>6217</v>
      </c>
    </row>
    <row r="4737" spans="6:6">
      <c r="F4737" s="600" t="s">
        <v>6218</v>
      </c>
    </row>
    <row r="4738" spans="6:6">
      <c r="F4738" s="600" t="s">
        <v>6219</v>
      </c>
    </row>
    <row r="4739" spans="6:6">
      <c r="F4739" s="600" t="s">
        <v>6220</v>
      </c>
    </row>
    <row r="4740" spans="6:6">
      <c r="F4740" s="600" t="s">
        <v>6221</v>
      </c>
    </row>
    <row r="4741" spans="6:6">
      <c r="F4741" s="600" t="s">
        <v>6222</v>
      </c>
    </row>
    <row r="4742" spans="6:6">
      <c r="F4742" s="600" t="s">
        <v>6223</v>
      </c>
    </row>
    <row r="4743" spans="6:6">
      <c r="F4743" s="600" t="s">
        <v>6224</v>
      </c>
    </row>
    <row r="4744" spans="6:6">
      <c r="F4744" s="600" t="s">
        <v>6225</v>
      </c>
    </row>
    <row r="4745" spans="6:6">
      <c r="F4745" s="600" t="s">
        <v>6226</v>
      </c>
    </row>
    <row r="4746" spans="6:6">
      <c r="F4746" s="600" t="s">
        <v>6227</v>
      </c>
    </row>
    <row r="4747" spans="6:6">
      <c r="F4747" s="600" t="s">
        <v>6228</v>
      </c>
    </row>
    <row r="4748" spans="6:6">
      <c r="F4748" s="600" t="s">
        <v>6229</v>
      </c>
    </row>
    <row r="4749" spans="6:6">
      <c r="F4749" s="600" t="s">
        <v>6230</v>
      </c>
    </row>
    <row r="4750" spans="6:6">
      <c r="F4750" s="600" t="s">
        <v>6231</v>
      </c>
    </row>
    <row r="4751" spans="6:6">
      <c r="F4751" s="600" t="s">
        <v>6232</v>
      </c>
    </row>
    <row r="4752" spans="6:6">
      <c r="F4752" s="600" t="s">
        <v>6233</v>
      </c>
    </row>
    <row r="4753" spans="6:6">
      <c r="F4753" s="600" t="s">
        <v>6234</v>
      </c>
    </row>
    <row r="4754" spans="6:6">
      <c r="F4754" s="600" t="s">
        <v>6235</v>
      </c>
    </row>
    <row r="4755" spans="6:6">
      <c r="F4755" s="600" t="s">
        <v>6236</v>
      </c>
    </row>
    <row r="4756" spans="6:6">
      <c r="F4756" s="600" t="s">
        <v>6237</v>
      </c>
    </row>
    <row r="4757" spans="6:6">
      <c r="F4757" s="600" t="s">
        <v>6238</v>
      </c>
    </row>
    <row r="4758" spans="6:6">
      <c r="F4758" s="600" t="s">
        <v>6239</v>
      </c>
    </row>
    <row r="4759" spans="6:6">
      <c r="F4759" s="600" t="s">
        <v>6240</v>
      </c>
    </row>
    <row r="4760" spans="6:6">
      <c r="F4760" s="600" t="s">
        <v>6241</v>
      </c>
    </row>
    <row r="4761" spans="6:6">
      <c r="F4761" s="600" t="s">
        <v>6242</v>
      </c>
    </row>
    <row r="4762" spans="6:6">
      <c r="F4762" s="600" t="s">
        <v>6243</v>
      </c>
    </row>
    <row r="4763" spans="6:6">
      <c r="F4763" s="600" t="s">
        <v>6244</v>
      </c>
    </row>
    <row r="4764" spans="6:6">
      <c r="F4764" s="600" t="s">
        <v>6245</v>
      </c>
    </row>
    <row r="4765" spans="6:6">
      <c r="F4765" s="600" t="s">
        <v>6246</v>
      </c>
    </row>
    <row r="4766" spans="6:6">
      <c r="F4766" s="600" t="s">
        <v>6247</v>
      </c>
    </row>
    <row r="4767" spans="6:6">
      <c r="F4767" s="600" t="s">
        <v>6248</v>
      </c>
    </row>
    <row r="4768" spans="6:6">
      <c r="F4768" s="600" t="s">
        <v>6249</v>
      </c>
    </row>
    <row r="4769" spans="6:6">
      <c r="F4769" s="600" t="s">
        <v>6250</v>
      </c>
    </row>
    <row r="4770" spans="6:6">
      <c r="F4770" s="600" t="s">
        <v>6251</v>
      </c>
    </row>
    <row r="4771" spans="6:6">
      <c r="F4771" s="600" t="s">
        <v>6252</v>
      </c>
    </row>
    <row r="4772" spans="6:6">
      <c r="F4772" s="600" t="s">
        <v>6253</v>
      </c>
    </row>
    <row r="4773" spans="6:6">
      <c r="F4773" s="600" t="s">
        <v>6254</v>
      </c>
    </row>
    <row r="4774" spans="6:6">
      <c r="F4774" s="600" t="s">
        <v>6255</v>
      </c>
    </row>
    <row r="4775" spans="6:6">
      <c r="F4775" s="600" t="s">
        <v>6256</v>
      </c>
    </row>
    <row r="4776" spans="6:6">
      <c r="F4776" s="600" t="s">
        <v>6257</v>
      </c>
    </row>
    <row r="4777" spans="6:6">
      <c r="F4777" s="600" t="s">
        <v>6258</v>
      </c>
    </row>
    <row r="4778" spans="6:6">
      <c r="F4778" s="600" t="s">
        <v>6259</v>
      </c>
    </row>
    <row r="4779" spans="6:6">
      <c r="F4779" s="600" t="s">
        <v>6260</v>
      </c>
    </row>
    <row r="4780" spans="6:6">
      <c r="F4780" s="600" t="s">
        <v>6261</v>
      </c>
    </row>
    <row r="4781" spans="6:6">
      <c r="F4781" s="600" t="s">
        <v>6262</v>
      </c>
    </row>
    <row r="4782" spans="6:6">
      <c r="F4782" s="600" t="s">
        <v>6263</v>
      </c>
    </row>
    <row r="4783" spans="6:6">
      <c r="F4783" s="600" t="s">
        <v>6264</v>
      </c>
    </row>
    <row r="4784" spans="6:6">
      <c r="F4784" s="600" t="s">
        <v>6265</v>
      </c>
    </row>
    <row r="4785" spans="6:6">
      <c r="F4785" s="600" t="s">
        <v>6266</v>
      </c>
    </row>
    <row r="4786" spans="6:6">
      <c r="F4786" s="600" t="s">
        <v>6267</v>
      </c>
    </row>
    <row r="4787" spans="6:6">
      <c r="F4787" s="600" t="s">
        <v>6268</v>
      </c>
    </row>
    <row r="4788" spans="6:6">
      <c r="F4788" s="600" t="s">
        <v>6269</v>
      </c>
    </row>
    <row r="4789" spans="6:6">
      <c r="F4789" s="600" t="s">
        <v>6270</v>
      </c>
    </row>
    <row r="4790" spans="6:6">
      <c r="F4790" s="600" t="s">
        <v>6271</v>
      </c>
    </row>
    <row r="4791" spans="6:6">
      <c r="F4791" s="600" t="s">
        <v>6272</v>
      </c>
    </row>
    <row r="4792" spans="6:6">
      <c r="F4792" s="600" t="s">
        <v>6273</v>
      </c>
    </row>
    <row r="4793" spans="6:6">
      <c r="F4793" s="600" t="s">
        <v>6274</v>
      </c>
    </row>
    <row r="4794" spans="6:6">
      <c r="F4794" s="600" t="s">
        <v>6275</v>
      </c>
    </row>
    <row r="4795" spans="6:6">
      <c r="F4795" s="600" t="s">
        <v>6276</v>
      </c>
    </row>
    <row r="4796" spans="6:6">
      <c r="F4796" s="600" t="s">
        <v>6277</v>
      </c>
    </row>
    <row r="4797" spans="6:6">
      <c r="F4797" s="600" t="s">
        <v>6278</v>
      </c>
    </row>
    <row r="4798" spans="6:6">
      <c r="F4798" s="600" t="s">
        <v>6279</v>
      </c>
    </row>
    <row r="4799" spans="6:6">
      <c r="F4799" s="600" t="s">
        <v>6280</v>
      </c>
    </row>
    <row r="4800" spans="6:6">
      <c r="F4800" s="600" t="s">
        <v>6281</v>
      </c>
    </row>
    <row r="4801" spans="6:6">
      <c r="F4801" s="600" t="s">
        <v>6282</v>
      </c>
    </row>
    <row r="4802" spans="6:6">
      <c r="F4802" s="600" t="s">
        <v>6283</v>
      </c>
    </row>
    <row r="4803" spans="6:6">
      <c r="F4803" s="600" t="s">
        <v>6284</v>
      </c>
    </row>
    <row r="4804" spans="6:6">
      <c r="F4804" s="600" t="s">
        <v>6285</v>
      </c>
    </row>
    <row r="4805" spans="6:6">
      <c r="F4805" s="600" t="s">
        <v>6286</v>
      </c>
    </row>
    <row r="4806" spans="6:6">
      <c r="F4806" s="600" t="s">
        <v>6287</v>
      </c>
    </row>
    <row r="4807" spans="6:6">
      <c r="F4807" s="600" t="s">
        <v>6288</v>
      </c>
    </row>
    <row r="4808" spans="6:6">
      <c r="F4808" s="600" t="s">
        <v>6289</v>
      </c>
    </row>
    <row r="4809" spans="6:6">
      <c r="F4809" s="600" t="s">
        <v>6290</v>
      </c>
    </row>
    <row r="4810" spans="6:6">
      <c r="F4810" s="600" t="s">
        <v>6291</v>
      </c>
    </row>
    <row r="4811" spans="6:6">
      <c r="F4811" s="600" t="s">
        <v>6292</v>
      </c>
    </row>
    <row r="4812" spans="6:6">
      <c r="F4812" s="600" t="s">
        <v>6293</v>
      </c>
    </row>
    <row r="4813" spans="6:6">
      <c r="F4813" s="600" t="s">
        <v>6294</v>
      </c>
    </row>
    <row r="4814" spans="6:6">
      <c r="F4814" s="600" t="s">
        <v>6295</v>
      </c>
    </row>
    <row r="4815" spans="6:6">
      <c r="F4815" s="600" t="s">
        <v>6296</v>
      </c>
    </row>
    <row r="4816" spans="6:6">
      <c r="F4816" s="600" t="s">
        <v>6297</v>
      </c>
    </row>
    <row r="4817" spans="6:6">
      <c r="F4817" s="600" t="s">
        <v>6298</v>
      </c>
    </row>
    <row r="4818" spans="6:6">
      <c r="F4818" s="600" t="s">
        <v>6299</v>
      </c>
    </row>
    <row r="4819" spans="6:6">
      <c r="F4819" s="600" t="s">
        <v>6300</v>
      </c>
    </row>
    <row r="4820" spans="6:6">
      <c r="F4820" s="600" t="s">
        <v>6301</v>
      </c>
    </row>
    <row r="4821" spans="6:6">
      <c r="F4821" s="600" t="s">
        <v>6302</v>
      </c>
    </row>
    <row r="4822" spans="6:6">
      <c r="F4822" s="600" t="s">
        <v>6303</v>
      </c>
    </row>
  </sheetData>
  <mergeCells count="4">
    <mergeCell ref="D5:G5"/>
    <mergeCell ref="D6:G6"/>
    <mergeCell ref="B2:K2"/>
    <mergeCell ref="H5:I6"/>
  </mergeCells>
  <phoneticPr fontId="5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BDFF-C13C-4D1B-BBD2-24B82F95184E}">
  <sheetPr>
    <tabColor rgb="FFFFC000"/>
  </sheetPr>
  <dimension ref="B1:E116"/>
  <sheetViews>
    <sheetView workbookViewId="0">
      <selection activeCell="G3" sqref="G3"/>
    </sheetView>
  </sheetViews>
  <sheetFormatPr baseColWidth="10" defaultRowHeight="15"/>
  <cols>
    <col min="1" max="1" width="4.140625" style="1" customWidth="1"/>
    <col min="2" max="2" width="13.5703125" style="1" bestFit="1" customWidth="1"/>
    <col min="3" max="3" width="15.85546875" style="1" bestFit="1" customWidth="1"/>
    <col min="4" max="5" width="13.5703125" style="1" bestFit="1" customWidth="1"/>
    <col min="6" max="16384" width="11.42578125" style="1"/>
  </cols>
  <sheetData>
    <row r="1" spans="2:5" ht="15.75" thickBot="1"/>
    <row r="2" spans="2:5" ht="16.5" thickBot="1">
      <c r="B2" s="839"/>
      <c r="C2" s="839" t="s">
        <v>6611</v>
      </c>
      <c r="D2" s="839"/>
      <c r="E2" s="839"/>
    </row>
    <row r="3" spans="2:5" ht="16.5" thickBot="1">
      <c r="B3" s="839" t="s">
        <v>6314</v>
      </c>
      <c r="C3" s="839" t="s">
        <v>6612</v>
      </c>
      <c r="D3" s="839"/>
      <c r="E3" s="839"/>
    </row>
    <row r="4" spans="2:5">
      <c r="B4" s="30" t="s">
        <v>6451</v>
      </c>
      <c r="C4" s="673" t="s">
        <v>1446</v>
      </c>
      <c r="D4" s="673"/>
      <c r="E4" s="673"/>
    </row>
    <row r="5" spans="2:5">
      <c r="B5" s="660" t="s">
        <v>6453</v>
      </c>
      <c r="C5" s="606"/>
      <c r="D5" s="606"/>
      <c r="E5" s="606"/>
    </row>
    <row r="6" spans="2:5">
      <c r="B6" s="22" t="s">
        <v>6454</v>
      </c>
      <c r="C6" s="604"/>
      <c r="D6" s="604"/>
      <c r="E6" s="604"/>
    </row>
    <row r="7" spans="2:5">
      <c r="B7" s="22" t="s">
        <v>6455</v>
      </c>
      <c r="C7" s="604" t="s">
        <v>1446</v>
      </c>
      <c r="D7" s="604"/>
      <c r="E7" s="604"/>
    </row>
    <row r="8" spans="2:5">
      <c r="B8" s="22" t="s">
        <v>6456</v>
      </c>
      <c r="C8" s="605"/>
      <c r="D8" s="605"/>
      <c r="E8" s="605"/>
    </row>
    <row r="9" spans="2:5">
      <c r="B9" s="22" t="s">
        <v>6457</v>
      </c>
      <c r="C9" s="605"/>
      <c r="D9" s="605"/>
      <c r="E9" s="605"/>
    </row>
    <row r="10" spans="2:5">
      <c r="B10" s="880" t="s">
        <v>6458</v>
      </c>
      <c r="C10" s="606"/>
      <c r="D10" s="606"/>
      <c r="E10" s="606"/>
    </row>
    <row r="11" spans="2:5">
      <c r="B11" s="880" t="s">
        <v>6459</v>
      </c>
      <c r="C11" s="606"/>
      <c r="D11" s="606"/>
      <c r="E11" s="606"/>
    </row>
    <row r="12" spans="2:5">
      <c r="B12" s="880" t="s">
        <v>6460</v>
      </c>
      <c r="C12" s="606"/>
      <c r="D12" s="606"/>
      <c r="E12" s="606"/>
    </row>
    <row r="13" spans="2:5">
      <c r="B13" s="880" t="s">
        <v>6461</v>
      </c>
      <c r="C13" s="606"/>
      <c r="D13" s="606"/>
      <c r="E13" s="606"/>
    </row>
    <row r="14" spans="2:5">
      <c r="B14" s="30" t="s">
        <v>6462</v>
      </c>
      <c r="C14" s="606"/>
      <c r="D14" s="606"/>
      <c r="E14" s="606"/>
    </row>
    <row r="15" spans="2:5">
      <c r="B15" s="22" t="s">
        <v>6463</v>
      </c>
      <c r="C15" s="604" t="s">
        <v>1446</v>
      </c>
      <c r="D15" s="604"/>
      <c r="E15" s="604"/>
    </row>
    <row r="16" spans="2:5">
      <c r="B16" s="22" t="s">
        <v>6464</v>
      </c>
      <c r="C16" s="604"/>
      <c r="D16" s="604"/>
      <c r="E16" s="604"/>
    </row>
    <row r="17" spans="2:5">
      <c r="B17" s="22" t="s">
        <v>6465</v>
      </c>
      <c r="C17" s="604"/>
      <c r="D17" s="604"/>
      <c r="E17" s="604"/>
    </row>
    <row r="18" spans="2:5">
      <c r="B18" s="22" t="s">
        <v>6466</v>
      </c>
      <c r="C18" s="604" t="s">
        <v>1446</v>
      </c>
      <c r="D18" s="604"/>
      <c r="E18" s="604"/>
    </row>
    <row r="19" spans="2:5">
      <c r="B19" s="881" t="s">
        <v>6507</v>
      </c>
      <c r="C19" s="604"/>
      <c r="D19" s="604"/>
      <c r="E19" s="604"/>
    </row>
    <row r="20" spans="2:5">
      <c r="B20" s="881" t="s">
        <v>6508</v>
      </c>
      <c r="C20" s="604"/>
      <c r="D20" s="604"/>
      <c r="E20" s="604"/>
    </row>
    <row r="21" spans="2:5">
      <c r="B21" s="881" t="s">
        <v>6509</v>
      </c>
      <c r="C21" s="604"/>
      <c r="D21" s="604"/>
      <c r="E21" s="604"/>
    </row>
    <row r="22" spans="2:5">
      <c r="B22" s="881" t="s">
        <v>6510</v>
      </c>
      <c r="C22" s="604"/>
      <c r="D22" s="604"/>
      <c r="E22" s="604"/>
    </row>
    <row r="23" spans="2:5">
      <c r="B23" s="30" t="s">
        <v>6467</v>
      </c>
      <c r="C23" s="606"/>
      <c r="D23" s="606"/>
      <c r="E23" s="606"/>
    </row>
    <row r="24" spans="2:5">
      <c r="B24" s="18" t="s">
        <v>6468</v>
      </c>
      <c r="C24" s="603"/>
      <c r="D24" s="603"/>
      <c r="E24" s="603"/>
    </row>
    <row r="25" spans="2:5">
      <c r="B25" s="18" t="s">
        <v>6469</v>
      </c>
      <c r="C25" s="603"/>
      <c r="D25" s="603"/>
      <c r="E25" s="603"/>
    </row>
    <row r="26" spans="2:5">
      <c r="B26" s="18" t="s">
        <v>6470</v>
      </c>
      <c r="C26" s="603"/>
      <c r="D26" s="603"/>
      <c r="E26" s="603"/>
    </row>
    <row r="27" spans="2:5">
      <c r="B27" s="18" t="s">
        <v>6471</v>
      </c>
      <c r="C27" s="603"/>
      <c r="D27" s="603"/>
      <c r="E27" s="603"/>
    </row>
    <row r="28" spans="2:5">
      <c r="B28" s="882" t="s">
        <v>6481</v>
      </c>
      <c r="C28" s="884" t="s">
        <v>1446</v>
      </c>
      <c r="D28" s="884"/>
      <c r="E28" s="884"/>
    </row>
    <row r="29" spans="2:5">
      <c r="B29" s="887" t="s">
        <v>6482</v>
      </c>
      <c r="C29" s="884"/>
      <c r="D29" s="884"/>
      <c r="E29" s="884"/>
    </row>
    <row r="30" spans="2:5">
      <c r="B30" s="888" t="s">
        <v>6483</v>
      </c>
      <c r="C30" s="884"/>
      <c r="D30" s="884"/>
      <c r="E30" s="884"/>
    </row>
    <row r="31" spans="2:5">
      <c r="B31" s="47" t="s">
        <v>6484</v>
      </c>
      <c r="C31" s="609"/>
      <c r="D31" s="609"/>
      <c r="E31" s="609"/>
    </row>
    <row r="32" spans="2:5">
      <c r="B32" s="47" t="s">
        <v>6485</v>
      </c>
      <c r="C32" s="609" t="s">
        <v>1446</v>
      </c>
      <c r="D32" s="609"/>
      <c r="E32" s="609"/>
    </row>
    <row r="33" spans="2:5">
      <c r="B33" s="892" t="s">
        <v>6486</v>
      </c>
      <c r="C33" s="609"/>
      <c r="D33" s="609"/>
      <c r="E33" s="609"/>
    </row>
    <row r="34" spans="2:5">
      <c r="B34" s="892" t="s">
        <v>6487</v>
      </c>
      <c r="C34" s="609"/>
      <c r="D34" s="609"/>
      <c r="E34" s="609"/>
    </row>
    <row r="35" spans="2:5">
      <c r="B35" s="38" t="s">
        <v>6528</v>
      </c>
      <c r="C35" s="607"/>
      <c r="D35" s="607"/>
      <c r="E35" s="607"/>
    </row>
    <row r="36" spans="2:5">
      <c r="B36" s="39" t="s">
        <v>6529</v>
      </c>
      <c r="C36" s="607"/>
      <c r="D36" s="607"/>
      <c r="E36" s="607"/>
    </row>
    <row r="37" spans="2:5">
      <c r="B37" s="40" t="s">
        <v>6530</v>
      </c>
      <c r="C37" s="608"/>
      <c r="D37" s="608"/>
      <c r="E37" s="608"/>
    </row>
    <row r="38" spans="2:5">
      <c r="B38" s="40" t="s">
        <v>6531</v>
      </c>
      <c r="C38" s="608"/>
      <c r="D38" s="608"/>
      <c r="E38" s="608"/>
    </row>
    <row r="39" spans="2:5">
      <c r="B39" s="38" t="s">
        <v>6532</v>
      </c>
      <c r="C39" s="607" t="s">
        <v>1446</v>
      </c>
      <c r="D39" s="607"/>
      <c r="E39" s="607"/>
    </row>
    <row r="40" spans="2:5">
      <c r="B40" s="38" t="s">
        <v>6533</v>
      </c>
      <c r="C40" s="607" t="s">
        <v>1446</v>
      </c>
      <c r="D40" s="607"/>
      <c r="E40" s="607"/>
    </row>
    <row r="41" spans="2:5">
      <c r="B41" s="840" t="s">
        <v>6534</v>
      </c>
      <c r="C41" s="711"/>
      <c r="D41" s="711"/>
      <c r="E41" s="711"/>
    </row>
    <row r="42" spans="2:5">
      <c r="B42" s="894" t="s">
        <v>6535</v>
      </c>
      <c r="C42" s="711"/>
      <c r="D42" s="711"/>
      <c r="E42" s="711"/>
    </row>
    <row r="43" spans="2:5">
      <c r="B43" s="840" t="s">
        <v>6536</v>
      </c>
      <c r="C43" s="711"/>
      <c r="D43" s="711"/>
      <c r="E43" s="711"/>
    </row>
    <row r="44" spans="2:5">
      <c r="B44" s="41" t="s">
        <v>6537</v>
      </c>
      <c r="C44" s="608" t="s">
        <v>1446</v>
      </c>
      <c r="D44" s="608"/>
      <c r="E44" s="608"/>
    </row>
    <row r="45" spans="2:5">
      <c r="B45" s="40" t="s">
        <v>6538</v>
      </c>
      <c r="C45" s="608"/>
      <c r="D45" s="608"/>
      <c r="E45" s="608"/>
    </row>
    <row r="46" spans="2:5">
      <c r="B46" s="42" t="s">
        <v>6539</v>
      </c>
      <c r="C46" s="608"/>
      <c r="D46" s="608"/>
      <c r="E46" s="608"/>
    </row>
    <row r="47" spans="2:5">
      <c r="B47" s="40" t="s">
        <v>6540</v>
      </c>
      <c r="C47" s="608" t="s">
        <v>1446</v>
      </c>
      <c r="D47" s="608"/>
      <c r="E47" s="608"/>
    </row>
    <row r="48" spans="2:5">
      <c r="B48" s="38" t="s">
        <v>6541</v>
      </c>
      <c r="C48" s="607" t="s">
        <v>1446</v>
      </c>
      <c r="D48" s="607"/>
      <c r="E48" s="607"/>
    </row>
    <row r="49" spans="2:5">
      <c r="B49" s="44" t="s">
        <v>6542</v>
      </c>
      <c r="C49" s="607"/>
      <c r="D49" s="607"/>
      <c r="E49" s="607"/>
    </row>
    <row r="50" spans="2:5">
      <c r="B50" s="44" t="s">
        <v>6543</v>
      </c>
      <c r="C50" s="607"/>
      <c r="D50" s="607"/>
      <c r="E50" s="607"/>
    </row>
    <row r="51" spans="2:5">
      <c r="B51" s="38" t="s">
        <v>6544</v>
      </c>
      <c r="C51" s="607" t="s">
        <v>1446</v>
      </c>
      <c r="D51" s="607"/>
      <c r="E51" s="607"/>
    </row>
    <row r="52" spans="2:5">
      <c r="B52" s="39" t="s">
        <v>6545</v>
      </c>
      <c r="C52" s="607"/>
      <c r="D52" s="607"/>
      <c r="E52" s="607"/>
    </row>
    <row r="53" spans="2:5">
      <c r="B53" s="38" t="s">
        <v>6546</v>
      </c>
      <c r="C53" s="607" t="s">
        <v>1446</v>
      </c>
      <c r="D53" s="607"/>
      <c r="E53" s="607"/>
    </row>
    <row r="54" spans="2:5">
      <c r="B54" s="38" t="s">
        <v>6547</v>
      </c>
      <c r="C54" s="607"/>
      <c r="D54" s="607"/>
      <c r="E54" s="607"/>
    </row>
    <row r="55" spans="2:5">
      <c r="B55" s="38" t="s">
        <v>6548</v>
      </c>
      <c r="C55" s="607"/>
      <c r="D55" s="607"/>
      <c r="E55" s="607"/>
    </row>
    <row r="56" spans="2:5">
      <c r="B56" s="38" t="s">
        <v>6549</v>
      </c>
      <c r="C56" s="607"/>
      <c r="D56" s="607"/>
      <c r="E56" s="607"/>
    </row>
    <row r="57" spans="2:5">
      <c r="B57" s="905" t="s">
        <v>6491</v>
      </c>
      <c r="C57" s="907"/>
      <c r="D57" s="907"/>
      <c r="E57" s="907"/>
    </row>
    <row r="58" spans="2:5">
      <c r="B58" s="905" t="s">
        <v>6492</v>
      </c>
      <c r="C58" s="907" t="s">
        <v>1446</v>
      </c>
      <c r="D58" s="907"/>
      <c r="E58" s="907"/>
    </row>
    <row r="59" spans="2:5">
      <c r="B59" s="905" t="s">
        <v>6493</v>
      </c>
      <c r="C59" s="907"/>
      <c r="D59" s="907"/>
      <c r="E59" s="907"/>
    </row>
    <row r="60" spans="2:5">
      <c r="B60" s="905" t="s">
        <v>6494</v>
      </c>
      <c r="C60" s="907" t="s">
        <v>1446</v>
      </c>
      <c r="D60" s="907"/>
      <c r="E60" s="907"/>
    </row>
    <row r="61" spans="2:5">
      <c r="B61" s="905" t="s">
        <v>6495</v>
      </c>
      <c r="C61" s="907" t="s">
        <v>1446</v>
      </c>
      <c r="D61" s="907"/>
      <c r="E61" s="907"/>
    </row>
    <row r="62" spans="2:5">
      <c r="B62" s="905" t="s">
        <v>6496</v>
      </c>
      <c r="C62" s="907" t="s">
        <v>1446</v>
      </c>
      <c r="D62" s="907"/>
      <c r="E62" s="907"/>
    </row>
    <row r="63" spans="2:5">
      <c r="B63" s="905" t="s">
        <v>6497</v>
      </c>
      <c r="C63" s="907"/>
      <c r="D63" s="907"/>
      <c r="E63" s="907"/>
    </row>
    <row r="64" spans="2:5">
      <c r="B64" s="905" t="s">
        <v>6489</v>
      </c>
      <c r="C64" s="907"/>
      <c r="D64" s="907"/>
      <c r="E64" s="907"/>
    </row>
    <row r="65" spans="2:5">
      <c r="B65" s="905" t="s">
        <v>6490</v>
      </c>
      <c r="C65" s="907"/>
      <c r="D65" s="907"/>
      <c r="E65" s="907"/>
    </row>
    <row r="66" spans="2:5">
      <c r="B66" s="905" t="s">
        <v>6498</v>
      </c>
      <c r="C66" s="907"/>
      <c r="D66" s="907"/>
      <c r="E66" s="907"/>
    </row>
    <row r="67" spans="2:5">
      <c r="B67" s="905" t="s">
        <v>6499</v>
      </c>
      <c r="C67" s="907"/>
      <c r="D67" s="907"/>
      <c r="E67" s="907"/>
    </row>
    <row r="68" spans="2:5">
      <c r="B68" s="905" t="s">
        <v>6500</v>
      </c>
      <c r="C68" s="907"/>
      <c r="D68" s="907"/>
      <c r="E68" s="907"/>
    </row>
    <row r="69" spans="2:5">
      <c r="B69" s="905" t="s">
        <v>6501</v>
      </c>
      <c r="C69" s="907"/>
      <c r="D69" s="907"/>
      <c r="E69" s="907"/>
    </row>
    <row r="70" spans="2:5">
      <c r="B70" s="905" t="s">
        <v>6502</v>
      </c>
      <c r="C70" s="907"/>
      <c r="D70" s="907"/>
      <c r="E70" s="907"/>
    </row>
    <row r="71" spans="2:5">
      <c r="B71" s="905" t="s">
        <v>6503</v>
      </c>
      <c r="C71" s="907"/>
      <c r="D71" s="907"/>
      <c r="E71" s="907"/>
    </row>
    <row r="72" spans="2:5">
      <c r="B72" s="905" t="s">
        <v>6504</v>
      </c>
      <c r="C72" s="907"/>
      <c r="D72" s="907"/>
      <c r="E72" s="907"/>
    </row>
    <row r="73" spans="2:5">
      <c r="B73" s="905" t="s">
        <v>6505</v>
      </c>
      <c r="C73" s="907"/>
      <c r="D73" s="907"/>
      <c r="E73" s="907"/>
    </row>
    <row r="74" spans="2:5">
      <c r="B74" s="905" t="s">
        <v>6506</v>
      </c>
      <c r="C74" s="907"/>
      <c r="D74" s="907"/>
      <c r="E74" s="907"/>
    </row>
    <row r="75" spans="2:5">
      <c r="B75" s="911" t="s">
        <v>6517</v>
      </c>
      <c r="C75" s="907"/>
      <c r="D75" s="907"/>
      <c r="E75" s="907"/>
    </row>
    <row r="76" spans="2:5">
      <c r="B76" s="911" t="s">
        <v>6518</v>
      </c>
      <c r="C76" s="907"/>
      <c r="D76" s="907"/>
      <c r="E76" s="907"/>
    </row>
    <row r="77" spans="2:5">
      <c r="B77" s="905" t="s">
        <v>6519</v>
      </c>
      <c r="C77" s="907"/>
      <c r="D77" s="907"/>
      <c r="E77" s="907"/>
    </row>
    <row r="78" spans="2:5">
      <c r="B78" s="905" t="s">
        <v>6520</v>
      </c>
      <c r="C78" s="907"/>
      <c r="D78" s="907"/>
      <c r="E78" s="907"/>
    </row>
    <row r="79" spans="2:5">
      <c r="B79" s="905" t="s">
        <v>6521</v>
      </c>
      <c r="C79" s="907"/>
      <c r="D79" s="907"/>
      <c r="E79" s="907"/>
    </row>
    <row r="80" spans="2:5">
      <c r="B80" s="905" t="s">
        <v>6522</v>
      </c>
      <c r="C80" s="907"/>
      <c r="D80" s="907"/>
      <c r="E80" s="907"/>
    </row>
    <row r="81" spans="2:5">
      <c r="B81" s="911" t="s">
        <v>6605</v>
      </c>
      <c r="C81" s="907"/>
      <c r="D81" s="907"/>
      <c r="E81" s="907"/>
    </row>
    <row r="82" spans="2:5">
      <c r="B82" s="911" t="s">
        <v>6606</v>
      </c>
      <c r="C82" s="907"/>
      <c r="D82" s="907"/>
      <c r="E82" s="907"/>
    </row>
    <row r="83" spans="2:5">
      <c r="B83" s="911" t="s">
        <v>6607</v>
      </c>
      <c r="C83" s="907"/>
      <c r="D83" s="907"/>
      <c r="E83" s="907"/>
    </row>
    <row r="84" spans="2:5">
      <c r="B84" s="911" t="s">
        <v>6608</v>
      </c>
      <c r="C84" s="907"/>
      <c r="D84" s="907"/>
      <c r="E84" s="907"/>
    </row>
    <row r="85" spans="2:5">
      <c r="B85" s="911" t="s">
        <v>6609</v>
      </c>
      <c r="C85" s="907"/>
      <c r="D85" s="907"/>
      <c r="E85" s="907"/>
    </row>
    <row r="86" spans="2:5">
      <c r="B86" s="911" t="s">
        <v>6610</v>
      </c>
      <c r="C86" s="907"/>
      <c r="D86" s="907"/>
      <c r="E86" s="907"/>
    </row>
    <row r="87" spans="2:5">
      <c r="B87" s="38" t="s">
        <v>6550</v>
      </c>
      <c r="C87" s="607"/>
      <c r="D87" s="607"/>
      <c r="E87" s="607"/>
    </row>
    <row r="88" spans="2:5">
      <c r="B88" s="38" t="s">
        <v>6551</v>
      </c>
      <c r="C88" s="607"/>
      <c r="D88" s="607"/>
      <c r="E88" s="607"/>
    </row>
    <row r="89" spans="2:5">
      <c r="B89" s="38" t="s">
        <v>6552</v>
      </c>
      <c r="C89" s="607"/>
      <c r="D89" s="607"/>
      <c r="E89" s="607"/>
    </row>
    <row r="90" spans="2:5">
      <c r="B90" s="38" t="s">
        <v>6553</v>
      </c>
      <c r="C90" s="607"/>
      <c r="D90" s="607"/>
      <c r="E90" s="607"/>
    </row>
    <row r="91" spans="2:5">
      <c r="B91" s="38" t="s">
        <v>6554</v>
      </c>
      <c r="C91" s="607"/>
      <c r="D91" s="607"/>
      <c r="E91" s="607"/>
    </row>
    <row r="92" spans="2:5">
      <c r="B92" s="38" t="s">
        <v>6555</v>
      </c>
      <c r="C92" s="607"/>
      <c r="D92" s="607"/>
      <c r="E92" s="607"/>
    </row>
    <row r="93" spans="2:5">
      <c r="B93" s="905" t="s">
        <v>6557</v>
      </c>
      <c r="C93" s="907" t="s">
        <v>1446</v>
      </c>
      <c r="D93" s="907"/>
      <c r="E93" s="907"/>
    </row>
    <row r="94" spans="2:5">
      <c r="B94" s="905" t="s">
        <v>6558</v>
      </c>
      <c r="C94" s="907"/>
      <c r="D94" s="907"/>
      <c r="E94" s="907"/>
    </row>
    <row r="95" spans="2:5">
      <c r="B95" s="905" t="s">
        <v>6559</v>
      </c>
      <c r="C95" s="907"/>
      <c r="D95" s="907"/>
      <c r="E95" s="907"/>
    </row>
    <row r="96" spans="2:5">
      <c r="B96" s="905" t="s">
        <v>6560</v>
      </c>
      <c r="C96" s="907"/>
      <c r="D96" s="907"/>
      <c r="E96" s="907"/>
    </row>
    <row r="97" spans="2:5">
      <c r="B97" s="38" t="s">
        <v>6561</v>
      </c>
      <c r="C97" s="607"/>
      <c r="D97" s="607"/>
      <c r="E97" s="607"/>
    </row>
    <row r="98" spans="2:5">
      <c r="B98" s="38" t="s">
        <v>6562</v>
      </c>
      <c r="C98" s="607"/>
      <c r="D98" s="607"/>
      <c r="E98" s="607"/>
    </row>
    <row r="99" spans="2:5">
      <c r="B99" s="38" t="s">
        <v>6563</v>
      </c>
      <c r="C99" s="607"/>
      <c r="D99" s="607"/>
      <c r="E99" s="607"/>
    </row>
    <row r="100" spans="2:5">
      <c r="B100" s="38" t="s">
        <v>6564</v>
      </c>
      <c r="C100" s="607"/>
      <c r="D100" s="607"/>
      <c r="E100" s="607"/>
    </row>
    <row r="101" spans="2:5">
      <c r="B101" s="38" t="s">
        <v>6565</v>
      </c>
      <c r="C101" s="607"/>
      <c r="D101" s="607"/>
      <c r="E101" s="607"/>
    </row>
    <row r="102" spans="2:5">
      <c r="B102" s="905"/>
      <c r="C102" s="907"/>
      <c r="D102" s="907"/>
      <c r="E102" s="907"/>
    </row>
    <row r="103" spans="2:5">
      <c r="B103" s="905"/>
      <c r="C103" s="907"/>
      <c r="D103" s="907"/>
      <c r="E103" s="907"/>
    </row>
    <row r="104" spans="2:5">
      <c r="B104" s="905" t="s">
        <v>6566</v>
      </c>
      <c r="C104" s="907"/>
      <c r="D104" s="907"/>
      <c r="E104" s="907"/>
    </row>
    <row r="105" spans="2:5">
      <c r="B105" s="905" t="s">
        <v>6567</v>
      </c>
      <c r="C105" s="907"/>
      <c r="D105" s="907"/>
      <c r="E105" s="907"/>
    </row>
    <row r="106" spans="2:5">
      <c r="B106" s="905" t="s">
        <v>6568</v>
      </c>
      <c r="C106" s="907"/>
      <c r="D106" s="907"/>
      <c r="E106" s="907"/>
    </row>
    <row r="107" spans="2:5">
      <c r="B107" s="905" t="s">
        <v>6599</v>
      </c>
      <c r="C107" s="907"/>
      <c r="D107" s="907"/>
      <c r="E107" s="907"/>
    </row>
    <row r="108" spans="2:5">
      <c r="B108" s="905" t="s">
        <v>6600</v>
      </c>
      <c r="C108" s="907"/>
      <c r="D108" s="907"/>
      <c r="E108" s="907"/>
    </row>
    <row r="109" spans="2:5">
      <c r="B109" s="914"/>
      <c r="C109" s="916"/>
      <c r="D109" s="916"/>
      <c r="E109" s="916"/>
    </row>
    <row r="110" spans="2:5">
      <c r="B110" s="905"/>
      <c r="C110" s="907"/>
      <c r="D110" s="907"/>
      <c r="E110" s="907"/>
    </row>
    <row r="111" spans="2:5">
      <c r="B111" s="914" t="s">
        <v>6569</v>
      </c>
      <c r="C111" s="916"/>
      <c r="D111" s="916"/>
      <c r="E111" s="916"/>
    </row>
    <row r="112" spans="2:5">
      <c r="B112" s="914" t="s">
        <v>6570</v>
      </c>
      <c r="C112" s="916"/>
      <c r="D112" s="916"/>
      <c r="E112" s="916"/>
    </row>
    <row r="113" spans="2:5">
      <c r="B113" s="914" t="s">
        <v>6571</v>
      </c>
      <c r="C113" s="916"/>
      <c r="D113" s="916"/>
      <c r="E113" s="916"/>
    </row>
    <row r="114" spans="2:5">
      <c r="B114" s="905" t="s">
        <v>6572</v>
      </c>
      <c r="C114" s="907"/>
      <c r="D114" s="907"/>
      <c r="E114" s="907"/>
    </row>
    <row r="115" spans="2:5">
      <c r="B115" s="905" t="s">
        <v>6573</v>
      </c>
      <c r="C115" s="907"/>
      <c r="D115" s="907"/>
      <c r="E115" s="907"/>
    </row>
    <row r="116" spans="2:5" ht="15.75" thickBot="1">
      <c r="B116" s="1014"/>
      <c r="C116" s="1015"/>
      <c r="D116" s="1015"/>
      <c r="E116" s="10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13</vt:i4>
      </vt:variant>
    </vt:vector>
  </HeadingPairs>
  <TitlesOfParts>
    <vt:vector size="26" baseType="lpstr">
      <vt:lpstr>Page d'accueil</vt:lpstr>
      <vt:lpstr>ISO 14064-4</vt:lpstr>
      <vt:lpstr>GHG Protocol</vt:lpstr>
      <vt:lpstr>MACF-CBAM</vt:lpstr>
      <vt:lpstr>Détails Entreprise</vt:lpstr>
      <vt:lpstr>Calculs</vt:lpstr>
      <vt:lpstr>Résultats</vt:lpstr>
      <vt:lpstr>Listes des méthodologies</vt:lpstr>
      <vt:lpstr>PRP</vt:lpstr>
      <vt:lpstr>FÉ</vt:lpstr>
      <vt:lpstr>Listes déroulantes FÉ</vt:lpstr>
      <vt:lpstr>Listes déroulantes, autres</vt:lpstr>
      <vt:lpstr>Liste Métho par client</vt:lpstr>
      <vt:lpstr>Année</vt:lpstr>
      <vt:lpstr>Debut_1A1</vt:lpstr>
      <vt:lpstr>Équipements_fixes</vt:lpstr>
      <vt:lpstr>Équipements_mobiles</vt:lpstr>
      <vt:lpstr>Fin_1A1</vt:lpstr>
      <vt:lpstr>Grid</vt:lpstr>
      <vt:lpstr>Intensité_type_bâtiments</vt:lpstr>
      <vt:lpstr>Liste_Véhicules_Compagnie</vt:lpstr>
      <vt:lpstr>Marque</vt:lpstr>
      <vt:lpstr>Modèle</vt:lpstr>
      <vt:lpstr>Moyennes_de_transport</vt:lpstr>
      <vt:lpstr>Oui_Non</vt:lpstr>
      <vt:lpstr>Transmission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Pierre-Emile Leblanc-Comtois</dc:creator>
  <cp:lastModifiedBy>Pierre-Emile Leblanc-Comtois</cp:lastModifiedBy>
  <dcterms:created xsi:type="dcterms:W3CDTF">2025-07-03T12:04:17Z</dcterms:created>
  <dcterms:modified xsi:type="dcterms:W3CDTF">2026-01-06T21:58:42Z</dcterms:modified>
</cp:coreProperties>
</file>